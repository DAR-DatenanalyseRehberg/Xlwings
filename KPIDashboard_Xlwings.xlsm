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30.xml" ContentType="application/vnd.openxmlformats-officedocument.drawingml.chart+xml"/>
  <Override PartName="/xl/charts/chart31.xml" ContentType="application/vnd.openxmlformats-officedocument.drawingml.chart+xml"/>
  <Override PartName="/xl/drawings/drawing4.xml" ContentType="application/vnd.openxmlformats-officedocument.drawing+xml"/>
  <Override PartName="/xl/charts/chart3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C:\Users\jesko\"/>
    </mc:Choice>
  </mc:AlternateContent>
  <xr:revisionPtr revIDLastSave="0" documentId="13_ncr:1_{83B56241-6978-443A-A292-2CB34D1BE6F7}" xr6:coauthVersionLast="46" xr6:coauthVersionMax="46" xr10:uidLastSave="{00000000-0000-0000-0000-000000000000}"/>
  <bookViews>
    <workbookView xWindow="-110" yWindow="-110" windowWidth="19420" windowHeight="10420" activeTab="1" xr2:uid="{00000000-000D-0000-FFFF-FFFF00000000}"/>
  </bookViews>
  <sheets>
    <sheet name="Dashboard" sheetId="2" r:id="rId1"/>
    <sheet name="InputNew" sheetId="11" r:id="rId2"/>
    <sheet name="Data" sheetId="1" r:id="rId3"/>
    <sheet name="calculations" sheetId="3" state="hidden" r:id="rId4"/>
    <sheet name="XbarR" sheetId="6" state="hidden" r:id="rId5"/>
    <sheet name="BoxPlot" sheetId="10" state="hidden" r:id="rId6"/>
  </sheets>
  <externalReferences>
    <externalReference r:id="rId7"/>
    <externalReference r:id="rId8"/>
  </externalReferences>
  <definedNames>
    <definedName name="__123Graph_A" hidden="1">#REF!</definedName>
    <definedName name="__123Graph_ALINEAR" hidden="1">#REF!</definedName>
    <definedName name="__123Graph_B" hidden="1">#REF!</definedName>
    <definedName name="__123Graph_C" hidden="1">#REF!</definedName>
    <definedName name="__123Graph_D" hidden="1">[1]Abschreibungsmethoden!#REF!</definedName>
    <definedName name="__123Graph_X" hidden="1">#REF!</definedName>
    <definedName name="__123Graph_XLINEAR" hidden="1">#REF!</definedName>
    <definedName name="Abteilungen">[2]ZÄHLENWENNS!$L$1:$L$10</definedName>
    <definedName name="Arbeitszeiten">[2]ZÄHLENWENNS!$M$1:$M$2</definedName>
    <definedName name="BeginnDate">Dashboard!$E$209</definedName>
    <definedName name="d2values" localSheetId="4">{1.128,1.693,2.059,2.326,2.534,2.704,2.847,2.97,3.078,3.173,3.258,3.336,3.407,3.472,3.532,3.588,3.64,3.689,3.735,3.778,3.819,3.858,3.895,3.931}</definedName>
    <definedName name="d2values">{1.128,1.693,2.059,2.326,2.534,2.704,2.847,2.97,3.078,3.173,3.258,3.336,3.407,3.472,3.532,3.588,3.64,3.689,3.735,3.778,3.819,3.858,3.895,3.931}</definedName>
    <definedName name="d3values" localSheetId="4">{0.853,0.888,0.88,0.864,0.848,0.833,0.82,0.808,0.797,0.787,0.778,0.77,0.763,0.756,0.75,0.744,0.739,0.734,0.729,0.724,0.72,0.716,0.712,0.708}</definedName>
    <definedName name="d3values">{0.853,0.888,0.88,0.864,0.848,0.833,0.82,0.808,0.797,0.787,0.778,0.77,0.763,0.756,0.75,0.744,0.739,0.734,0.729,0.724,0.72,0.716,0.712,0.708}</definedName>
    <definedName name="dropdown">calculations!$BB$14</definedName>
    <definedName name="EndDate">Dashboard!$E$210</definedName>
    <definedName name="Headcount">[2]ZÄHLENWENNS!$A$1:$D$244</definedName>
    <definedName name="KW">Data!#REF!</definedName>
    <definedName name="KWInput">Data!#REF!</definedName>
    <definedName name="listToSort">OFFSET(calculations!$B$20,,CHOOSE(calculations!$D$4,2,3,4,5,6,0),COUNTA(tblKPIs[Products]),1)</definedName>
    <definedName name="lstddkpis">(calculations!$D$20:$P$379)+(0.000000001*calculations!$B$20:$B$379)</definedName>
    <definedName name="lstKPIs">calculations!$BB$4:$BB$16</definedName>
    <definedName name="lstSortedKPIs">calculations!$V$20:$AJ$379</definedName>
    <definedName name="lstTargets">calculations!$AL$20:$AW$379</definedName>
    <definedName name="Mitarbeiter">'[2]HÄUFIGKEIT()'!$A$1:$D$41</definedName>
    <definedName name="nam" hidden="1">#REF!</definedName>
    <definedName name="nam_2" hidden="1">#REF!</definedName>
    <definedName name="nam_3" hidden="1">#REF!</definedName>
    <definedName name="nam_4" hidden="1">#REF!</definedName>
    <definedName name="nam_5" hidden="1">[1]Abschreibungsmethoden!#REF!</definedName>
    <definedName name="nam_6" hidden="1">#REF!</definedName>
    <definedName name="nam_7" hidden="1">#REF!</definedName>
    <definedName name="Print_Area" localSheetId="4">XbarR!$A$1:$I$124</definedName>
    <definedName name="RefData">#REF!</definedName>
    <definedName name="RefDate">#REF!</definedName>
    <definedName name="RefSite">#REF!</definedName>
    <definedName name="rng_Messwerte">'[2]ANZAHL()'!$A$3:$B$18</definedName>
    <definedName name="shift" localSheetId="5">#REF!</definedName>
    <definedName name="shift">#REF!</definedName>
    <definedName name="valSortColNumber">calculations!$D$4</definedName>
    <definedName name="valSortColumn">calculations!$H$4</definedName>
    <definedName name="valuevx">42.314159</definedName>
  </definedNames>
  <calcPr calcId="181029"/>
</workbook>
</file>

<file path=xl/calcChain.xml><?xml version="1.0" encoding="utf-8"?>
<calcChain xmlns="http://schemas.openxmlformats.org/spreadsheetml/2006/main">
  <c r="B19" i="3" l="1" a="1"/>
  <c r="D19" i="3" s="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J6" i="1"/>
  <c r="AJ7" i="1"/>
  <c r="AJ8"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202" i="1"/>
  <c r="AJ203" i="1"/>
  <c r="AJ204" i="1"/>
  <c r="AJ205" i="1"/>
  <c r="AJ206" i="1"/>
  <c r="AJ207" i="1"/>
  <c r="AJ208" i="1"/>
  <c r="AJ209" i="1"/>
  <c r="AJ210" i="1"/>
  <c r="AJ211" i="1"/>
  <c r="AJ212" i="1"/>
  <c r="AJ213" i="1"/>
  <c r="AJ214" i="1"/>
  <c r="AJ215" i="1"/>
  <c r="AJ216" i="1"/>
  <c r="AJ217" i="1"/>
  <c r="AJ218" i="1"/>
  <c r="AJ219" i="1"/>
  <c r="AJ220" i="1"/>
  <c r="AJ221" i="1"/>
  <c r="AJ222" i="1"/>
  <c r="AJ223" i="1"/>
  <c r="AJ224" i="1"/>
  <c r="AJ225" i="1"/>
  <c r="AJ226" i="1"/>
  <c r="AJ227" i="1"/>
  <c r="AJ228" i="1"/>
  <c r="AJ229" i="1"/>
  <c r="AJ230" i="1"/>
  <c r="AJ231" i="1"/>
  <c r="AJ232" i="1"/>
  <c r="AJ233" i="1"/>
  <c r="AJ234" i="1"/>
  <c r="AJ235" i="1"/>
  <c r="AJ236" i="1"/>
  <c r="AJ237" i="1"/>
  <c r="AJ238" i="1"/>
  <c r="AJ239" i="1"/>
  <c r="AJ240" i="1"/>
  <c r="AJ241" i="1"/>
  <c r="AJ242" i="1"/>
  <c r="AJ243" i="1"/>
  <c r="AJ244" i="1"/>
  <c r="AJ245" i="1"/>
  <c r="AJ246" i="1"/>
  <c r="AJ247" i="1"/>
  <c r="AJ248" i="1"/>
  <c r="AJ249" i="1"/>
  <c r="AJ250" i="1"/>
  <c r="AJ251" i="1"/>
  <c r="AJ252" i="1"/>
  <c r="AJ253" i="1"/>
  <c r="AJ254" i="1"/>
  <c r="AJ255" i="1"/>
  <c r="AJ256" i="1"/>
  <c r="AJ5" i="1"/>
  <c r="Q19" i="3" l="1"/>
  <c r="AK19" i="3" s="1"/>
  <c r="BQ19" i="3" s="1"/>
  <c r="M19" i="3"/>
  <c r="I19" i="3"/>
  <c r="N19" i="3"/>
  <c r="J19" i="3"/>
  <c r="F19" i="3"/>
  <c r="B19" i="3"/>
  <c r="O19" i="3"/>
  <c r="K19" i="3"/>
  <c r="G19" i="3"/>
  <c r="C19" i="3"/>
  <c r="E19" i="3"/>
  <c r="P19" i="3"/>
  <c r="L19" i="3"/>
  <c r="H19" i="3"/>
  <c r="AK3" i="1"/>
  <c r="D213" i="2" s="1"/>
  <c r="AL3" i="1"/>
  <c r="E213" i="2" s="1"/>
  <c r="AM3" i="1"/>
  <c r="F213" i="2" s="1"/>
  <c r="AN3" i="1"/>
  <c r="G213" i="2" s="1"/>
  <c r="E50" i="10"/>
  <c r="D49" i="10"/>
  <c r="C49" i="10"/>
  <c r="B49" i="10"/>
  <c r="M47" i="10"/>
  <c r="L47" i="10"/>
  <c r="K47" i="10"/>
  <c r="J47" i="10"/>
  <c r="I47" i="10"/>
  <c r="H47" i="10"/>
  <c r="G47" i="10"/>
  <c r="F47" i="10"/>
  <c r="E47" i="10"/>
  <c r="D47" i="10"/>
  <c r="C47" i="10"/>
  <c r="B47" i="10"/>
  <c r="M32" i="10" l="1"/>
  <c r="L32" i="10"/>
  <c r="K32" i="10"/>
  <c r="J32" i="10"/>
  <c r="I32" i="10"/>
  <c r="H32" i="10"/>
  <c r="G32" i="10"/>
  <c r="F32" i="10"/>
  <c r="E32" i="10"/>
  <c r="D32" i="10"/>
  <c r="C32" i="10"/>
  <c r="B32" i="10"/>
  <c r="M31" i="10"/>
  <c r="L31" i="10"/>
  <c r="K31" i="10"/>
  <c r="J31" i="10"/>
  <c r="I31" i="10"/>
  <c r="H31" i="10"/>
  <c r="G31" i="10"/>
  <c r="F31" i="10"/>
  <c r="E31" i="10"/>
  <c r="D31" i="10"/>
  <c r="C31" i="10"/>
  <c r="B31" i="10"/>
  <c r="M30" i="10"/>
  <c r="L30" i="10"/>
  <c r="K30" i="10"/>
  <c r="J30" i="10"/>
  <c r="I30" i="10"/>
  <c r="H30" i="10"/>
  <c r="G30" i="10"/>
  <c r="F30" i="10"/>
  <c r="E30" i="10"/>
  <c r="D30" i="10"/>
  <c r="C30" i="10"/>
  <c r="B30" i="10"/>
  <c r="M29" i="10"/>
  <c r="L29" i="10"/>
  <c r="K29" i="10"/>
  <c r="J29" i="10"/>
  <c r="I29" i="10"/>
  <c r="H29" i="10"/>
  <c r="G29" i="10"/>
  <c r="F29" i="10"/>
  <c r="E29" i="10"/>
  <c r="D29" i="10"/>
  <c r="C29" i="10"/>
  <c r="B29" i="10"/>
  <c r="M28" i="10"/>
  <c r="L28" i="10"/>
  <c r="K28" i="10"/>
  <c r="J28" i="10"/>
  <c r="I28" i="10"/>
  <c r="H28" i="10"/>
  <c r="G28" i="10"/>
  <c r="F28" i="10"/>
  <c r="E28" i="10"/>
  <c r="D28" i="10"/>
  <c r="C28" i="10"/>
  <c r="B28" i="10"/>
  <c r="C124" i="6"/>
  <c r="C123" i="6"/>
  <c r="C122" i="6"/>
  <c r="C121" i="6"/>
  <c r="C120" i="6"/>
  <c r="C119" i="6"/>
  <c r="C118" i="6"/>
  <c r="C117" i="6"/>
  <c r="C116" i="6"/>
  <c r="C115" i="6"/>
  <c r="C114" i="6"/>
  <c r="C113" i="6"/>
  <c r="C112" i="6"/>
  <c r="C111" i="6"/>
  <c r="C110" i="6"/>
  <c r="C109" i="6"/>
  <c r="C108" i="6"/>
  <c r="C107" i="6"/>
  <c r="C106" i="6"/>
  <c r="C105" i="6"/>
  <c r="C104" i="6"/>
  <c r="C103" i="6"/>
  <c r="C102" i="6"/>
  <c r="C101" i="6"/>
  <c r="C37" i="10" l="1"/>
  <c r="C41" i="10"/>
  <c r="C43" i="10" s="1"/>
  <c r="G41" i="10"/>
  <c r="K41" i="10"/>
  <c r="K43" i="10" s="1"/>
  <c r="C40" i="10"/>
  <c r="C34" i="10" s="1"/>
  <c r="C38" i="10"/>
  <c r="G38" i="10"/>
  <c r="C33" i="10"/>
  <c r="G33" i="10"/>
  <c r="D41" i="10"/>
  <c r="D43" i="10" s="1"/>
  <c r="H41" i="10"/>
  <c r="H43" i="10" s="1"/>
  <c r="L41" i="10"/>
  <c r="L43" i="10" s="1"/>
  <c r="D37" i="10"/>
  <c r="H37" i="10"/>
  <c r="L37" i="10"/>
  <c r="D40" i="10"/>
  <c r="D34" i="10" s="1"/>
  <c r="D38" i="10"/>
  <c r="H38" i="10"/>
  <c r="L38" i="10"/>
  <c r="D33" i="10"/>
  <c r="H33" i="10"/>
  <c r="L33" i="10"/>
  <c r="G43" i="10"/>
  <c r="G37" i="10"/>
  <c r="K37" i="10"/>
  <c r="K38" i="10"/>
  <c r="K33" i="10"/>
  <c r="E41" i="10"/>
  <c r="E43" i="10" s="1"/>
  <c r="I41" i="10"/>
  <c r="I43" i="10" s="1"/>
  <c r="M41" i="10"/>
  <c r="M43" i="10" s="1"/>
  <c r="M45" i="10" s="1"/>
  <c r="E37" i="10"/>
  <c r="I37" i="10"/>
  <c r="M37" i="10"/>
  <c r="E38" i="10"/>
  <c r="I38" i="10"/>
  <c r="M38" i="10"/>
  <c r="E33" i="10"/>
  <c r="I33" i="10"/>
  <c r="M33" i="10"/>
  <c r="B41" i="10"/>
  <c r="M40" i="10" s="1"/>
  <c r="F41" i="10"/>
  <c r="F43" i="10" s="1"/>
  <c r="J41" i="10"/>
  <c r="J43" i="10" s="1"/>
  <c r="B37" i="10"/>
  <c r="F37" i="10"/>
  <c r="J37" i="10"/>
  <c r="B40" i="10"/>
  <c r="B34" i="10" s="1"/>
  <c r="B38" i="10"/>
  <c r="F38" i="10"/>
  <c r="J38" i="10"/>
  <c r="B33" i="10"/>
  <c r="F33" i="10"/>
  <c r="J33" i="10"/>
  <c r="C100" i="6"/>
  <c r="C99" i="6"/>
  <c r="C98" i="6"/>
  <c r="C97" i="6"/>
  <c r="L45" i="10" l="1"/>
  <c r="K45" i="10"/>
  <c r="J45" i="10" s="1"/>
  <c r="I45" i="10" s="1"/>
  <c r="H45" i="10" s="1"/>
  <c r="G45" i="10" s="1"/>
  <c r="F45" i="10" s="1"/>
  <c r="E45" i="10" s="1"/>
  <c r="D45" i="10" s="1"/>
  <c r="C45" i="10" s="1"/>
  <c r="L40" i="10"/>
  <c r="M42" i="10"/>
  <c r="M34" i="10"/>
  <c r="M35" i="10"/>
  <c r="B43" i="10"/>
  <c r="C96" i="6"/>
  <c r="B45" i="10" l="1"/>
  <c r="M44" i="10" s="1"/>
  <c r="L35" i="10"/>
  <c r="K35" i="10" s="1"/>
  <c r="J35" i="10" s="1"/>
  <c r="I35" i="10" s="1"/>
  <c r="H35" i="10" s="1"/>
  <c r="G35" i="10" s="1"/>
  <c r="F35" i="10" s="1"/>
  <c r="E35" i="10" s="1"/>
  <c r="D35" i="10" s="1"/>
  <c r="C35" i="10" s="1"/>
  <c r="B35" i="10" s="1"/>
  <c r="M48" i="10"/>
  <c r="K40" i="10"/>
  <c r="L42" i="10"/>
  <c r="L44" i="10" s="1"/>
  <c r="L34" i="10"/>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J40" i="10" l="1"/>
  <c r="K42" i="10"/>
  <c r="K44" i="10" s="1"/>
  <c r="K34" i="10"/>
  <c r="L48" i="10"/>
  <c r="E48" i="10" s="1"/>
  <c r="D48" i="10" s="1"/>
  <c r="C48" i="10" s="1"/>
  <c r="B48" i="10" s="1"/>
  <c r="C53" i="6"/>
  <c r="C42" i="6"/>
  <c r="C50" i="6" s="1"/>
  <c r="C41" i="6"/>
  <c r="H50" i="6" s="1"/>
  <c r="U379" i="3"/>
  <c r="U378" i="3"/>
  <c r="U377" i="3"/>
  <c r="U376" i="3"/>
  <c r="U375" i="3"/>
  <c r="U374" i="3"/>
  <c r="U373" i="3"/>
  <c r="U372" i="3"/>
  <c r="U371" i="3"/>
  <c r="U370" i="3"/>
  <c r="U369" i="3"/>
  <c r="U368" i="3"/>
  <c r="U367" i="3"/>
  <c r="U366" i="3"/>
  <c r="U365" i="3"/>
  <c r="U364" i="3"/>
  <c r="U363" i="3"/>
  <c r="U362" i="3"/>
  <c r="U361" i="3"/>
  <c r="U360" i="3"/>
  <c r="U359" i="3"/>
  <c r="U358" i="3"/>
  <c r="U357" i="3"/>
  <c r="U356" i="3"/>
  <c r="U355" i="3"/>
  <c r="U354" i="3"/>
  <c r="U353" i="3"/>
  <c r="U352" i="3"/>
  <c r="U351" i="3"/>
  <c r="U350" i="3"/>
  <c r="U349" i="3"/>
  <c r="U348" i="3"/>
  <c r="U347" i="3"/>
  <c r="U346" i="3"/>
  <c r="U345" i="3"/>
  <c r="U344" i="3"/>
  <c r="U343" i="3"/>
  <c r="U342" i="3"/>
  <c r="U341" i="3"/>
  <c r="U340" i="3"/>
  <c r="U339" i="3"/>
  <c r="U338" i="3"/>
  <c r="U337" i="3"/>
  <c r="U336" i="3"/>
  <c r="U335" i="3"/>
  <c r="U334" i="3"/>
  <c r="U333" i="3"/>
  <c r="U332" i="3"/>
  <c r="U331" i="3"/>
  <c r="U330" i="3"/>
  <c r="U329" i="3"/>
  <c r="U328" i="3"/>
  <c r="U327" i="3"/>
  <c r="U326" i="3"/>
  <c r="U325" i="3"/>
  <c r="U324" i="3"/>
  <c r="U323" i="3"/>
  <c r="U322" i="3"/>
  <c r="U321" i="3"/>
  <c r="U320" i="3"/>
  <c r="U319" i="3"/>
  <c r="U318" i="3"/>
  <c r="U317" i="3"/>
  <c r="U316" i="3"/>
  <c r="U315" i="3"/>
  <c r="U314" i="3"/>
  <c r="U313" i="3"/>
  <c r="U312" i="3"/>
  <c r="U311" i="3"/>
  <c r="U310" i="3"/>
  <c r="U309" i="3"/>
  <c r="U308" i="3"/>
  <c r="U307" i="3"/>
  <c r="U306" i="3"/>
  <c r="U305" i="3"/>
  <c r="U304" i="3"/>
  <c r="U303" i="3"/>
  <c r="U302" i="3"/>
  <c r="U301" i="3"/>
  <c r="U300" i="3"/>
  <c r="U299" i="3"/>
  <c r="U298" i="3"/>
  <c r="U297" i="3"/>
  <c r="U296" i="3"/>
  <c r="U295" i="3"/>
  <c r="U294" i="3"/>
  <c r="U293" i="3"/>
  <c r="U292" i="3"/>
  <c r="U291" i="3"/>
  <c r="U290" i="3"/>
  <c r="U289" i="3"/>
  <c r="U288" i="3"/>
  <c r="U287" i="3"/>
  <c r="U286" i="3"/>
  <c r="U285" i="3"/>
  <c r="U284" i="3"/>
  <c r="U283" i="3"/>
  <c r="U282" i="3"/>
  <c r="U281" i="3"/>
  <c r="U280" i="3"/>
  <c r="U279" i="3"/>
  <c r="U278" i="3"/>
  <c r="U277" i="3"/>
  <c r="U276" i="3"/>
  <c r="U275" i="3"/>
  <c r="U274" i="3"/>
  <c r="U273" i="3"/>
  <c r="U272" i="3"/>
  <c r="U271" i="3"/>
  <c r="U270" i="3"/>
  <c r="U269" i="3"/>
  <c r="U268" i="3"/>
  <c r="U267" i="3"/>
  <c r="U266" i="3"/>
  <c r="U265" i="3"/>
  <c r="U264" i="3"/>
  <c r="U263" i="3"/>
  <c r="U262" i="3"/>
  <c r="U261" i="3"/>
  <c r="U260" i="3"/>
  <c r="U259" i="3"/>
  <c r="U258" i="3"/>
  <c r="U257" i="3"/>
  <c r="U256" i="3"/>
  <c r="U255" i="3"/>
  <c r="U254" i="3"/>
  <c r="U253" i="3"/>
  <c r="U252" i="3"/>
  <c r="U251" i="3"/>
  <c r="U250" i="3"/>
  <c r="U249" i="3"/>
  <c r="U248" i="3"/>
  <c r="U247" i="3"/>
  <c r="U246" i="3"/>
  <c r="U245" i="3"/>
  <c r="U244" i="3"/>
  <c r="U243" i="3"/>
  <c r="U242" i="3"/>
  <c r="U241" i="3"/>
  <c r="U240" i="3"/>
  <c r="U239" i="3"/>
  <c r="U238" i="3"/>
  <c r="U237" i="3"/>
  <c r="U236" i="3"/>
  <c r="U235" i="3"/>
  <c r="U234" i="3"/>
  <c r="U233" i="3"/>
  <c r="U232" i="3"/>
  <c r="U231" i="3"/>
  <c r="U230" i="3"/>
  <c r="U229" i="3"/>
  <c r="U228" i="3"/>
  <c r="U227" i="3"/>
  <c r="U226" i="3"/>
  <c r="U225" i="3"/>
  <c r="U224" i="3"/>
  <c r="U223" i="3"/>
  <c r="U222" i="3"/>
  <c r="U221" i="3"/>
  <c r="U220" i="3"/>
  <c r="U219" i="3"/>
  <c r="U218" i="3"/>
  <c r="U217" i="3"/>
  <c r="U216" i="3"/>
  <c r="U215" i="3"/>
  <c r="U214" i="3"/>
  <c r="U213" i="3"/>
  <c r="U212" i="3"/>
  <c r="U211" i="3"/>
  <c r="U210" i="3"/>
  <c r="U209" i="3"/>
  <c r="U208" i="3"/>
  <c r="U207" i="3"/>
  <c r="U206" i="3"/>
  <c r="U205" i="3"/>
  <c r="U204" i="3"/>
  <c r="U203" i="3"/>
  <c r="U202" i="3"/>
  <c r="U201" i="3"/>
  <c r="U200" i="3"/>
  <c r="U199" i="3"/>
  <c r="U198" i="3"/>
  <c r="U197" i="3"/>
  <c r="U196" i="3"/>
  <c r="U195" i="3"/>
  <c r="U194" i="3"/>
  <c r="U193" i="3"/>
  <c r="U192" i="3"/>
  <c r="U191" i="3"/>
  <c r="U190" i="3"/>
  <c r="U189" i="3"/>
  <c r="U188" i="3"/>
  <c r="U187" i="3"/>
  <c r="U186" i="3"/>
  <c r="U185" i="3"/>
  <c r="U184" i="3"/>
  <c r="U183" i="3"/>
  <c r="U182" i="3"/>
  <c r="U181" i="3"/>
  <c r="U180" i="3"/>
  <c r="U179" i="3"/>
  <c r="U178" i="3"/>
  <c r="U177" i="3"/>
  <c r="U176" i="3"/>
  <c r="U175" i="3"/>
  <c r="U174" i="3"/>
  <c r="U173" i="3"/>
  <c r="U172" i="3"/>
  <c r="U171" i="3"/>
  <c r="U170" i="3"/>
  <c r="U169" i="3"/>
  <c r="U168" i="3"/>
  <c r="U167" i="3"/>
  <c r="U166" i="3"/>
  <c r="U165" i="3"/>
  <c r="U164" i="3"/>
  <c r="U163" i="3"/>
  <c r="U162" i="3"/>
  <c r="U161" i="3"/>
  <c r="U160" i="3"/>
  <c r="U159" i="3"/>
  <c r="U158" i="3"/>
  <c r="U157" i="3"/>
  <c r="U156" i="3"/>
  <c r="U155" i="3"/>
  <c r="U154" i="3"/>
  <c r="U153" i="3"/>
  <c r="U152" i="3"/>
  <c r="U151" i="3"/>
  <c r="U150" i="3"/>
  <c r="U149" i="3"/>
  <c r="U148" i="3"/>
  <c r="U147" i="3"/>
  <c r="U146" i="3"/>
  <c r="U145" i="3"/>
  <c r="U144" i="3"/>
  <c r="U143" i="3"/>
  <c r="U142" i="3"/>
  <c r="U141" i="3"/>
  <c r="U140" i="3"/>
  <c r="U139" i="3"/>
  <c r="U138" i="3"/>
  <c r="U137" i="3"/>
  <c r="U136" i="3"/>
  <c r="U135" i="3"/>
  <c r="U134" i="3"/>
  <c r="U133" i="3"/>
  <c r="U132" i="3"/>
  <c r="U131" i="3"/>
  <c r="U130" i="3"/>
  <c r="U129" i="3"/>
  <c r="U128" i="3"/>
  <c r="U127" i="3"/>
  <c r="U126" i="3"/>
  <c r="U125" i="3"/>
  <c r="U124" i="3"/>
  <c r="U123" i="3"/>
  <c r="U122" i="3"/>
  <c r="U121" i="3"/>
  <c r="U120" i="3"/>
  <c r="U119" i="3"/>
  <c r="U118" i="3"/>
  <c r="U117" i="3"/>
  <c r="G118" i="6" l="1"/>
  <c r="G114" i="6"/>
  <c r="G110" i="6"/>
  <c r="G102" i="6"/>
  <c r="G123" i="6"/>
  <c r="G119" i="6"/>
  <c r="G115" i="6"/>
  <c r="G111" i="6"/>
  <c r="G107" i="6"/>
  <c r="G103" i="6"/>
  <c r="G122" i="6"/>
  <c r="G106" i="6"/>
  <c r="G120" i="6"/>
  <c r="G116" i="6"/>
  <c r="G112" i="6"/>
  <c r="G108" i="6"/>
  <c r="G104" i="6"/>
  <c r="G100" i="6"/>
  <c r="G121" i="6"/>
  <c r="G117" i="6"/>
  <c r="G113" i="6"/>
  <c r="G109" i="6"/>
  <c r="G105" i="6"/>
  <c r="G101" i="6"/>
  <c r="G96" i="6"/>
  <c r="G97" i="6"/>
  <c r="G98" i="6"/>
  <c r="G99" i="6"/>
  <c r="G93" i="6"/>
  <c r="G89" i="6"/>
  <c r="G85" i="6"/>
  <c r="G81" i="6"/>
  <c r="G77" i="6"/>
  <c r="G73" i="6"/>
  <c r="G69" i="6"/>
  <c r="G65" i="6"/>
  <c r="G61" i="6"/>
  <c r="G67" i="6"/>
  <c r="G63" i="6"/>
  <c r="G68" i="6"/>
  <c r="G94" i="6"/>
  <c r="G90" i="6"/>
  <c r="G86" i="6"/>
  <c r="G82" i="6"/>
  <c r="G78" i="6"/>
  <c r="G74" i="6"/>
  <c r="G70" i="6"/>
  <c r="G66" i="6"/>
  <c r="G62" i="6"/>
  <c r="G58" i="6"/>
  <c r="G95" i="6"/>
  <c r="G91" i="6"/>
  <c r="G87" i="6"/>
  <c r="G83" i="6"/>
  <c r="G79" i="6"/>
  <c r="G75" i="6"/>
  <c r="G71" i="6"/>
  <c r="G59" i="6"/>
  <c r="G92" i="6"/>
  <c r="G88" i="6"/>
  <c r="G84" i="6"/>
  <c r="G80" i="6"/>
  <c r="G76" i="6"/>
  <c r="G72" i="6"/>
  <c r="G64" i="6"/>
  <c r="G60" i="6"/>
  <c r="C43" i="6"/>
  <c r="H47" i="6" s="1"/>
  <c r="H52" i="6"/>
  <c r="I40" i="10"/>
  <c r="J42" i="10"/>
  <c r="J44" i="10" s="1"/>
  <c r="J34" i="10"/>
  <c r="D123" i="6"/>
  <c r="D124" i="6"/>
  <c r="D120" i="6"/>
  <c r="D116" i="6"/>
  <c r="D112" i="6"/>
  <c r="D108" i="6"/>
  <c r="D104" i="6"/>
  <c r="D101" i="6"/>
  <c r="D118" i="6"/>
  <c r="D114" i="6"/>
  <c r="D110" i="6"/>
  <c r="D106" i="6"/>
  <c r="D115" i="6"/>
  <c r="D111" i="6"/>
  <c r="D121" i="6"/>
  <c r="D117" i="6"/>
  <c r="D113" i="6"/>
  <c r="D109" i="6"/>
  <c r="D105" i="6"/>
  <c r="D122" i="6"/>
  <c r="D102" i="6"/>
  <c r="D119" i="6"/>
  <c r="D107" i="6"/>
  <c r="D103" i="6"/>
  <c r="D97" i="6"/>
  <c r="D98" i="6"/>
  <c r="D99" i="6"/>
  <c r="D100" i="6"/>
  <c r="D96" i="6"/>
  <c r="D94" i="6"/>
  <c r="D90" i="6"/>
  <c r="D86" i="6"/>
  <c r="D82" i="6"/>
  <c r="D78" i="6"/>
  <c r="D74" i="6"/>
  <c r="D70" i="6"/>
  <c r="D66" i="6"/>
  <c r="D62" i="6"/>
  <c r="D58" i="6"/>
  <c r="C54" i="6" s="1"/>
  <c r="D60" i="6"/>
  <c r="D65" i="6"/>
  <c r="D61" i="6"/>
  <c r="D95" i="6"/>
  <c r="D91" i="6"/>
  <c r="D87" i="6"/>
  <c r="D83" i="6"/>
  <c r="D79" i="6"/>
  <c r="D75" i="6"/>
  <c r="D71" i="6"/>
  <c r="D67" i="6"/>
  <c r="D63" i="6"/>
  <c r="D59" i="6"/>
  <c r="D92" i="6"/>
  <c r="D88" i="6"/>
  <c r="D84" i="6"/>
  <c r="D80" i="6"/>
  <c r="D76" i="6"/>
  <c r="D72" i="6"/>
  <c r="D68" i="6"/>
  <c r="D64" i="6"/>
  <c r="D93" i="6"/>
  <c r="D89" i="6"/>
  <c r="D85" i="6"/>
  <c r="D81" i="6"/>
  <c r="D77" i="6"/>
  <c r="D73" i="6"/>
  <c r="D69" i="6"/>
  <c r="U116" i="3"/>
  <c r="U115" i="3"/>
  <c r="U114" i="3"/>
  <c r="U113" i="3"/>
  <c r="U112" i="3"/>
  <c r="U111" i="3"/>
  <c r="U110" i="3"/>
  <c r="U109" i="3"/>
  <c r="U108" i="3"/>
  <c r="U107" i="3"/>
  <c r="U106" i="3"/>
  <c r="U105" i="3"/>
  <c r="U104" i="3"/>
  <c r="U103" i="3"/>
  <c r="U102" i="3"/>
  <c r="U101" i="3"/>
  <c r="I112" i="6" l="1"/>
  <c r="I108" i="6"/>
  <c r="I100" i="6"/>
  <c r="I121" i="6"/>
  <c r="I117" i="6"/>
  <c r="I113" i="6"/>
  <c r="I109" i="6"/>
  <c r="I105" i="6"/>
  <c r="I101" i="6"/>
  <c r="I123" i="6"/>
  <c r="I103" i="6"/>
  <c r="I120" i="6"/>
  <c r="I116" i="6"/>
  <c r="I104" i="6"/>
  <c r="I122" i="6"/>
  <c r="I118" i="6"/>
  <c r="I114" i="6"/>
  <c r="I110" i="6"/>
  <c r="I106" i="6"/>
  <c r="I102" i="6"/>
  <c r="I119" i="6"/>
  <c r="I115" i="6"/>
  <c r="I111" i="6"/>
  <c r="I107" i="6"/>
  <c r="I124" i="6"/>
  <c r="I98" i="6"/>
  <c r="I99" i="6"/>
  <c r="I96" i="6"/>
  <c r="I97" i="6"/>
  <c r="I95" i="6"/>
  <c r="I91" i="6"/>
  <c r="I87" i="6"/>
  <c r="I83" i="6"/>
  <c r="I79" i="6"/>
  <c r="I75" i="6"/>
  <c r="I71" i="6"/>
  <c r="I67" i="6"/>
  <c r="I63" i="6"/>
  <c r="I59" i="6"/>
  <c r="I65" i="6"/>
  <c r="I66" i="6"/>
  <c r="I92" i="6"/>
  <c r="I88" i="6"/>
  <c r="I84" i="6"/>
  <c r="I80" i="6"/>
  <c r="I76" i="6"/>
  <c r="I72" i="6"/>
  <c r="I68" i="6"/>
  <c r="I64" i="6"/>
  <c r="I60" i="6"/>
  <c r="I93" i="6"/>
  <c r="I89" i="6"/>
  <c r="I85" i="6"/>
  <c r="I81" i="6"/>
  <c r="I77" i="6"/>
  <c r="I73" i="6"/>
  <c r="I69" i="6"/>
  <c r="I61" i="6"/>
  <c r="I94" i="6"/>
  <c r="I90" i="6"/>
  <c r="I86" i="6"/>
  <c r="I82" i="6"/>
  <c r="I78" i="6"/>
  <c r="I74" i="6"/>
  <c r="I70" i="6"/>
  <c r="I62" i="6"/>
  <c r="I58" i="6"/>
  <c r="H44" i="6"/>
  <c r="C44" i="6"/>
  <c r="H40" i="10"/>
  <c r="I42" i="10"/>
  <c r="I44" i="10" s="1"/>
  <c r="I34" i="10"/>
  <c r="H45" i="6"/>
  <c r="U100" i="3"/>
  <c r="U99" i="3"/>
  <c r="U98" i="3"/>
  <c r="U97" i="3"/>
  <c r="U96" i="3"/>
  <c r="U95" i="3"/>
  <c r="U94" i="3"/>
  <c r="U93" i="3"/>
  <c r="U92" i="3"/>
  <c r="U91" i="3"/>
  <c r="U90" i="3"/>
  <c r="U89" i="3"/>
  <c r="U88" i="3"/>
  <c r="U87" i="3"/>
  <c r="U86" i="3"/>
  <c r="U85" i="3"/>
  <c r="U84" i="3"/>
  <c r="U83" i="3"/>
  <c r="U82" i="3"/>
  <c r="U81" i="3"/>
  <c r="U80" i="3"/>
  <c r="U79" i="3"/>
  <c r="U78" i="3"/>
  <c r="U77" i="3"/>
  <c r="U76" i="3"/>
  <c r="U75" i="3"/>
  <c r="U74" i="3"/>
  <c r="U73" i="3"/>
  <c r="U72" i="3"/>
  <c r="U71" i="3"/>
  <c r="U70" i="3"/>
  <c r="U69" i="3"/>
  <c r="U68" i="3"/>
  <c r="U67" i="3"/>
  <c r="U66" i="3"/>
  <c r="U65" i="3"/>
  <c r="U64" i="3"/>
  <c r="U63" i="3"/>
  <c r="U62" i="3"/>
  <c r="U61" i="3"/>
  <c r="U60" i="3"/>
  <c r="U59" i="3"/>
  <c r="U58" i="3"/>
  <c r="U57" i="3"/>
  <c r="U56" i="3"/>
  <c r="U55" i="3"/>
  <c r="U54" i="3"/>
  <c r="U53" i="3"/>
  <c r="U52" i="3"/>
  <c r="U51" i="3"/>
  <c r="U50" i="3"/>
  <c r="U49" i="3"/>
  <c r="U48" i="3"/>
  <c r="U47" i="3"/>
  <c r="U46" i="3"/>
  <c r="U45" i="3"/>
  <c r="U44" i="3"/>
  <c r="U43" i="3"/>
  <c r="U42" i="3"/>
  <c r="U41" i="3"/>
  <c r="U40" i="3"/>
  <c r="U39" i="3"/>
  <c r="U38" i="3"/>
  <c r="U37" i="3"/>
  <c r="U36" i="3"/>
  <c r="U35" i="3"/>
  <c r="U34" i="3"/>
  <c r="U33" i="3"/>
  <c r="U32" i="3"/>
  <c r="U31" i="3"/>
  <c r="U30" i="3"/>
  <c r="U29" i="3"/>
  <c r="U28" i="3"/>
  <c r="U27" i="3"/>
  <c r="U26" i="3"/>
  <c r="U25" i="3"/>
  <c r="U24" i="3"/>
  <c r="U23" i="3"/>
  <c r="U22" i="3"/>
  <c r="U21" i="3"/>
  <c r="H46" i="6" l="1"/>
  <c r="G40" i="10"/>
  <c r="H34" i="10"/>
  <c r="H42" i="10"/>
  <c r="H44" i="10" s="1"/>
  <c r="H43" i="6"/>
  <c r="C52" i="6"/>
  <c r="U20" i="3"/>
  <c r="H51" i="6" l="1"/>
  <c r="F117" i="6"/>
  <c r="F122" i="6"/>
  <c r="F118" i="6"/>
  <c r="F114" i="6"/>
  <c r="F110" i="6"/>
  <c r="F106" i="6"/>
  <c r="F102" i="6"/>
  <c r="F116" i="6"/>
  <c r="F108" i="6"/>
  <c r="F104" i="6"/>
  <c r="F121" i="6"/>
  <c r="F113" i="6"/>
  <c r="F109" i="6"/>
  <c r="F123" i="6"/>
  <c r="F119" i="6"/>
  <c r="F115" i="6"/>
  <c r="F111" i="6"/>
  <c r="F107" i="6"/>
  <c r="F103" i="6"/>
  <c r="F120" i="6"/>
  <c r="F112" i="6"/>
  <c r="F100" i="6"/>
  <c r="F105" i="6"/>
  <c r="F101" i="6"/>
  <c r="F99" i="6"/>
  <c r="F96" i="6"/>
  <c r="F97" i="6"/>
  <c r="F98" i="6"/>
  <c r="F92" i="6"/>
  <c r="F88" i="6"/>
  <c r="F84" i="6"/>
  <c r="F80" i="6"/>
  <c r="F76" i="6"/>
  <c r="F72" i="6"/>
  <c r="F68" i="6"/>
  <c r="F64" i="6"/>
  <c r="F60" i="6"/>
  <c r="F70" i="6"/>
  <c r="F66" i="6"/>
  <c r="F62" i="6"/>
  <c r="F58" i="6"/>
  <c r="F59" i="6"/>
  <c r="F93" i="6"/>
  <c r="F89" i="6"/>
  <c r="F85" i="6"/>
  <c r="F81" i="6"/>
  <c r="F77" i="6"/>
  <c r="F73" i="6"/>
  <c r="F69" i="6"/>
  <c r="F65" i="6"/>
  <c r="F61" i="6"/>
  <c r="F94" i="6"/>
  <c r="F90" i="6"/>
  <c r="F86" i="6"/>
  <c r="F82" i="6"/>
  <c r="F78" i="6"/>
  <c r="F74" i="6"/>
  <c r="F95" i="6"/>
  <c r="F91" i="6"/>
  <c r="F87" i="6"/>
  <c r="F83" i="6"/>
  <c r="F79" i="6"/>
  <c r="F75" i="6"/>
  <c r="F71" i="6"/>
  <c r="F67" i="6"/>
  <c r="F63" i="6"/>
  <c r="F40" i="10"/>
  <c r="G42" i="10"/>
  <c r="G44" i="10" s="1"/>
  <c r="G34" i="10"/>
  <c r="BA19" i="3"/>
  <c r="AZ19" i="3"/>
  <c r="AW19" i="3"/>
  <c r="AV19" i="3"/>
  <c r="AU19" i="3"/>
  <c r="AT19" i="3"/>
  <c r="AS19" i="3"/>
  <c r="AR19" i="3"/>
  <c r="AQ19" i="3"/>
  <c r="AP19" i="3"/>
  <c r="AO19" i="3"/>
  <c r="AN19" i="3"/>
  <c r="AM19" i="3"/>
  <c r="AL19" i="3"/>
  <c r="C51" i="6" l="1"/>
  <c r="H123" i="6"/>
  <c r="H107" i="6"/>
  <c r="H120" i="6"/>
  <c r="H116" i="6"/>
  <c r="H112" i="6"/>
  <c r="H108" i="6"/>
  <c r="H104" i="6"/>
  <c r="H100" i="6"/>
  <c r="H122" i="6"/>
  <c r="H102" i="6"/>
  <c r="H119" i="6"/>
  <c r="H103" i="6"/>
  <c r="H121" i="6"/>
  <c r="H117" i="6"/>
  <c r="H113" i="6"/>
  <c r="H109" i="6"/>
  <c r="H105" i="6"/>
  <c r="H101" i="6"/>
  <c r="H118" i="6"/>
  <c r="H114" i="6"/>
  <c r="H110" i="6"/>
  <c r="H106" i="6"/>
  <c r="H115" i="6"/>
  <c r="H111" i="6"/>
  <c r="H97" i="6"/>
  <c r="H98" i="6"/>
  <c r="H99" i="6"/>
  <c r="H96" i="6"/>
  <c r="H94" i="6"/>
  <c r="H90" i="6"/>
  <c r="H86" i="6"/>
  <c r="H82" i="6"/>
  <c r="H78" i="6"/>
  <c r="H74" i="6"/>
  <c r="H70" i="6"/>
  <c r="H66" i="6"/>
  <c r="H62" i="6"/>
  <c r="H58" i="6"/>
  <c r="H72" i="6"/>
  <c r="H64" i="6"/>
  <c r="H73" i="6"/>
  <c r="H95" i="6"/>
  <c r="H91" i="6"/>
  <c r="H87" i="6"/>
  <c r="H83" i="6"/>
  <c r="H79" i="6"/>
  <c r="H75" i="6"/>
  <c r="H71" i="6"/>
  <c r="H67" i="6"/>
  <c r="H63" i="6"/>
  <c r="H59" i="6"/>
  <c r="H92" i="6"/>
  <c r="H88" i="6"/>
  <c r="H84" i="6"/>
  <c r="H80" i="6"/>
  <c r="H76" i="6"/>
  <c r="H68" i="6"/>
  <c r="H60" i="6"/>
  <c r="H93" i="6"/>
  <c r="H89" i="6"/>
  <c r="H85" i="6"/>
  <c r="H81" i="6"/>
  <c r="H77" i="6"/>
  <c r="H69" i="6"/>
  <c r="H65" i="6"/>
  <c r="H61" i="6"/>
  <c r="H124" i="6"/>
  <c r="G124" i="6" s="1"/>
  <c r="F124" i="6" s="1"/>
  <c r="E124" i="6" s="1"/>
  <c r="E40" i="10"/>
  <c r="F42" i="10"/>
  <c r="F44" i="10" s="1"/>
  <c r="F34" i="10"/>
  <c r="BD18" i="3"/>
  <c r="BA18" i="3"/>
  <c r="AZ18" i="3"/>
  <c r="B15" i="3"/>
  <c r="B14" i="3"/>
  <c r="B13" i="3"/>
  <c r="B12" i="3"/>
  <c r="B11" i="3"/>
  <c r="B10" i="3"/>
  <c r="B9" i="3"/>
  <c r="E42" i="10" l="1"/>
  <c r="D42" i="10" s="1"/>
  <c r="C42" i="10" s="1"/>
  <c r="B42" i="10" s="1"/>
  <c r="E34" i="10"/>
  <c r="E120" i="6"/>
  <c r="E116" i="6"/>
  <c r="E112" i="6"/>
  <c r="E121" i="6"/>
  <c r="E117" i="6"/>
  <c r="E113" i="6"/>
  <c r="E109" i="6"/>
  <c r="E105" i="6"/>
  <c r="E101" i="6"/>
  <c r="E102" i="6"/>
  <c r="E115" i="6"/>
  <c r="E107" i="6"/>
  <c r="E108" i="6"/>
  <c r="E122" i="6"/>
  <c r="E118" i="6"/>
  <c r="E114" i="6"/>
  <c r="E110" i="6"/>
  <c r="E106" i="6"/>
  <c r="E123" i="6"/>
  <c r="E119" i="6"/>
  <c r="E111" i="6"/>
  <c r="E103" i="6"/>
  <c r="E104" i="6"/>
  <c r="E100" i="6"/>
  <c r="E98" i="6"/>
  <c r="E99" i="6"/>
  <c r="E97" i="6"/>
  <c r="E96" i="6"/>
  <c r="E95" i="6"/>
  <c r="E91" i="6"/>
  <c r="E87" i="6"/>
  <c r="E83" i="6"/>
  <c r="E79" i="6"/>
  <c r="E75" i="6"/>
  <c r="E71" i="6"/>
  <c r="E67" i="6"/>
  <c r="E63" i="6"/>
  <c r="E59" i="6"/>
  <c r="E69" i="6"/>
  <c r="E61" i="6"/>
  <c r="E58" i="6"/>
  <c r="E92" i="6"/>
  <c r="E88" i="6"/>
  <c r="E84" i="6"/>
  <c r="E80" i="6"/>
  <c r="E76" i="6"/>
  <c r="E72" i="6"/>
  <c r="E68" i="6"/>
  <c r="E64" i="6"/>
  <c r="E60" i="6"/>
  <c r="E93" i="6"/>
  <c r="E89" i="6"/>
  <c r="E85" i="6"/>
  <c r="E81" i="6"/>
  <c r="E77" i="6"/>
  <c r="E73" i="6"/>
  <c r="E65" i="6"/>
  <c r="E94" i="6"/>
  <c r="E90" i="6"/>
  <c r="E86" i="6"/>
  <c r="E82" i="6"/>
  <c r="E78" i="6"/>
  <c r="E74" i="6"/>
  <c r="E70" i="6"/>
  <c r="E66" i="6"/>
  <c r="E62" i="6"/>
  <c r="V19" i="3"/>
  <c r="W19" i="3"/>
  <c r="AB19" i="3"/>
  <c r="AA19" i="3"/>
  <c r="AJ19" i="3"/>
  <c r="BP19" i="3" s="1"/>
  <c r="AE19" i="3"/>
  <c r="Z19" i="3"/>
  <c r="AC19" i="3"/>
  <c r="B8" i="3"/>
  <c r="B7" i="3"/>
  <c r="E44" i="10" l="1"/>
  <c r="D44" i="10" s="1"/>
  <c r="C44" i="10" s="1"/>
  <c r="B44" i="10" s="1"/>
  <c r="AI19" i="3"/>
  <c r="BO19" i="3" s="1"/>
  <c r="AH19" i="3"/>
  <c r="AG19" i="3" s="1"/>
  <c r="AF19" i="3" s="1"/>
  <c r="X19" i="3"/>
  <c r="Y19" i="3"/>
  <c r="AD19" i="3"/>
  <c r="BN19" i="3" l="1"/>
  <c r="BM19" i="3" s="1"/>
  <c r="BL19" i="3" s="1"/>
  <c r="BK19" i="3" s="1"/>
  <c r="BJ19" i="3" s="1"/>
  <c r="BI19" i="3" s="1"/>
  <c r="BH19" i="3" s="1"/>
  <c r="BG19" i="3" s="1"/>
  <c r="BF19" i="3" s="1"/>
  <c r="BE19" i="3" s="1"/>
  <c r="BD19" i="3" s="1"/>
  <c r="B6" i="3" l="1"/>
  <c r="U5" i="3"/>
  <c r="T5" i="3"/>
  <c r="S5" i="3"/>
  <c r="R5" i="3"/>
  <c r="Q5" i="3" s="1"/>
  <c r="P5" i="3"/>
  <c r="O5" i="3"/>
  <c r="AN5" i="3" s="1"/>
  <c r="N5" i="3"/>
  <c r="AM5" i="3" s="1"/>
  <c r="M5" i="3"/>
  <c r="AL5" i="3" s="1"/>
  <c r="L5" i="3"/>
  <c r="AK5" i="3" s="1"/>
  <c r="K5" i="3"/>
  <c r="AJ5" i="3" s="1"/>
  <c r="J5" i="3"/>
  <c r="AI5" i="3" s="1"/>
  <c r="I5" i="3"/>
  <c r="AH5" i="3" s="1"/>
  <c r="H5" i="3"/>
  <c r="AG5" i="3" s="1"/>
  <c r="G5" i="3"/>
  <c r="AF5" i="3" s="1"/>
  <c r="F5" i="3"/>
  <c r="AE5" i="3" s="1"/>
  <c r="E5" i="3"/>
  <c r="BE5" i="3" s="1"/>
  <c r="D5" i="3"/>
  <c r="BD5" i="3" s="1"/>
  <c r="C5" i="3"/>
  <c r="H4" i="3"/>
  <c r="R19" i="3" s="1"/>
  <c r="AD364" i="1"/>
  <c r="Y364" i="1"/>
  <c r="AD363" i="1"/>
  <c r="Y363" i="1"/>
  <c r="AD362" i="1"/>
  <c r="Y362" i="1"/>
  <c r="AD361" i="1"/>
  <c r="Y361" i="1"/>
  <c r="AD360" i="1"/>
  <c r="Y360" i="1"/>
  <c r="AD359" i="1"/>
  <c r="Y359" i="1"/>
  <c r="AD358" i="1"/>
  <c r="Y358" i="1"/>
  <c r="AD357" i="1"/>
  <c r="Y357" i="1"/>
  <c r="AD356" i="1"/>
  <c r="Y356" i="1"/>
  <c r="AD355" i="1"/>
  <c r="Y355" i="1"/>
  <c r="AD354" i="1"/>
  <c r="Y354" i="1"/>
  <c r="AD353" i="1"/>
  <c r="Y353" i="1"/>
  <c r="AD352" i="1"/>
  <c r="Y352" i="1"/>
  <c r="AD351" i="1"/>
  <c r="Y351" i="1"/>
  <c r="AD350" i="1"/>
  <c r="Y350" i="1"/>
  <c r="AD349" i="1"/>
  <c r="Y349" i="1"/>
  <c r="AD348" i="1"/>
  <c r="Y348" i="1"/>
  <c r="AD347" i="1"/>
  <c r="Y347" i="1"/>
  <c r="AD346" i="1"/>
  <c r="Y346" i="1"/>
  <c r="AD345" i="1"/>
  <c r="Y345" i="1"/>
  <c r="AD344" i="1"/>
  <c r="Y344" i="1"/>
  <c r="AD343" i="1"/>
  <c r="Y343" i="1"/>
  <c r="AD342" i="1"/>
  <c r="Y342" i="1"/>
  <c r="AD341" i="1"/>
  <c r="Y341" i="1"/>
  <c r="AD340" i="1"/>
  <c r="Y340" i="1"/>
  <c r="AD339" i="1"/>
  <c r="Y339" i="1"/>
  <c r="AD338" i="1"/>
  <c r="Y338" i="1"/>
  <c r="AD337" i="1"/>
  <c r="Y337" i="1"/>
  <c r="AD336" i="1"/>
  <c r="Y336" i="1"/>
  <c r="AD335" i="1"/>
  <c r="Y335" i="1"/>
  <c r="AD334" i="1"/>
  <c r="Y334" i="1"/>
  <c r="AD333" i="1"/>
  <c r="Y333" i="1"/>
  <c r="AD332" i="1"/>
  <c r="Y332" i="1"/>
  <c r="AD331" i="1"/>
  <c r="Y331" i="1"/>
  <c r="AD330" i="1"/>
  <c r="Y330" i="1"/>
  <c r="AD329" i="1"/>
  <c r="Y329" i="1"/>
  <c r="AD328" i="1"/>
  <c r="Y328" i="1"/>
  <c r="AD327" i="1"/>
  <c r="Y327" i="1"/>
  <c r="AD326" i="1"/>
  <c r="Y326" i="1"/>
  <c r="AD325" i="1"/>
  <c r="Y325" i="1"/>
  <c r="AD324" i="1"/>
  <c r="Y324" i="1"/>
  <c r="AD323" i="1"/>
  <c r="Y323" i="1"/>
  <c r="AD322" i="1"/>
  <c r="Y322" i="1"/>
  <c r="AD321" i="1"/>
  <c r="Y321" i="1"/>
  <c r="AD320" i="1"/>
  <c r="Y320" i="1"/>
  <c r="AD319" i="1"/>
  <c r="Y319" i="1"/>
  <c r="AD318" i="1"/>
  <c r="Y318" i="1"/>
  <c r="AD317" i="1"/>
  <c r="Y317" i="1"/>
  <c r="AD316" i="1"/>
  <c r="Y316" i="1"/>
  <c r="AD315" i="1"/>
  <c r="Y315" i="1"/>
  <c r="AD314" i="1"/>
  <c r="Y314" i="1"/>
  <c r="AD313" i="1"/>
  <c r="Y313" i="1"/>
  <c r="AD312" i="1"/>
  <c r="Y312" i="1"/>
  <c r="AD311" i="1"/>
  <c r="Y311" i="1"/>
  <c r="AD310" i="1"/>
  <c r="Y310" i="1"/>
  <c r="AD309" i="1"/>
  <c r="Y309" i="1"/>
  <c r="AD308" i="1"/>
  <c r="Y308" i="1"/>
  <c r="AD307" i="1"/>
  <c r="Y307" i="1"/>
  <c r="AD306" i="1"/>
  <c r="Y306" i="1"/>
  <c r="AD305" i="1"/>
  <c r="Y305" i="1"/>
  <c r="AD304" i="1"/>
  <c r="Y304" i="1"/>
  <c r="AD303" i="1"/>
  <c r="Y303" i="1"/>
  <c r="AD302" i="1"/>
  <c r="Y302" i="1"/>
  <c r="AD301" i="1"/>
  <c r="Y301" i="1"/>
  <c r="AD300" i="1"/>
  <c r="Y300" i="1"/>
  <c r="AD299" i="1"/>
  <c r="Y299" i="1"/>
  <c r="AD298" i="1"/>
  <c r="Y298" i="1"/>
  <c r="AD297" i="1"/>
  <c r="Y297" i="1"/>
  <c r="AD296" i="1"/>
  <c r="Y296" i="1"/>
  <c r="AD295" i="1"/>
  <c r="Y295" i="1"/>
  <c r="AD294" i="1"/>
  <c r="Y294" i="1"/>
  <c r="AD293" i="1"/>
  <c r="Y293" i="1"/>
  <c r="AD292" i="1"/>
  <c r="Y292" i="1"/>
  <c r="AD291" i="1"/>
  <c r="Y291" i="1"/>
  <c r="AD290" i="1"/>
  <c r="Y290" i="1"/>
  <c r="AD289" i="1"/>
  <c r="Y289" i="1"/>
  <c r="AD288" i="1"/>
  <c r="Y288" i="1"/>
  <c r="AD287" i="1"/>
  <c r="Y287" i="1"/>
  <c r="AD286" i="1"/>
  <c r="Y286" i="1"/>
  <c r="AD285" i="1"/>
  <c r="Y285" i="1"/>
  <c r="AD284" i="1"/>
  <c r="Y284" i="1"/>
  <c r="AD283" i="1"/>
  <c r="Y283" i="1"/>
  <c r="AD282" i="1"/>
  <c r="Y282" i="1"/>
  <c r="AD281" i="1"/>
  <c r="Y281" i="1"/>
  <c r="AD280" i="1"/>
  <c r="Y280" i="1"/>
  <c r="AD279" i="1"/>
  <c r="Y279" i="1"/>
  <c r="AD278" i="1"/>
  <c r="Y278" i="1"/>
  <c r="AD277" i="1"/>
  <c r="Y277" i="1"/>
  <c r="AD276" i="1"/>
  <c r="Y276" i="1"/>
  <c r="AD275" i="1"/>
  <c r="Y275" i="1"/>
  <c r="AD274" i="1"/>
  <c r="Y274" i="1"/>
  <c r="AD273" i="1"/>
  <c r="Y273" i="1"/>
  <c r="AD272" i="1"/>
  <c r="Y272" i="1"/>
  <c r="AD271" i="1"/>
  <c r="Y271" i="1"/>
  <c r="AD270" i="1"/>
  <c r="Y270" i="1"/>
  <c r="AD269" i="1"/>
  <c r="Y269" i="1"/>
  <c r="AD268" i="1"/>
  <c r="Y268" i="1"/>
  <c r="AD267" i="1"/>
  <c r="Y267" i="1"/>
  <c r="AD266" i="1"/>
  <c r="Y266" i="1"/>
  <c r="AD265" i="1"/>
  <c r="Y265" i="1"/>
  <c r="AD264" i="1"/>
  <c r="Y264" i="1"/>
  <c r="AD263" i="1"/>
  <c r="Y263" i="1"/>
  <c r="AD262" i="1"/>
  <c r="Y262" i="1"/>
  <c r="AD261" i="1"/>
  <c r="Y261" i="1"/>
  <c r="AD260" i="1"/>
  <c r="Y260" i="1"/>
  <c r="AD259" i="1"/>
  <c r="Y259" i="1"/>
  <c r="AD258" i="1"/>
  <c r="Y258" i="1"/>
  <c r="AD257" i="1"/>
  <c r="Y257" i="1"/>
  <c r="AD256" i="1"/>
  <c r="Y256" i="1"/>
  <c r="K256" i="1"/>
  <c r="AD255" i="1"/>
  <c r="Y255" i="1"/>
  <c r="K255" i="1"/>
  <c r="AD254" i="1"/>
  <c r="Y254" i="1"/>
  <c r="K254" i="1"/>
  <c r="AD253" i="1"/>
  <c r="Y253" i="1"/>
  <c r="K253" i="1"/>
  <c r="AD252" i="1"/>
  <c r="Y252" i="1"/>
  <c r="K252" i="1"/>
  <c r="AD251" i="1"/>
  <c r="Y251" i="1"/>
  <c r="K251" i="1"/>
  <c r="AD250" i="1"/>
  <c r="Y250" i="1"/>
  <c r="K250" i="1"/>
  <c r="AD249" i="1"/>
  <c r="Y249" i="1"/>
  <c r="K249" i="1"/>
  <c r="AD248" i="1"/>
  <c r="Y248" i="1"/>
  <c r="K248" i="1"/>
  <c r="AD247" i="1"/>
  <c r="Y247" i="1"/>
  <c r="K247" i="1"/>
  <c r="AD246" i="1"/>
  <c r="Y246" i="1"/>
  <c r="K246" i="1"/>
  <c r="AD245" i="1"/>
  <c r="Y245" i="1"/>
  <c r="K245" i="1"/>
  <c r="AD244" i="1"/>
  <c r="Y244" i="1"/>
  <c r="K244" i="1"/>
  <c r="AD243" i="1"/>
  <c r="Y243" i="1"/>
  <c r="K243" i="1"/>
  <c r="AD242" i="1"/>
  <c r="Y242" i="1"/>
  <c r="K242" i="1"/>
  <c r="AD241" i="1"/>
  <c r="Y241" i="1"/>
  <c r="K241" i="1"/>
  <c r="AD240" i="1"/>
  <c r="Y240" i="1"/>
  <c r="K240" i="1"/>
  <c r="AD239" i="1"/>
  <c r="Y239" i="1"/>
  <c r="K239" i="1"/>
  <c r="AD238" i="1"/>
  <c r="Y238" i="1"/>
  <c r="K238" i="1"/>
  <c r="AD237" i="1"/>
  <c r="Y237" i="1"/>
  <c r="K237" i="1"/>
  <c r="AD236" i="1"/>
  <c r="Y236" i="1"/>
  <c r="K236" i="1"/>
  <c r="AD235" i="1"/>
  <c r="Y235" i="1"/>
  <c r="K235" i="1"/>
  <c r="AD234" i="1"/>
  <c r="Y234" i="1"/>
  <c r="K234" i="1"/>
  <c r="AD233" i="1"/>
  <c r="Y233" i="1"/>
  <c r="K233" i="1"/>
  <c r="AD232" i="1"/>
  <c r="Y232" i="1"/>
  <c r="K232" i="1"/>
  <c r="AD231" i="1"/>
  <c r="Y231" i="1"/>
  <c r="K231" i="1"/>
  <c r="AD230" i="1"/>
  <c r="Y230" i="1"/>
  <c r="K230" i="1"/>
  <c r="AD229" i="1"/>
  <c r="Y229" i="1"/>
  <c r="K229" i="1"/>
  <c r="AD228" i="1"/>
  <c r="Y228" i="1"/>
  <c r="K228" i="1"/>
  <c r="AD227" i="1"/>
  <c r="Y227" i="1"/>
  <c r="K227" i="1"/>
  <c r="AD226" i="1"/>
  <c r="Y226" i="1"/>
  <c r="K226" i="1"/>
  <c r="AD225" i="1"/>
  <c r="Y225" i="1"/>
  <c r="K225" i="1"/>
  <c r="AD224" i="1"/>
  <c r="Y224" i="1"/>
  <c r="K224" i="1"/>
  <c r="AD223" i="1"/>
  <c r="Y223" i="1"/>
  <c r="K223" i="1"/>
  <c r="AD222" i="1"/>
  <c r="Y222" i="1"/>
  <c r="K222" i="1"/>
  <c r="AD221" i="1"/>
  <c r="Y221" i="1"/>
  <c r="K221" i="1"/>
  <c r="AD220" i="1"/>
  <c r="Y220" i="1"/>
  <c r="K220" i="1"/>
  <c r="AD219" i="1"/>
  <c r="Y219" i="1"/>
  <c r="K219" i="1"/>
  <c r="AD218" i="1"/>
  <c r="Y218" i="1"/>
  <c r="K218" i="1"/>
  <c r="AD217" i="1"/>
  <c r="Y217" i="1"/>
  <c r="K217" i="1"/>
  <c r="AD216" i="1"/>
  <c r="Y216" i="1"/>
  <c r="K216" i="1"/>
  <c r="AD215" i="1"/>
  <c r="Y215" i="1"/>
  <c r="K215" i="1"/>
  <c r="AD214" i="1"/>
  <c r="Y214" i="1"/>
  <c r="K214" i="1"/>
  <c r="AD213" i="1"/>
  <c r="Y213" i="1"/>
  <c r="K213" i="1"/>
  <c r="AD212" i="1"/>
  <c r="Y212" i="1"/>
  <c r="K212" i="1"/>
  <c r="AD211" i="1"/>
  <c r="Y211" i="1"/>
  <c r="K211" i="1"/>
  <c r="AD210" i="1"/>
  <c r="Y210" i="1"/>
  <c r="K210" i="1"/>
  <c r="AD209" i="1"/>
  <c r="Y209" i="1"/>
  <c r="K209" i="1"/>
  <c r="AD208" i="1"/>
  <c r="Y208" i="1"/>
  <c r="K208" i="1"/>
  <c r="AD207" i="1"/>
  <c r="Y207" i="1"/>
  <c r="K207" i="1"/>
  <c r="AD206" i="1"/>
  <c r="Y206" i="1"/>
  <c r="K206" i="1"/>
  <c r="AD205" i="1"/>
  <c r="Y205" i="1"/>
  <c r="K205" i="1"/>
  <c r="AD204" i="1"/>
  <c r="Y204" i="1"/>
  <c r="K204" i="1"/>
  <c r="AD203" i="1"/>
  <c r="Y203" i="1"/>
  <c r="K203" i="1"/>
  <c r="AD202" i="1"/>
  <c r="Y202" i="1"/>
  <c r="K202" i="1"/>
  <c r="AD201" i="1"/>
  <c r="Y201" i="1"/>
  <c r="K201" i="1"/>
  <c r="AD200" i="1"/>
  <c r="Y200" i="1"/>
  <c r="K200" i="1"/>
  <c r="AD199" i="1"/>
  <c r="Y199" i="1"/>
  <c r="K199" i="1"/>
  <c r="AD198" i="1"/>
  <c r="Y198" i="1"/>
  <c r="K198" i="1"/>
  <c r="AD197" i="1"/>
  <c r="Y197" i="1"/>
  <c r="K197" i="1"/>
  <c r="AD196" i="1"/>
  <c r="Y196" i="1"/>
  <c r="K196" i="1"/>
  <c r="AD195" i="1"/>
  <c r="Y195" i="1"/>
  <c r="K195" i="1"/>
  <c r="AD194" i="1"/>
  <c r="Y194" i="1"/>
  <c r="K194" i="1"/>
  <c r="AD193" i="1"/>
  <c r="Y193" i="1"/>
  <c r="K193" i="1"/>
  <c r="AD192" i="1"/>
  <c r="Y192" i="1"/>
  <c r="K192" i="1"/>
  <c r="AD191" i="1"/>
  <c r="Y191" i="1"/>
  <c r="K191" i="1"/>
  <c r="AD190" i="1"/>
  <c r="Y190" i="1"/>
  <c r="K190" i="1"/>
  <c r="AD189" i="1"/>
  <c r="Y189" i="1"/>
  <c r="K189" i="1"/>
  <c r="AD188" i="1"/>
  <c r="Y188" i="1"/>
  <c r="K188" i="1"/>
  <c r="AD187" i="1"/>
  <c r="Y187" i="1"/>
  <c r="K187" i="1"/>
  <c r="AD186" i="1"/>
  <c r="Y186" i="1"/>
  <c r="K186" i="1"/>
  <c r="AD185" i="1"/>
  <c r="Y185" i="1"/>
  <c r="K185" i="1"/>
  <c r="AD184" i="1"/>
  <c r="Y184" i="1"/>
  <c r="K184" i="1"/>
  <c r="AD183" i="1"/>
  <c r="Y183" i="1"/>
  <c r="K183" i="1"/>
  <c r="AD182" i="1"/>
  <c r="Y182" i="1"/>
  <c r="K182" i="1"/>
  <c r="AD181" i="1"/>
  <c r="Y181" i="1"/>
  <c r="K181" i="1"/>
  <c r="AD180" i="1"/>
  <c r="Y180" i="1"/>
  <c r="K180" i="1"/>
  <c r="AD179" i="1"/>
  <c r="Y179" i="1"/>
  <c r="K179" i="1"/>
  <c r="AD178" i="1"/>
  <c r="Y178" i="1"/>
  <c r="K178" i="1"/>
  <c r="AD177" i="1"/>
  <c r="Y177" i="1"/>
  <c r="K177" i="1"/>
  <c r="AD176" i="1"/>
  <c r="Y176" i="1"/>
  <c r="K176" i="1"/>
  <c r="AD175" i="1"/>
  <c r="Y175" i="1"/>
  <c r="K175" i="1"/>
  <c r="AD174" i="1"/>
  <c r="Y174" i="1"/>
  <c r="K174" i="1"/>
  <c r="AD173" i="1"/>
  <c r="Y173" i="1"/>
  <c r="K173" i="1"/>
  <c r="AD172" i="1"/>
  <c r="Y172" i="1"/>
  <c r="K172" i="1"/>
  <c r="AD171" i="1"/>
  <c r="Y171" i="1"/>
  <c r="K171" i="1"/>
  <c r="AD170" i="1"/>
  <c r="Y170" i="1"/>
  <c r="K170" i="1"/>
  <c r="AD169" i="1"/>
  <c r="Y169" i="1"/>
  <c r="K169" i="1"/>
  <c r="AD168" i="1"/>
  <c r="Y168" i="1"/>
  <c r="K168" i="1"/>
  <c r="AD167" i="1"/>
  <c r="Y167" i="1"/>
  <c r="K167" i="1"/>
  <c r="AD166" i="1"/>
  <c r="Y166" i="1"/>
  <c r="K166" i="1"/>
  <c r="AD165" i="1"/>
  <c r="Y165" i="1"/>
  <c r="K165" i="1"/>
  <c r="AD164" i="1"/>
  <c r="Y164" i="1"/>
  <c r="K164" i="1"/>
  <c r="AD163" i="1"/>
  <c r="Y163" i="1"/>
  <c r="K163" i="1"/>
  <c r="AD162" i="1"/>
  <c r="Y162" i="1"/>
  <c r="K162" i="1"/>
  <c r="AD161" i="1"/>
  <c r="Y161" i="1"/>
  <c r="K161" i="1"/>
  <c r="AD160" i="1"/>
  <c r="Y160" i="1"/>
  <c r="K160" i="1"/>
  <c r="AD159" i="1"/>
  <c r="Y159" i="1"/>
  <c r="K159" i="1"/>
  <c r="AD158" i="1"/>
  <c r="Y158" i="1"/>
  <c r="K158" i="1"/>
  <c r="AD157" i="1"/>
  <c r="Y157" i="1"/>
  <c r="K157" i="1"/>
  <c r="AD156" i="1"/>
  <c r="Y156" i="1"/>
  <c r="K156" i="1"/>
  <c r="AD155" i="1"/>
  <c r="Y155" i="1"/>
  <c r="K155" i="1"/>
  <c r="AD154" i="1"/>
  <c r="Y154" i="1"/>
  <c r="K154" i="1"/>
  <c r="AD153" i="1"/>
  <c r="Y153" i="1"/>
  <c r="K153" i="1"/>
  <c r="AD152" i="1"/>
  <c r="Y152" i="1"/>
  <c r="K152" i="1"/>
  <c r="AD151" i="1"/>
  <c r="Y151" i="1"/>
  <c r="K151" i="1"/>
  <c r="AD150" i="1"/>
  <c r="Y150" i="1"/>
  <c r="K150" i="1"/>
  <c r="AD149" i="1"/>
  <c r="Y149" i="1"/>
  <c r="K149" i="1"/>
  <c r="AD148" i="1"/>
  <c r="Y148" i="1"/>
  <c r="K148" i="1"/>
  <c r="AD147" i="1"/>
  <c r="Y147" i="1"/>
  <c r="K147" i="1"/>
  <c r="AD146" i="1"/>
  <c r="Y146" i="1"/>
  <c r="K146" i="1"/>
  <c r="AD145" i="1"/>
  <c r="Y145" i="1"/>
  <c r="K145" i="1"/>
  <c r="AD144" i="1"/>
  <c r="Y144" i="1"/>
  <c r="K144" i="1"/>
  <c r="AD143" i="1"/>
  <c r="Y143" i="1"/>
  <c r="K143" i="1"/>
  <c r="AD142" i="1"/>
  <c r="Y142" i="1"/>
  <c r="K142" i="1"/>
  <c r="AD141" i="1"/>
  <c r="Y141" i="1"/>
  <c r="K141" i="1"/>
  <c r="AD140" i="1"/>
  <c r="Y140" i="1"/>
  <c r="K140" i="1"/>
  <c r="AD139" i="1"/>
  <c r="Y139" i="1"/>
  <c r="K139" i="1"/>
  <c r="AD138" i="1"/>
  <c r="Y138" i="1"/>
  <c r="K138" i="1"/>
  <c r="AD137" i="1"/>
  <c r="Y137" i="1"/>
  <c r="K137" i="1"/>
  <c r="AD136" i="1"/>
  <c r="Y136" i="1"/>
  <c r="K136" i="1"/>
  <c r="AD135" i="1"/>
  <c r="Y135" i="1"/>
  <c r="K135" i="1"/>
  <c r="AD134" i="1"/>
  <c r="Y134" i="1"/>
  <c r="K134" i="1"/>
  <c r="AD133" i="1"/>
  <c r="Y133" i="1"/>
  <c r="K133" i="1"/>
  <c r="AD132" i="1"/>
  <c r="Y132" i="1"/>
  <c r="K132" i="1"/>
  <c r="AD131" i="1"/>
  <c r="Y131" i="1"/>
  <c r="K131" i="1"/>
  <c r="AD130" i="1"/>
  <c r="Y130" i="1"/>
  <c r="K130" i="1"/>
  <c r="AD129" i="1"/>
  <c r="Y129" i="1"/>
  <c r="K129" i="1"/>
  <c r="AD128" i="1"/>
  <c r="Y128" i="1"/>
  <c r="K128" i="1"/>
  <c r="AD127" i="1"/>
  <c r="Y127" i="1"/>
  <c r="K127" i="1"/>
  <c r="AD126" i="1"/>
  <c r="Y126" i="1"/>
  <c r="K126" i="1"/>
  <c r="AD125" i="1"/>
  <c r="Y125" i="1"/>
  <c r="K125" i="1"/>
  <c r="AD124" i="1"/>
  <c r="Y124" i="1"/>
  <c r="K124" i="1"/>
  <c r="AD123" i="1"/>
  <c r="Y123" i="1"/>
  <c r="K123" i="1"/>
  <c r="AD122" i="1"/>
  <c r="Y122" i="1"/>
  <c r="K122" i="1"/>
  <c r="AD121" i="1"/>
  <c r="Y121" i="1"/>
  <c r="K121" i="1"/>
  <c r="AD120" i="1"/>
  <c r="Y120" i="1"/>
  <c r="K120" i="1"/>
  <c r="AD119" i="1"/>
  <c r="Y119" i="1"/>
  <c r="K119" i="1"/>
  <c r="AD118" i="1"/>
  <c r="Y118" i="1"/>
  <c r="K118" i="1"/>
  <c r="AD117" i="1"/>
  <c r="Y117" i="1"/>
  <c r="K117" i="1"/>
  <c r="AD116" i="1"/>
  <c r="Y116" i="1"/>
  <c r="K116" i="1"/>
  <c r="AD115" i="1"/>
  <c r="Y115" i="1"/>
  <c r="K115" i="1"/>
  <c r="AD114" i="1"/>
  <c r="Y114" i="1"/>
  <c r="K114" i="1"/>
  <c r="AD113" i="1"/>
  <c r="Y113" i="1"/>
  <c r="K113" i="1"/>
  <c r="AD112" i="1"/>
  <c r="Y112" i="1"/>
  <c r="K112" i="1"/>
  <c r="AD111" i="1"/>
  <c r="Y111" i="1"/>
  <c r="K111" i="1"/>
  <c r="AD110" i="1"/>
  <c r="Y110" i="1"/>
  <c r="K110" i="1"/>
  <c r="AD109" i="1"/>
  <c r="Y109" i="1"/>
  <c r="K109" i="1"/>
  <c r="AD108" i="1"/>
  <c r="Y108" i="1"/>
  <c r="K108" i="1"/>
  <c r="AD107" i="1"/>
  <c r="Y107" i="1"/>
  <c r="K107" i="1"/>
  <c r="AD106" i="1"/>
  <c r="Y106" i="1"/>
  <c r="K106" i="1"/>
  <c r="AD105" i="1"/>
  <c r="Y105" i="1"/>
  <c r="K105" i="1"/>
  <c r="AD104" i="1"/>
  <c r="Y104" i="1"/>
  <c r="K104" i="1"/>
  <c r="AD103" i="1"/>
  <c r="Y103" i="1"/>
  <c r="K103" i="1"/>
  <c r="AD102" i="1"/>
  <c r="Y102" i="1"/>
  <c r="K102" i="1"/>
  <c r="AD101" i="1"/>
  <c r="Y101" i="1"/>
  <c r="K101" i="1"/>
  <c r="AD100" i="1"/>
  <c r="Y100" i="1"/>
  <c r="K100" i="1"/>
  <c r="AD99" i="1"/>
  <c r="Y99" i="1"/>
  <c r="K99" i="1"/>
  <c r="AD98" i="1"/>
  <c r="Y98" i="1"/>
  <c r="K98" i="1"/>
  <c r="AD97" i="1"/>
  <c r="Y97" i="1"/>
  <c r="K97" i="1"/>
  <c r="AD96" i="1"/>
  <c r="Y96" i="1"/>
  <c r="K96" i="1"/>
  <c r="AD95" i="1"/>
  <c r="Y95" i="1"/>
  <c r="K95" i="1"/>
  <c r="AD94" i="1"/>
  <c r="Y94" i="1"/>
  <c r="K94" i="1"/>
  <c r="AD93" i="1"/>
  <c r="Y93" i="1"/>
  <c r="K93" i="1"/>
  <c r="AD92" i="1"/>
  <c r="Y92" i="1"/>
  <c r="K92" i="1"/>
  <c r="AD91" i="1"/>
  <c r="Y91" i="1"/>
  <c r="K91" i="1"/>
  <c r="AD90" i="1"/>
  <c r="Y90" i="1"/>
  <c r="K90" i="1"/>
  <c r="AD89" i="1"/>
  <c r="Y89" i="1"/>
  <c r="K89" i="1"/>
  <c r="AD88" i="1"/>
  <c r="Y88" i="1"/>
  <c r="K88" i="1"/>
  <c r="AD87" i="1"/>
  <c r="Y87" i="1"/>
  <c r="K87" i="1"/>
  <c r="AD86" i="1"/>
  <c r="Y86" i="1"/>
  <c r="K86" i="1"/>
  <c r="AD85" i="1"/>
  <c r="Y85" i="1"/>
  <c r="K85" i="1"/>
  <c r="AD84" i="1"/>
  <c r="Y84" i="1"/>
  <c r="K84" i="1"/>
  <c r="AD83" i="1"/>
  <c r="Y83" i="1"/>
  <c r="K83" i="1"/>
  <c r="AD82" i="1"/>
  <c r="Y82" i="1"/>
  <c r="K82" i="1"/>
  <c r="AD81" i="1"/>
  <c r="Y81" i="1"/>
  <c r="K81" i="1"/>
  <c r="AD80" i="1"/>
  <c r="Y80" i="1"/>
  <c r="K80" i="1"/>
  <c r="AD79" i="1"/>
  <c r="Y79" i="1"/>
  <c r="K79" i="1"/>
  <c r="AD78" i="1"/>
  <c r="Y78" i="1"/>
  <c r="K78" i="1"/>
  <c r="AD77" i="1"/>
  <c r="Y77" i="1"/>
  <c r="K77" i="1"/>
  <c r="AD76" i="1"/>
  <c r="Y76" i="1"/>
  <c r="K76" i="1"/>
  <c r="AD75" i="1"/>
  <c r="Y75" i="1"/>
  <c r="K75" i="1"/>
  <c r="AD74" i="1"/>
  <c r="Y74" i="1"/>
  <c r="K74" i="1"/>
  <c r="AD73" i="1"/>
  <c r="Y73" i="1"/>
  <c r="K73" i="1"/>
  <c r="AD72" i="1"/>
  <c r="Y72" i="1"/>
  <c r="K72" i="1"/>
  <c r="AD71" i="1"/>
  <c r="Y71" i="1"/>
  <c r="K71" i="1"/>
  <c r="AD70" i="1"/>
  <c r="Y70" i="1"/>
  <c r="K70" i="1"/>
  <c r="AD69" i="1"/>
  <c r="Y69" i="1"/>
  <c r="K69" i="1"/>
  <c r="AD68" i="1"/>
  <c r="Y68" i="1"/>
  <c r="K68" i="1"/>
  <c r="AD67" i="1"/>
  <c r="Y67" i="1"/>
  <c r="K67" i="1"/>
  <c r="AD66" i="1"/>
  <c r="Y66" i="1"/>
  <c r="K66" i="1"/>
  <c r="AD65" i="1"/>
  <c r="Y65" i="1"/>
  <c r="K65" i="1"/>
  <c r="AD64" i="1"/>
  <c r="Y64" i="1"/>
  <c r="K64" i="1"/>
  <c r="AD63" i="1"/>
  <c r="Y63" i="1"/>
  <c r="K63" i="1"/>
  <c r="AD62" i="1"/>
  <c r="Y62" i="1"/>
  <c r="K62" i="1"/>
  <c r="AD61" i="1"/>
  <c r="Y61" i="1"/>
  <c r="K61" i="1"/>
  <c r="AD60" i="1"/>
  <c r="Y60" i="1"/>
  <c r="K60" i="1"/>
  <c r="AD59" i="1"/>
  <c r="Y59" i="1"/>
  <c r="K59" i="1"/>
  <c r="AD58" i="1"/>
  <c r="Y58" i="1"/>
  <c r="K58" i="1"/>
  <c r="AD57" i="1"/>
  <c r="Y57" i="1"/>
  <c r="K57" i="1"/>
  <c r="AD56" i="1"/>
  <c r="Y56" i="1"/>
  <c r="K56" i="1"/>
  <c r="AD55" i="1"/>
  <c r="Y55" i="1"/>
  <c r="K55" i="1"/>
  <c r="AD54" i="1"/>
  <c r="Y54" i="1"/>
  <c r="K54" i="1"/>
  <c r="AD53" i="1"/>
  <c r="Y53" i="1"/>
  <c r="K53" i="1"/>
  <c r="AD52" i="1"/>
  <c r="Y52" i="1"/>
  <c r="K52" i="1"/>
  <c r="AD51" i="1"/>
  <c r="Y51" i="1"/>
  <c r="K51" i="1"/>
  <c r="AD50" i="1"/>
  <c r="Y50" i="1"/>
  <c r="K50" i="1"/>
  <c r="AD49" i="1"/>
  <c r="Y49" i="1"/>
  <c r="K49" i="1"/>
  <c r="AD48" i="1"/>
  <c r="Y48" i="1"/>
  <c r="K48" i="1"/>
  <c r="AD47" i="1"/>
  <c r="Y47" i="1"/>
  <c r="K47" i="1"/>
  <c r="AD46" i="1"/>
  <c r="Y46" i="1"/>
  <c r="K46" i="1"/>
  <c r="AD45" i="1"/>
  <c r="Y45" i="1"/>
  <c r="K45" i="1"/>
  <c r="AD44" i="1"/>
  <c r="Y44" i="1"/>
  <c r="K44" i="1"/>
  <c r="AD43" i="1"/>
  <c r="Y43" i="1"/>
  <c r="K43" i="1"/>
  <c r="AD42" i="1"/>
  <c r="Y42" i="1"/>
  <c r="K42" i="1"/>
  <c r="AD41" i="1"/>
  <c r="Y41" i="1"/>
  <c r="K41" i="1"/>
  <c r="AD40" i="1"/>
  <c r="Y40" i="1"/>
  <c r="K40" i="1"/>
  <c r="AD39" i="1"/>
  <c r="Y39" i="1"/>
  <c r="K39" i="1"/>
  <c r="AD38" i="1"/>
  <c r="Y38" i="1"/>
  <c r="K38" i="1"/>
  <c r="AD37" i="1"/>
  <c r="Y37" i="1"/>
  <c r="K37" i="1"/>
  <c r="AD36" i="1"/>
  <c r="Y36" i="1"/>
  <c r="K36" i="1"/>
  <c r="AD35" i="1"/>
  <c r="Y35" i="1"/>
  <c r="K35" i="1"/>
  <c r="AD34" i="1"/>
  <c r="Y34" i="1"/>
  <c r="K34" i="1"/>
  <c r="AD33" i="1"/>
  <c r="Y33" i="1"/>
  <c r="K33" i="1"/>
  <c r="AD32" i="1"/>
  <c r="Y32" i="1"/>
  <c r="K32" i="1"/>
  <c r="AD31" i="1"/>
  <c r="Y31" i="1"/>
  <c r="K31" i="1"/>
  <c r="AD30" i="1"/>
  <c r="Y30" i="1"/>
  <c r="K30" i="1"/>
  <c r="AD29" i="1"/>
  <c r="Y29" i="1"/>
  <c r="K29" i="1"/>
  <c r="AD28" i="1"/>
  <c r="Y28" i="1"/>
  <c r="K28" i="1"/>
  <c r="AD27" i="1"/>
  <c r="Y27" i="1"/>
  <c r="K27" i="1"/>
  <c r="AD26" i="1"/>
  <c r="Y26" i="1"/>
  <c r="K26" i="1"/>
  <c r="AD25" i="1"/>
  <c r="Y25" i="1"/>
  <c r="K25" i="1"/>
  <c r="AD24" i="1"/>
  <c r="Y24" i="1"/>
  <c r="K24" i="1"/>
  <c r="AD23" i="1"/>
  <c r="Y23" i="1"/>
  <c r="K23" i="1"/>
  <c r="AD22" i="1"/>
  <c r="Y22" i="1"/>
  <c r="K22" i="1"/>
  <c r="AD21" i="1"/>
  <c r="Y21" i="1"/>
  <c r="K21" i="1"/>
  <c r="AD20" i="1"/>
  <c r="Y20" i="1"/>
  <c r="K20" i="1"/>
  <c r="AD19" i="1"/>
  <c r="Y19" i="1"/>
  <c r="K19" i="1"/>
  <c r="AD18" i="1"/>
  <c r="Y18" i="1"/>
  <c r="K18" i="1"/>
  <c r="AD17" i="1"/>
  <c r="Y17" i="1"/>
  <c r="K17" i="1"/>
  <c r="AD16" i="1"/>
  <c r="Y16" i="1"/>
  <c r="K16" i="1"/>
  <c r="AD15" i="1"/>
  <c r="Y15" i="1"/>
  <c r="K15" i="1"/>
  <c r="AD14" i="1"/>
  <c r="Y14" i="1"/>
  <c r="K14" i="1"/>
  <c r="AD13" i="1"/>
  <c r="Y13" i="1"/>
  <c r="K13" i="1"/>
  <c r="AD12" i="1"/>
  <c r="Y12" i="1"/>
  <c r="K12" i="1"/>
  <c r="AD11" i="1"/>
  <c r="Y11" i="1"/>
  <c r="K11" i="1"/>
  <c r="AD10" i="1"/>
  <c r="Y10" i="1"/>
  <c r="K10" i="1"/>
  <c r="AD9" i="1"/>
  <c r="Y9" i="1"/>
  <c r="K9" i="1"/>
  <c r="AD8" i="1"/>
  <c r="Y8" i="1"/>
  <c r="K8" i="1"/>
  <c r="AD7" i="1"/>
  <c r="Y7" i="1"/>
  <c r="K7" i="1"/>
  <c r="AD6" i="1"/>
  <c r="Y6" i="1"/>
  <c r="K6" i="1"/>
  <c r="AD5" i="1"/>
  <c r="Y5" i="1"/>
  <c r="K5" i="1"/>
  <c r="B20" i="3" s="1" a="1"/>
  <c r="Q23" i="3" l="1"/>
  <c r="O378" i="3"/>
  <c r="O376" i="3"/>
  <c r="O374" i="3"/>
  <c r="O372" i="3"/>
  <c r="O370" i="3"/>
  <c r="O368" i="3"/>
  <c r="O366" i="3"/>
  <c r="O364" i="3"/>
  <c r="O362" i="3"/>
  <c r="O360" i="3"/>
  <c r="O358" i="3"/>
  <c r="O356" i="3"/>
  <c r="O354" i="3"/>
  <c r="O352" i="3"/>
  <c r="O350" i="3"/>
  <c r="O348" i="3"/>
  <c r="O346" i="3"/>
  <c r="O344" i="3"/>
  <c r="O342" i="3"/>
  <c r="O340" i="3"/>
  <c r="O338" i="3"/>
  <c r="O336" i="3"/>
  <c r="O334" i="3"/>
  <c r="O332" i="3"/>
  <c r="O330" i="3"/>
  <c r="O328" i="3"/>
  <c r="O326" i="3"/>
  <c r="O324" i="3"/>
  <c r="O322" i="3"/>
  <c r="O320" i="3"/>
  <c r="O318" i="3"/>
  <c r="O316" i="3"/>
  <c r="O314" i="3"/>
  <c r="O312" i="3"/>
  <c r="O310" i="3"/>
  <c r="O308" i="3"/>
  <c r="O306" i="3"/>
  <c r="O304" i="3"/>
  <c r="O302" i="3"/>
  <c r="O300" i="3"/>
  <c r="O298" i="3"/>
  <c r="C296" i="3"/>
  <c r="C292" i="3"/>
  <c r="C288" i="3"/>
  <c r="C284" i="3"/>
  <c r="C280" i="3"/>
  <c r="C276" i="3"/>
  <c r="G378" i="3"/>
  <c r="G376" i="3"/>
  <c r="G374" i="3"/>
  <c r="G372" i="3"/>
  <c r="G370" i="3"/>
  <c r="G368" i="3"/>
  <c r="G366" i="3"/>
  <c r="G364" i="3"/>
  <c r="G362" i="3"/>
  <c r="G360" i="3"/>
  <c r="G358" i="3"/>
  <c r="G356" i="3"/>
  <c r="G354" i="3"/>
  <c r="G352" i="3"/>
  <c r="G350" i="3"/>
  <c r="G348" i="3"/>
  <c r="G346" i="3"/>
  <c r="G344" i="3"/>
  <c r="G342" i="3"/>
  <c r="G340" i="3"/>
  <c r="G338" i="3"/>
  <c r="G336" i="3"/>
  <c r="G334" i="3"/>
  <c r="G332" i="3"/>
  <c r="G330" i="3"/>
  <c r="G328" i="3"/>
  <c r="G326" i="3"/>
  <c r="G324" i="3"/>
  <c r="G322" i="3"/>
  <c r="G320" i="3"/>
  <c r="G318" i="3"/>
  <c r="G316" i="3"/>
  <c r="G314" i="3"/>
  <c r="G312" i="3"/>
  <c r="O379" i="3"/>
  <c r="O377" i="3"/>
  <c r="O375" i="3"/>
  <c r="O373" i="3"/>
  <c r="O371" i="3"/>
  <c r="O369" i="3"/>
  <c r="O367" i="3"/>
  <c r="O365" i="3"/>
  <c r="O363" i="3"/>
  <c r="O361" i="3"/>
  <c r="O359" i="3"/>
  <c r="O357" i="3"/>
  <c r="O355" i="3"/>
  <c r="O353" i="3"/>
  <c r="O351" i="3"/>
  <c r="O349" i="3"/>
  <c r="O347" i="3"/>
  <c r="O345" i="3"/>
  <c r="O343" i="3"/>
  <c r="O341" i="3"/>
  <c r="O339" i="3"/>
  <c r="O337" i="3"/>
  <c r="O335" i="3"/>
  <c r="O333" i="3"/>
  <c r="O331" i="3"/>
  <c r="O329" i="3"/>
  <c r="O327" i="3"/>
  <c r="O325" i="3"/>
  <c r="O323" i="3"/>
  <c r="O321" i="3"/>
  <c r="O319" i="3"/>
  <c r="O317" i="3"/>
  <c r="O315" i="3"/>
  <c r="O313" i="3"/>
  <c r="O311" i="3"/>
  <c r="G373" i="3"/>
  <c r="G365" i="3"/>
  <c r="G357" i="3"/>
  <c r="G349" i="3"/>
  <c r="G341" i="3"/>
  <c r="G333" i="3"/>
  <c r="G325" i="3"/>
  <c r="G317" i="3"/>
  <c r="G310" i="3"/>
  <c r="O307" i="3"/>
  <c r="G305" i="3"/>
  <c r="G302" i="3"/>
  <c r="O299" i="3"/>
  <c r="C297" i="3"/>
  <c r="C291" i="3"/>
  <c r="C286" i="3"/>
  <c r="C281" i="3"/>
  <c r="C275" i="3"/>
  <c r="C271" i="3"/>
  <c r="L266" i="3"/>
  <c r="G261" i="3"/>
  <c r="Q255" i="3"/>
  <c r="L250" i="3"/>
  <c r="G245" i="3"/>
  <c r="Q239" i="3"/>
  <c r="L232" i="3"/>
  <c r="L224" i="3"/>
  <c r="L216" i="3"/>
  <c r="L208" i="3"/>
  <c r="L200" i="3"/>
  <c r="L192" i="3"/>
  <c r="L184" i="3"/>
  <c r="J175" i="3"/>
  <c r="P164" i="3"/>
  <c r="Q151" i="3"/>
  <c r="Q135" i="3"/>
  <c r="Q119" i="3"/>
  <c r="Q103" i="3"/>
  <c r="Q87" i="3"/>
  <c r="Q59" i="3"/>
  <c r="Q27" i="3"/>
  <c r="H376" i="3"/>
  <c r="P373" i="3"/>
  <c r="H371" i="3"/>
  <c r="H369" i="3"/>
  <c r="H367" i="3"/>
  <c r="P364" i="3"/>
  <c r="P362" i="3"/>
  <c r="P360" i="3"/>
  <c r="P358" i="3"/>
  <c r="P356" i="3"/>
  <c r="P354" i="3"/>
  <c r="H352" i="3"/>
  <c r="H350" i="3"/>
  <c r="H348" i="3"/>
  <c r="H346" i="3"/>
  <c r="H344" i="3"/>
  <c r="H342" i="3"/>
  <c r="H340" i="3"/>
  <c r="H338" i="3"/>
  <c r="H336" i="3"/>
  <c r="H334" i="3"/>
  <c r="H332" i="3"/>
  <c r="H330" i="3"/>
  <c r="H328" i="3"/>
  <c r="P325" i="3"/>
  <c r="P323" i="3"/>
  <c r="P321" i="3"/>
  <c r="P319" i="3"/>
  <c r="P317" i="3"/>
  <c r="P315" i="3"/>
  <c r="P313" i="3"/>
  <c r="P311" i="3"/>
  <c r="P309" i="3"/>
  <c r="P307" i="3"/>
  <c r="P305" i="3"/>
  <c r="P303" i="3"/>
  <c r="P301" i="3"/>
  <c r="P299" i="3"/>
  <c r="G379" i="3"/>
  <c r="G371" i="3"/>
  <c r="G363" i="3"/>
  <c r="G355" i="3"/>
  <c r="G347" i="3"/>
  <c r="G339" i="3"/>
  <c r="G331" i="3"/>
  <c r="G323" i="3"/>
  <c r="G315" i="3"/>
  <c r="O309" i="3"/>
  <c r="G307" i="3"/>
  <c r="G304" i="3"/>
  <c r="O301" i="3"/>
  <c r="G299" i="3"/>
  <c r="C295" i="3"/>
  <c r="C290" i="3"/>
  <c r="C285" i="3"/>
  <c r="C279" i="3"/>
  <c r="C274" i="3"/>
  <c r="C270" i="3"/>
  <c r="G265" i="3"/>
  <c r="Q259" i="3"/>
  <c r="L254" i="3"/>
  <c r="G249" i="3"/>
  <c r="Q243" i="3"/>
  <c r="L238" i="3"/>
  <c r="L230" i="3"/>
  <c r="L222" i="3"/>
  <c r="L214" i="3"/>
  <c r="L206" i="3"/>
  <c r="L198" i="3"/>
  <c r="L190" i="3"/>
  <c r="L182" i="3"/>
  <c r="P172" i="3"/>
  <c r="E162" i="3"/>
  <c r="Q147" i="3"/>
  <c r="Q131" i="3"/>
  <c r="Q115" i="3"/>
  <c r="Q99" i="3"/>
  <c r="Q83" i="3"/>
  <c r="Q51" i="3"/>
  <c r="H379" i="3"/>
  <c r="P375" i="3"/>
  <c r="H373" i="3"/>
  <c r="P370" i="3"/>
  <c r="P368" i="3"/>
  <c r="P366" i="3"/>
  <c r="H364" i="3"/>
  <c r="H362" i="3"/>
  <c r="H360" i="3"/>
  <c r="H358" i="3"/>
  <c r="H356" i="3"/>
  <c r="H354" i="3"/>
  <c r="P351" i="3"/>
  <c r="P349" i="3"/>
  <c r="P347" i="3"/>
  <c r="P345" i="3"/>
  <c r="P343" i="3"/>
  <c r="P341" i="3"/>
  <c r="P339" i="3"/>
  <c r="P337" i="3"/>
  <c r="P335" i="3"/>
  <c r="P333" i="3"/>
  <c r="P331" i="3"/>
  <c r="P329" i="3"/>
  <c r="P327" i="3"/>
  <c r="H325" i="3"/>
  <c r="H323" i="3"/>
  <c r="H321" i="3"/>
  <c r="H319" i="3"/>
  <c r="H317" i="3"/>
  <c r="H315" i="3"/>
  <c r="H313" i="3"/>
  <c r="H311" i="3"/>
  <c r="H309" i="3"/>
  <c r="H307" i="3"/>
  <c r="G377" i="3"/>
  <c r="G369" i="3"/>
  <c r="G361" i="3"/>
  <c r="G353" i="3"/>
  <c r="G345" i="3"/>
  <c r="G337" i="3"/>
  <c r="G329" i="3"/>
  <c r="G321" i="3"/>
  <c r="G313" i="3"/>
  <c r="G309" i="3"/>
  <c r="G306" i="3"/>
  <c r="O303" i="3"/>
  <c r="G301" i="3"/>
  <c r="G298" i="3"/>
  <c r="C294" i="3"/>
  <c r="C289" i="3"/>
  <c r="C283" i="3"/>
  <c r="C278" i="3"/>
  <c r="C273" i="3"/>
  <c r="C269" i="3"/>
  <c r="Q263" i="3"/>
  <c r="L258" i="3"/>
  <c r="G253" i="3"/>
  <c r="Q247" i="3"/>
  <c r="L242" i="3"/>
  <c r="L236" i="3"/>
  <c r="L228" i="3"/>
  <c r="L220" i="3"/>
  <c r="L212" i="3"/>
  <c r="L204" i="3"/>
  <c r="L196" i="3"/>
  <c r="L188" i="3"/>
  <c r="L180" i="3"/>
  <c r="E170" i="3"/>
  <c r="J159" i="3"/>
  <c r="Q143" i="3"/>
  <c r="Q127" i="3"/>
  <c r="Q111" i="3"/>
  <c r="Q95" i="3"/>
  <c r="Q75" i="3"/>
  <c r="Q43" i="3"/>
  <c r="H378" i="3"/>
  <c r="P374" i="3"/>
  <c r="P372" i="3"/>
  <c r="H370" i="3"/>
  <c r="H368" i="3"/>
  <c r="P365" i="3"/>
  <c r="P363" i="3"/>
  <c r="P361" i="3"/>
  <c r="P359" i="3"/>
  <c r="P357" i="3"/>
  <c r="P355" i="3"/>
  <c r="H353" i="3"/>
  <c r="H351" i="3"/>
  <c r="H349" i="3"/>
  <c r="H347" i="3"/>
  <c r="H345" i="3"/>
  <c r="H343" i="3"/>
  <c r="H341" i="3"/>
  <c r="H339" i="3"/>
  <c r="H337" i="3"/>
  <c r="H335" i="3"/>
  <c r="H333" i="3"/>
  <c r="H331" i="3"/>
  <c r="H329" i="3"/>
  <c r="H327" i="3"/>
  <c r="P324" i="3"/>
  <c r="P322" i="3"/>
  <c r="P320" i="3"/>
  <c r="P318" i="3"/>
  <c r="P316" i="3"/>
  <c r="P314" i="3"/>
  <c r="P312" i="3"/>
  <c r="P310" i="3"/>
  <c r="P308" i="3"/>
  <c r="P306" i="3"/>
  <c r="P304" i="3"/>
  <c r="P302" i="3"/>
  <c r="P300" i="3"/>
  <c r="P298" i="3"/>
  <c r="G296" i="3"/>
  <c r="G351" i="3"/>
  <c r="G319" i="3"/>
  <c r="G303" i="3"/>
  <c r="C287" i="3"/>
  <c r="Q267" i="3"/>
  <c r="L246" i="3"/>
  <c r="L218" i="3"/>
  <c r="L186" i="3"/>
  <c r="Q139" i="3"/>
  <c r="Q67" i="3"/>
  <c r="P371" i="3"/>
  <c r="H363" i="3"/>
  <c r="H355" i="3"/>
  <c r="P346" i="3"/>
  <c r="P338" i="3"/>
  <c r="P330" i="3"/>
  <c r="H322" i="3"/>
  <c r="H314" i="3"/>
  <c r="H306" i="3"/>
  <c r="H302" i="3"/>
  <c r="H298" i="3"/>
  <c r="G294" i="3"/>
  <c r="G290" i="3"/>
  <c r="G286" i="3"/>
  <c r="G282" i="3"/>
  <c r="G278" i="3"/>
  <c r="G274" i="3"/>
  <c r="G270" i="3"/>
  <c r="L265" i="3"/>
  <c r="G260" i="3"/>
  <c r="Q254" i="3"/>
  <c r="L249" i="3"/>
  <c r="G244" i="3"/>
  <c r="Q238" i="3"/>
  <c r="D231" i="3"/>
  <c r="D223" i="3"/>
  <c r="D215" i="3"/>
  <c r="D207" i="3"/>
  <c r="D199" i="3"/>
  <c r="D191" i="3"/>
  <c r="D183" i="3"/>
  <c r="J173" i="3"/>
  <c r="P162" i="3"/>
  <c r="Q148" i="3"/>
  <c r="Q132" i="3"/>
  <c r="Q116" i="3"/>
  <c r="Q100" i="3"/>
  <c r="Q84" i="3"/>
  <c r="Q53" i="3"/>
  <c r="K379" i="3"/>
  <c r="K377" i="3"/>
  <c r="K375" i="3"/>
  <c r="K373" i="3"/>
  <c r="K371" i="3"/>
  <c r="K369" i="3"/>
  <c r="K367" i="3"/>
  <c r="K365" i="3"/>
  <c r="K363" i="3"/>
  <c r="K361" i="3"/>
  <c r="K359" i="3"/>
  <c r="K357" i="3"/>
  <c r="K355" i="3"/>
  <c r="K353" i="3"/>
  <c r="K351" i="3"/>
  <c r="K349" i="3"/>
  <c r="K347" i="3"/>
  <c r="K345" i="3"/>
  <c r="K343" i="3"/>
  <c r="K341" i="3"/>
  <c r="K339" i="3"/>
  <c r="K337" i="3"/>
  <c r="K335" i="3"/>
  <c r="K333" i="3"/>
  <c r="K331" i="3"/>
  <c r="K329" i="3"/>
  <c r="K327" i="3"/>
  <c r="K325" i="3"/>
  <c r="K323" i="3"/>
  <c r="K321" i="3"/>
  <c r="K319" i="3"/>
  <c r="K317" i="3"/>
  <c r="K315" i="3"/>
  <c r="K313" i="3"/>
  <c r="K311" i="3"/>
  <c r="K309" i="3"/>
  <c r="K307" i="3"/>
  <c r="K305" i="3"/>
  <c r="K303" i="3"/>
  <c r="K301" i="3"/>
  <c r="K299" i="3"/>
  <c r="K297" i="3"/>
  <c r="K293" i="3"/>
  <c r="K289" i="3"/>
  <c r="K285" i="3"/>
  <c r="K281" i="3"/>
  <c r="K277" i="3"/>
  <c r="K273" i="3"/>
  <c r="K269" i="3"/>
  <c r="L264" i="3"/>
  <c r="G259" i="3"/>
  <c r="Q253" i="3"/>
  <c r="L248" i="3"/>
  <c r="G243" i="3"/>
  <c r="L237" i="3"/>
  <c r="L229" i="3"/>
  <c r="L221" i="3"/>
  <c r="L213" i="3"/>
  <c r="L205" i="3"/>
  <c r="L197" i="3"/>
  <c r="L189" i="3"/>
  <c r="L181" i="3"/>
  <c r="J171" i="3"/>
  <c r="P160" i="3"/>
  <c r="Q145" i="3"/>
  <c r="Q129" i="3"/>
  <c r="Q113" i="3"/>
  <c r="Q97" i="3"/>
  <c r="Q79" i="3"/>
  <c r="Q47"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G375" i="3"/>
  <c r="G343" i="3"/>
  <c r="G311" i="3"/>
  <c r="G300" i="3"/>
  <c r="C282" i="3"/>
  <c r="L262" i="3"/>
  <c r="G241" i="3"/>
  <c r="L210" i="3"/>
  <c r="E178" i="3"/>
  <c r="Q123" i="3"/>
  <c r="Q35" i="3"/>
  <c r="P369" i="3"/>
  <c r="H361" i="3"/>
  <c r="P352" i="3"/>
  <c r="P344" i="3"/>
  <c r="P336" i="3"/>
  <c r="P328" i="3"/>
  <c r="H320" i="3"/>
  <c r="H312" i="3"/>
  <c r="H305" i="3"/>
  <c r="H301" i="3"/>
  <c r="P297" i="3"/>
  <c r="G293" i="3"/>
  <c r="G289" i="3"/>
  <c r="G285" i="3"/>
  <c r="G281" i="3"/>
  <c r="G277" i="3"/>
  <c r="G273" i="3"/>
  <c r="G269" i="3"/>
  <c r="G264" i="3"/>
  <c r="Q258" i="3"/>
  <c r="L253" i="3"/>
  <c r="G248" i="3"/>
  <c r="Q242" i="3"/>
  <c r="D237" i="3"/>
  <c r="D229" i="3"/>
  <c r="D221" i="3"/>
  <c r="D213" i="3"/>
  <c r="D205" i="3"/>
  <c r="D197" i="3"/>
  <c r="D189" i="3"/>
  <c r="D181" i="3"/>
  <c r="P170" i="3"/>
  <c r="E160" i="3"/>
  <c r="Q144" i="3"/>
  <c r="Q128" i="3"/>
  <c r="Q112" i="3"/>
  <c r="Q96" i="3"/>
  <c r="Q77" i="3"/>
  <c r="Q45" i="3"/>
  <c r="C379" i="3"/>
  <c r="C377" i="3"/>
  <c r="C375" i="3"/>
  <c r="C373" i="3"/>
  <c r="C371" i="3"/>
  <c r="C369" i="3"/>
  <c r="C367" i="3"/>
  <c r="C365" i="3"/>
  <c r="C363" i="3"/>
  <c r="C361" i="3"/>
  <c r="C359" i="3"/>
  <c r="C357" i="3"/>
  <c r="C355" i="3"/>
  <c r="C353" i="3"/>
  <c r="C351" i="3"/>
  <c r="C349" i="3"/>
  <c r="C347" i="3"/>
  <c r="C345" i="3"/>
  <c r="C343" i="3"/>
  <c r="C341" i="3"/>
  <c r="C339" i="3"/>
  <c r="C337" i="3"/>
  <c r="C335" i="3"/>
  <c r="C333" i="3"/>
  <c r="C331" i="3"/>
  <c r="C329" i="3"/>
  <c r="C327" i="3"/>
  <c r="C325" i="3"/>
  <c r="C323" i="3"/>
  <c r="C321" i="3"/>
  <c r="C319" i="3"/>
  <c r="C317" i="3"/>
  <c r="C315" i="3"/>
  <c r="C313" i="3"/>
  <c r="C311" i="3"/>
  <c r="C309" i="3"/>
  <c r="C307" i="3"/>
  <c r="C305" i="3"/>
  <c r="C303" i="3"/>
  <c r="C301" i="3"/>
  <c r="C299" i="3"/>
  <c r="K296" i="3"/>
  <c r="K292" i="3"/>
  <c r="K288" i="3"/>
  <c r="K284" i="3"/>
  <c r="K280" i="3"/>
  <c r="K276" i="3"/>
  <c r="K272" i="3"/>
  <c r="K268" i="3"/>
  <c r="G263" i="3"/>
  <c r="Q257" i="3"/>
  <c r="L252" i="3"/>
  <c r="G247" i="3"/>
  <c r="Q241" i="3"/>
  <c r="L235" i="3"/>
  <c r="L227" i="3"/>
  <c r="L219" i="3"/>
  <c r="L211" i="3"/>
  <c r="L203" i="3"/>
  <c r="L195" i="3"/>
  <c r="L187" i="3"/>
  <c r="J179" i="3"/>
  <c r="P168" i="3"/>
  <c r="Q157" i="3"/>
  <c r="Q141" i="3"/>
  <c r="Q125" i="3"/>
  <c r="Q109" i="3"/>
  <c r="Q93" i="3"/>
  <c r="Q71" i="3"/>
  <c r="Q39" i="3"/>
  <c r="L20" i="3"/>
  <c r="L21" i="3"/>
  <c r="L22" i="3"/>
  <c r="L23" i="3"/>
  <c r="L24" i="3"/>
  <c r="L25" i="3"/>
  <c r="L26" i="3"/>
  <c r="L27" i="3"/>
  <c r="L28" i="3"/>
  <c r="L29" i="3"/>
  <c r="L30" i="3"/>
  <c r="L31" i="3"/>
  <c r="L32" i="3"/>
  <c r="L33" i="3"/>
  <c r="L34" i="3"/>
  <c r="L35" i="3"/>
  <c r="L36" i="3"/>
  <c r="L37" i="3"/>
  <c r="L38" i="3"/>
  <c r="L39" i="3"/>
  <c r="L40" i="3"/>
  <c r="L41" i="3"/>
  <c r="L42" i="3"/>
  <c r="L43" i="3"/>
  <c r="L44" i="3"/>
  <c r="L45" i="3"/>
  <c r="R45" i="3" s="1"/>
  <c r="L46" i="3"/>
  <c r="L47" i="3"/>
  <c r="L48" i="3"/>
  <c r="L49" i="3"/>
  <c r="L50" i="3"/>
  <c r="L51" i="3"/>
  <c r="L52" i="3"/>
  <c r="L53" i="3"/>
  <c r="L54" i="3"/>
  <c r="L55" i="3"/>
  <c r="L56" i="3"/>
  <c r="L57" i="3"/>
  <c r="L58" i="3"/>
  <c r="L59" i="3"/>
  <c r="L60" i="3"/>
  <c r="L61" i="3"/>
  <c r="L62" i="3"/>
  <c r="L63" i="3"/>
  <c r="L64" i="3"/>
  <c r="L65" i="3"/>
  <c r="G367" i="3"/>
  <c r="G335" i="3"/>
  <c r="G308" i="3"/>
  <c r="O297" i="3"/>
  <c r="C277" i="3"/>
  <c r="G257" i="3"/>
  <c r="L234" i="3"/>
  <c r="L202" i="3"/>
  <c r="J167" i="3"/>
  <c r="Q107" i="3"/>
  <c r="H377" i="3"/>
  <c r="P367" i="3"/>
  <c r="H359" i="3"/>
  <c r="P350" i="3"/>
  <c r="P342" i="3"/>
  <c r="P334" i="3"/>
  <c r="P326" i="3"/>
  <c r="H318" i="3"/>
  <c r="H310" i="3"/>
  <c r="H304" i="3"/>
  <c r="H300" i="3"/>
  <c r="G297" i="3"/>
  <c r="G292" i="3"/>
  <c r="G288" i="3"/>
  <c r="G284" i="3"/>
  <c r="G280" i="3"/>
  <c r="G276" i="3"/>
  <c r="G272" i="3"/>
  <c r="G268" i="3"/>
  <c r="Q262" i="3"/>
  <c r="L257" i="3"/>
  <c r="G252" i="3"/>
  <c r="Q246" i="3"/>
  <c r="L241" i="3"/>
  <c r="D235" i="3"/>
  <c r="D227" i="3"/>
  <c r="D219" i="3"/>
  <c r="D211" i="3"/>
  <c r="D203" i="3"/>
  <c r="D195" i="3"/>
  <c r="D187" i="3"/>
  <c r="P178" i="3"/>
  <c r="E168" i="3"/>
  <c r="Q156" i="3"/>
  <c r="Q140" i="3"/>
  <c r="Q124" i="3"/>
  <c r="Q108" i="3"/>
  <c r="Q92" i="3"/>
  <c r="Q69" i="3"/>
  <c r="Q37" i="3"/>
  <c r="K378" i="3"/>
  <c r="K376" i="3"/>
  <c r="K374" i="3"/>
  <c r="K372" i="3"/>
  <c r="K370" i="3"/>
  <c r="K368" i="3"/>
  <c r="K366" i="3"/>
  <c r="K364" i="3"/>
  <c r="K362" i="3"/>
  <c r="K360" i="3"/>
  <c r="K358" i="3"/>
  <c r="K356" i="3"/>
  <c r="K354" i="3"/>
  <c r="K352" i="3"/>
  <c r="K350" i="3"/>
  <c r="K348" i="3"/>
  <c r="K346" i="3"/>
  <c r="K344" i="3"/>
  <c r="K342" i="3"/>
  <c r="K340" i="3"/>
  <c r="K338" i="3"/>
  <c r="K336" i="3"/>
  <c r="K334" i="3"/>
  <c r="K332" i="3"/>
  <c r="K330" i="3"/>
  <c r="K328" i="3"/>
  <c r="K326" i="3"/>
  <c r="K324" i="3"/>
  <c r="K322" i="3"/>
  <c r="K320" i="3"/>
  <c r="K318" i="3"/>
  <c r="K316" i="3"/>
  <c r="K314" i="3"/>
  <c r="K312" i="3"/>
  <c r="K310" i="3"/>
  <c r="K308" i="3"/>
  <c r="K306" i="3"/>
  <c r="K304" i="3"/>
  <c r="K302" i="3"/>
  <c r="K300" i="3"/>
  <c r="K298" i="3"/>
  <c r="K295" i="3"/>
  <c r="K291" i="3"/>
  <c r="K287" i="3"/>
  <c r="K283" i="3"/>
  <c r="K279" i="3"/>
  <c r="K275" i="3"/>
  <c r="K271" i="3"/>
  <c r="G267" i="3"/>
  <c r="Q261" i="3"/>
  <c r="L256" i="3"/>
  <c r="G251" i="3"/>
  <c r="Q245" i="3"/>
  <c r="L240" i="3"/>
  <c r="L233" i="3"/>
  <c r="L225" i="3"/>
  <c r="L217" i="3"/>
  <c r="L209" i="3"/>
  <c r="L201" i="3"/>
  <c r="L193" i="3"/>
  <c r="L185" i="3"/>
  <c r="P176" i="3"/>
  <c r="E166" i="3"/>
  <c r="Q153" i="3"/>
  <c r="Q137" i="3"/>
  <c r="Q121" i="3"/>
  <c r="Q105" i="3"/>
  <c r="Q89" i="3"/>
  <c r="Q63" i="3"/>
  <c r="Q31"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O305" i="3"/>
  <c r="L226" i="3"/>
  <c r="H374" i="3"/>
  <c r="P340" i="3"/>
  <c r="H308" i="3"/>
  <c r="G291" i="3"/>
  <c r="G275" i="3"/>
  <c r="G256" i="3"/>
  <c r="D233" i="3"/>
  <c r="D201" i="3"/>
  <c r="J165" i="3"/>
  <c r="Q104" i="3"/>
  <c r="C378" i="3"/>
  <c r="C370" i="3"/>
  <c r="C362" i="3"/>
  <c r="C354" i="3"/>
  <c r="C346" i="3"/>
  <c r="C338" i="3"/>
  <c r="C330" i="3"/>
  <c r="C322" i="3"/>
  <c r="C314" i="3"/>
  <c r="C306" i="3"/>
  <c r="C298" i="3"/>
  <c r="K282" i="3"/>
  <c r="Q265" i="3"/>
  <c r="L244" i="3"/>
  <c r="L215" i="3"/>
  <c r="L183" i="3"/>
  <c r="Q133" i="3"/>
  <c r="Q55" i="3"/>
  <c r="D23" i="3"/>
  <c r="D27" i="3"/>
  <c r="D31" i="3"/>
  <c r="D35" i="3"/>
  <c r="D39" i="3"/>
  <c r="D43" i="3"/>
  <c r="D47" i="3"/>
  <c r="D51" i="3"/>
  <c r="D55" i="3"/>
  <c r="D59" i="3"/>
  <c r="D63" i="3"/>
  <c r="H66" i="3"/>
  <c r="L67" i="3"/>
  <c r="P68" i="3"/>
  <c r="P69" i="3"/>
  <c r="P70" i="3"/>
  <c r="P71" i="3"/>
  <c r="P72" i="3"/>
  <c r="P73" i="3"/>
  <c r="P74" i="3"/>
  <c r="P75" i="3"/>
  <c r="P76" i="3"/>
  <c r="P77" i="3"/>
  <c r="P78" i="3"/>
  <c r="P79" i="3"/>
  <c r="P80" i="3"/>
  <c r="P81" i="3"/>
  <c r="P82" i="3"/>
  <c r="P83"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N21" i="3"/>
  <c r="N23" i="3"/>
  <c r="N25" i="3"/>
  <c r="N27" i="3"/>
  <c r="N29" i="3"/>
  <c r="N31" i="3"/>
  <c r="N33" i="3"/>
  <c r="N35" i="3"/>
  <c r="N37" i="3"/>
  <c r="N39" i="3"/>
  <c r="N41" i="3"/>
  <c r="N43" i="3"/>
  <c r="N45" i="3"/>
  <c r="N47" i="3"/>
  <c r="N49" i="3"/>
  <c r="N51" i="3"/>
  <c r="N53" i="3"/>
  <c r="N55" i="3"/>
  <c r="N57" i="3"/>
  <c r="N59" i="3"/>
  <c r="N61" i="3"/>
  <c r="N63" i="3"/>
  <c r="N65" i="3"/>
  <c r="N67" i="3"/>
  <c r="N69" i="3"/>
  <c r="N71" i="3"/>
  <c r="N73" i="3"/>
  <c r="N75" i="3"/>
  <c r="N77" i="3"/>
  <c r="N79" i="3"/>
  <c r="N81" i="3"/>
  <c r="N83" i="3"/>
  <c r="P84" i="3"/>
  <c r="P85" i="3"/>
  <c r="P86" i="3"/>
  <c r="P87" i="3"/>
  <c r="P88" i="3"/>
  <c r="P89" i="3"/>
  <c r="P90" i="3"/>
  <c r="P91" i="3"/>
  <c r="P92" i="3"/>
  <c r="P93" i="3"/>
  <c r="P94" i="3"/>
  <c r="P95" i="3"/>
  <c r="P96" i="3"/>
  <c r="P97" i="3"/>
  <c r="C293" i="3"/>
  <c r="L194" i="3"/>
  <c r="H365" i="3"/>
  <c r="P332" i="3"/>
  <c r="H303" i="3"/>
  <c r="G287" i="3"/>
  <c r="G271" i="3"/>
  <c r="Q250" i="3"/>
  <c r="D225" i="3"/>
  <c r="D193" i="3"/>
  <c r="Q152" i="3"/>
  <c r="Q88" i="3"/>
  <c r="C376" i="3"/>
  <c r="C368" i="3"/>
  <c r="C360" i="3"/>
  <c r="C352" i="3"/>
  <c r="C344" i="3"/>
  <c r="C336" i="3"/>
  <c r="C328" i="3"/>
  <c r="C320" i="3"/>
  <c r="C312" i="3"/>
  <c r="C304" i="3"/>
  <c r="K294" i="3"/>
  <c r="K278" i="3"/>
  <c r="L260" i="3"/>
  <c r="G239" i="3"/>
  <c r="L207" i="3"/>
  <c r="E174" i="3"/>
  <c r="Q117" i="3"/>
  <c r="D20" i="3"/>
  <c r="D24" i="3"/>
  <c r="D28" i="3"/>
  <c r="D32" i="3"/>
  <c r="D36" i="3"/>
  <c r="D40" i="3"/>
  <c r="D44" i="3"/>
  <c r="D48" i="3"/>
  <c r="D52" i="3"/>
  <c r="D56" i="3"/>
  <c r="D60" i="3"/>
  <c r="D64" i="3"/>
  <c r="L66" i="3"/>
  <c r="D68" i="3"/>
  <c r="D69" i="3"/>
  <c r="D70" i="3"/>
  <c r="D71" i="3"/>
  <c r="D72" i="3"/>
  <c r="D73" i="3"/>
  <c r="D74" i="3"/>
  <c r="D75" i="3"/>
  <c r="D76" i="3"/>
  <c r="D77" i="3"/>
  <c r="D78" i="3"/>
  <c r="D79" i="3"/>
  <c r="D80" i="3"/>
  <c r="D81" i="3"/>
  <c r="D82" i="3"/>
  <c r="D83"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F20" i="3"/>
  <c r="F22" i="3"/>
  <c r="F24" i="3"/>
  <c r="F26" i="3"/>
  <c r="F28" i="3"/>
  <c r="F30" i="3"/>
  <c r="F32" i="3"/>
  <c r="F34" i="3"/>
  <c r="F36" i="3"/>
  <c r="F38" i="3"/>
  <c r="F40" i="3"/>
  <c r="F42" i="3"/>
  <c r="F44" i="3"/>
  <c r="F46" i="3"/>
  <c r="F48" i="3"/>
  <c r="F50" i="3"/>
  <c r="F52" i="3"/>
  <c r="F54" i="3"/>
  <c r="F56" i="3"/>
  <c r="F58" i="3"/>
  <c r="F60" i="3"/>
  <c r="F62" i="3"/>
  <c r="F64" i="3"/>
  <c r="F66" i="3"/>
  <c r="G359" i="3"/>
  <c r="C272" i="3"/>
  <c r="Q155" i="3"/>
  <c r="H357" i="3"/>
  <c r="H324" i="3"/>
  <c r="H299" i="3"/>
  <c r="G283" i="3"/>
  <c r="Q266" i="3"/>
  <c r="L245" i="3"/>
  <c r="D217" i="3"/>
  <c r="D185" i="3"/>
  <c r="Q136" i="3"/>
  <c r="Q61" i="3"/>
  <c r="C374" i="3"/>
  <c r="C366" i="3"/>
  <c r="C358" i="3"/>
  <c r="C350" i="3"/>
  <c r="C342" i="3"/>
  <c r="C334" i="3"/>
  <c r="C326" i="3"/>
  <c r="C318" i="3"/>
  <c r="C310" i="3"/>
  <c r="C302" i="3"/>
  <c r="K290" i="3"/>
  <c r="K274" i="3"/>
  <c r="G255" i="3"/>
  <c r="L231" i="3"/>
  <c r="L199" i="3"/>
  <c r="J163" i="3"/>
  <c r="Q101" i="3"/>
  <c r="D21" i="3"/>
  <c r="D25" i="3"/>
  <c r="D29" i="3"/>
  <c r="D33" i="3"/>
  <c r="D37" i="3"/>
  <c r="D41" i="3"/>
  <c r="D45" i="3"/>
  <c r="D49" i="3"/>
  <c r="D53" i="3"/>
  <c r="D57" i="3"/>
  <c r="D61" i="3"/>
  <c r="D65" i="3"/>
  <c r="D67" i="3"/>
  <c r="H68" i="3"/>
  <c r="H69" i="3"/>
  <c r="H70" i="3"/>
  <c r="H71" i="3"/>
  <c r="H72" i="3"/>
  <c r="H73" i="3"/>
  <c r="H74" i="3"/>
  <c r="H75" i="3"/>
  <c r="H76" i="3"/>
  <c r="H77" i="3"/>
  <c r="H78" i="3"/>
  <c r="H79" i="3"/>
  <c r="H80" i="3"/>
  <c r="H81" i="3"/>
  <c r="H82" i="3"/>
  <c r="H83"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N20" i="3"/>
  <c r="N22" i="3"/>
  <c r="N24" i="3"/>
  <c r="N26" i="3"/>
  <c r="N28" i="3"/>
  <c r="N30" i="3"/>
  <c r="N32" i="3"/>
  <c r="N34" i="3"/>
  <c r="N36" i="3"/>
  <c r="N38" i="3"/>
  <c r="N40" i="3"/>
  <c r="N42" i="3"/>
  <c r="N44" i="3"/>
  <c r="N46" i="3"/>
  <c r="N48" i="3"/>
  <c r="N50" i="3"/>
  <c r="N52" i="3"/>
  <c r="N54" i="3"/>
  <c r="N56" i="3"/>
  <c r="N58" i="3"/>
  <c r="N60" i="3"/>
  <c r="N62" i="3"/>
  <c r="N64" i="3"/>
  <c r="N66" i="3"/>
  <c r="N68" i="3"/>
  <c r="N70" i="3"/>
  <c r="N72" i="3"/>
  <c r="N74" i="3"/>
  <c r="N76" i="3"/>
  <c r="N78" i="3"/>
  <c r="N80" i="3"/>
  <c r="N82" i="3"/>
  <c r="H84" i="3"/>
  <c r="H85" i="3"/>
  <c r="H86" i="3"/>
  <c r="H87" i="3"/>
  <c r="H88" i="3"/>
  <c r="H89" i="3"/>
  <c r="H90" i="3"/>
  <c r="H91" i="3"/>
  <c r="H92" i="3"/>
  <c r="H93" i="3"/>
  <c r="H94" i="3"/>
  <c r="H95" i="3"/>
  <c r="H96" i="3"/>
  <c r="H97" i="3"/>
  <c r="H98" i="3"/>
  <c r="H99" i="3"/>
  <c r="H100" i="3"/>
  <c r="H101" i="3"/>
  <c r="H102" i="3"/>
  <c r="H103" i="3"/>
  <c r="H104" i="3"/>
  <c r="H105" i="3"/>
  <c r="H106" i="3"/>
  <c r="H107" i="3"/>
  <c r="G327" i="3"/>
  <c r="H316" i="3"/>
  <c r="G240" i="3"/>
  <c r="Q21" i="3"/>
  <c r="C348" i="3"/>
  <c r="C316" i="3"/>
  <c r="K270" i="3"/>
  <c r="Q149" i="3"/>
  <c r="D30" i="3"/>
  <c r="D46" i="3"/>
  <c r="D62" i="3"/>
  <c r="L69" i="3"/>
  <c r="R69" i="3" s="1"/>
  <c r="L73" i="3"/>
  <c r="L77" i="3"/>
  <c r="R77" i="3" s="1"/>
  <c r="L81" i="3"/>
  <c r="K21" i="3"/>
  <c r="K25" i="3"/>
  <c r="K29" i="3"/>
  <c r="K33" i="3"/>
  <c r="K37" i="3"/>
  <c r="K41" i="3"/>
  <c r="K45" i="3"/>
  <c r="K49" i="3"/>
  <c r="K53" i="3"/>
  <c r="K57" i="3"/>
  <c r="K61" i="3"/>
  <c r="K65" i="3"/>
  <c r="K69" i="3"/>
  <c r="K73" i="3"/>
  <c r="K77" i="3"/>
  <c r="K81" i="3"/>
  <c r="F23" i="3"/>
  <c r="F31" i="3"/>
  <c r="F39" i="3"/>
  <c r="F47" i="3"/>
  <c r="F55" i="3"/>
  <c r="F63" i="3"/>
  <c r="F69" i="3"/>
  <c r="F73" i="3"/>
  <c r="F77" i="3"/>
  <c r="F81" i="3"/>
  <c r="L84" i="3"/>
  <c r="L86" i="3"/>
  <c r="L88" i="3"/>
  <c r="L90" i="3"/>
  <c r="L92" i="3"/>
  <c r="L94" i="3"/>
  <c r="L96" i="3"/>
  <c r="L98" i="3"/>
  <c r="P99" i="3"/>
  <c r="D101" i="3"/>
  <c r="L102" i="3"/>
  <c r="P103" i="3"/>
  <c r="D105" i="3"/>
  <c r="L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E20" i="3"/>
  <c r="E22" i="3"/>
  <c r="E24" i="3"/>
  <c r="E26" i="3"/>
  <c r="E28" i="3"/>
  <c r="E30" i="3"/>
  <c r="E32" i="3"/>
  <c r="E34" i="3"/>
  <c r="E36" i="3"/>
  <c r="E38" i="3"/>
  <c r="E40" i="3"/>
  <c r="E42" i="3"/>
  <c r="E44" i="3"/>
  <c r="E46" i="3"/>
  <c r="E48" i="3"/>
  <c r="E50" i="3"/>
  <c r="E52" i="3"/>
  <c r="E54" i="3"/>
  <c r="E56" i="3"/>
  <c r="E58" i="3"/>
  <c r="E60" i="3"/>
  <c r="E62" i="3"/>
  <c r="E64" i="3"/>
  <c r="E66" i="3"/>
  <c r="E68" i="3"/>
  <c r="E70" i="3"/>
  <c r="E72" i="3"/>
  <c r="E74" i="3"/>
  <c r="E76" i="3"/>
  <c r="E78" i="3"/>
  <c r="E80" i="3"/>
  <c r="E82"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Q251" i="3"/>
  <c r="G295" i="3"/>
  <c r="D209" i="3"/>
  <c r="C372" i="3"/>
  <c r="C340" i="3"/>
  <c r="C308" i="3"/>
  <c r="Q249" i="3"/>
  <c r="Q85" i="3"/>
  <c r="D34" i="3"/>
  <c r="D50" i="3"/>
  <c r="D66" i="3"/>
  <c r="L70" i="3"/>
  <c r="L74" i="3"/>
  <c r="L78" i="3"/>
  <c r="R78" i="3" s="1"/>
  <c r="L82" i="3"/>
  <c r="K22" i="3"/>
  <c r="K26" i="3"/>
  <c r="K30" i="3"/>
  <c r="K34" i="3"/>
  <c r="K38" i="3"/>
  <c r="K42" i="3"/>
  <c r="K46" i="3"/>
  <c r="K50" i="3"/>
  <c r="K54" i="3"/>
  <c r="K58" i="3"/>
  <c r="K62" i="3"/>
  <c r="K66" i="3"/>
  <c r="K70" i="3"/>
  <c r="K74" i="3"/>
  <c r="K78" i="3"/>
  <c r="K82" i="3"/>
  <c r="F25" i="3"/>
  <c r="F33" i="3"/>
  <c r="F41" i="3"/>
  <c r="F49" i="3"/>
  <c r="F57" i="3"/>
  <c r="F65" i="3"/>
  <c r="F70" i="3"/>
  <c r="F74" i="3"/>
  <c r="F78" i="3"/>
  <c r="F82" i="3"/>
  <c r="D85" i="3"/>
  <c r="D87" i="3"/>
  <c r="D89" i="3"/>
  <c r="D91" i="3"/>
  <c r="D93" i="3"/>
  <c r="D95" i="3"/>
  <c r="D97" i="3"/>
  <c r="P98" i="3"/>
  <c r="D100" i="3"/>
  <c r="L101" i="3"/>
  <c r="P102" i="3"/>
  <c r="D104" i="3"/>
  <c r="L105" i="3"/>
  <c r="P106"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M20" i="3"/>
  <c r="M22" i="3"/>
  <c r="M24" i="3"/>
  <c r="M26" i="3"/>
  <c r="M28" i="3"/>
  <c r="M30" i="3"/>
  <c r="M32" i="3"/>
  <c r="M34" i="3"/>
  <c r="M36" i="3"/>
  <c r="M38" i="3"/>
  <c r="M40" i="3"/>
  <c r="M42" i="3"/>
  <c r="M44" i="3"/>
  <c r="M46" i="3"/>
  <c r="M48" i="3"/>
  <c r="M50" i="3"/>
  <c r="M52" i="3"/>
  <c r="M54" i="3"/>
  <c r="M56" i="3"/>
  <c r="M58" i="3"/>
  <c r="M60" i="3"/>
  <c r="M62" i="3"/>
  <c r="M64" i="3"/>
  <c r="M66" i="3"/>
  <c r="M68" i="3"/>
  <c r="M70" i="3"/>
  <c r="M72" i="3"/>
  <c r="M74" i="3"/>
  <c r="M76" i="3"/>
  <c r="M78" i="3"/>
  <c r="M80" i="3"/>
  <c r="M82"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Q91" i="3"/>
  <c r="G279" i="3"/>
  <c r="E176" i="3"/>
  <c r="C364" i="3"/>
  <c r="C332" i="3"/>
  <c r="C300" i="3"/>
  <c r="L223" i="3"/>
  <c r="D22" i="3"/>
  <c r="D38" i="3"/>
  <c r="D54" i="3"/>
  <c r="H67" i="3"/>
  <c r="L71" i="3"/>
  <c r="R71" i="3" s="1"/>
  <c r="L75" i="3"/>
  <c r="L79" i="3"/>
  <c r="L83" i="3"/>
  <c r="K23" i="3"/>
  <c r="K27" i="3"/>
  <c r="K31" i="3"/>
  <c r="K35" i="3"/>
  <c r="K39" i="3"/>
  <c r="K43" i="3"/>
  <c r="K47" i="3"/>
  <c r="K51" i="3"/>
  <c r="K55" i="3"/>
  <c r="K59" i="3"/>
  <c r="K63" i="3"/>
  <c r="K67" i="3"/>
  <c r="K71" i="3"/>
  <c r="K75" i="3"/>
  <c r="K79" i="3"/>
  <c r="K83" i="3"/>
  <c r="F27" i="3"/>
  <c r="F35" i="3"/>
  <c r="F43" i="3"/>
  <c r="F51" i="3"/>
  <c r="F59" i="3"/>
  <c r="F67" i="3"/>
  <c r="F71" i="3"/>
  <c r="F75" i="3"/>
  <c r="F79" i="3"/>
  <c r="F83" i="3"/>
  <c r="L85" i="3"/>
  <c r="L87" i="3"/>
  <c r="L89" i="3"/>
  <c r="L91" i="3"/>
  <c r="L93" i="3"/>
  <c r="L95" i="3"/>
  <c r="L97" i="3"/>
  <c r="D99" i="3"/>
  <c r="L100" i="3"/>
  <c r="P101" i="3"/>
  <c r="D103" i="3"/>
  <c r="L104" i="3"/>
  <c r="P105" i="3"/>
  <c r="D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E21" i="3"/>
  <c r="E23" i="3"/>
  <c r="E25" i="3"/>
  <c r="E27" i="3"/>
  <c r="E29" i="3"/>
  <c r="E31" i="3"/>
  <c r="E33" i="3"/>
  <c r="E35" i="3"/>
  <c r="E37" i="3"/>
  <c r="E39" i="3"/>
  <c r="E41" i="3"/>
  <c r="E43" i="3"/>
  <c r="E45" i="3"/>
  <c r="E47" i="3"/>
  <c r="E49" i="3"/>
  <c r="E51" i="3"/>
  <c r="E53" i="3"/>
  <c r="E55" i="3"/>
  <c r="E57" i="3"/>
  <c r="E59" i="3"/>
  <c r="E61" i="3"/>
  <c r="E63" i="3"/>
  <c r="E65" i="3"/>
  <c r="E67" i="3"/>
  <c r="E69" i="3"/>
  <c r="E71" i="3"/>
  <c r="E73" i="3"/>
  <c r="E75" i="3"/>
  <c r="E77" i="3"/>
  <c r="E79" i="3"/>
  <c r="E81" i="3"/>
  <c r="E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P348" i="3"/>
  <c r="C324" i="3"/>
  <c r="D42" i="3"/>
  <c r="L76" i="3"/>
  <c r="K28" i="3"/>
  <c r="K44" i="3"/>
  <c r="K60" i="3"/>
  <c r="K76" i="3"/>
  <c r="F37" i="3"/>
  <c r="F68" i="3"/>
  <c r="D84" i="3"/>
  <c r="D92" i="3"/>
  <c r="L99" i="3"/>
  <c r="P104" i="3"/>
  <c r="L109" i="3"/>
  <c r="L113" i="3"/>
  <c r="R113" i="3" s="1"/>
  <c r="L117" i="3"/>
  <c r="L121" i="3"/>
  <c r="L125" i="3"/>
  <c r="L129" i="3"/>
  <c r="L133" i="3"/>
  <c r="L137" i="3"/>
  <c r="L141" i="3"/>
  <c r="L145" i="3"/>
  <c r="L149" i="3"/>
  <c r="L153" i="3"/>
  <c r="L157" i="3"/>
  <c r="M25" i="3"/>
  <c r="M33" i="3"/>
  <c r="M41" i="3"/>
  <c r="M49" i="3"/>
  <c r="M57" i="3"/>
  <c r="M65" i="3"/>
  <c r="M73" i="3"/>
  <c r="M81" i="3"/>
  <c r="O86" i="3"/>
  <c r="O90" i="3"/>
  <c r="O94" i="3"/>
  <c r="O98" i="3"/>
  <c r="O102" i="3"/>
  <c r="O106" i="3"/>
  <c r="O110" i="3"/>
  <c r="O114" i="3"/>
  <c r="G117" i="3"/>
  <c r="G119" i="3"/>
  <c r="G121" i="3"/>
  <c r="G123" i="3"/>
  <c r="G125" i="3"/>
  <c r="G127" i="3"/>
  <c r="G129" i="3"/>
  <c r="G131" i="3"/>
  <c r="G133" i="3"/>
  <c r="G135" i="3"/>
  <c r="G137" i="3"/>
  <c r="G139" i="3"/>
  <c r="G141" i="3"/>
  <c r="G143" i="3"/>
  <c r="G145" i="3"/>
  <c r="G147" i="3"/>
  <c r="G149" i="3"/>
  <c r="G151" i="3"/>
  <c r="G153" i="3"/>
  <c r="G155" i="3"/>
  <c r="G157" i="3"/>
  <c r="G159" i="3"/>
  <c r="G161" i="3"/>
  <c r="G163" i="3"/>
  <c r="C165" i="3"/>
  <c r="G166" i="3"/>
  <c r="O167" i="3"/>
  <c r="C169" i="3"/>
  <c r="G170" i="3"/>
  <c r="G171" i="3"/>
  <c r="G172" i="3"/>
  <c r="G173" i="3"/>
  <c r="G174" i="3"/>
  <c r="G175" i="3"/>
  <c r="G176" i="3"/>
  <c r="G177" i="3"/>
  <c r="G178" i="3"/>
  <c r="G179" i="3"/>
  <c r="J21" i="3"/>
  <c r="J25" i="3"/>
  <c r="J29" i="3"/>
  <c r="J33" i="3"/>
  <c r="J37" i="3"/>
  <c r="J41" i="3"/>
  <c r="J45" i="3"/>
  <c r="J49" i="3"/>
  <c r="J53" i="3"/>
  <c r="J57" i="3"/>
  <c r="J61" i="3"/>
  <c r="J65" i="3"/>
  <c r="J69" i="3"/>
  <c r="J73" i="3"/>
  <c r="J77" i="3"/>
  <c r="J81" i="3"/>
  <c r="N84" i="3"/>
  <c r="N86" i="3"/>
  <c r="N88" i="3"/>
  <c r="N90" i="3"/>
  <c r="N92" i="3"/>
  <c r="N94" i="3"/>
  <c r="N96" i="3"/>
  <c r="N98" i="3"/>
  <c r="N100" i="3"/>
  <c r="N102" i="3"/>
  <c r="N104" i="3"/>
  <c r="N106" i="3"/>
  <c r="N108" i="3"/>
  <c r="N110" i="3"/>
  <c r="N112" i="3"/>
  <c r="N114" i="3"/>
  <c r="N116" i="3"/>
  <c r="N118" i="3"/>
  <c r="N120" i="3"/>
  <c r="N122" i="3"/>
  <c r="N124" i="3"/>
  <c r="N126" i="3"/>
  <c r="N128" i="3"/>
  <c r="N130" i="3"/>
  <c r="N132" i="3"/>
  <c r="N134" i="3"/>
  <c r="N136" i="3"/>
  <c r="N138" i="3"/>
  <c r="N140" i="3"/>
  <c r="N142" i="3"/>
  <c r="N144" i="3"/>
  <c r="N146" i="3"/>
  <c r="N148" i="3"/>
  <c r="N150" i="3"/>
  <c r="N152" i="3"/>
  <c r="N154" i="3"/>
  <c r="N156" i="3"/>
  <c r="N158" i="3"/>
  <c r="D160" i="3"/>
  <c r="I161" i="3"/>
  <c r="N162" i="3"/>
  <c r="D164" i="3"/>
  <c r="I165" i="3"/>
  <c r="N166" i="3"/>
  <c r="D168" i="3"/>
  <c r="I169" i="3"/>
  <c r="N170" i="3"/>
  <c r="D172" i="3"/>
  <c r="I173" i="3"/>
  <c r="N174" i="3"/>
  <c r="D176" i="3"/>
  <c r="I177" i="3"/>
  <c r="N178"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L261" i="3"/>
  <c r="K286" i="3"/>
  <c r="D58" i="3"/>
  <c r="L80" i="3"/>
  <c r="K32" i="3"/>
  <c r="K48" i="3"/>
  <c r="K64" i="3"/>
  <c r="K80" i="3"/>
  <c r="F45" i="3"/>
  <c r="F72" i="3"/>
  <c r="D86" i="3"/>
  <c r="D94" i="3"/>
  <c r="P100" i="3"/>
  <c r="D106" i="3"/>
  <c r="L110" i="3"/>
  <c r="L114" i="3"/>
  <c r="R114" i="3" s="1"/>
  <c r="L118" i="3"/>
  <c r="L122" i="3"/>
  <c r="L126" i="3"/>
  <c r="L130" i="3"/>
  <c r="L134" i="3"/>
  <c r="L138" i="3"/>
  <c r="L142" i="3"/>
  <c r="L146" i="3"/>
  <c r="L150" i="3"/>
  <c r="L154" i="3"/>
  <c r="L158" i="3"/>
  <c r="M27" i="3"/>
  <c r="M35" i="3"/>
  <c r="M43" i="3"/>
  <c r="M51" i="3"/>
  <c r="M59" i="3"/>
  <c r="M67" i="3"/>
  <c r="M75" i="3"/>
  <c r="M83" i="3"/>
  <c r="O87" i="3"/>
  <c r="O91" i="3"/>
  <c r="O95" i="3"/>
  <c r="O99" i="3"/>
  <c r="O103" i="3"/>
  <c r="O107" i="3"/>
  <c r="O111" i="3"/>
  <c r="O115" i="3"/>
  <c r="O117" i="3"/>
  <c r="O119" i="3"/>
  <c r="O121" i="3"/>
  <c r="O123" i="3"/>
  <c r="O125" i="3"/>
  <c r="O127" i="3"/>
  <c r="O129" i="3"/>
  <c r="O131" i="3"/>
  <c r="O133" i="3"/>
  <c r="O135" i="3"/>
  <c r="O137" i="3"/>
  <c r="O139" i="3"/>
  <c r="O141" i="3"/>
  <c r="O143" i="3"/>
  <c r="O145" i="3"/>
  <c r="O147" i="3"/>
  <c r="O149" i="3"/>
  <c r="O151" i="3"/>
  <c r="O153" i="3"/>
  <c r="O155" i="3"/>
  <c r="O157" i="3"/>
  <c r="O159" i="3"/>
  <c r="O161" i="3"/>
  <c r="O163" i="3"/>
  <c r="G165" i="3"/>
  <c r="O166" i="3"/>
  <c r="C168" i="3"/>
  <c r="G169" i="3"/>
  <c r="K170" i="3"/>
  <c r="K171" i="3"/>
  <c r="K172" i="3"/>
  <c r="K173" i="3"/>
  <c r="K174" i="3"/>
  <c r="K175" i="3"/>
  <c r="K176" i="3"/>
  <c r="K177" i="3"/>
  <c r="K178" i="3"/>
  <c r="K179" i="3"/>
  <c r="J22" i="3"/>
  <c r="J26" i="3"/>
  <c r="J30" i="3"/>
  <c r="J34" i="3"/>
  <c r="J38" i="3"/>
  <c r="J42" i="3"/>
  <c r="J46" i="3"/>
  <c r="J50" i="3"/>
  <c r="J54" i="3"/>
  <c r="J58" i="3"/>
  <c r="J62" i="3"/>
  <c r="J66" i="3"/>
  <c r="J70" i="3"/>
  <c r="J74" i="3"/>
  <c r="J78" i="3"/>
  <c r="J82" i="3"/>
  <c r="F85" i="3"/>
  <c r="F87" i="3"/>
  <c r="F89" i="3"/>
  <c r="F91" i="3"/>
  <c r="F93" i="3"/>
  <c r="F95" i="3"/>
  <c r="F97" i="3"/>
  <c r="F99" i="3"/>
  <c r="F101" i="3"/>
  <c r="F103" i="3"/>
  <c r="F105" i="3"/>
  <c r="F107" i="3"/>
  <c r="F109" i="3"/>
  <c r="F111" i="3"/>
  <c r="F113" i="3"/>
  <c r="F115" i="3"/>
  <c r="F117" i="3"/>
  <c r="F119" i="3"/>
  <c r="F121" i="3"/>
  <c r="F123" i="3"/>
  <c r="F125" i="3"/>
  <c r="F127" i="3"/>
  <c r="F129" i="3"/>
  <c r="F131" i="3"/>
  <c r="F133" i="3"/>
  <c r="F135" i="3"/>
  <c r="F137" i="3"/>
  <c r="F139" i="3"/>
  <c r="F141" i="3"/>
  <c r="F143" i="3"/>
  <c r="F145" i="3"/>
  <c r="F147" i="3"/>
  <c r="F149" i="3"/>
  <c r="F151" i="3"/>
  <c r="F153" i="3"/>
  <c r="F155" i="3"/>
  <c r="F157" i="3"/>
  <c r="D159" i="3"/>
  <c r="I160" i="3"/>
  <c r="N161" i="3"/>
  <c r="D163" i="3"/>
  <c r="I164" i="3"/>
  <c r="N165" i="3"/>
  <c r="D167" i="3"/>
  <c r="I168" i="3"/>
  <c r="N169" i="3"/>
  <c r="D171" i="3"/>
  <c r="I172" i="3"/>
  <c r="N173" i="3"/>
  <c r="D175" i="3"/>
  <c r="I176" i="3"/>
  <c r="N177" i="3"/>
  <c r="D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Q120" i="3"/>
  <c r="L191" i="3"/>
  <c r="L68" i="3"/>
  <c r="K20" i="3"/>
  <c r="K36" i="3"/>
  <c r="K52" i="3"/>
  <c r="K68" i="3"/>
  <c r="F21" i="3"/>
  <c r="F53" i="3"/>
  <c r="F76" i="3"/>
  <c r="D88" i="3"/>
  <c r="D96" i="3"/>
  <c r="D102" i="3"/>
  <c r="L107" i="3"/>
  <c r="L111" i="3"/>
  <c r="L115" i="3"/>
  <c r="R115" i="3" s="1"/>
  <c r="L119" i="3"/>
  <c r="L123" i="3"/>
  <c r="L127" i="3"/>
  <c r="L131" i="3"/>
  <c r="L135" i="3"/>
  <c r="L139" i="3"/>
  <c r="L143" i="3"/>
  <c r="L147" i="3"/>
  <c r="L151" i="3"/>
  <c r="L155" i="3"/>
  <c r="M21" i="3"/>
  <c r="M29" i="3"/>
  <c r="M37" i="3"/>
  <c r="M45" i="3"/>
  <c r="M53" i="3"/>
  <c r="M61" i="3"/>
  <c r="M69" i="3"/>
  <c r="M77" i="3"/>
  <c r="O84" i="3"/>
  <c r="O88" i="3"/>
  <c r="O92" i="3"/>
  <c r="O96" i="3"/>
  <c r="O100" i="3"/>
  <c r="O104" i="3"/>
  <c r="O108" i="3"/>
  <c r="O112" i="3"/>
  <c r="G116" i="3"/>
  <c r="G118" i="3"/>
  <c r="G120" i="3"/>
  <c r="G122" i="3"/>
  <c r="G124" i="3"/>
  <c r="G126" i="3"/>
  <c r="G128" i="3"/>
  <c r="G130" i="3"/>
  <c r="G132" i="3"/>
  <c r="G134" i="3"/>
  <c r="G136" i="3"/>
  <c r="G138" i="3"/>
  <c r="G140" i="3"/>
  <c r="G142" i="3"/>
  <c r="G144" i="3"/>
  <c r="G146" i="3"/>
  <c r="G148" i="3"/>
  <c r="G150" i="3"/>
  <c r="G152" i="3"/>
  <c r="G154" i="3"/>
  <c r="G156" i="3"/>
  <c r="G158" i="3"/>
  <c r="G160" i="3"/>
  <c r="G162" i="3"/>
  <c r="G164" i="3"/>
  <c r="O165" i="3"/>
  <c r="C167" i="3"/>
  <c r="G168" i="3"/>
  <c r="O169" i="3"/>
  <c r="O170" i="3"/>
  <c r="O171" i="3"/>
  <c r="O172" i="3"/>
  <c r="O173" i="3"/>
  <c r="O174" i="3"/>
  <c r="O175" i="3"/>
  <c r="O176" i="3"/>
  <c r="O177" i="3"/>
  <c r="O178" i="3"/>
  <c r="O179" i="3"/>
  <c r="J23" i="3"/>
  <c r="J27" i="3"/>
  <c r="J31" i="3"/>
  <c r="J35" i="3"/>
  <c r="J39" i="3"/>
  <c r="J43" i="3"/>
  <c r="J47" i="3"/>
  <c r="J51" i="3"/>
  <c r="J55" i="3"/>
  <c r="J59" i="3"/>
  <c r="J63" i="3"/>
  <c r="J67" i="3"/>
  <c r="J71" i="3"/>
  <c r="J75" i="3"/>
  <c r="J79" i="3"/>
  <c r="J83" i="3"/>
  <c r="N85" i="3"/>
  <c r="N87" i="3"/>
  <c r="N89" i="3"/>
  <c r="N91" i="3"/>
  <c r="N93" i="3"/>
  <c r="N95" i="3"/>
  <c r="N97" i="3"/>
  <c r="N99" i="3"/>
  <c r="N101" i="3"/>
  <c r="N103" i="3"/>
  <c r="N105" i="3"/>
  <c r="N107" i="3"/>
  <c r="N109" i="3"/>
  <c r="N111" i="3"/>
  <c r="N113" i="3"/>
  <c r="N115" i="3"/>
  <c r="N117" i="3"/>
  <c r="N119" i="3"/>
  <c r="N121" i="3"/>
  <c r="N123" i="3"/>
  <c r="N125" i="3"/>
  <c r="N127" i="3"/>
  <c r="N129" i="3"/>
  <c r="N131" i="3"/>
  <c r="N133" i="3"/>
  <c r="N135" i="3"/>
  <c r="N137" i="3"/>
  <c r="N139" i="3"/>
  <c r="N141" i="3"/>
  <c r="N143" i="3"/>
  <c r="N145" i="3"/>
  <c r="N147" i="3"/>
  <c r="N149" i="3"/>
  <c r="N151" i="3"/>
  <c r="N153" i="3"/>
  <c r="N155" i="3"/>
  <c r="N157" i="3"/>
  <c r="I159" i="3"/>
  <c r="N160" i="3"/>
  <c r="D162" i="3"/>
  <c r="I163" i="3"/>
  <c r="N164" i="3"/>
  <c r="D166" i="3"/>
  <c r="I167" i="3"/>
  <c r="N168" i="3"/>
  <c r="D170" i="3"/>
  <c r="I171" i="3"/>
  <c r="N172" i="3"/>
  <c r="D174" i="3"/>
  <c r="I175" i="3"/>
  <c r="N176" i="3"/>
  <c r="D178" i="3"/>
  <c r="I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I23" i="3"/>
  <c r="I27" i="3"/>
  <c r="I31" i="3"/>
  <c r="I35" i="3"/>
  <c r="I39" i="3"/>
  <c r="I43" i="3"/>
  <c r="I47" i="3"/>
  <c r="I51" i="3"/>
  <c r="I55" i="3"/>
  <c r="I59" i="3"/>
  <c r="I63" i="3"/>
  <c r="I67" i="3"/>
  <c r="I71" i="3"/>
  <c r="I75" i="3"/>
  <c r="I79" i="3"/>
  <c r="I83" i="3"/>
  <c r="M85" i="3"/>
  <c r="M87" i="3"/>
  <c r="M89" i="3"/>
  <c r="M91" i="3"/>
  <c r="M93" i="3"/>
  <c r="M95" i="3"/>
  <c r="M97" i="3"/>
  <c r="M99" i="3"/>
  <c r="M101" i="3"/>
  <c r="M103" i="3"/>
  <c r="M105" i="3"/>
  <c r="M107" i="3"/>
  <c r="M109" i="3"/>
  <c r="M111" i="3"/>
  <c r="M113" i="3"/>
  <c r="M115" i="3"/>
  <c r="M117" i="3"/>
  <c r="M119" i="3"/>
  <c r="M121" i="3"/>
  <c r="M123" i="3"/>
  <c r="M125" i="3"/>
  <c r="M127" i="3"/>
  <c r="M129" i="3"/>
  <c r="M131" i="3"/>
  <c r="M133" i="3"/>
  <c r="M135" i="3"/>
  <c r="M137" i="3"/>
  <c r="M139" i="3"/>
  <c r="M141" i="3"/>
  <c r="M143" i="3"/>
  <c r="M145" i="3"/>
  <c r="M147" i="3"/>
  <c r="M149" i="3"/>
  <c r="M151" i="3"/>
  <c r="M153" i="3"/>
  <c r="M155" i="3"/>
  <c r="M157" i="3"/>
  <c r="H159" i="3"/>
  <c r="M160" i="3"/>
  <c r="B162" i="3"/>
  <c r="H163" i="3"/>
  <c r="M164" i="3"/>
  <c r="B166" i="3"/>
  <c r="H167" i="3"/>
  <c r="M168" i="3"/>
  <c r="B170" i="3"/>
  <c r="H171" i="3"/>
  <c r="M172" i="3"/>
  <c r="B174" i="3"/>
  <c r="H175" i="3"/>
  <c r="M176" i="3"/>
  <c r="B178" i="3"/>
  <c r="H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C356" i="3"/>
  <c r="K40" i="3"/>
  <c r="F61" i="3"/>
  <c r="L103" i="3"/>
  <c r="L120" i="3"/>
  <c r="L136" i="3"/>
  <c r="L152" i="3"/>
  <c r="M39" i="3"/>
  <c r="M71" i="3"/>
  <c r="O93" i="3"/>
  <c r="O109" i="3"/>
  <c r="O120" i="3"/>
  <c r="O128" i="3"/>
  <c r="O136" i="3"/>
  <c r="O144" i="3"/>
  <c r="O152" i="3"/>
  <c r="O160" i="3"/>
  <c r="G167" i="3"/>
  <c r="C172" i="3"/>
  <c r="C176" i="3"/>
  <c r="J20" i="3"/>
  <c r="J36" i="3"/>
  <c r="J52" i="3"/>
  <c r="J68" i="3"/>
  <c r="F84" i="3"/>
  <c r="F92" i="3"/>
  <c r="F100" i="3"/>
  <c r="F108" i="3"/>
  <c r="F116" i="3"/>
  <c r="F124" i="3"/>
  <c r="F132" i="3"/>
  <c r="F140" i="3"/>
  <c r="F148" i="3"/>
  <c r="F156" i="3"/>
  <c r="I162" i="3"/>
  <c r="N167" i="3"/>
  <c r="D173" i="3"/>
  <c r="I178" i="3"/>
  <c r="O182" i="3"/>
  <c r="O186" i="3"/>
  <c r="O190" i="3"/>
  <c r="O194" i="3"/>
  <c r="O198" i="3"/>
  <c r="O202" i="3"/>
  <c r="O206" i="3"/>
  <c r="O210" i="3"/>
  <c r="O214" i="3"/>
  <c r="O218" i="3"/>
  <c r="O222" i="3"/>
  <c r="O226" i="3"/>
  <c r="C229" i="3"/>
  <c r="G230" i="3"/>
  <c r="O231" i="3"/>
  <c r="C233" i="3"/>
  <c r="G234" i="3"/>
  <c r="O235" i="3"/>
  <c r="C237" i="3"/>
  <c r="G238" i="3"/>
  <c r="I24" i="3"/>
  <c r="I29" i="3"/>
  <c r="I34" i="3"/>
  <c r="I40" i="3"/>
  <c r="I45" i="3"/>
  <c r="I50" i="3"/>
  <c r="I56" i="3"/>
  <c r="I61" i="3"/>
  <c r="I66" i="3"/>
  <c r="I72" i="3"/>
  <c r="I77" i="3"/>
  <c r="I82" i="3"/>
  <c r="E86" i="3"/>
  <c r="M88" i="3"/>
  <c r="E91" i="3"/>
  <c r="E94" i="3"/>
  <c r="M96" i="3"/>
  <c r="E99" i="3"/>
  <c r="E102" i="3"/>
  <c r="M104" i="3"/>
  <c r="E107" i="3"/>
  <c r="E110" i="3"/>
  <c r="M112" i="3"/>
  <c r="E115" i="3"/>
  <c r="E118" i="3"/>
  <c r="M120" i="3"/>
  <c r="E123" i="3"/>
  <c r="E126" i="3"/>
  <c r="M128" i="3"/>
  <c r="E131" i="3"/>
  <c r="E134" i="3"/>
  <c r="M136" i="3"/>
  <c r="E139" i="3"/>
  <c r="E142" i="3"/>
  <c r="M144" i="3"/>
  <c r="E147" i="3"/>
  <c r="E150" i="3"/>
  <c r="M152" i="3"/>
  <c r="E155" i="3"/>
  <c r="E158" i="3"/>
  <c r="B160" i="3"/>
  <c r="M161" i="3"/>
  <c r="M163" i="3"/>
  <c r="H165" i="3"/>
  <c r="B167" i="3"/>
  <c r="B169" i="3"/>
  <c r="M170" i="3"/>
  <c r="H172" i="3"/>
  <c r="H174" i="3"/>
  <c r="B176" i="3"/>
  <c r="M177" i="3"/>
  <c r="M179" i="3"/>
  <c r="B181" i="3"/>
  <c r="F182" i="3"/>
  <c r="N183" i="3"/>
  <c r="B185" i="3"/>
  <c r="F186" i="3"/>
  <c r="N187" i="3"/>
  <c r="B189" i="3"/>
  <c r="F190" i="3"/>
  <c r="N191" i="3"/>
  <c r="B193" i="3"/>
  <c r="F194" i="3"/>
  <c r="N195" i="3"/>
  <c r="B197" i="3"/>
  <c r="F198" i="3"/>
  <c r="N199" i="3"/>
  <c r="B201" i="3"/>
  <c r="F202" i="3"/>
  <c r="N203" i="3"/>
  <c r="B205" i="3"/>
  <c r="F206" i="3"/>
  <c r="N207" i="3"/>
  <c r="B209" i="3"/>
  <c r="F210" i="3"/>
  <c r="N211" i="3"/>
  <c r="B213" i="3"/>
  <c r="F214" i="3"/>
  <c r="N215" i="3"/>
  <c r="B217" i="3"/>
  <c r="F218" i="3"/>
  <c r="N219" i="3"/>
  <c r="B221" i="3"/>
  <c r="F222" i="3"/>
  <c r="N223" i="3"/>
  <c r="B225" i="3"/>
  <c r="F226" i="3"/>
  <c r="N227" i="3"/>
  <c r="B229" i="3"/>
  <c r="F230" i="3"/>
  <c r="N231" i="3"/>
  <c r="B233" i="3"/>
  <c r="F234" i="3"/>
  <c r="N235" i="3"/>
  <c r="B237" i="3"/>
  <c r="F238" i="3"/>
  <c r="N239" i="3"/>
  <c r="B241" i="3"/>
  <c r="F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B21" i="3"/>
  <c r="B29" i="3"/>
  <c r="B37" i="3"/>
  <c r="B45" i="3"/>
  <c r="B53" i="3"/>
  <c r="B61" i="3"/>
  <c r="B69" i="3"/>
  <c r="B77" i="3"/>
  <c r="J84" i="3"/>
  <c r="J88" i="3"/>
  <c r="J92" i="3"/>
  <c r="J96" i="3"/>
  <c r="J100" i="3"/>
  <c r="J104" i="3"/>
  <c r="J108" i="3"/>
  <c r="J112" i="3"/>
  <c r="J116" i="3"/>
  <c r="J120" i="3"/>
  <c r="J124" i="3"/>
  <c r="J128" i="3"/>
  <c r="J132" i="3"/>
  <c r="J136" i="3"/>
  <c r="J140" i="3"/>
  <c r="J144" i="3"/>
  <c r="J148" i="3"/>
  <c r="J152" i="3"/>
  <c r="J156" i="3"/>
  <c r="Q159" i="3"/>
  <c r="L162" i="3"/>
  <c r="F165" i="3"/>
  <c r="Q167" i="3"/>
  <c r="L170" i="3"/>
  <c r="F173" i="3"/>
  <c r="Q175" i="3"/>
  <c r="L178" i="3"/>
  <c r="Q180" i="3"/>
  <c r="Q182" i="3"/>
  <c r="Q184" i="3"/>
  <c r="Q186" i="3"/>
  <c r="Q188" i="3"/>
  <c r="Q190" i="3"/>
  <c r="Q192" i="3"/>
  <c r="Q194" i="3"/>
  <c r="Q196" i="3"/>
  <c r="Q198" i="3"/>
  <c r="Q200" i="3"/>
  <c r="Q202" i="3"/>
  <c r="Q204" i="3"/>
  <c r="Q206" i="3"/>
  <c r="Q208" i="3"/>
  <c r="Q210" i="3"/>
  <c r="Q212" i="3"/>
  <c r="Q214" i="3"/>
  <c r="Q216" i="3"/>
  <c r="Q218" i="3"/>
  <c r="Q220" i="3"/>
  <c r="Q222" i="3"/>
  <c r="Q224" i="3"/>
  <c r="Q226" i="3"/>
  <c r="Q228" i="3"/>
  <c r="Q230" i="3"/>
  <c r="Q232" i="3"/>
  <c r="Q234" i="3"/>
  <c r="Q236" i="3"/>
  <c r="P238" i="3"/>
  <c r="E240" i="3"/>
  <c r="K241" i="3"/>
  <c r="P242" i="3"/>
  <c r="E244" i="3"/>
  <c r="K245" i="3"/>
  <c r="P246" i="3"/>
  <c r="E248" i="3"/>
  <c r="K249" i="3"/>
  <c r="P250" i="3"/>
  <c r="E252" i="3"/>
  <c r="K253" i="3"/>
  <c r="P254" i="3"/>
  <c r="E256" i="3"/>
  <c r="K257" i="3"/>
  <c r="P258" i="3"/>
  <c r="E260" i="3"/>
  <c r="K261" i="3"/>
  <c r="P262" i="3"/>
  <c r="E264" i="3"/>
  <c r="K265" i="3"/>
  <c r="P266" i="3"/>
  <c r="E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D26" i="3"/>
  <c r="K56" i="3"/>
  <c r="F80" i="3"/>
  <c r="L108" i="3"/>
  <c r="L124" i="3"/>
  <c r="L140" i="3"/>
  <c r="L156" i="3"/>
  <c r="M47" i="3"/>
  <c r="M79" i="3"/>
  <c r="O97" i="3"/>
  <c r="O113" i="3"/>
  <c r="O122" i="3"/>
  <c r="O130" i="3"/>
  <c r="O138" i="3"/>
  <c r="O146" i="3"/>
  <c r="O154" i="3"/>
  <c r="O162" i="3"/>
  <c r="O168" i="3"/>
  <c r="C173" i="3"/>
  <c r="C177" i="3"/>
  <c r="J24" i="3"/>
  <c r="J40" i="3"/>
  <c r="J56" i="3"/>
  <c r="J72" i="3"/>
  <c r="F86" i="3"/>
  <c r="F94" i="3"/>
  <c r="F102" i="3"/>
  <c r="F110" i="3"/>
  <c r="F118" i="3"/>
  <c r="F126" i="3"/>
  <c r="F134" i="3"/>
  <c r="F142" i="3"/>
  <c r="F150" i="3"/>
  <c r="F158" i="3"/>
  <c r="N163" i="3"/>
  <c r="D169" i="3"/>
  <c r="I174" i="3"/>
  <c r="N179" i="3"/>
  <c r="O183" i="3"/>
  <c r="O187" i="3"/>
  <c r="O191" i="3"/>
  <c r="O195" i="3"/>
  <c r="O199" i="3"/>
  <c r="O203" i="3"/>
  <c r="O207" i="3"/>
  <c r="O211" i="3"/>
  <c r="O215" i="3"/>
  <c r="O219" i="3"/>
  <c r="O223" i="3"/>
  <c r="O227" i="3"/>
  <c r="G229" i="3"/>
  <c r="O230" i="3"/>
  <c r="C232" i="3"/>
  <c r="G233" i="3"/>
  <c r="O234" i="3"/>
  <c r="C236" i="3"/>
  <c r="G237" i="3"/>
  <c r="I20" i="3"/>
  <c r="I25" i="3"/>
  <c r="I30" i="3"/>
  <c r="I36" i="3"/>
  <c r="I41" i="3"/>
  <c r="I46" i="3"/>
  <c r="I52" i="3"/>
  <c r="I57" i="3"/>
  <c r="I62" i="3"/>
  <c r="I68" i="3"/>
  <c r="I73" i="3"/>
  <c r="I78" i="3"/>
  <c r="E84" i="3"/>
  <c r="M86" i="3"/>
  <c r="E89" i="3"/>
  <c r="E92" i="3"/>
  <c r="M94" i="3"/>
  <c r="E97" i="3"/>
  <c r="E100" i="3"/>
  <c r="M102" i="3"/>
  <c r="E105" i="3"/>
  <c r="E108" i="3"/>
  <c r="M110" i="3"/>
  <c r="E113" i="3"/>
  <c r="E116" i="3"/>
  <c r="M118" i="3"/>
  <c r="E121" i="3"/>
  <c r="E124" i="3"/>
  <c r="M126" i="3"/>
  <c r="E129" i="3"/>
  <c r="E132" i="3"/>
  <c r="M134" i="3"/>
  <c r="E137" i="3"/>
  <c r="E140" i="3"/>
  <c r="M142" i="3"/>
  <c r="E145" i="3"/>
  <c r="E148" i="3"/>
  <c r="M150" i="3"/>
  <c r="E153" i="3"/>
  <c r="E156" i="3"/>
  <c r="M158" i="3"/>
  <c r="H160" i="3"/>
  <c r="H162" i="3"/>
  <c r="B164" i="3"/>
  <c r="M165" i="3"/>
  <c r="M167" i="3"/>
  <c r="H169" i="3"/>
  <c r="B171" i="3"/>
  <c r="B173" i="3"/>
  <c r="M174" i="3"/>
  <c r="H176" i="3"/>
  <c r="H178" i="3"/>
  <c r="B180" i="3"/>
  <c r="F181" i="3"/>
  <c r="N182" i="3"/>
  <c r="B184" i="3"/>
  <c r="F185" i="3"/>
  <c r="N186" i="3"/>
  <c r="B188" i="3"/>
  <c r="F189" i="3"/>
  <c r="N190" i="3"/>
  <c r="B192" i="3"/>
  <c r="F193" i="3"/>
  <c r="N194" i="3"/>
  <c r="B196" i="3"/>
  <c r="F197" i="3"/>
  <c r="N198" i="3"/>
  <c r="B200" i="3"/>
  <c r="F201" i="3"/>
  <c r="N202" i="3"/>
  <c r="B204" i="3"/>
  <c r="F205" i="3"/>
  <c r="N206" i="3"/>
  <c r="B208" i="3"/>
  <c r="F209" i="3"/>
  <c r="N210" i="3"/>
  <c r="B212" i="3"/>
  <c r="F213" i="3"/>
  <c r="N214" i="3"/>
  <c r="B216" i="3"/>
  <c r="F217" i="3"/>
  <c r="N218" i="3"/>
  <c r="B220" i="3"/>
  <c r="F221" i="3"/>
  <c r="N222" i="3"/>
  <c r="B224" i="3"/>
  <c r="F225" i="3"/>
  <c r="N226" i="3"/>
  <c r="B228" i="3"/>
  <c r="F229" i="3"/>
  <c r="N230" i="3"/>
  <c r="B232" i="3"/>
  <c r="F233" i="3"/>
  <c r="N234" i="3"/>
  <c r="B236" i="3"/>
  <c r="F237" i="3"/>
  <c r="N238" i="3"/>
  <c r="B240" i="3"/>
  <c r="F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B23" i="3"/>
  <c r="B31" i="3"/>
  <c r="B39" i="3"/>
  <c r="B47" i="3"/>
  <c r="B55" i="3"/>
  <c r="B63" i="3"/>
  <c r="B71" i="3"/>
  <c r="B79" i="3"/>
  <c r="J85" i="3"/>
  <c r="J89" i="3"/>
  <c r="J93" i="3"/>
  <c r="J97" i="3"/>
  <c r="J101" i="3"/>
  <c r="J105" i="3"/>
  <c r="J109" i="3"/>
  <c r="J113" i="3"/>
  <c r="J117" i="3"/>
  <c r="J121" i="3"/>
  <c r="J125" i="3"/>
  <c r="J129" i="3"/>
  <c r="J133" i="3"/>
  <c r="J137" i="3"/>
  <c r="J141" i="3"/>
  <c r="J145" i="3"/>
  <c r="J149" i="3"/>
  <c r="J153" i="3"/>
  <c r="J157" i="3"/>
  <c r="L160" i="3"/>
  <c r="F163" i="3"/>
  <c r="Q165" i="3"/>
  <c r="L168" i="3"/>
  <c r="F171" i="3"/>
  <c r="Q173" i="3"/>
  <c r="L176" i="3"/>
  <c r="F179" i="3"/>
  <c r="I181" i="3"/>
  <c r="I183" i="3"/>
  <c r="I185" i="3"/>
  <c r="I187" i="3"/>
  <c r="I189" i="3"/>
  <c r="I191" i="3"/>
  <c r="I193" i="3"/>
  <c r="I195" i="3"/>
  <c r="I197" i="3"/>
  <c r="I199" i="3"/>
  <c r="I201" i="3"/>
  <c r="I203" i="3"/>
  <c r="I205" i="3"/>
  <c r="I207" i="3"/>
  <c r="I209" i="3"/>
  <c r="I211" i="3"/>
  <c r="I213" i="3"/>
  <c r="I215" i="3"/>
  <c r="I217" i="3"/>
  <c r="I219" i="3"/>
  <c r="I221" i="3"/>
  <c r="I223" i="3"/>
  <c r="I225" i="3"/>
  <c r="I227" i="3"/>
  <c r="I229" i="3"/>
  <c r="I231" i="3"/>
  <c r="I233" i="3"/>
  <c r="I235" i="3"/>
  <c r="L72" i="3"/>
  <c r="R72" i="3" s="1"/>
  <c r="K72" i="3"/>
  <c r="D90" i="3"/>
  <c r="L112" i="3"/>
  <c r="R112" i="3" s="1"/>
  <c r="L128" i="3"/>
  <c r="R128" i="3" s="1"/>
  <c r="L144" i="3"/>
  <c r="M23" i="3"/>
  <c r="M55" i="3"/>
  <c r="O85" i="3"/>
  <c r="O101" i="3"/>
  <c r="O116" i="3"/>
  <c r="O124" i="3"/>
  <c r="O132" i="3"/>
  <c r="O140" i="3"/>
  <c r="O148" i="3"/>
  <c r="O156" i="3"/>
  <c r="O164" i="3"/>
  <c r="C170" i="3"/>
  <c r="C174" i="3"/>
  <c r="C178" i="3"/>
  <c r="J28" i="3"/>
  <c r="J44" i="3"/>
  <c r="J60" i="3"/>
  <c r="J76" i="3"/>
  <c r="F88" i="3"/>
  <c r="F96" i="3"/>
  <c r="F104" i="3"/>
  <c r="F112" i="3"/>
  <c r="F120" i="3"/>
  <c r="F128" i="3"/>
  <c r="F136" i="3"/>
  <c r="F144" i="3"/>
  <c r="F152" i="3"/>
  <c r="N159" i="3"/>
  <c r="D165" i="3"/>
  <c r="I170" i="3"/>
  <c r="N175" i="3"/>
  <c r="O180" i="3"/>
  <c r="O184" i="3"/>
  <c r="O188" i="3"/>
  <c r="O192" i="3"/>
  <c r="O196" i="3"/>
  <c r="O200" i="3"/>
  <c r="O204" i="3"/>
  <c r="O208" i="3"/>
  <c r="O212" i="3"/>
  <c r="O216" i="3"/>
  <c r="O220" i="3"/>
  <c r="O224" i="3"/>
  <c r="G228" i="3"/>
  <c r="O229" i="3"/>
  <c r="C231" i="3"/>
  <c r="G232" i="3"/>
  <c r="O233" i="3"/>
  <c r="C235" i="3"/>
  <c r="G236" i="3"/>
  <c r="O237" i="3"/>
  <c r="I21" i="3"/>
  <c r="I26" i="3"/>
  <c r="I32" i="3"/>
  <c r="I37" i="3"/>
  <c r="I42" i="3"/>
  <c r="I48" i="3"/>
  <c r="I53" i="3"/>
  <c r="I58" i="3"/>
  <c r="I64" i="3"/>
  <c r="I69" i="3"/>
  <c r="I74" i="3"/>
  <c r="I80" i="3"/>
  <c r="M84" i="3"/>
  <c r="E87" i="3"/>
  <c r="E90" i="3"/>
  <c r="M92" i="3"/>
  <c r="E95" i="3"/>
  <c r="E98" i="3"/>
  <c r="M100" i="3"/>
  <c r="E103" i="3"/>
  <c r="E106" i="3"/>
  <c r="M108" i="3"/>
  <c r="E111" i="3"/>
  <c r="E114" i="3"/>
  <c r="M116" i="3"/>
  <c r="E119" i="3"/>
  <c r="E122" i="3"/>
  <c r="M124" i="3"/>
  <c r="E127" i="3"/>
  <c r="E130" i="3"/>
  <c r="M132" i="3"/>
  <c r="E135" i="3"/>
  <c r="E138" i="3"/>
  <c r="M140" i="3"/>
  <c r="E143" i="3"/>
  <c r="E146" i="3"/>
  <c r="M148" i="3"/>
  <c r="E151" i="3"/>
  <c r="E154" i="3"/>
  <c r="M156" i="3"/>
  <c r="B159" i="3"/>
  <c r="B161" i="3"/>
  <c r="M162" i="3"/>
  <c r="H164" i="3"/>
  <c r="H166" i="3"/>
  <c r="B168" i="3"/>
  <c r="M169" i="3"/>
  <c r="M171" i="3"/>
  <c r="H173" i="3"/>
  <c r="B175" i="3"/>
  <c r="B177" i="3"/>
  <c r="M178" i="3"/>
  <c r="F180" i="3"/>
  <c r="N181" i="3"/>
  <c r="B183" i="3"/>
  <c r="F184" i="3"/>
  <c r="N185" i="3"/>
  <c r="B187" i="3"/>
  <c r="F188" i="3"/>
  <c r="N189" i="3"/>
  <c r="B191" i="3"/>
  <c r="F192" i="3"/>
  <c r="N193" i="3"/>
  <c r="B195" i="3"/>
  <c r="F196" i="3"/>
  <c r="N197" i="3"/>
  <c r="B199" i="3"/>
  <c r="F200" i="3"/>
  <c r="N201" i="3"/>
  <c r="B203" i="3"/>
  <c r="F204" i="3"/>
  <c r="N205" i="3"/>
  <c r="B207" i="3"/>
  <c r="F208" i="3"/>
  <c r="N209" i="3"/>
  <c r="B211" i="3"/>
  <c r="F212" i="3"/>
  <c r="N213" i="3"/>
  <c r="B215" i="3"/>
  <c r="F216" i="3"/>
  <c r="N217" i="3"/>
  <c r="B219" i="3"/>
  <c r="F220" i="3"/>
  <c r="N221" i="3"/>
  <c r="B223" i="3"/>
  <c r="F224" i="3"/>
  <c r="N225" i="3"/>
  <c r="B227" i="3"/>
  <c r="F228" i="3"/>
  <c r="N229" i="3"/>
  <c r="B231" i="3"/>
  <c r="F232" i="3"/>
  <c r="N233" i="3"/>
  <c r="B235" i="3"/>
  <c r="F236" i="3"/>
  <c r="N237" i="3"/>
  <c r="B239" i="3"/>
  <c r="F240" i="3"/>
  <c r="N241"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5" i="3"/>
  <c r="B33" i="3"/>
  <c r="B41" i="3"/>
  <c r="B49" i="3"/>
  <c r="B57" i="3"/>
  <c r="B65" i="3"/>
  <c r="B73" i="3"/>
  <c r="B81" i="3"/>
  <c r="J86" i="3"/>
  <c r="J90" i="3"/>
  <c r="J94" i="3"/>
  <c r="J98" i="3"/>
  <c r="J102" i="3"/>
  <c r="J106" i="3"/>
  <c r="J110" i="3"/>
  <c r="J114" i="3"/>
  <c r="J118" i="3"/>
  <c r="J122" i="3"/>
  <c r="J126" i="3"/>
  <c r="J130" i="3"/>
  <c r="J134" i="3"/>
  <c r="J138" i="3"/>
  <c r="J142" i="3"/>
  <c r="J146" i="3"/>
  <c r="J150" i="3"/>
  <c r="J154" i="3"/>
  <c r="J158" i="3"/>
  <c r="F161" i="3"/>
  <c r="Q163" i="3"/>
  <c r="L166" i="3"/>
  <c r="F169" i="3"/>
  <c r="Q171" i="3"/>
  <c r="L174" i="3"/>
  <c r="F177" i="3"/>
  <c r="Q179" i="3"/>
  <c r="Q181" i="3"/>
  <c r="Q183" i="3"/>
  <c r="Q185" i="3"/>
  <c r="Q187" i="3"/>
  <c r="Q189" i="3"/>
  <c r="Q191" i="3"/>
  <c r="Q193" i="3"/>
  <c r="Q195" i="3"/>
  <c r="Q197" i="3"/>
  <c r="Q199" i="3"/>
  <c r="Q201" i="3"/>
  <c r="Q203" i="3"/>
  <c r="Q205" i="3"/>
  <c r="Q207" i="3"/>
  <c r="Q209" i="3"/>
  <c r="Q211" i="3"/>
  <c r="Q213" i="3"/>
  <c r="Q215" i="3"/>
  <c r="Q217" i="3"/>
  <c r="Q219" i="3"/>
  <c r="Q221" i="3"/>
  <c r="Q223" i="3"/>
  <c r="Q225" i="3"/>
  <c r="Q227" i="3"/>
  <c r="Q229" i="3"/>
  <c r="Q231" i="3"/>
  <c r="Q233" i="3"/>
  <c r="Q235" i="3"/>
  <c r="Q237" i="3"/>
  <c r="K239" i="3"/>
  <c r="P240" i="3"/>
  <c r="E242" i="3"/>
  <c r="K243" i="3"/>
  <c r="P244" i="3"/>
  <c r="E246" i="3"/>
  <c r="K247" i="3"/>
  <c r="P248" i="3"/>
  <c r="E250" i="3"/>
  <c r="K251" i="3"/>
  <c r="P252" i="3"/>
  <c r="E254" i="3"/>
  <c r="K255" i="3"/>
  <c r="P256" i="3"/>
  <c r="E258" i="3"/>
  <c r="K259" i="3"/>
  <c r="P260" i="3"/>
  <c r="E262" i="3"/>
  <c r="K263" i="3"/>
  <c r="P264" i="3"/>
  <c r="E266" i="3"/>
  <c r="K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F29" i="3"/>
  <c r="L148" i="3"/>
  <c r="O105" i="3"/>
  <c r="O142" i="3"/>
  <c r="C171" i="3"/>
  <c r="J48" i="3"/>
  <c r="F98" i="3"/>
  <c r="F130" i="3"/>
  <c r="D161" i="3"/>
  <c r="O181" i="3"/>
  <c r="O197" i="3"/>
  <c r="O213" i="3"/>
  <c r="O228" i="3"/>
  <c r="C234" i="3"/>
  <c r="I22" i="3"/>
  <c r="I44" i="3"/>
  <c r="I65" i="3"/>
  <c r="E85" i="3"/>
  <c r="E96" i="3"/>
  <c r="M106" i="3"/>
  <c r="E117" i="3"/>
  <c r="E128" i="3"/>
  <c r="M138" i="3"/>
  <c r="E149" i="3"/>
  <c r="M159" i="3"/>
  <c r="M166" i="3"/>
  <c r="M173" i="3"/>
  <c r="N180" i="3"/>
  <c r="B186" i="3"/>
  <c r="F191" i="3"/>
  <c r="N196" i="3"/>
  <c r="B202" i="3"/>
  <c r="F207" i="3"/>
  <c r="N212" i="3"/>
  <c r="B218" i="3"/>
  <c r="F223" i="3"/>
  <c r="N228" i="3"/>
  <c r="B234" i="3"/>
  <c r="F239" i="3"/>
  <c r="F244" i="3"/>
  <c r="F248" i="3"/>
  <c r="F252" i="3"/>
  <c r="F256" i="3"/>
  <c r="F260" i="3"/>
  <c r="F264" i="3"/>
  <c r="F268" i="3"/>
  <c r="B51" i="3"/>
  <c r="B83" i="3"/>
  <c r="D98" i="3"/>
  <c r="M31" i="3"/>
  <c r="O118" i="3"/>
  <c r="O150" i="3"/>
  <c r="C175" i="3"/>
  <c r="J64" i="3"/>
  <c r="F106" i="3"/>
  <c r="F138" i="3"/>
  <c r="I166" i="3"/>
  <c r="O185" i="3"/>
  <c r="O201" i="3"/>
  <c r="O217" i="3"/>
  <c r="C230" i="3"/>
  <c r="G235" i="3"/>
  <c r="I28" i="3"/>
  <c r="I49" i="3"/>
  <c r="I70" i="3"/>
  <c r="E88" i="3"/>
  <c r="M98" i="3"/>
  <c r="E109" i="3"/>
  <c r="E120" i="3"/>
  <c r="M130" i="3"/>
  <c r="E141" i="3"/>
  <c r="E152" i="3"/>
  <c r="H161" i="3"/>
  <c r="H168" i="3"/>
  <c r="M175" i="3"/>
  <c r="B182" i="3"/>
  <c r="F187" i="3"/>
  <c r="N192" i="3"/>
  <c r="B198" i="3"/>
  <c r="F203" i="3"/>
  <c r="N208" i="3"/>
  <c r="B214" i="3"/>
  <c r="F219" i="3"/>
  <c r="N224" i="3"/>
  <c r="B230" i="3"/>
  <c r="F235" i="3"/>
  <c r="N240" i="3"/>
  <c r="F245" i="3"/>
  <c r="F249" i="3"/>
  <c r="F253" i="3"/>
  <c r="F257" i="3"/>
  <c r="F261" i="3"/>
  <c r="F265" i="3"/>
  <c r="B27" i="3"/>
  <c r="B59" i="3"/>
  <c r="J87" i="3"/>
  <c r="J103" i="3"/>
  <c r="J119" i="3"/>
  <c r="J135" i="3"/>
  <c r="J151" i="3"/>
  <c r="L164" i="3"/>
  <c r="F175" i="3"/>
  <c r="I184" i="3"/>
  <c r="I192" i="3"/>
  <c r="I200" i="3"/>
  <c r="I208" i="3"/>
  <c r="I216" i="3"/>
  <c r="I224" i="3"/>
  <c r="I232" i="3"/>
  <c r="I238" i="3"/>
  <c r="E241" i="3"/>
  <c r="P243" i="3"/>
  <c r="K246" i="3"/>
  <c r="E249" i="3"/>
  <c r="P251" i="3"/>
  <c r="K254" i="3"/>
  <c r="E257" i="3"/>
  <c r="P259" i="3"/>
  <c r="K262" i="3"/>
  <c r="E265" i="3"/>
  <c r="P267" i="3"/>
  <c r="B270" i="3"/>
  <c r="B272" i="3"/>
  <c r="B274" i="3"/>
  <c r="B276" i="3"/>
  <c r="B278" i="3"/>
  <c r="B280" i="3"/>
  <c r="B282" i="3"/>
  <c r="B284" i="3"/>
  <c r="B286" i="3"/>
  <c r="B288" i="3"/>
  <c r="B290" i="3"/>
  <c r="B292" i="3"/>
  <c r="B294" i="3"/>
  <c r="L116" i="3"/>
  <c r="R116" i="3" s="1"/>
  <c r="M63" i="3"/>
  <c r="O126" i="3"/>
  <c r="O158" i="3"/>
  <c r="C179" i="3"/>
  <c r="J80" i="3"/>
  <c r="F114" i="3"/>
  <c r="F146" i="3"/>
  <c r="N171" i="3"/>
  <c r="O189" i="3"/>
  <c r="O205" i="3"/>
  <c r="O221" i="3"/>
  <c r="G231" i="3"/>
  <c r="O236" i="3"/>
  <c r="I33" i="3"/>
  <c r="I54" i="3"/>
  <c r="I76" i="3"/>
  <c r="M90" i="3"/>
  <c r="E101" i="3"/>
  <c r="E112" i="3"/>
  <c r="M122" i="3"/>
  <c r="E133" i="3"/>
  <c r="E144" i="3"/>
  <c r="M154" i="3"/>
  <c r="B163" i="3"/>
  <c r="H170" i="3"/>
  <c r="H177" i="3"/>
  <c r="F183" i="3"/>
  <c r="N188" i="3"/>
  <c r="B194" i="3"/>
  <c r="F199" i="3"/>
  <c r="N204" i="3"/>
  <c r="B210" i="3"/>
  <c r="F215" i="3"/>
  <c r="N220" i="3"/>
  <c r="B226" i="3"/>
  <c r="F231" i="3"/>
  <c r="N236" i="3"/>
  <c r="B242" i="3"/>
  <c r="F246" i="3"/>
  <c r="F250" i="3"/>
  <c r="F254" i="3"/>
  <c r="F258" i="3"/>
  <c r="F262" i="3"/>
  <c r="F266" i="3"/>
  <c r="B35" i="3"/>
  <c r="B67" i="3"/>
  <c r="J91" i="3"/>
  <c r="J107" i="3"/>
  <c r="J123" i="3"/>
  <c r="J139" i="3"/>
  <c r="J155" i="3"/>
  <c r="F167" i="3"/>
  <c r="Q177" i="3"/>
  <c r="I186" i="3"/>
  <c r="I194" i="3"/>
  <c r="I202" i="3"/>
  <c r="I210" i="3"/>
  <c r="I218" i="3"/>
  <c r="I226" i="3"/>
  <c r="I234" i="3"/>
  <c r="E239" i="3"/>
  <c r="P241" i="3"/>
  <c r="K244" i="3"/>
  <c r="E247" i="3"/>
  <c r="P249" i="3"/>
  <c r="K252" i="3"/>
  <c r="E255" i="3"/>
  <c r="P257" i="3"/>
  <c r="K260" i="3"/>
  <c r="E263" i="3"/>
  <c r="P265" i="3"/>
  <c r="J268" i="3"/>
  <c r="J270" i="3"/>
  <c r="J272" i="3"/>
  <c r="J274" i="3"/>
  <c r="J276" i="3"/>
  <c r="J278" i="3"/>
  <c r="J280" i="3"/>
  <c r="J282" i="3"/>
  <c r="J284" i="3"/>
  <c r="J286" i="3"/>
  <c r="J288" i="3"/>
  <c r="J290" i="3"/>
  <c r="J292" i="3"/>
  <c r="L132" i="3"/>
  <c r="J32" i="3"/>
  <c r="D177" i="3"/>
  <c r="O232" i="3"/>
  <c r="I81" i="3"/>
  <c r="E125" i="3"/>
  <c r="B165" i="3"/>
  <c r="B190" i="3"/>
  <c r="F211" i="3"/>
  <c r="N232" i="3"/>
  <c r="F251" i="3"/>
  <c r="F267" i="3"/>
  <c r="J99" i="3"/>
  <c r="J131" i="3"/>
  <c r="Q161" i="3"/>
  <c r="I182" i="3"/>
  <c r="I198" i="3"/>
  <c r="I214" i="3"/>
  <c r="I230" i="3"/>
  <c r="K240" i="3"/>
  <c r="P245" i="3"/>
  <c r="E251" i="3"/>
  <c r="K256" i="3"/>
  <c r="P261" i="3"/>
  <c r="E267" i="3"/>
  <c r="J271" i="3"/>
  <c r="J275" i="3"/>
  <c r="J279" i="3"/>
  <c r="J283" i="3"/>
  <c r="J287" i="3"/>
  <c r="J291" i="3"/>
  <c r="B295" i="3"/>
  <c r="B297" i="3"/>
  <c r="B299" i="3"/>
  <c r="B301" i="3"/>
  <c r="B303" i="3"/>
  <c r="B305" i="3"/>
  <c r="B307" i="3"/>
  <c r="B309" i="3"/>
  <c r="B311" i="3"/>
  <c r="B313" i="3"/>
  <c r="B315" i="3"/>
  <c r="B317" i="3"/>
  <c r="B319" i="3"/>
  <c r="B321" i="3"/>
  <c r="B323" i="3"/>
  <c r="B325" i="3"/>
  <c r="B327" i="3"/>
  <c r="B329" i="3"/>
  <c r="B331" i="3"/>
  <c r="B333" i="3"/>
  <c r="B335" i="3"/>
  <c r="B337" i="3"/>
  <c r="B339" i="3"/>
  <c r="B341" i="3"/>
  <c r="F342" i="3"/>
  <c r="J343" i="3"/>
  <c r="B345" i="3"/>
  <c r="F346" i="3"/>
  <c r="J347" i="3"/>
  <c r="B349" i="3"/>
  <c r="F350" i="3"/>
  <c r="J351" i="3"/>
  <c r="B353" i="3"/>
  <c r="F354" i="3"/>
  <c r="J355" i="3"/>
  <c r="B357" i="3"/>
  <c r="B358" i="3"/>
  <c r="B359" i="3"/>
  <c r="B360" i="3"/>
  <c r="B361" i="3"/>
  <c r="B362" i="3"/>
  <c r="B363" i="3"/>
  <c r="B364" i="3"/>
  <c r="B365" i="3"/>
  <c r="B366" i="3"/>
  <c r="B367" i="3"/>
  <c r="B368" i="3"/>
  <c r="B369" i="3"/>
  <c r="B370" i="3"/>
  <c r="B371" i="3"/>
  <c r="B372" i="3"/>
  <c r="B373" i="3"/>
  <c r="B374" i="3"/>
  <c r="B375" i="3"/>
  <c r="B376" i="3"/>
  <c r="B377" i="3"/>
  <c r="B378" i="3"/>
  <c r="B379" i="3"/>
  <c r="B22" i="3"/>
  <c r="B44" i="3"/>
  <c r="B60" i="3"/>
  <c r="B76" i="3"/>
  <c r="B88" i="3"/>
  <c r="B96" i="3"/>
  <c r="B104" i="3"/>
  <c r="B112" i="3"/>
  <c r="B120" i="3"/>
  <c r="B128" i="3"/>
  <c r="B136" i="3"/>
  <c r="B144" i="3"/>
  <c r="B152" i="3"/>
  <c r="L159" i="3"/>
  <c r="Q164" i="3"/>
  <c r="Q170" i="3"/>
  <c r="F176" i="3"/>
  <c r="E181" i="3"/>
  <c r="E185" i="3"/>
  <c r="E189" i="3"/>
  <c r="E193" i="3"/>
  <c r="E197" i="3"/>
  <c r="E201" i="3"/>
  <c r="E205" i="3"/>
  <c r="E209" i="3"/>
  <c r="E213" i="3"/>
  <c r="E217" i="3"/>
  <c r="E221" i="3"/>
  <c r="E225" i="3"/>
  <c r="E229" i="3"/>
  <c r="M232" i="3"/>
  <c r="M236" i="3"/>
  <c r="C240" i="3"/>
  <c r="M242" i="3"/>
  <c r="H245" i="3"/>
  <c r="M247" i="3"/>
  <c r="H250" i="3"/>
  <c r="C253" i="3"/>
  <c r="M255" i="3"/>
  <c r="H258" i="3"/>
  <c r="C261" i="3"/>
  <c r="M263" i="3"/>
  <c r="O89" i="3"/>
  <c r="F90" i="3"/>
  <c r="O193" i="3"/>
  <c r="C238" i="3"/>
  <c r="E93" i="3"/>
  <c r="E136" i="3"/>
  <c r="B172" i="3"/>
  <c r="F195" i="3"/>
  <c r="N216" i="3"/>
  <c r="B238" i="3"/>
  <c r="F255" i="3"/>
  <c r="B43" i="3"/>
  <c r="J111" i="3"/>
  <c r="J143" i="3"/>
  <c r="Q169" i="3"/>
  <c r="I188" i="3"/>
  <c r="I204" i="3"/>
  <c r="I220" i="3"/>
  <c r="I236" i="3"/>
  <c r="K242" i="3"/>
  <c r="P247" i="3"/>
  <c r="E253" i="3"/>
  <c r="K258" i="3"/>
  <c r="P263" i="3"/>
  <c r="B269" i="3"/>
  <c r="B273" i="3"/>
  <c r="B277" i="3"/>
  <c r="B281" i="3"/>
  <c r="B285" i="3"/>
  <c r="B289" i="3"/>
  <c r="B293" i="3"/>
  <c r="J295" i="3"/>
  <c r="J297" i="3"/>
  <c r="J299" i="3"/>
  <c r="J301" i="3"/>
  <c r="J303" i="3"/>
  <c r="J305" i="3"/>
  <c r="J307" i="3"/>
  <c r="J309" i="3"/>
  <c r="J311" i="3"/>
  <c r="J313" i="3"/>
  <c r="J315" i="3"/>
  <c r="J317" i="3"/>
  <c r="J319" i="3"/>
  <c r="J321" i="3"/>
  <c r="J323" i="3"/>
  <c r="J325" i="3"/>
  <c r="J327" i="3"/>
  <c r="J329" i="3"/>
  <c r="J331" i="3"/>
  <c r="J333" i="3"/>
  <c r="J335" i="3"/>
  <c r="J337" i="3"/>
  <c r="J339" i="3"/>
  <c r="F341" i="3"/>
  <c r="J342" i="3"/>
  <c r="B344" i="3"/>
  <c r="F345" i="3"/>
  <c r="J346" i="3"/>
  <c r="B348" i="3"/>
  <c r="F349" i="3"/>
  <c r="J350" i="3"/>
  <c r="B352" i="3"/>
  <c r="F353" i="3"/>
  <c r="J354" i="3"/>
  <c r="B356" i="3"/>
  <c r="F357" i="3"/>
  <c r="F358" i="3"/>
  <c r="F359" i="3"/>
  <c r="F360" i="3"/>
  <c r="F361" i="3"/>
  <c r="F362" i="3"/>
  <c r="F363" i="3"/>
  <c r="F364" i="3"/>
  <c r="F365" i="3"/>
  <c r="F366" i="3"/>
  <c r="F367" i="3"/>
  <c r="F368" i="3"/>
  <c r="F369" i="3"/>
  <c r="F370" i="3"/>
  <c r="F371" i="3"/>
  <c r="F372" i="3"/>
  <c r="F373" i="3"/>
  <c r="F374" i="3"/>
  <c r="F375" i="3"/>
  <c r="F376" i="3"/>
  <c r="F377" i="3"/>
  <c r="F378" i="3"/>
  <c r="F379" i="3"/>
  <c r="B32" i="3"/>
  <c r="B48" i="3"/>
  <c r="B64" i="3"/>
  <c r="B80" i="3"/>
  <c r="B90" i="3"/>
  <c r="B98" i="3"/>
  <c r="B106" i="3"/>
  <c r="B114" i="3"/>
  <c r="B122" i="3"/>
  <c r="B130" i="3"/>
  <c r="B138" i="3"/>
  <c r="B146" i="3"/>
  <c r="B154" i="3"/>
  <c r="Q160" i="3"/>
  <c r="F166" i="3"/>
  <c r="F172" i="3"/>
  <c r="L177" i="3"/>
  <c r="E182" i="3"/>
  <c r="E186" i="3"/>
  <c r="E190" i="3"/>
  <c r="E194" i="3"/>
  <c r="E198" i="3"/>
  <c r="E202" i="3"/>
  <c r="E206" i="3"/>
  <c r="E210" i="3"/>
  <c r="E214" i="3"/>
  <c r="E218" i="3"/>
  <c r="E222" i="3"/>
  <c r="E226" i="3"/>
  <c r="E230" i="3"/>
  <c r="M233" i="3"/>
  <c r="M237" i="3"/>
  <c r="M240" i="3"/>
  <c r="H243" i="3"/>
  <c r="C246" i="3"/>
  <c r="H248" i="3"/>
  <c r="C251" i="3"/>
  <c r="M253" i="3"/>
  <c r="H256" i="3"/>
  <c r="C259" i="3"/>
  <c r="M261" i="3"/>
  <c r="O134" i="3"/>
  <c r="F122" i="3"/>
  <c r="O209" i="3"/>
  <c r="I38" i="3"/>
  <c r="E104" i="3"/>
  <c r="M146" i="3"/>
  <c r="B179" i="3"/>
  <c r="N200" i="3"/>
  <c r="B222" i="3"/>
  <c r="F243" i="3"/>
  <c r="F259" i="3"/>
  <c r="B75" i="3"/>
  <c r="J115" i="3"/>
  <c r="J147" i="3"/>
  <c r="L172" i="3"/>
  <c r="I190" i="3"/>
  <c r="I206" i="3"/>
  <c r="I222" i="3"/>
  <c r="I237" i="3"/>
  <c r="E243" i="3"/>
  <c r="K248" i="3"/>
  <c r="P253" i="3"/>
  <c r="E259" i="3"/>
  <c r="K264" i="3"/>
  <c r="J269" i="3"/>
  <c r="J273" i="3"/>
  <c r="J277" i="3"/>
  <c r="J281" i="3"/>
  <c r="J285" i="3"/>
  <c r="J289" i="3"/>
  <c r="J293" i="3"/>
  <c r="B296" i="3"/>
  <c r="B298" i="3"/>
  <c r="B300" i="3"/>
  <c r="B302" i="3"/>
  <c r="B304" i="3"/>
  <c r="B306" i="3"/>
  <c r="B308" i="3"/>
  <c r="B310" i="3"/>
  <c r="B312" i="3"/>
  <c r="B314" i="3"/>
  <c r="B316" i="3"/>
  <c r="B318" i="3"/>
  <c r="B320" i="3"/>
  <c r="B322" i="3"/>
  <c r="B324" i="3"/>
  <c r="B326" i="3"/>
  <c r="B328" i="3"/>
  <c r="B330" i="3"/>
  <c r="B332" i="3"/>
  <c r="B334" i="3"/>
  <c r="B336" i="3"/>
  <c r="B338" i="3"/>
  <c r="B340" i="3"/>
  <c r="J341" i="3"/>
  <c r="B343" i="3"/>
  <c r="F344" i="3"/>
  <c r="J345" i="3"/>
  <c r="B347" i="3"/>
  <c r="F348" i="3"/>
  <c r="J349" i="3"/>
  <c r="B351" i="3"/>
  <c r="F352" i="3"/>
  <c r="J353" i="3"/>
  <c r="B355" i="3"/>
  <c r="F356" i="3"/>
  <c r="J357" i="3"/>
  <c r="J358" i="3"/>
  <c r="J359" i="3"/>
  <c r="J360" i="3"/>
  <c r="J361" i="3"/>
  <c r="J362" i="3"/>
  <c r="J363" i="3"/>
  <c r="J364" i="3"/>
  <c r="J365" i="3"/>
  <c r="J366" i="3"/>
  <c r="J367" i="3"/>
  <c r="J368" i="3"/>
  <c r="J369" i="3"/>
  <c r="J370" i="3"/>
  <c r="J371" i="3"/>
  <c r="J372" i="3"/>
  <c r="J373" i="3"/>
  <c r="J374" i="3"/>
  <c r="J375" i="3"/>
  <c r="J376" i="3"/>
  <c r="J377" i="3"/>
  <c r="J378" i="3"/>
  <c r="J379" i="3"/>
  <c r="B36" i="3"/>
  <c r="B52" i="3"/>
  <c r="B68" i="3"/>
  <c r="B84" i="3"/>
  <c r="B92" i="3"/>
  <c r="B100" i="3"/>
  <c r="B108" i="3"/>
  <c r="B116" i="3"/>
  <c r="B124" i="3"/>
  <c r="B132" i="3"/>
  <c r="B140" i="3"/>
  <c r="B148" i="3"/>
  <c r="B156" i="3"/>
  <c r="F162" i="3"/>
  <c r="L167" i="3"/>
  <c r="L173" i="3"/>
  <c r="Q178" i="3"/>
  <c r="E183" i="3"/>
  <c r="E187" i="3"/>
  <c r="E191" i="3"/>
  <c r="E195" i="3"/>
  <c r="E199" i="3"/>
  <c r="E203" i="3"/>
  <c r="E207" i="3"/>
  <c r="E211" i="3"/>
  <c r="E215" i="3"/>
  <c r="E219" i="3"/>
  <c r="E223" i="3"/>
  <c r="E227" i="3"/>
  <c r="M230" i="3"/>
  <c r="M234" i="3"/>
  <c r="M238" i="3"/>
  <c r="H241" i="3"/>
  <c r="C244" i="3"/>
  <c r="M246" i="3"/>
  <c r="C249" i="3"/>
  <c r="M251" i="3"/>
  <c r="H254" i="3"/>
  <c r="C257" i="3"/>
  <c r="M259" i="3"/>
  <c r="H262" i="3"/>
  <c r="C265" i="3"/>
  <c r="M267" i="3"/>
  <c r="P269" i="3"/>
  <c r="P271" i="3"/>
  <c r="P273" i="3"/>
  <c r="P275" i="3"/>
  <c r="P277" i="3"/>
  <c r="P279" i="3"/>
  <c r="P281" i="3"/>
  <c r="P283" i="3"/>
  <c r="P285" i="3"/>
  <c r="P287" i="3"/>
  <c r="P289" i="3"/>
  <c r="P291" i="3"/>
  <c r="P293" i="3"/>
  <c r="P295" i="3"/>
  <c r="Q20" i="3"/>
  <c r="Q28" i="3"/>
  <c r="Q36" i="3"/>
  <c r="Q44" i="3"/>
  <c r="Q52" i="3"/>
  <c r="Q60" i="3"/>
  <c r="Q68" i="3"/>
  <c r="Q76" i="3"/>
  <c r="I84" i="3"/>
  <c r="I88" i="3"/>
  <c r="I92" i="3"/>
  <c r="I96" i="3"/>
  <c r="I100" i="3"/>
  <c r="I104" i="3"/>
  <c r="I108" i="3"/>
  <c r="I112" i="3"/>
  <c r="I116" i="3"/>
  <c r="I120" i="3"/>
  <c r="I124" i="3"/>
  <c r="I128" i="3"/>
  <c r="I132" i="3"/>
  <c r="I136" i="3"/>
  <c r="I140" i="3"/>
  <c r="I144" i="3"/>
  <c r="K24" i="3"/>
  <c r="I60" i="3"/>
  <c r="B206" i="3"/>
  <c r="J95" i="3"/>
  <c r="I196" i="3"/>
  <c r="E245" i="3"/>
  <c r="K266" i="3"/>
  <c r="B283" i="3"/>
  <c r="J296" i="3"/>
  <c r="J304" i="3"/>
  <c r="J312" i="3"/>
  <c r="J320" i="3"/>
  <c r="J328" i="3"/>
  <c r="J336" i="3"/>
  <c r="F343" i="3"/>
  <c r="J348" i="3"/>
  <c r="B354" i="3"/>
  <c r="N358" i="3"/>
  <c r="N362" i="3"/>
  <c r="N366" i="3"/>
  <c r="N370" i="3"/>
  <c r="N374" i="3"/>
  <c r="N378" i="3"/>
  <c r="B72" i="3"/>
  <c r="B110" i="3"/>
  <c r="B142" i="3"/>
  <c r="L169" i="3"/>
  <c r="E188" i="3"/>
  <c r="E204" i="3"/>
  <c r="E220" i="3"/>
  <c r="M235" i="3"/>
  <c r="H247" i="3"/>
  <c r="M257" i="3"/>
  <c r="M265" i="3"/>
  <c r="P268" i="3"/>
  <c r="H271" i="3"/>
  <c r="H274" i="3"/>
  <c r="P276" i="3"/>
  <c r="H279" i="3"/>
  <c r="H282" i="3"/>
  <c r="P284" i="3"/>
  <c r="H287" i="3"/>
  <c r="H290" i="3"/>
  <c r="P292" i="3"/>
  <c r="H295" i="3"/>
  <c r="Q22" i="3"/>
  <c r="Q32" i="3"/>
  <c r="Q42" i="3"/>
  <c r="Q54" i="3"/>
  <c r="Q64" i="3"/>
  <c r="Q74" i="3"/>
  <c r="I85" i="3"/>
  <c r="I90" i="3"/>
  <c r="I95" i="3"/>
  <c r="I101" i="3"/>
  <c r="I106" i="3"/>
  <c r="I111" i="3"/>
  <c r="I117" i="3"/>
  <c r="I122" i="3"/>
  <c r="I127" i="3"/>
  <c r="I133" i="3"/>
  <c r="I138" i="3"/>
  <c r="I143" i="3"/>
  <c r="I148" i="3"/>
  <c r="I152" i="3"/>
  <c r="I156" i="3"/>
  <c r="P159" i="3"/>
  <c r="J162" i="3"/>
  <c r="E165" i="3"/>
  <c r="P167" i="3"/>
  <c r="J170" i="3"/>
  <c r="E173" i="3"/>
  <c r="P175" i="3"/>
  <c r="J178" i="3"/>
  <c r="P180" i="3"/>
  <c r="P182" i="3"/>
  <c r="P184" i="3"/>
  <c r="P186" i="3"/>
  <c r="P188" i="3"/>
  <c r="P190" i="3"/>
  <c r="P192" i="3"/>
  <c r="P194" i="3"/>
  <c r="P196" i="3"/>
  <c r="P198" i="3"/>
  <c r="P200" i="3"/>
  <c r="P202" i="3"/>
  <c r="P204" i="3"/>
  <c r="P206" i="3"/>
  <c r="P208" i="3"/>
  <c r="P210" i="3"/>
  <c r="P212" i="3"/>
  <c r="P214" i="3"/>
  <c r="P216" i="3"/>
  <c r="P218" i="3"/>
  <c r="P220" i="3"/>
  <c r="P222" i="3"/>
  <c r="P224" i="3"/>
  <c r="P226" i="3"/>
  <c r="P228" i="3"/>
  <c r="P230" i="3"/>
  <c r="P232" i="3"/>
  <c r="P234" i="3"/>
  <c r="P236" i="3"/>
  <c r="O238" i="3"/>
  <c r="D240" i="3"/>
  <c r="I241" i="3"/>
  <c r="O242" i="3"/>
  <c r="D244" i="3"/>
  <c r="I245" i="3"/>
  <c r="O246" i="3"/>
  <c r="D248" i="3"/>
  <c r="I249" i="3"/>
  <c r="O250" i="3"/>
  <c r="D252" i="3"/>
  <c r="I253" i="3"/>
  <c r="O254" i="3"/>
  <c r="D256" i="3"/>
  <c r="I257" i="3"/>
  <c r="O258" i="3"/>
  <c r="D260" i="3"/>
  <c r="I261" i="3"/>
  <c r="O262" i="3"/>
  <c r="D264" i="3"/>
  <c r="I265" i="3"/>
  <c r="O266" i="3"/>
  <c r="D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B20" i="3"/>
  <c r="B30" i="3"/>
  <c r="B46" i="3"/>
  <c r="B62" i="3"/>
  <c r="B78" i="3"/>
  <c r="B89" i="3"/>
  <c r="B97" i="3"/>
  <c r="B105" i="3"/>
  <c r="B113" i="3"/>
  <c r="B121" i="3"/>
  <c r="B129" i="3"/>
  <c r="B137" i="3"/>
  <c r="B145" i="3"/>
  <c r="B153" i="3"/>
  <c r="F160" i="3"/>
  <c r="L165" i="3"/>
  <c r="F170" i="3"/>
  <c r="L175" i="3"/>
  <c r="M180" i="3"/>
  <c r="M184" i="3"/>
  <c r="M188" i="3"/>
  <c r="M192" i="3"/>
  <c r="M196" i="3"/>
  <c r="M200" i="3"/>
  <c r="M204" i="3"/>
  <c r="M208" i="3"/>
  <c r="M212" i="3"/>
  <c r="M216" i="3"/>
  <c r="M220" i="3"/>
  <c r="M224" i="3"/>
  <c r="M228" i="3"/>
  <c r="E233" i="3"/>
  <c r="E237" i="3"/>
  <c r="H240" i="3"/>
  <c r="C243" i="3"/>
  <c r="M245" i="3"/>
  <c r="M248" i="3"/>
  <c r="H251" i="3"/>
  <c r="C254" i="3"/>
  <c r="M256" i="3"/>
  <c r="H259" i="3"/>
  <c r="C262" i="3"/>
  <c r="M264" i="3"/>
  <c r="H267" i="3"/>
  <c r="L269" i="3"/>
  <c r="L271" i="3"/>
  <c r="L273" i="3"/>
  <c r="L275" i="3"/>
  <c r="L277" i="3"/>
  <c r="L279" i="3"/>
  <c r="L281" i="3"/>
  <c r="L283" i="3"/>
  <c r="L285" i="3"/>
  <c r="L287" i="3"/>
  <c r="L289" i="3"/>
  <c r="L291" i="3"/>
  <c r="L293" i="3"/>
  <c r="L295" i="3"/>
  <c r="P379" i="3"/>
  <c r="H375" i="3"/>
  <c r="H326" i="3"/>
  <c r="L378" i="3"/>
  <c r="L376" i="3"/>
  <c r="L374" i="3"/>
  <c r="L372" i="3"/>
  <c r="L370" i="3"/>
  <c r="L368" i="3"/>
  <c r="L366" i="3"/>
  <c r="L364" i="3"/>
  <c r="L362" i="3"/>
  <c r="L360" i="3"/>
  <c r="L358" i="3"/>
  <c r="L356" i="3"/>
  <c r="L354" i="3"/>
  <c r="L352" i="3"/>
  <c r="L350" i="3"/>
  <c r="L348" i="3"/>
  <c r="L346" i="3"/>
  <c r="L344" i="3"/>
  <c r="L342" i="3"/>
  <c r="L340" i="3"/>
  <c r="L338" i="3"/>
  <c r="L336" i="3"/>
  <c r="L334" i="3"/>
  <c r="L332" i="3"/>
  <c r="L330" i="3"/>
  <c r="L328" i="3"/>
  <c r="L326" i="3"/>
  <c r="L324" i="3"/>
  <c r="L322" i="3"/>
  <c r="L320" i="3"/>
  <c r="L318" i="3"/>
  <c r="L316" i="3"/>
  <c r="L314" i="3"/>
  <c r="L312" i="3"/>
  <c r="L310" i="3"/>
  <c r="L308" i="3"/>
  <c r="L306" i="3"/>
  <c r="L304" i="3"/>
  <c r="L302" i="3"/>
  <c r="L300" i="3"/>
  <c r="L298" i="3"/>
  <c r="O295" i="3"/>
  <c r="O291" i="3"/>
  <c r="O287" i="3"/>
  <c r="O283" i="3"/>
  <c r="O279" i="3"/>
  <c r="O275" i="3"/>
  <c r="O271" i="3"/>
  <c r="L267" i="3"/>
  <c r="G262" i="3"/>
  <c r="Q256" i="3"/>
  <c r="L251" i="3"/>
  <c r="G246" i="3"/>
  <c r="Q240" i="3"/>
  <c r="D234" i="3"/>
  <c r="D226" i="3"/>
  <c r="D218" i="3"/>
  <c r="D210" i="3"/>
  <c r="D202" i="3"/>
  <c r="D194" i="3"/>
  <c r="D186" i="3"/>
  <c r="J177" i="3"/>
  <c r="P166" i="3"/>
  <c r="Q154" i="3"/>
  <c r="Q138" i="3"/>
  <c r="Q122" i="3"/>
  <c r="Q106" i="3"/>
  <c r="Q90" i="3"/>
  <c r="Q65" i="3"/>
  <c r="Q33" i="3"/>
  <c r="C166" i="3"/>
  <c r="M114" i="3"/>
  <c r="F227" i="3"/>
  <c r="J127" i="3"/>
  <c r="I212" i="3"/>
  <c r="K250" i="3"/>
  <c r="B271" i="3"/>
  <c r="B287" i="3"/>
  <c r="J298" i="3"/>
  <c r="J306" i="3"/>
  <c r="J314" i="3"/>
  <c r="J322" i="3"/>
  <c r="J330" i="3"/>
  <c r="J338" i="3"/>
  <c r="J344" i="3"/>
  <c r="B350" i="3"/>
  <c r="F355" i="3"/>
  <c r="N359" i="3"/>
  <c r="N363" i="3"/>
  <c r="N367" i="3"/>
  <c r="N371" i="3"/>
  <c r="N375" i="3"/>
  <c r="N379" i="3"/>
  <c r="B86" i="3"/>
  <c r="B118" i="3"/>
  <c r="B150" i="3"/>
  <c r="Q174" i="3"/>
  <c r="E192" i="3"/>
  <c r="E208" i="3"/>
  <c r="E224" i="3"/>
  <c r="H239" i="3"/>
  <c r="M249" i="3"/>
  <c r="H260" i="3"/>
  <c r="H266" i="3"/>
  <c r="H269" i="3"/>
  <c r="H272" i="3"/>
  <c r="P274" i="3"/>
  <c r="H277" i="3"/>
  <c r="H280" i="3"/>
  <c r="P282" i="3"/>
  <c r="H285" i="3"/>
  <c r="H288" i="3"/>
  <c r="P290" i="3"/>
  <c r="H293" i="3"/>
  <c r="H296" i="3"/>
  <c r="Q24" i="3"/>
  <c r="Q34" i="3"/>
  <c r="Q46" i="3"/>
  <c r="Q56" i="3"/>
  <c r="Q66" i="3"/>
  <c r="Q78" i="3"/>
  <c r="I86" i="3"/>
  <c r="I91" i="3"/>
  <c r="I97" i="3"/>
  <c r="I102" i="3"/>
  <c r="I107" i="3"/>
  <c r="I113" i="3"/>
  <c r="I118" i="3"/>
  <c r="I123" i="3"/>
  <c r="I129" i="3"/>
  <c r="I134" i="3"/>
  <c r="I139" i="3"/>
  <c r="I145" i="3"/>
  <c r="I149" i="3"/>
  <c r="I153" i="3"/>
  <c r="I157" i="3"/>
  <c r="J160" i="3"/>
  <c r="E163" i="3"/>
  <c r="P165" i="3"/>
  <c r="J168" i="3"/>
  <c r="E171" i="3"/>
  <c r="P173" i="3"/>
  <c r="J176" i="3"/>
  <c r="E179" i="3"/>
  <c r="H181" i="3"/>
  <c r="H183" i="3"/>
  <c r="H185" i="3"/>
  <c r="H187" i="3"/>
  <c r="H189" i="3"/>
  <c r="H191" i="3"/>
  <c r="H193" i="3"/>
  <c r="H195" i="3"/>
  <c r="H197" i="3"/>
  <c r="H199" i="3"/>
  <c r="H201" i="3"/>
  <c r="H203" i="3"/>
  <c r="H205" i="3"/>
  <c r="H207" i="3"/>
  <c r="H209" i="3"/>
  <c r="H211" i="3"/>
  <c r="H213" i="3"/>
  <c r="H215" i="3"/>
  <c r="H217" i="3"/>
  <c r="H219" i="3"/>
  <c r="H221" i="3"/>
  <c r="H223" i="3"/>
  <c r="H225" i="3"/>
  <c r="H227" i="3"/>
  <c r="H229" i="3"/>
  <c r="H231" i="3"/>
  <c r="H233" i="3"/>
  <c r="H235" i="3"/>
  <c r="H237" i="3"/>
  <c r="D239" i="3"/>
  <c r="I240" i="3"/>
  <c r="O241" i="3"/>
  <c r="D243" i="3"/>
  <c r="I244" i="3"/>
  <c r="O245" i="3"/>
  <c r="D247" i="3"/>
  <c r="I248" i="3"/>
  <c r="O249" i="3"/>
  <c r="D251" i="3"/>
  <c r="I252" i="3"/>
  <c r="O253" i="3"/>
  <c r="D255" i="3"/>
  <c r="I256" i="3"/>
  <c r="O257" i="3"/>
  <c r="D259" i="3"/>
  <c r="I260" i="3"/>
  <c r="O261" i="3"/>
  <c r="D263" i="3"/>
  <c r="I264" i="3"/>
  <c r="O265" i="3"/>
  <c r="D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B24" i="3"/>
  <c r="B34" i="3"/>
  <c r="B50" i="3"/>
  <c r="B66" i="3"/>
  <c r="B82" i="3"/>
  <c r="B91" i="3"/>
  <c r="B99" i="3"/>
  <c r="B107" i="3"/>
  <c r="B115" i="3"/>
  <c r="B123" i="3"/>
  <c r="B131" i="3"/>
  <c r="B139" i="3"/>
  <c r="B147" i="3"/>
  <c r="B155" i="3"/>
  <c r="L161" i="3"/>
  <c r="Q166" i="3"/>
  <c r="L171" i="3"/>
  <c r="Q176" i="3"/>
  <c r="M181" i="3"/>
  <c r="M185" i="3"/>
  <c r="M189" i="3"/>
  <c r="M193" i="3"/>
  <c r="M197" i="3"/>
  <c r="M201" i="3"/>
  <c r="M205" i="3"/>
  <c r="M209" i="3"/>
  <c r="M213" i="3"/>
  <c r="M217" i="3"/>
  <c r="M221" i="3"/>
  <c r="M225" i="3"/>
  <c r="M229" i="3"/>
  <c r="E234" i="3"/>
  <c r="E238" i="3"/>
  <c r="C241" i="3"/>
  <c r="M243" i="3"/>
  <c r="H246" i="3"/>
  <c r="H249" i="3"/>
  <c r="C252" i="3"/>
  <c r="M254" i="3"/>
  <c r="H257" i="3"/>
  <c r="C260" i="3"/>
  <c r="M262" i="3"/>
  <c r="H265" i="3"/>
  <c r="C268" i="3"/>
  <c r="D270" i="3"/>
  <c r="D272" i="3"/>
  <c r="D274" i="3"/>
  <c r="D276" i="3"/>
  <c r="D278" i="3"/>
  <c r="D280" i="3"/>
  <c r="D282" i="3"/>
  <c r="D284" i="3"/>
  <c r="D286" i="3"/>
  <c r="D288" i="3"/>
  <c r="D290" i="3"/>
  <c r="D292" i="3"/>
  <c r="D294" i="3"/>
  <c r="D296" i="3"/>
  <c r="P378" i="3"/>
  <c r="H372" i="3"/>
  <c r="Q29" i="3"/>
  <c r="D378" i="3"/>
  <c r="D376" i="3"/>
  <c r="D374" i="3"/>
  <c r="D372" i="3"/>
  <c r="D370" i="3"/>
  <c r="D368" i="3"/>
  <c r="D366" i="3"/>
  <c r="D364" i="3"/>
  <c r="D362" i="3"/>
  <c r="D360" i="3"/>
  <c r="D358" i="3"/>
  <c r="D356" i="3"/>
  <c r="D354" i="3"/>
  <c r="D352" i="3"/>
  <c r="D350" i="3"/>
  <c r="D348" i="3"/>
  <c r="D346" i="3"/>
  <c r="D344" i="3"/>
  <c r="D342" i="3"/>
  <c r="D340" i="3"/>
  <c r="D338" i="3"/>
  <c r="D336" i="3"/>
  <c r="D334" i="3"/>
  <c r="D332" i="3"/>
  <c r="D330" i="3"/>
  <c r="D328" i="3"/>
  <c r="D326" i="3"/>
  <c r="D324" i="3"/>
  <c r="D322" i="3"/>
  <c r="D320" i="3"/>
  <c r="D318" i="3"/>
  <c r="D316" i="3"/>
  <c r="D314" i="3"/>
  <c r="D312" i="3"/>
  <c r="D310" i="3"/>
  <c r="D308" i="3"/>
  <c r="D306" i="3"/>
  <c r="D304" i="3"/>
  <c r="D302" i="3"/>
  <c r="D300" i="3"/>
  <c r="D298" i="3"/>
  <c r="O294" i="3"/>
  <c r="O290" i="3"/>
  <c r="F154" i="3"/>
  <c r="E157" i="3"/>
  <c r="F247" i="3"/>
  <c r="F159" i="3"/>
  <c r="I228" i="3"/>
  <c r="P255" i="3"/>
  <c r="B275" i="3"/>
  <c r="B291" i="3"/>
  <c r="J300" i="3"/>
  <c r="J308" i="3"/>
  <c r="J316" i="3"/>
  <c r="J324" i="3"/>
  <c r="J332" i="3"/>
  <c r="J340" i="3"/>
  <c r="B346" i="3"/>
  <c r="F351" i="3"/>
  <c r="J356" i="3"/>
  <c r="N360" i="3"/>
  <c r="N364" i="3"/>
  <c r="N368" i="3"/>
  <c r="N372" i="3"/>
  <c r="N376" i="3"/>
  <c r="B40" i="3"/>
  <c r="B94" i="3"/>
  <c r="B126" i="3"/>
  <c r="B158" i="3"/>
  <c r="E180" i="3"/>
  <c r="E196" i="3"/>
  <c r="E212" i="3"/>
  <c r="E228" i="3"/>
  <c r="C242" i="3"/>
  <c r="H252" i="3"/>
  <c r="C263" i="3"/>
  <c r="C267" i="3"/>
  <c r="H270" i="3"/>
  <c r="P272" i="3"/>
  <c r="H275" i="3"/>
  <c r="H278" i="3"/>
  <c r="P280" i="3"/>
  <c r="H283" i="3"/>
  <c r="H286" i="3"/>
  <c r="P288" i="3"/>
  <c r="H291" i="3"/>
  <c r="H294" i="3"/>
  <c r="P296" i="3"/>
  <c r="Q26" i="3"/>
  <c r="Q38" i="3"/>
  <c r="Q48" i="3"/>
  <c r="Q58" i="3"/>
  <c r="Q70" i="3"/>
  <c r="Q80" i="3"/>
  <c r="I87" i="3"/>
  <c r="I93" i="3"/>
  <c r="I98" i="3"/>
  <c r="I103" i="3"/>
  <c r="I109" i="3"/>
  <c r="I114" i="3"/>
  <c r="I119" i="3"/>
  <c r="I125" i="3"/>
  <c r="I130" i="3"/>
  <c r="I135" i="3"/>
  <c r="I141" i="3"/>
  <c r="I146" i="3"/>
  <c r="I150" i="3"/>
  <c r="I154" i="3"/>
  <c r="I158" i="3"/>
  <c r="E161" i="3"/>
  <c r="P163" i="3"/>
  <c r="J166" i="3"/>
  <c r="E169" i="3"/>
  <c r="P171" i="3"/>
  <c r="J174" i="3"/>
  <c r="E177" i="3"/>
  <c r="P179" i="3"/>
  <c r="P181" i="3"/>
  <c r="P183" i="3"/>
  <c r="P185" i="3"/>
  <c r="P187" i="3"/>
  <c r="P189" i="3"/>
  <c r="P191" i="3"/>
  <c r="P193" i="3"/>
  <c r="P195" i="3"/>
  <c r="P197" i="3"/>
  <c r="P199" i="3"/>
  <c r="P201" i="3"/>
  <c r="P203" i="3"/>
  <c r="P205" i="3"/>
  <c r="P207" i="3"/>
  <c r="P209" i="3"/>
  <c r="P211" i="3"/>
  <c r="P213" i="3"/>
  <c r="P215" i="3"/>
  <c r="P217" i="3"/>
  <c r="P219" i="3"/>
  <c r="P221" i="3"/>
  <c r="P223" i="3"/>
  <c r="P225" i="3"/>
  <c r="P227" i="3"/>
  <c r="P229" i="3"/>
  <c r="P231" i="3"/>
  <c r="P233" i="3"/>
  <c r="P235" i="3"/>
  <c r="P237" i="3"/>
  <c r="I239" i="3"/>
  <c r="O240" i="3"/>
  <c r="D242" i="3"/>
  <c r="I243" i="3"/>
  <c r="O244" i="3"/>
  <c r="D246" i="3"/>
  <c r="I247" i="3"/>
  <c r="O248" i="3"/>
  <c r="D250" i="3"/>
  <c r="I251" i="3"/>
  <c r="O252" i="3"/>
  <c r="D254" i="3"/>
  <c r="I255" i="3"/>
  <c r="O256" i="3"/>
  <c r="D258" i="3"/>
  <c r="I259" i="3"/>
  <c r="O260" i="3"/>
  <c r="D262" i="3"/>
  <c r="I263" i="3"/>
  <c r="O264" i="3"/>
  <c r="D266" i="3"/>
  <c r="I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B26" i="3"/>
  <c r="B38" i="3"/>
  <c r="B54" i="3"/>
  <c r="B70" i="3"/>
  <c r="B85" i="3"/>
  <c r="B93" i="3"/>
  <c r="B101" i="3"/>
  <c r="B109" i="3"/>
  <c r="B117" i="3"/>
  <c r="B125" i="3"/>
  <c r="B133" i="3"/>
  <c r="B141" i="3"/>
  <c r="B149" i="3"/>
  <c r="B157" i="3"/>
  <c r="Q162" i="3"/>
  <c r="F168" i="3"/>
  <c r="Q172" i="3"/>
  <c r="F178" i="3"/>
  <c r="M182" i="3"/>
  <c r="M186" i="3"/>
  <c r="M190" i="3"/>
  <c r="M194" i="3"/>
  <c r="M198" i="3"/>
  <c r="M202" i="3"/>
  <c r="M206" i="3"/>
  <c r="M210" i="3"/>
  <c r="M214" i="3"/>
  <c r="M218" i="3"/>
  <c r="M222" i="3"/>
  <c r="M226" i="3"/>
  <c r="E231" i="3"/>
  <c r="E235" i="3"/>
  <c r="C239" i="3"/>
  <c r="M241" i="3"/>
  <c r="H244" i="3"/>
  <c r="C247" i="3"/>
  <c r="C250" i="3"/>
  <c r="M252" i="3"/>
  <c r="H255" i="3"/>
  <c r="C258" i="3"/>
  <c r="M260" i="3"/>
  <c r="H263" i="3"/>
  <c r="C266" i="3"/>
  <c r="L268" i="3"/>
  <c r="L270" i="3"/>
  <c r="L272" i="3"/>
  <c r="L274" i="3"/>
  <c r="L276" i="3"/>
  <c r="L278" i="3"/>
  <c r="L280" i="3"/>
  <c r="L282" i="3"/>
  <c r="L284" i="3"/>
  <c r="L286" i="3"/>
  <c r="L288" i="3"/>
  <c r="L290" i="3"/>
  <c r="L292" i="3"/>
  <c r="L294" i="3"/>
  <c r="L296" i="3"/>
  <c r="P377" i="3"/>
  <c r="H366" i="3"/>
  <c r="L379" i="3"/>
  <c r="L377" i="3"/>
  <c r="L375" i="3"/>
  <c r="L373" i="3"/>
  <c r="L371" i="3"/>
  <c r="L369" i="3"/>
  <c r="L367" i="3"/>
  <c r="L365" i="3"/>
  <c r="L363" i="3"/>
  <c r="L361" i="3"/>
  <c r="L359" i="3"/>
  <c r="L357" i="3"/>
  <c r="L355" i="3"/>
  <c r="L353" i="3"/>
  <c r="L351" i="3"/>
  <c r="L349" i="3"/>
  <c r="L347" i="3"/>
  <c r="L345" i="3"/>
  <c r="L343" i="3"/>
  <c r="L341" i="3"/>
  <c r="L339" i="3"/>
  <c r="L337" i="3"/>
  <c r="L335" i="3"/>
  <c r="L333" i="3"/>
  <c r="L331" i="3"/>
  <c r="L329" i="3"/>
  <c r="L327" i="3"/>
  <c r="L325" i="3"/>
  <c r="L323" i="3"/>
  <c r="L321" i="3"/>
  <c r="L319" i="3"/>
  <c r="L317" i="3"/>
  <c r="L315" i="3"/>
  <c r="L313" i="3"/>
  <c r="L311" i="3"/>
  <c r="L309" i="3"/>
  <c r="L307" i="3"/>
  <c r="L305" i="3"/>
  <c r="L303" i="3"/>
  <c r="L301" i="3"/>
  <c r="L299" i="3"/>
  <c r="L297" i="3"/>
  <c r="O293" i="3"/>
  <c r="O289" i="3"/>
  <c r="O285" i="3"/>
  <c r="O281" i="3"/>
  <c r="O277" i="3"/>
  <c r="O273" i="3"/>
  <c r="O269" i="3"/>
  <c r="Q264" i="3"/>
  <c r="L259" i="3"/>
  <c r="G254" i="3"/>
  <c r="Q248" i="3"/>
  <c r="L243" i="3"/>
  <c r="D238" i="3"/>
  <c r="D230" i="3"/>
  <c r="D222" i="3"/>
  <c r="D214" i="3"/>
  <c r="D206" i="3"/>
  <c r="D198" i="3"/>
  <c r="D190" i="3"/>
  <c r="D182" i="3"/>
  <c r="E172" i="3"/>
  <c r="J161" i="3"/>
  <c r="Q146" i="3"/>
  <c r="Q130" i="3"/>
  <c r="Q114" i="3"/>
  <c r="Q98" i="3"/>
  <c r="Q81" i="3"/>
  <c r="Q49" i="3"/>
  <c r="O225" i="3"/>
  <c r="P239" i="3"/>
  <c r="J302" i="3"/>
  <c r="J334" i="3"/>
  <c r="N357" i="3"/>
  <c r="N373" i="3"/>
  <c r="B134" i="3"/>
  <c r="E216" i="3"/>
  <c r="H264" i="3"/>
  <c r="H276" i="3"/>
  <c r="P286" i="3"/>
  <c r="H297" i="3"/>
  <c r="Q62" i="3"/>
  <c r="I94" i="3"/>
  <c r="I115" i="3"/>
  <c r="I137" i="3"/>
  <c r="I155" i="3"/>
  <c r="E167" i="3"/>
  <c r="P177" i="3"/>
  <c r="H186" i="3"/>
  <c r="H194" i="3"/>
  <c r="H202" i="3"/>
  <c r="H210" i="3"/>
  <c r="H218" i="3"/>
  <c r="H226" i="3"/>
  <c r="H234" i="3"/>
  <c r="D241" i="3"/>
  <c r="I246" i="3"/>
  <c r="O251" i="3"/>
  <c r="D257" i="3"/>
  <c r="I262" i="3"/>
  <c r="O267" i="3"/>
  <c r="Q271" i="3"/>
  <c r="Q275" i="3"/>
  <c r="Q279" i="3"/>
  <c r="Q283" i="3"/>
  <c r="Q287" i="3"/>
  <c r="Q291" i="3"/>
  <c r="Q295" i="3"/>
  <c r="Q299" i="3"/>
  <c r="Q303" i="3"/>
  <c r="Q307" i="3"/>
  <c r="Q311" i="3"/>
  <c r="Q315" i="3"/>
  <c r="Q319" i="3"/>
  <c r="Q323" i="3"/>
  <c r="Q327" i="3"/>
  <c r="Q331" i="3"/>
  <c r="Q335" i="3"/>
  <c r="Q339" i="3"/>
  <c r="Q343" i="3"/>
  <c r="Q347" i="3"/>
  <c r="Q351" i="3"/>
  <c r="Q355" i="3"/>
  <c r="Q359" i="3"/>
  <c r="Q363" i="3"/>
  <c r="Q367" i="3"/>
  <c r="Q371" i="3"/>
  <c r="Q375" i="3"/>
  <c r="Q379" i="3"/>
  <c r="B74" i="3"/>
  <c r="B111" i="3"/>
  <c r="B143" i="3"/>
  <c r="Q168" i="3"/>
  <c r="M187" i="3"/>
  <c r="M203" i="3"/>
  <c r="M219" i="3"/>
  <c r="E236" i="3"/>
  <c r="C248" i="3"/>
  <c r="M258" i="3"/>
  <c r="D269" i="3"/>
  <c r="D277" i="3"/>
  <c r="D285" i="3"/>
  <c r="D293" i="3"/>
  <c r="P353" i="3"/>
  <c r="D373" i="3"/>
  <c r="D365" i="3"/>
  <c r="D357" i="3"/>
  <c r="D349" i="3"/>
  <c r="D341" i="3"/>
  <c r="D333" i="3"/>
  <c r="D325" i="3"/>
  <c r="D317" i="3"/>
  <c r="D309" i="3"/>
  <c r="D301" i="3"/>
  <c r="O288" i="3"/>
  <c r="O280" i="3"/>
  <c r="O272" i="3"/>
  <c r="L263" i="3"/>
  <c r="Q252" i="3"/>
  <c r="G242" i="3"/>
  <c r="D228" i="3"/>
  <c r="D212" i="3"/>
  <c r="D196" i="3"/>
  <c r="D180" i="3"/>
  <c r="P158" i="3"/>
  <c r="Q126" i="3"/>
  <c r="Q94" i="3"/>
  <c r="Q41" i="3"/>
  <c r="J294" i="3"/>
  <c r="J352" i="3"/>
  <c r="N369" i="3"/>
  <c r="B102" i="3"/>
  <c r="E200" i="3"/>
  <c r="C255" i="3"/>
  <c r="H273" i="3"/>
  <c r="H284" i="3"/>
  <c r="P294" i="3"/>
  <c r="Q50" i="3"/>
  <c r="I89" i="3"/>
  <c r="I110" i="3"/>
  <c r="I131" i="3"/>
  <c r="I151" i="3"/>
  <c r="J164" i="3"/>
  <c r="E175" i="3"/>
  <c r="H184" i="3"/>
  <c r="H192" i="3"/>
  <c r="H200" i="3"/>
  <c r="H208" i="3"/>
  <c r="H216" i="3"/>
  <c r="H224" i="3"/>
  <c r="H232" i="3"/>
  <c r="O239" i="3"/>
  <c r="D245" i="3"/>
  <c r="I250" i="3"/>
  <c r="O255" i="3"/>
  <c r="D261" i="3"/>
  <c r="I266" i="3"/>
  <c r="Q278" i="3"/>
  <c r="Q282" i="3"/>
  <c r="Q286" i="3"/>
  <c r="Q290" i="3"/>
  <c r="Q294" i="3"/>
  <c r="Q298" i="3"/>
  <c r="Q302" i="3"/>
  <c r="Q306" i="3"/>
  <c r="Q310" i="3"/>
  <c r="Q314" i="3"/>
  <c r="Q318" i="3"/>
  <c r="Q322" i="3"/>
  <c r="Q326" i="3"/>
  <c r="Q334" i="3"/>
  <c r="Q342" i="3"/>
  <c r="Q346" i="3"/>
  <c r="Q350" i="3"/>
  <c r="Q354" i="3"/>
  <c r="Q362" i="3"/>
  <c r="Q370" i="3"/>
  <c r="Q378" i="3"/>
  <c r="B103" i="3"/>
  <c r="M183" i="3"/>
  <c r="E232" i="3"/>
  <c r="C245" i="3"/>
  <c r="D275" i="3"/>
  <c r="D291" i="3"/>
  <c r="D367" i="3"/>
  <c r="D351" i="3"/>
  <c r="D335" i="3"/>
  <c r="D311" i="3"/>
  <c r="O292" i="3"/>
  <c r="O274" i="3"/>
  <c r="L255" i="3"/>
  <c r="D216" i="3"/>
  <c r="D184" i="3"/>
  <c r="Q134" i="3"/>
  <c r="Q57" i="3"/>
  <c r="N184" i="3"/>
  <c r="E261" i="3"/>
  <c r="J310" i="3"/>
  <c r="B342" i="3"/>
  <c r="N361" i="3"/>
  <c r="N377" i="3"/>
  <c r="L163" i="3"/>
  <c r="M231" i="3"/>
  <c r="H268" i="3"/>
  <c r="P278" i="3"/>
  <c r="H289" i="3"/>
  <c r="Q30" i="3"/>
  <c r="Q72" i="3"/>
  <c r="I99" i="3"/>
  <c r="I121" i="3"/>
  <c r="I142" i="3"/>
  <c r="E159" i="3"/>
  <c r="P169" i="3"/>
  <c r="H180" i="3"/>
  <c r="H188" i="3"/>
  <c r="H196" i="3"/>
  <c r="H204" i="3"/>
  <c r="H212" i="3"/>
  <c r="H220" i="3"/>
  <c r="H228" i="3"/>
  <c r="H236" i="3"/>
  <c r="I242" i="3"/>
  <c r="O247" i="3"/>
  <c r="D253" i="3"/>
  <c r="I258" i="3"/>
  <c r="O263" i="3"/>
  <c r="Q268" i="3"/>
  <c r="Q272" i="3"/>
  <c r="Q276" i="3"/>
  <c r="Q280" i="3"/>
  <c r="Q284" i="3"/>
  <c r="Q288" i="3"/>
  <c r="Q292" i="3"/>
  <c r="Q296" i="3"/>
  <c r="Q300" i="3"/>
  <c r="Q304" i="3"/>
  <c r="Q308" i="3"/>
  <c r="Q312" i="3"/>
  <c r="Q316" i="3"/>
  <c r="Q320" i="3"/>
  <c r="Q324" i="3"/>
  <c r="Q328" i="3"/>
  <c r="Q332" i="3"/>
  <c r="Q336" i="3"/>
  <c r="Q340" i="3"/>
  <c r="Q344" i="3"/>
  <c r="Q348" i="3"/>
  <c r="Q352" i="3"/>
  <c r="Q356" i="3"/>
  <c r="Q360" i="3"/>
  <c r="Q364" i="3"/>
  <c r="Q368" i="3"/>
  <c r="Q372" i="3"/>
  <c r="Q376" i="3"/>
  <c r="B28" i="3"/>
  <c r="B87" i="3"/>
  <c r="B119" i="3"/>
  <c r="B151" i="3"/>
  <c r="F174" i="3"/>
  <c r="M191" i="3"/>
  <c r="M207" i="3"/>
  <c r="M223" i="3"/>
  <c r="M239" i="3"/>
  <c r="M250" i="3"/>
  <c r="H261" i="3"/>
  <c r="D271" i="3"/>
  <c r="D279" i="3"/>
  <c r="D287" i="3"/>
  <c r="D295" i="3"/>
  <c r="D379" i="3"/>
  <c r="D371" i="3"/>
  <c r="D363" i="3"/>
  <c r="D355" i="3"/>
  <c r="D347" i="3"/>
  <c r="D339" i="3"/>
  <c r="D331" i="3"/>
  <c r="D323" i="3"/>
  <c r="D315" i="3"/>
  <c r="D307" i="3"/>
  <c r="D299" i="3"/>
  <c r="O286" i="3"/>
  <c r="O278" i="3"/>
  <c r="O270" i="3"/>
  <c r="Q260" i="3"/>
  <c r="G250" i="3"/>
  <c r="L239" i="3"/>
  <c r="D224" i="3"/>
  <c r="D208" i="3"/>
  <c r="D192" i="3"/>
  <c r="P174" i="3"/>
  <c r="Q150" i="3"/>
  <c r="Q118" i="3"/>
  <c r="Q86" i="3"/>
  <c r="Q25" i="3"/>
  <c r="I180" i="3"/>
  <c r="Q274" i="3"/>
  <c r="Q338" i="3"/>
  <c r="Q358" i="3"/>
  <c r="Q374" i="3"/>
  <c r="B135" i="3"/>
  <c r="M199" i="3"/>
  <c r="C256" i="3"/>
  <c r="P376" i="3"/>
  <c r="D359" i="3"/>
  <c r="D319" i="3"/>
  <c r="O282" i="3"/>
  <c r="Q244" i="3"/>
  <c r="D200" i="3"/>
  <c r="Q102" i="3"/>
  <c r="F263" i="3"/>
  <c r="B279" i="3"/>
  <c r="J318" i="3"/>
  <c r="F347" i="3"/>
  <c r="N365" i="3"/>
  <c r="B56" i="3"/>
  <c r="E184" i="3"/>
  <c r="M244" i="3"/>
  <c r="P270" i="3"/>
  <c r="H281" i="3"/>
  <c r="H292" i="3"/>
  <c r="Q40" i="3"/>
  <c r="Q82" i="3"/>
  <c r="I105" i="3"/>
  <c r="I126" i="3"/>
  <c r="I147" i="3"/>
  <c r="P161" i="3"/>
  <c r="J172" i="3"/>
  <c r="H182" i="3"/>
  <c r="H190" i="3"/>
  <c r="H198" i="3"/>
  <c r="H206" i="3"/>
  <c r="H214" i="3"/>
  <c r="H222" i="3"/>
  <c r="H230" i="3"/>
  <c r="H238" i="3"/>
  <c r="O243" i="3"/>
  <c r="D249" i="3"/>
  <c r="I254" i="3"/>
  <c r="O259" i="3"/>
  <c r="D265" i="3"/>
  <c r="Q269" i="3"/>
  <c r="Q273" i="3"/>
  <c r="Q277" i="3"/>
  <c r="Q281" i="3"/>
  <c r="Q285" i="3"/>
  <c r="Q289" i="3"/>
  <c r="Q293" i="3"/>
  <c r="Q297" i="3"/>
  <c r="Q301" i="3"/>
  <c r="Q305" i="3"/>
  <c r="Q309" i="3"/>
  <c r="Q313" i="3"/>
  <c r="Q317" i="3"/>
  <c r="Q321" i="3"/>
  <c r="Q325" i="3"/>
  <c r="Q329" i="3"/>
  <c r="Q333" i="3"/>
  <c r="Q337" i="3"/>
  <c r="Q341" i="3"/>
  <c r="Q345" i="3"/>
  <c r="Q349" i="3"/>
  <c r="Q353" i="3"/>
  <c r="Q357" i="3"/>
  <c r="Q361" i="3"/>
  <c r="Q365" i="3"/>
  <c r="Q369" i="3"/>
  <c r="Q373" i="3"/>
  <c r="Q377" i="3"/>
  <c r="B42" i="3"/>
  <c r="B95" i="3"/>
  <c r="B127" i="3"/>
  <c r="Q158" i="3"/>
  <c r="L179" i="3"/>
  <c r="M195" i="3"/>
  <c r="M211" i="3"/>
  <c r="M227" i="3"/>
  <c r="H242" i="3"/>
  <c r="H253" i="3"/>
  <c r="C264" i="3"/>
  <c r="D273" i="3"/>
  <c r="D281" i="3"/>
  <c r="D289" i="3"/>
  <c r="D297" i="3"/>
  <c r="D377" i="3"/>
  <c r="D369" i="3"/>
  <c r="D361" i="3"/>
  <c r="D353" i="3"/>
  <c r="D345" i="3"/>
  <c r="D337" i="3"/>
  <c r="D329" i="3"/>
  <c r="D321" i="3"/>
  <c r="D313" i="3"/>
  <c r="D305" i="3"/>
  <c r="O296" i="3"/>
  <c r="O284" i="3"/>
  <c r="O276" i="3"/>
  <c r="O268" i="3"/>
  <c r="G258" i="3"/>
  <c r="L247" i="3"/>
  <c r="D236" i="3"/>
  <c r="D220" i="3"/>
  <c r="D204" i="3"/>
  <c r="D188" i="3"/>
  <c r="J169" i="3"/>
  <c r="Q142" i="3"/>
  <c r="Q110" i="3"/>
  <c r="Q73" i="3"/>
  <c r="J326" i="3"/>
  <c r="Q270" i="3"/>
  <c r="Q330" i="3"/>
  <c r="Q366" i="3"/>
  <c r="B58" i="3"/>
  <c r="F164" i="3"/>
  <c r="M215" i="3"/>
  <c r="M266" i="3"/>
  <c r="D283" i="3"/>
  <c r="D375" i="3"/>
  <c r="D343" i="3"/>
  <c r="D327" i="3"/>
  <c r="D303" i="3"/>
  <c r="G266" i="3"/>
  <c r="D232" i="3"/>
  <c r="E164" i="3"/>
  <c r="AN2" i="1"/>
  <c r="AM2" i="1"/>
  <c r="BO5" i="3"/>
  <c r="BN5" i="3" s="1"/>
  <c r="BM5" i="3" s="1"/>
  <c r="BL5" i="3" s="1"/>
  <c r="BK5" i="3" s="1"/>
  <c r="BJ5" i="3" s="1"/>
  <c r="BI5" i="3" s="1"/>
  <c r="BH5" i="3" s="1"/>
  <c r="BG5" i="3" s="1"/>
  <c r="BF5" i="3" s="1"/>
  <c r="AD5" i="3"/>
  <c r="AC5" i="3"/>
  <c r="AB5" i="3" s="1"/>
  <c r="AA5" i="3" s="1"/>
  <c r="Z5" i="3" s="1"/>
  <c r="Y5" i="3" s="1"/>
  <c r="X5" i="3" s="1"/>
  <c r="W5" i="3" s="1"/>
  <c r="V5" i="3" s="1"/>
  <c r="AL2" i="1"/>
  <c r="AK2" i="1"/>
  <c r="R122" i="3" l="1"/>
  <c r="R101" i="3"/>
  <c r="R92" i="3"/>
  <c r="R37" i="3"/>
  <c r="R109" i="3"/>
  <c r="R95" i="3"/>
  <c r="R103" i="3"/>
  <c r="R137" i="3"/>
  <c r="R93" i="3"/>
  <c r="R79" i="3"/>
  <c r="R59" i="3"/>
  <c r="R117" i="3"/>
  <c r="R53" i="3"/>
  <c r="R21" i="3"/>
  <c r="R303" i="3"/>
  <c r="R136" i="3"/>
  <c r="R97" i="3"/>
  <c r="R90" i="3"/>
  <c r="R73" i="3"/>
  <c r="R67" i="3"/>
  <c r="R217" i="3"/>
  <c r="R60" i="3"/>
  <c r="R52" i="3"/>
  <c r="R44" i="3"/>
  <c r="R28" i="3"/>
  <c r="R20" i="3"/>
  <c r="R89" i="3"/>
  <c r="R129" i="3"/>
  <c r="R168" i="3"/>
  <c r="R124" i="3"/>
  <c r="R108" i="3"/>
  <c r="R139" i="3"/>
  <c r="R80" i="3"/>
  <c r="R86" i="3"/>
  <c r="R58" i="3"/>
  <c r="R107" i="3"/>
  <c r="R74" i="3"/>
  <c r="R47" i="3"/>
  <c r="R305" i="3"/>
  <c r="R83" i="3"/>
  <c r="R88" i="3"/>
  <c r="R260" i="3"/>
  <c r="R51" i="3"/>
  <c r="R43" i="3"/>
  <c r="R35" i="3"/>
  <c r="R27" i="3"/>
  <c r="R119" i="3"/>
  <c r="R110" i="3"/>
  <c r="R50" i="3"/>
  <c r="R42" i="3"/>
  <c r="R34" i="3"/>
  <c r="R26" i="3"/>
  <c r="R61" i="3"/>
  <c r="R29" i="3"/>
  <c r="R66" i="3"/>
  <c r="R36" i="3"/>
  <c r="R341" i="3"/>
  <c r="R357" i="3"/>
  <c r="R373" i="3"/>
  <c r="R348" i="3"/>
  <c r="R99" i="3"/>
  <c r="R104" i="3"/>
  <c r="R91" i="3"/>
  <c r="R75" i="3"/>
  <c r="R82" i="3"/>
  <c r="R84" i="3"/>
  <c r="R65" i="3"/>
  <c r="R57" i="3"/>
  <c r="R49" i="3"/>
  <c r="R41" i="3"/>
  <c r="R33" i="3"/>
  <c r="R25" i="3"/>
  <c r="R264" i="3"/>
  <c r="R68" i="3"/>
  <c r="R375" i="3"/>
  <c r="R302" i="3"/>
  <c r="R111" i="3"/>
  <c r="R134" i="3"/>
  <c r="R76" i="3"/>
  <c r="R105" i="3"/>
  <c r="R98" i="3"/>
  <c r="R64" i="3"/>
  <c r="R56" i="3"/>
  <c r="R48" i="3"/>
  <c r="R40" i="3"/>
  <c r="R32" i="3"/>
  <c r="R24" i="3"/>
  <c r="R329" i="3"/>
  <c r="R87" i="3"/>
  <c r="R96" i="3"/>
  <c r="R63" i="3"/>
  <c r="R55" i="3"/>
  <c r="R39" i="3"/>
  <c r="R23" i="3"/>
  <c r="R358" i="3"/>
  <c r="R306" i="3"/>
  <c r="R370" i="3"/>
  <c r="R295" i="3"/>
  <c r="R279" i="3"/>
  <c r="R126" i="3"/>
  <c r="R100" i="3"/>
  <c r="R85" i="3"/>
  <c r="R70" i="3"/>
  <c r="R94" i="3"/>
  <c r="R81" i="3"/>
  <c r="R62" i="3"/>
  <c r="R54" i="3"/>
  <c r="R46" i="3"/>
  <c r="R38" i="3"/>
  <c r="R30" i="3"/>
  <c r="R22" i="3"/>
  <c r="BK8" i="3"/>
  <c r="BD8" i="3"/>
  <c r="BD12" i="3" s="1"/>
  <c r="BO7" i="3"/>
  <c r="BK7" i="3"/>
  <c r="BG7" i="3"/>
  <c r="BG8" i="3"/>
  <c r="BL7" i="3"/>
  <c r="BD7" i="3"/>
  <c r="BD11" i="3" s="1"/>
  <c r="BN8" i="3"/>
  <c r="BM8" i="3"/>
  <c r="BH8" i="3"/>
  <c r="BN7" i="3"/>
  <c r="BJ7" i="3"/>
  <c r="BF7" i="3"/>
  <c r="BF8" i="3"/>
  <c r="BJ8" i="3"/>
  <c r="BL8" i="3"/>
  <c r="BO8" i="3"/>
  <c r="BM7" i="3"/>
  <c r="BI7" i="3"/>
  <c r="BE7" i="3"/>
  <c r="BE8" i="3"/>
  <c r="BI8" i="3"/>
  <c r="BH7" i="3"/>
  <c r="BN6" i="3"/>
  <c r="BJ6" i="3"/>
  <c r="BF6" i="3"/>
  <c r="BO6" i="3"/>
  <c r="BM6" i="3"/>
  <c r="BI6" i="3"/>
  <c r="BE6" i="3"/>
  <c r="BG6" i="3"/>
  <c r="BL6" i="3"/>
  <c r="BH6" i="3"/>
  <c r="BD6" i="3"/>
  <c r="BD10" i="3" s="1"/>
  <c r="BK6" i="3"/>
  <c r="G216" i="2"/>
  <c r="F216" i="2" s="1"/>
  <c r="E216" i="2" s="1"/>
  <c r="D216" i="2" s="1"/>
  <c r="S22" i="2" l="1"/>
  <c r="P22" i="2"/>
  <c r="J22" i="2"/>
  <c r="G22" i="2"/>
  <c r="D22" i="2"/>
  <c r="D35" i="2" s="1"/>
  <c r="C22" i="2"/>
  <c r="B19" i="2"/>
  <c r="B18" i="2" l="1"/>
  <c r="B17" i="2"/>
  <c r="B16" i="2"/>
  <c r="B15" i="2"/>
  <c r="B14" i="2"/>
  <c r="B13" i="2"/>
  <c r="B12" i="2"/>
  <c r="B11" i="2"/>
  <c r="B10" i="2"/>
  <c r="S9" i="2"/>
  <c r="P9" i="2"/>
  <c r="M9" i="2"/>
  <c r="J9" i="2"/>
  <c r="G9" i="2" l="1"/>
  <c r="G3" i="2" s="1"/>
  <c r="D9" i="2"/>
  <c r="P3" i="2"/>
  <c r="M3" i="2"/>
  <c r="J3" i="2"/>
  <c r="BO12" i="3"/>
  <c r="CA8" i="3" s="1"/>
  <c r="CA12" i="3" s="1"/>
  <c r="S7" i="2" s="1"/>
  <c r="BN12" i="3"/>
  <c r="BZ8" i="3" s="1"/>
  <c r="BZ12" i="3" s="1"/>
  <c r="S39" i="2" s="1"/>
  <c r="BF10" i="3"/>
  <c r="BR6" i="3" s="1"/>
  <c r="BR10" i="3" s="1"/>
  <c r="J5" i="2" s="1"/>
  <c r="BE10" i="3"/>
  <c r="BQ6" i="3" s="1"/>
  <c r="BQ10" i="3" s="1"/>
  <c r="G5" i="2" s="1"/>
  <c r="BF11" i="3"/>
  <c r="BR7" i="3" s="1"/>
  <c r="BR11" i="3" s="1"/>
  <c r="J6" i="2" s="1"/>
  <c r="BE11" i="3"/>
  <c r="BQ7" i="3" s="1"/>
  <c r="BQ11" i="3" s="1"/>
  <c r="G6" i="2" s="1"/>
  <c r="BF12" i="3"/>
  <c r="BR8" i="3" s="1"/>
  <c r="BR12" i="3" s="1"/>
  <c r="J7" i="2" s="1"/>
  <c r="BE12" i="3"/>
  <c r="BQ8" i="3" s="1"/>
  <c r="BQ12" i="3" s="1"/>
  <c r="G7" i="2" s="1"/>
  <c r="BP6" i="3"/>
  <c r="BP10" i="3" s="1"/>
  <c r="D5" i="2" s="1"/>
  <c r="S3" i="2"/>
  <c r="BP7" i="3"/>
  <c r="BP11" i="3" s="1"/>
  <c r="D6" i="2" s="1"/>
  <c r="BO10" i="3"/>
  <c r="CA6" i="3" s="1"/>
  <c r="CA10" i="3" s="1"/>
  <c r="S5" i="2" s="1"/>
  <c r="BP8" i="3"/>
  <c r="BP12" i="3" s="1"/>
  <c r="D7" i="2" s="1"/>
  <c r="BO11" i="3"/>
  <c r="CA7" i="3" s="1"/>
  <c r="CA11" i="3" s="1"/>
  <c r="S6" i="2" s="1"/>
  <c r="BH10" i="3"/>
  <c r="BT6" i="3" s="1"/>
  <c r="BT10" i="3" s="1"/>
  <c r="P5" i="2" s="1"/>
  <c r="BG10" i="3"/>
  <c r="BS6" i="3" s="1"/>
  <c r="BS10" i="3" s="1"/>
  <c r="M5" i="2" s="1"/>
  <c r="BH11" i="3"/>
  <c r="BT7" i="3" s="1"/>
  <c r="BT11" i="3" s="1"/>
  <c r="P6" i="2" s="1"/>
  <c r="BG11" i="3"/>
  <c r="BS7" i="3" s="1"/>
  <c r="BS11" i="3" s="1"/>
  <c r="M6" i="2" s="1"/>
  <c r="BH12" i="3"/>
  <c r="BT8" i="3" s="1"/>
  <c r="BT12" i="3" s="1"/>
  <c r="P7" i="2" s="1"/>
  <c r="BG12" i="3"/>
  <c r="BS8" i="3" s="1"/>
  <c r="BS12" i="3" s="1"/>
  <c r="M7" i="2" s="1"/>
  <c r="BI11" i="3"/>
  <c r="BU7" i="3" s="1"/>
  <c r="BU11" i="3" s="1"/>
  <c r="D38" i="2" s="1"/>
  <c r="BN10" i="3"/>
  <c r="BZ6" i="3" s="1"/>
  <c r="BZ10" i="3" s="1"/>
  <c r="S37" i="2" s="1"/>
  <c r="BM10" i="3"/>
  <c r="BY6" i="3" s="1"/>
  <c r="BY10" i="3" s="1"/>
  <c r="Q37" i="2" s="1"/>
  <c r="BL10" i="3"/>
  <c r="BX6" i="3" s="1"/>
  <c r="BX10" i="3" s="1"/>
  <c r="M37" i="2" s="1"/>
  <c r="BM12" i="3"/>
  <c r="BY8" i="3" s="1"/>
  <c r="BY12" i="3" s="1"/>
  <c r="Q39" i="2" s="1"/>
  <c r="BL12" i="3"/>
  <c r="BX8" i="3" s="1"/>
  <c r="BX12" i="3" s="1"/>
  <c r="M39" i="2" s="1"/>
  <c r="BK10" i="3"/>
  <c r="BW6" i="3" s="1"/>
  <c r="BW10" i="3" s="1"/>
  <c r="J37" i="2" s="1"/>
  <c r="BJ10" i="3"/>
  <c r="BV6" i="3" s="1"/>
  <c r="BV10" i="3" s="1"/>
  <c r="G37" i="2" s="1"/>
  <c r="BI10" i="3"/>
  <c r="BU6" i="3" s="1"/>
  <c r="BU10" i="3" s="1"/>
  <c r="D37" i="2" s="1"/>
  <c r="BK12" i="3"/>
  <c r="BW8" i="3" s="1"/>
  <c r="BW12" i="3" s="1"/>
  <c r="J39" i="2" s="1"/>
  <c r="BJ12" i="3"/>
  <c r="BV8" i="3" s="1"/>
  <c r="BV12" i="3" s="1"/>
  <c r="G39" i="2" s="1"/>
  <c r="BI12" i="3"/>
  <c r="BU8" i="3" s="1"/>
  <c r="BU12" i="3" s="1"/>
  <c r="D39" i="2" s="1"/>
  <c r="S35" i="2"/>
  <c r="P35" i="2"/>
  <c r="G35" i="2"/>
  <c r="BN11" i="3"/>
  <c r="BZ7" i="3" s="1"/>
  <c r="BZ11" i="3" s="1"/>
  <c r="S38" i="2" s="1"/>
  <c r="BM11" i="3"/>
  <c r="BY7" i="3" s="1"/>
  <c r="BY11" i="3" s="1"/>
  <c r="Q38" i="2" s="1"/>
  <c r="BL11" i="3"/>
  <c r="BX7" i="3" s="1"/>
  <c r="BX11" i="3" s="1"/>
  <c r="M38" i="2" s="1"/>
  <c r="BK11" i="3"/>
  <c r="BW7" i="3" s="1"/>
  <c r="BW11" i="3" s="1"/>
  <c r="J38" i="2" s="1"/>
  <c r="BJ11" i="3"/>
  <c r="BV7" i="3" s="1"/>
  <c r="BV11" i="3" s="1"/>
  <c r="G38" i="2" s="1"/>
  <c r="AQ5" i="3"/>
  <c r="BB5" i="3" s="1"/>
  <c r="BA5" i="3"/>
  <c r="BB15" i="3" s="1"/>
  <c r="AZ5" i="3"/>
  <c r="BB14" i="3" s="1"/>
  <c r="AP5" i="3"/>
  <c r="BB4" i="3" s="1"/>
  <c r="AV5" i="3"/>
  <c r="BB10" i="3" s="1"/>
  <c r="AU5" i="3"/>
  <c r="BB9" i="3" s="1"/>
  <c r="AO5" i="3"/>
  <c r="AR5" i="3"/>
  <c r="BB6" i="3" s="1"/>
  <c r="AW5" i="3"/>
  <c r="BB11" i="3" s="1"/>
  <c r="AX5" i="3"/>
  <c r="BB12" i="3" s="1"/>
  <c r="AS5" i="3"/>
  <c r="BB7" i="3" s="1"/>
  <c r="AY5" i="3"/>
  <c r="BB13" i="3" s="1"/>
  <c r="AT5" i="3"/>
  <c r="BB8" i="3" s="1"/>
  <c r="R31" i="3"/>
  <c r="R102" i="3"/>
  <c r="R106" i="3"/>
  <c r="R118" i="3"/>
  <c r="R120" i="3"/>
  <c r="R121" i="3"/>
  <c r="R123" i="3"/>
  <c r="R125" i="3"/>
  <c r="R127" i="3"/>
  <c r="R130" i="3"/>
  <c r="R131" i="3"/>
  <c r="R132" i="3"/>
  <c r="R133" i="3"/>
  <c r="R135" i="3"/>
  <c r="R138"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1" i="3"/>
  <c r="R262" i="3"/>
  <c r="R263" i="3"/>
  <c r="R265" i="3"/>
  <c r="R266" i="3"/>
  <c r="R267" i="3"/>
  <c r="R268" i="3"/>
  <c r="R269" i="3"/>
  <c r="R270" i="3"/>
  <c r="R271" i="3"/>
  <c r="R272" i="3"/>
  <c r="R273" i="3"/>
  <c r="R274" i="3"/>
  <c r="R275" i="3"/>
  <c r="R276" i="3"/>
  <c r="R277" i="3"/>
  <c r="R278" i="3"/>
  <c r="R280" i="3"/>
  <c r="R281" i="3"/>
  <c r="R282" i="3"/>
  <c r="R283" i="3"/>
  <c r="R284" i="3"/>
  <c r="R285" i="3"/>
  <c r="R286" i="3"/>
  <c r="R287" i="3"/>
  <c r="R288" i="3"/>
  <c r="R289" i="3"/>
  <c r="R290" i="3"/>
  <c r="R291" i="3"/>
  <c r="R292" i="3"/>
  <c r="R293" i="3"/>
  <c r="R294" i="3"/>
  <c r="R296" i="3"/>
  <c r="R297" i="3"/>
  <c r="R298" i="3"/>
  <c r="R299" i="3"/>
  <c r="R300" i="3"/>
  <c r="R301" i="3"/>
  <c r="R304" i="3"/>
  <c r="R307" i="3"/>
  <c r="R308" i="3"/>
  <c r="R309" i="3"/>
  <c r="R310" i="3"/>
  <c r="R311" i="3"/>
  <c r="R312" i="3"/>
  <c r="R313" i="3"/>
  <c r="R314" i="3"/>
  <c r="R315" i="3"/>
  <c r="R316" i="3"/>
  <c r="R317" i="3"/>
  <c r="R318" i="3"/>
  <c r="R319" i="3"/>
  <c r="R320" i="3"/>
  <c r="R321" i="3"/>
  <c r="R322" i="3"/>
  <c r="R323" i="3"/>
  <c r="R324" i="3"/>
  <c r="R325" i="3"/>
  <c r="R326" i="3"/>
  <c r="R327" i="3"/>
  <c r="R328" i="3"/>
  <c r="R330" i="3"/>
  <c r="R331" i="3"/>
  <c r="R332" i="3"/>
  <c r="R333" i="3"/>
  <c r="R334" i="3"/>
  <c r="R335" i="3"/>
  <c r="R336" i="3"/>
  <c r="R337" i="3"/>
  <c r="R338" i="3"/>
  <c r="R339" i="3"/>
  <c r="R340" i="3"/>
  <c r="R342" i="3"/>
  <c r="R343" i="3"/>
  <c r="R344" i="3"/>
  <c r="R345" i="3"/>
  <c r="R346" i="3"/>
  <c r="R347" i="3"/>
  <c r="R349" i="3"/>
  <c r="R350" i="3"/>
  <c r="R351" i="3"/>
  <c r="R352" i="3"/>
  <c r="R353" i="3"/>
  <c r="R354" i="3"/>
  <c r="R355" i="3"/>
  <c r="R356" i="3"/>
  <c r="R359" i="3"/>
  <c r="R360" i="3"/>
  <c r="R361" i="3"/>
  <c r="R362" i="3"/>
  <c r="R363" i="3"/>
  <c r="R364" i="3"/>
  <c r="R365" i="3"/>
  <c r="R366" i="3"/>
  <c r="R367" i="3"/>
  <c r="R368" i="3"/>
  <c r="R369" i="3"/>
  <c r="R371" i="3"/>
  <c r="R372" i="3"/>
  <c r="R374" i="3"/>
  <c r="R376" i="3"/>
  <c r="R377" i="3"/>
  <c r="R378" i="3"/>
  <c r="R379" i="3"/>
  <c r="S347" i="3" l="1"/>
  <c r="S378" i="3"/>
  <c r="S104" i="3"/>
  <c r="S301" i="3"/>
  <c r="S180" i="3"/>
  <c r="S360" i="3"/>
  <c r="S36" i="3"/>
  <c r="S176" i="3"/>
  <c r="S283" i="3"/>
  <c r="S156" i="3"/>
  <c r="S181" i="3"/>
  <c r="S265" i="3"/>
  <c r="S247" i="3"/>
  <c r="S341" i="3"/>
  <c r="S372" i="3"/>
  <c r="S349" i="3"/>
  <c r="S284" i="3"/>
  <c r="S56" i="3"/>
  <c r="D3" i="2"/>
  <c r="S294" i="3"/>
  <c r="S145" i="3"/>
  <c r="S350" i="3"/>
  <c r="S228" i="3"/>
  <c r="S128" i="3"/>
  <c r="S109" i="3"/>
  <c r="S50" i="3"/>
  <c r="S367" i="3"/>
  <c r="S363" i="3"/>
  <c r="S359" i="3"/>
  <c r="S353" i="3"/>
  <c r="S344" i="3"/>
  <c r="S339" i="3"/>
  <c r="S335" i="3"/>
  <c r="S331" i="3"/>
  <c r="S326" i="3"/>
  <c r="S322" i="3"/>
  <c r="S318" i="3"/>
  <c r="S314" i="3"/>
  <c r="S310" i="3"/>
  <c r="S304" i="3"/>
  <c r="S293" i="3"/>
  <c r="S285" i="3"/>
  <c r="S281" i="3"/>
  <c r="S276" i="3"/>
  <c r="S272" i="3"/>
  <c r="S242" i="3"/>
  <c r="S205" i="3"/>
  <c r="S179" i="3"/>
  <c r="S194" i="3"/>
  <c r="S162" i="3"/>
  <c r="S198" i="3"/>
  <c r="S328" i="3"/>
  <c r="S296" i="3"/>
  <c r="S163" i="3"/>
  <c r="S133" i="3"/>
  <c r="S204" i="3"/>
  <c r="S78" i="3"/>
  <c r="S92" i="3"/>
  <c r="S22" i="3"/>
  <c r="S89" i="3"/>
  <c r="S85" i="3"/>
  <c r="S358" i="3"/>
  <c r="S126" i="3"/>
  <c r="S289" i="3"/>
  <c r="S189" i="3"/>
  <c r="S286" i="3"/>
  <c r="S317" i="3"/>
  <c r="S255" i="3"/>
  <c r="S164" i="3"/>
  <c r="S354" i="3"/>
  <c r="S172" i="3"/>
  <c r="S298" i="3"/>
  <c r="S236" i="3"/>
  <c r="S147" i="3"/>
  <c r="S86" i="3"/>
  <c r="S117" i="3"/>
  <c r="S76" i="3"/>
  <c r="S68" i="3"/>
  <c r="S97" i="3"/>
  <c r="S379" i="3"/>
  <c r="S374" i="3"/>
  <c r="S368" i="3"/>
  <c r="S364" i="3"/>
  <c r="S345" i="3"/>
  <c r="S336" i="3"/>
  <c r="S332" i="3"/>
  <c r="S323" i="3"/>
  <c r="S319" i="3"/>
  <c r="S315" i="3"/>
  <c r="S311" i="3"/>
  <c r="S307" i="3"/>
  <c r="S239" i="3"/>
  <c r="S340" i="3"/>
  <c r="S197" i="3"/>
  <c r="S125" i="3"/>
  <c r="S327" i="3"/>
  <c r="S266" i="3"/>
  <c r="S229" i="3"/>
  <c r="S140" i="3"/>
  <c r="S190" i="3"/>
  <c r="S312" i="3"/>
  <c r="S252" i="3"/>
  <c r="S161" i="3"/>
  <c r="S27" i="3"/>
  <c r="S65" i="3"/>
  <c r="S51" i="3"/>
  <c r="S40" i="3"/>
  <c r="S302" i="3"/>
  <c r="S52" i="3"/>
  <c r="S105" i="3"/>
  <c r="S211" i="3"/>
  <c r="S135" i="3"/>
  <c r="S299" i="3"/>
  <c r="S231" i="3"/>
  <c r="S146" i="3"/>
  <c r="S292" i="3"/>
  <c r="S320" i="3"/>
  <c r="S258" i="3"/>
  <c r="S220" i="3"/>
  <c r="S365" i="3"/>
  <c r="S174" i="3"/>
  <c r="S57" i="3"/>
  <c r="S217" i="3"/>
  <c r="S306" i="3"/>
  <c r="S87" i="3"/>
  <c r="S21" i="3"/>
  <c r="S39" i="3"/>
  <c r="S291" i="3"/>
  <c r="S375" i="3"/>
  <c r="S260" i="3"/>
  <c r="S268" i="3"/>
  <c r="S263" i="3"/>
  <c r="S254" i="3"/>
  <c r="S250" i="3"/>
  <c r="S246" i="3"/>
  <c r="S238" i="3"/>
  <c r="S234" i="3"/>
  <c r="S230" i="3"/>
  <c r="S226" i="3"/>
  <c r="S222" i="3"/>
  <c r="S218" i="3"/>
  <c r="S213" i="3"/>
  <c r="S209" i="3"/>
  <c r="S201" i="3"/>
  <c r="S193" i="3"/>
  <c r="S185" i="3"/>
  <c r="S177" i="3"/>
  <c r="S173" i="3"/>
  <c r="S169" i="3"/>
  <c r="S160" i="3"/>
  <c r="S152" i="3"/>
  <c r="S148" i="3"/>
  <c r="S144" i="3"/>
  <c r="S132" i="3"/>
  <c r="S118" i="3"/>
  <c r="S24" i="3"/>
  <c r="S20" i="3"/>
  <c r="S72" i="3"/>
  <c r="S103" i="3"/>
  <c r="S44" i="3"/>
  <c r="S75" i="3"/>
  <c r="S84" i="3"/>
  <c r="S370" i="3"/>
  <c r="S60" i="3"/>
  <c r="S47" i="3"/>
  <c r="S108" i="3"/>
  <c r="S67" i="3"/>
  <c r="S80" i="3"/>
  <c r="S29" i="3"/>
  <c r="S38" i="3"/>
  <c r="S139" i="3"/>
  <c r="S48" i="3"/>
  <c r="S79" i="3"/>
  <c r="S112" i="3"/>
  <c r="S95" i="3"/>
  <c r="S30" i="3"/>
  <c r="S115" i="3"/>
  <c r="S66" i="3"/>
  <c r="S77" i="3"/>
  <c r="S295" i="3"/>
  <c r="S129" i="3"/>
  <c r="S305" i="3"/>
  <c r="S137" i="3"/>
  <c r="S55" i="3"/>
  <c r="S64" i="3"/>
  <c r="S91" i="3"/>
  <c r="S106" i="3"/>
  <c r="S184" i="3"/>
  <c r="S356" i="3"/>
  <c r="S267" i="3"/>
  <c r="S275" i="3"/>
  <c r="S300" i="3"/>
  <c r="S343" i="3"/>
  <c r="S376" i="3"/>
  <c r="S142" i="3"/>
  <c r="S150" i="3"/>
  <c r="S158" i="3"/>
  <c r="S166" i="3"/>
  <c r="S225" i="3"/>
  <c r="S233" i="3"/>
  <c r="S241" i="3"/>
  <c r="S249" i="3"/>
  <c r="S257" i="3"/>
  <c r="S270" i="3"/>
  <c r="S278" i="3"/>
  <c r="S313" i="3"/>
  <c r="S321" i="3"/>
  <c r="S342" i="3"/>
  <c r="S377" i="3"/>
  <c r="S352" i="3"/>
  <c r="S138" i="3"/>
  <c r="S175" i="3"/>
  <c r="S183" i="3"/>
  <c r="S191" i="3"/>
  <c r="S199" i="3"/>
  <c r="S207" i="3"/>
  <c r="S215" i="3"/>
  <c r="S351" i="3"/>
  <c r="S362" i="3"/>
  <c r="S32" i="3"/>
  <c r="S83" i="3"/>
  <c r="S34" i="3"/>
  <c r="S45" i="3"/>
  <c r="S54" i="3"/>
  <c r="S33" i="3"/>
  <c r="S124" i="3"/>
  <c r="S63" i="3"/>
  <c r="S26" i="3"/>
  <c r="S111" i="3"/>
  <c r="S46" i="3"/>
  <c r="S25" i="3"/>
  <c r="S82" i="3"/>
  <c r="S93" i="3"/>
  <c r="S134" i="3"/>
  <c r="S81" i="3"/>
  <c r="S58" i="3"/>
  <c r="S37" i="3"/>
  <c r="S74" i="3"/>
  <c r="S53" i="3"/>
  <c r="S94" i="3"/>
  <c r="S73" i="3"/>
  <c r="S264" i="3"/>
  <c r="S136" i="3"/>
  <c r="S43" i="3"/>
  <c r="S88" i="3"/>
  <c r="S35" i="3"/>
  <c r="S168" i="3"/>
  <c r="S119" i="3"/>
  <c r="S70" i="3"/>
  <c r="S49" i="3"/>
  <c r="S102" i="3"/>
  <c r="S192" i="3"/>
  <c r="S333" i="3"/>
  <c r="S361" i="3"/>
  <c r="S123" i="3"/>
  <c r="S143" i="3"/>
  <c r="S151" i="3"/>
  <c r="S159" i="3"/>
  <c r="S167" i="3"/>
  <c r="S224" i="3"/>
  <c r="S232" i="3"/>
  <c r="S240" i="3"/>
  <c r="S248" i="3"/>
  <c r="S256" i="3"/>
  <c r="S308" i="3"/>
  <c r="S316" i="3"/>
  <c r="S324" i="3"/>
  <c r="S208" i="3"/>
  <c r="S288" i="3"/>
  <c r="S130" i="3"/>
  <c r="S297" i="3"/>
  <c r="S188" i="3"/>
  <c r="S212" i="3"/>
  <c r="S262" i="3"/>
  <c r="S287" i="3"/>
  <c r="S330" i="3"/>
  <c r="S338" i="3"/>
  <c r="S62" i="3"/>
  <c r="S98" i="3"/>
  <c r="S329" i="3"/>
  <c r="S42" i="3"/>
  <c r="S90" i="3"/>
  <c r="S110" i="3"/>
  <c r="S23" i="3"/>
  <c r="S279" i="3"/>
  <c r="S373" i="3"/>
  <c r="S357" i="3"/>
  <c r="S303" i="3"/>
  <c r="S71" i="3"/>
  <c r="S107" i="3"/>
  <c r="S99" i="3"/>
  <c r="S61" i="3"/>
  <c r="S113" i="3"/>
  <c r="S196" i="3"/>
  <c r="S337" i="3"/>
  <c r="S131" i="3"/>
  <c r="S271" i="3"/>
  <c r="S121" i="3"/>
  <c r="S216" i="3"/>
  <c r="S154" i="3"/>
  <c r="S221" i="3"/>
  <c r="S237" i="3"/>
  <c r="S253" i="3"/>
  <c r="S274" i="3"/>
  <c r="S309" i="3"/>
  <c r="S325" i="3"/>
  <c r="S261" i="3"/>
  <c r="S171" i="3"/>
  <c r="S187" i="3"/>
  <c r="S203" i="3"/>
  <c r="S355" i="3"/>
  <c r="S41" i="3"/>
  <c r="S100" i="3"/>
  <c r="S122" i="3"/>
  <c r="S69" i="3"/>
  <c r="S116" i="3"/>
  <c r="S59" i="3"/>
  <c r="S101" i="3"/>
  <c r="S28" i="3"/>
  <c r="S348" i="3"/>
  <c r="S96" i="3"/>
  <c r="S114" i="3"/>
  <c r="S31" i="3"/>
  <c r="S280" i="3"/>
  <c r="S369" i="3"/>
  <c r="S155" i="3"/>
  <c r="S244" i="3"/>
  <c r="S371" i="3"/>
  <c r="S245" i="3"/>
  <c r="S346" i="3"/>
  <c r="S200" i="3"/>
  <c r="S195" i="3"/>
  <c r="S334" i="3"/>
  <c r="S366" i="3"/>
  <c r="S290" i="3"/>
  <c r="S282" i="3"/>
  <c r="S277" i="3"/>
  <c r="S273" i="3"/>
  <c r="S269" i="3"/>
  <c r="S259" i="3"/>
  <c r="S251" i="3"/>
  <c r="S243" i="3"/>
  <c r="S235" i="3"/>
  <c r="S227" i="3"/>
  <c r="S223" i="3"/>
  <c r="S219" i="3"/>
  <c r="S214" i="3"/>
  <c r="S210" i="3"/>
  <c r="S206" i="3"/>
  <c r="S202" i="3"/>
  <c r="S186" i="3"/>
  <c r="S182" i="3"/>
  <c r="S178" i="3"/>
  <c r="S170" i="3"/>
  <c r="S165" i="3"/>
  <c r="S157" i="3"/>
  <c r="S153" i="3"/>
  <c r="S149" i="3"/>
  <c r="S141" i="3"/>
  <c r="S127" i="3"/>
  <c r="S120" i="3"/>
  <c r="AJ20" i="3" l="1" a="1"/>
  <c r="AK20" i="3" a="1"/>
  <c r="V20" i="3" a="1"/>
  <c r="AA20" i="3" a="1"/>
  <c r="AO20" i="3" a="1"/>
  <c r="AB20" i="3" a="1"/>
  <c r="AW20" i="3" a="1"/>
  <c r="AN20" i="3" a="1"/>
  <c r="AH20" i="3" a="1"/>
  <c r="AM20" i="3" a="1"/>
  <c r="AS20" i="3" a="1"/>
  <c r="AV20" i="3" a="1"/>
  <c r="AI20" i="3" a="1"/>
  <c r="AQ20" i="3" a="1"/>
  <c r="AP20" i="3" a="1"/>
  <c r="AL20" i="3" a="1"/>
  <c r="Y20" i="3" a="1"/>
  <c r="AR20" i="3" a="1"/>
  <c r="X20" i="3" a="1"/>
  <c r="AC20" i="3" a="1"/>
  <c r="Z20" i="3" a="1"/>
  <c r="AT20" i="3" a="1"/>
  <c r="AU20" i="3" a="1"/>
  <c r="AG20" i="3" a="1"/>
  <c r="AF20" i="3" a="1"/>
  <c r="AD20" i="3" a="1"/>
  <c r="AE20" i="3" a="1"/>
  <c r="W20" i="3" a="1"/>
  <c r="AJ379" i="3" l="1"/>
  <c r="AJ22" i="3"/>
  <c r="P8" i="3" s="1"/>
  <c r="C25" i="2" s="1"/>
  <c r="AJ178" i="3"/>
  <c r="AJ186" i="3"/>
  <c r="AJ194" i="3"/>
  <c r="AJ202" i="3"/>
  <c r="AJ210" i="3"/>
  <c r="AJ218" i="3"/>
  <c r="AJ226" i="3"/>
  <c r="AJ234" i="3"/>
  <c r="AJ242" i="3"/>
  <c r="AJ250" i="3"/>
  <c r="AJ258" i="3"/>
  <c r="AJ266" i="3"/>
  <c r="AJ274" i="3"/>
  <c r="AJ282" i="3"/>
  <c r="AJ290" i="3"/>
  <c r="AJ298" i="3"/>
  <c r="AJ306" i="3"/>
  <c r="AJ314" i="3"/>
  <c r="AJ322" i="3"/>
  <c r="AJ330" i="3"/>
  <c r="AJ338" i="3"/>
  <c r="AJ346" i="3"/>
  <c r="AJ354" i="3"/>
  <c r="AJ362" i="3"/>
  <c r="AJ370" i="3"/>
  <c r="AJ378" i="3"/>
  <c r="AJ174" i="3"/>
  <c r="AJ184" i="3"/>
  <c r="AJ196" i="3"/>
  <c r="AJ206" i="3"/>
  <c r="AJ216" i="3"/>
  <c r="AJ228" i="3"/>
  <c r="AJ238" i="3"/>
  <c r="AJ248" i="3"/>
  <c r="AJ260" i="3"/>
  <c r="AJ270" i="3"/>
  <c r="AJ280" i="3"/>
  <c r="AJ292" i="3"/>
  <c r="AJ302" i="3"/>
  <c r="AJ312" i="3"/>
  <c r="AJ324" i="3"/>
  <c r="AJ334" i="3"/>
  <c r="AJ344" i="3"/>
  <c r="AJ356" i="3"/>
  <c r="AJ366" i="3"/>
  <c r="AJ376" i="3"/>
  <c r="AJ172" i="3"/>
  <c r="AJ182" i="3"/>
  <c r="AJ192" i="3"/>
  <c r="AJ204" i="3"/>
  <c r="AJ214" i="3"/>
  <c r="AJ224" i="3"/>
  <c r="AJ236" i="3"/>
  <c r="AJ246" i="3"/>
  <c r="AJ256" i="3"/>
  <c r="AJ268" i="3"/>
  <c r="AJ278" i="3"/>
  <c r="AJ288" i="3"/>
  <c r="AJ300" i="3"/>
  <c r="AJ310" i="3"/>
  <c r="AJ320" i="3"/>
  <c r="AJ332" i="3"/>
  <c r="AJ342" i="3"/>
  <c r="AJ352" i="3"/>
  <c r="AJ364" i="3"/>
  <c r="AJ374" i="3"/>
  <c r="AJ176" i="3"/>
  <c r="AJ188" i="3"/>
  <c r="AJ198" i="3"/>
  <c r="AJ208" i="3"/>
  <c r="AJ220" i="3"/>
  <c r="AJ230" i="3"/>
  <c r="AJ240" i="3"/>
  <c r="AJ252" i="3"/>
  <c r="AJ262" i="3"/>
  <c r="AJ272" i="3"/>
  <c r="AJ284" i="3"/>
  <c r="AJ294" i="3"/>
  <c r="AJ304" i="3"/>
  <c r="AJ316" i="3"/>
  <c r="AJ326" i="3"/>
  <c r="AJ336" i="3"/>
  <c r="AJ348" i="3"/>
  <c r="AJ358" i="3"/>
  <c r="AJ368" i="3"/>
  <c r="AJ180" i="3"/>
  <c r="AJ222" i="3"/>
  <c r="AJ264" i="3"/>
  <c r="AJ308" i="3"/>
  <c r="AJ350" i="3"/>
  <c r="AJ212" i="3"/>
  <c r="AJ254" i="3"/>
  <c r="AJ296" i="3"/>
  <c r="AJ340" i="3"/>
  <c r="AJ200" i="3"/>
  <c r="AJ244" i="3"/>
  <c r="AJ286" i="3"/>
  <c r="AJ328" i="3"/>
  <c r="AJ372" i="3"/>
  <c r="AJ190" i="3"/>
  <c r="AJ232" i="3"/>
  <c r="AJ276" i="3"/>
  <c r="AJ318" i="3"/>
  <c r="AJ360" i="3"/>
  <c r="AJ164" i="3"/>
  <c r="AJ156" i="3"/>
  <c r="AJ148" i="3"/>
  <c r="AJ140" i="3"/>
  <c r="AJ132" i="3"/>
  <c r="AJ124" i="3"/>
  <c r="AJ116" i="3"/>
  <c r="AJ108" i="3"/>
  <c r="AJ100" i="3"/>
  <c r="AJ92" i="3"/>
  <c r="AJ84" i="3"/>
  <c r="AJ76" i="3"/>
  <c r="AJ68" i="3"/>
  <c r="AJ60" i="3"/>
  <c r="AJ52" i="3"/>
  <c r="AJ44" i="3"/>
  <c r="AJ36" i="3"/>
  <c r="AJ28" i="3"/>
  <c r="P14" i="3" s="1"/>
  <c r="C31" i="2" s="1"/>
  <c r="AJ377" i="3"/>
  <c r="AJ369" i="3"/>
  <c r="AJ361" i="3"/>
  <c r="AJ353" i="3"/>
  <c r="AJ345" i="3"/>
  <c r="AJ337" i="3"/>
  <c r="AJ329" i="3"/>
  <c r="AJ321" i="3"/>
  <c r="AJ313" i="3"/>
  <c r="AJ305" i="3"/>
  <c r="AJ297" i="3"/>
  <c r="AJ289" i="3"/>
  <c r="AJ281" i="3"/>
  <c r="AJ273" i="3"/>
  <c r="AJ265" i="3"/>
  <c r="AJ257" i="3"/>
  <c r="AJ249" i="3"/>
  <c r="AJ241" i="3"/>
  <c r="AJ233" i="3"/>
  <c r="AJ225" i="3"/>
  <c r="AJ217" i="3"/>
  <c r="AJ209" i="3"/>
  <c r="AJ201" i="3"/>
  <c r="AJ193" i="3"/>
  <c r="AJ185" i="3"/>
  <c r="AJ177" i="3"/>
  <c r="AJ169" i="3"/>
  <c r="AJ161" i="3"/>
  <c r="AJ153" i="3"/>
  <c r="AJ145" i="3"/>
  <c r="AJ137" i="3"/>
  <c r="AJ129" i="3"/>
  <c r="AJ121" i="3"/>
  <c r="AJ113" i="3"/>
  <c r="AJ105" i="3"/>
  <c r="AJ97" i="3"/>
  <c r="AJ89" i="3"/>
  <c r="AJ81" i="3"/>
  <c r="AJ73" i="3"/>
  <c r="AJ65" i="3"/>
  <c r="AJ57" i="3"/>
  <c r="AJ49" i="3"/>
  <c r="AJ41" i="3"/>
  <c r="AJ33" i="3"/>
  <c r="AJ25" i="3"/>
  <c r="AJ166" i="3"/>
  <c r="AJ150" i="3"/>
  <c r="AJ134" i="3"/>
  <c r="AJ118" i="3"/>
  <c r="AJ102" i="3"/>
  <c r="AJ94" i="3"/>
  <c r="AJ78" i="3"/>
  <c r="AJ70" i="3"/>
  <c r="AJ54" i="3"/>
  <c r="AJ38" i="3"/>
  <c r="AJ20" i="3"/>
  <c r="P6" i="3" s="1"/>
  <c r="C23" i="2" s="1"/>
  <c r="AJ363" i="3"/>
  <c r="AJ347" i="3"/>
  <c r="AJ323" i="3"/>
  <c r="AJ307" i="3"/>
  <c r="AJ291" i="3"/>
  <c r="AJ275" i="3"/>
  <c r="AJ251" i="3"/>
  <c r="AJ235" i="3"/>
  <c r="AJ219" i="3"/>
  <c r="AJ203" i="3"/>
  <c r="AJ187" i="3"/>
  <c r="AJ171" i="3"/>
  <c r="AJ155" i="3"/>
  <c r="AJ131" i="3"/>
  <c r="AJ115" i="3"/>
  <c r="AJ99" i="3"/>
  <c r="AJ75" i="3"/>
  <c r="AJ51" i="3"/>
  <c r="AJ35" i="3"/>
  <c r="AJ168" i="3"/>
  <c r="AJ152" i="3"/>
  <c r="AJ136" i="3"/>
  <c r="AJ120" i="3"/>
  <c r="AJ104" i="3"/>
  <c r="AJ88" i="3"/>
  <c r="AJ72" i="3"/>
  <c r="AJ56" i="3"/>
  <c r="AJ40" i="3"/>
  <c r="AJ32" i="3"/>
  <c r="AJ373" i="3"/>
  <c r="AJ357" i="3"/>
  <c r="AJ341" i="3"/>
  <c r="AJ317" i="3"/>
  <c r="AJ301" i="3"/>
  <c r="AJ277" i="3"/>
  <c r="AJ261" i="3"/>
  <c r="AJ245" i="3"/>
  <c r="AJ221" i="3"/>
  <c r="AJ205" i="3"/>
  <c r="AJ189" i="3"/>
  <c r="AJ173" i="3"/>
  <c r="AJ157" i="3"/>
  <c r="AJ141" i="3"/>
  <c r="AJ125" i="3"/>
  <c r="AJ109" i="3"/>
  <c r="AJ85" i="3"/>
  <c r="AJ69" i="3"/>
  <c r="AJ53" i="3"/>
  <c r="AJ37" i="3"/>
  <c r="AJ170" i="3"/>
  <c r="AJ162" i="3"/>
  <c r="AJ154" i="3"/>
  <c r="AJ146" i="3"/>
  <c r="AJ138" i="3"/>
  <c r="AJ130" i="3"/>
  <c r="AJ122" i="3"/>
  <c r="AJ114" i="3"/>
  <c r="AJ106" i="3"/>
  <c r="AJ98" i="3"/>
  <c r="AJ90" i="3"/>
  <c r="AJ82" i="3"/>
  <c r="AJ74" i="3"/>
  <c r="AJ66" i="3"/>
  <c r="AJ58" i="3"/>
  <c r="AJ50" i="3"/>
  <c r="AJ42" i="3"/>
  <c r="AJ34" i="3"/>
  <c r="AJ26" i="3"/>
  <c r="P12" i="3" s="1"/>
  <c r="C29" i="2" s="1"/>
  <c r="AJ375" i="3"/>
  <c r="AJ367" i="3"/>
  <c r="AJ359" i="3"/>
  <c r="AJ351" i="3"/>
  <c r="AJ343" i="3"/>
  <c r="AJ335" i="3"/>
  <c r="AJ327" i="3"/>
  <c r="AJ319" i="3"/>
  <c r="AJ311" i="3"/>
  <c r="AJ303" i="3"/>
  <c r="AJ295" i="3"/>
  <c r="AJ287" i="3"/>
  <c r="AJ279" i="3"/>
  <c r="AJ271" i="3"/>
  <c r="AJ263" i="3"/>
  <c r="AJ255" i="3"/>
  <c r="AJ247" i="3"/>
  <c r="AJ239" i="3"/>
  <c r="AJ231" i="3"/>
  <c r="AJ223" i="3"/>
  <c r="AJ215" i="3"/>
  <c r="AJ207" i="3"/>
  <c r="AJ199" i="3"/>
  <c r="AJ191" i="3"/>
  <c r="AJ183" i="3"/>
  <c r="AJ175" i="3"/>
  <c r="AJ167" i="3"/>
  <c r="AJ159" i="3"/>
  <c r="AJ151" i="3"/>
  <c r="AJ143" i="3"/>
  <c r="AJ135" i="3"/>
  <c r="AJ127" i="3"/>
  <c r="AJ119" i="3"/>
  <c r="AJ111" i="3"/>
  <c r="AJ103" i="3"/>
  <c r="AJ95" i="3"/>
  <c r="AJ87" i="3"/>
  <c r="AJ79" i="3"/>
  <c r="AJ71" i="3"/>
  <c r="AJ63" i="3"/>
  <c r="AJ55" i="3"/>
  <c r="AJ47" i="3"/>
  <c r="AJ39" i="3"/>
  <c r="AJ31" i="3"/>
  <c r="AJ23" i="3"/>
  <c r="P9" i="3" s="1"/>
  <c r="C26" i="2" s="1"/>
  <c r="AJ158" i="3"/>
  <c r="AJ142" i="3"/>
  <c r="AJ126" i="3"/>
  <c r="AJ110" i="3"/>
  <c r="AJ86" i="3"/>
  <c r="AJ62" i="3"/>
  <c r="AJ46" i="3"/>
  <c r="AJ30" i="3"/>
  <c r="AJ371" i="3"/>
  <c r="AJ355" i="3"/>
  <c r="AJ339" i="3"/>
  <c r="AJ331" i="3"/>
  <c r="AJ315" i="3"/>
  <c r="AJ299" i="3"/>
  <c r="AJ283" i="3"/>
  <c r="AJ267" i="3"/>
  <c r="AJ259" i="3"/>
  <c r="AJ243" i="3"/>
  <c r="AJ227" i="3"/>
  <c r="AJ211" i="3"/>
  <c r="AJ195" i="3"/>
  <c r="AJ179" i="3"/>
  <c r="AJ163" i="3"/>
  <c r="AJ147" i="3"/>
  <c r="AJ139" i="3"/>
  <c r="AJ123" i="3"/>
  <c r="AJ107" i="3"/>
  <c r="AJ91" i="3"/>
  <c r="AJ83" i="3"/>
  <c r="AJ67" i="3"/>
  <c r="AJ59" i="3"/>
  <c r="AJ43" i="3"/>
  <c r="AJ27" i="3"/>
  <c r="P13" i="3" s="1"/>
  <c r="C30" i="2" s="1"/>
  <c r="AJ160" i="3"/>
  <c r="AJ144" i="3"/>
  <c r="AJ128" i="3"/>
  <c r="AJ112" i="3"/>
  <c r="AJ96" i="3"/>
  <c r="AJ80" i="3"/>
  <c r="AJ64" i="3"/>
  <c r="AJ48" i="3"/>
  <c r="AJ24" i="3"/>
  <c r="P10" i="3" s="1"/>
  <c r="C27" i="2" s="1"/>
  <c r="AJ365" i="3"/>
  <c r="AJ349" i="3"/>
  <c r="AJ333" i="3"/>
  <c r="AJ325" i="3"/>
  <c r="AJ309" i="3"/>
  <c r="AJ293" i="3"/>
  <c r="AJ285" i="3"/>
  <c r="AJ269" i="3"/>
  <c r="AJ253" i="3"/>
  <c r="AJ237" i="3"/>
  <c r="AJ229" i="3"/>
  <c r="AJ213" i="3"/>
  <c r="AJ197" i="3"/>
  <c r="AJ181" i="3"/>
  <c r="AJ165" i="3"/>
  <c r="AJ149" i="3"/>
  <c r="AJ133" i="3"/>
  <c r="AJ117" i="3"/>
  <c r="AJ101" i="3"/>
  <c r="AJ93" i="3"/>
  <c r="AJ77" i="3"/>
  <c r="AJ61" i="3"/>
  <c r="AJ45" i="3"/>
  <c r="AJ29" i="3"/>
  <c r="P15" i="3" s="1"/>
  <c r="C32" i="2" s="1"/>
  <c r="AJ21" i="3"/>
  <c r="P7" i="3" s="1"/>
  <c r="C24" i="2" s="1"/>
  <c r="AK22" i="3"/>
  <c r="AK368" i="3"/>
  <c r="AK352" i="3"/>
  <c r="AK336" i="3"/>
  <c r="AK320" i="3"/>
  <c r="AK304" i="3"/>
  <c r="AK288" i="3"/>
  <c r="AK272" i="3"/>
  <c r="AK256" i="3"/>
  <c r="AK240" i="3"/>
  <c r="AK224" i="3"/>
  <c r="AK208" i="3"/>
  <c r="AK192" i="3"/>
  <c r="AK176" i="3"/>
  <c r="AK160" i="3"/>
  <c r="AK144" i="3"/>
  <c r="AK128" i="3"/>
  <c r="AK112" i="3"/>
  <c r="AK96" i="3"/>
  <c r="AK80" i="3"/>
  <c r="AK64" i="3"/>
  <c r="AK48" i="3"/>
  <c r="AK32" i="3"/>
  <c r="AK375" i="3"/>
  <c r="AK339" i="3"/>
  <c r="AK303" i="3"/>
  <c r="AK267" i="3"/>
  <c r="AK243" i="3"/>
  <c r="AK195" i="3"/>
  <c r="AK151" i="3"/>
  <c r="AK115" i="3"/>
  <c r="AK91" i="3"/>
  <c r="AK75" i="3"/>
  <c r="AK59" i="3"/>
  <c r="AK43" i="3"/>
  <c r="AK23" i="3"/>
  <c r="AK365" i="3"/>
  <c r="AK349" i="3"/>
  <c r="AK333" i="3"/>
  <c r="AK317" i="3"/>
  <c r="AK301" i="3"/>
  <c r="AK285" i="3"/>
  <c r="AK269" i="3"/>
  <c r="AK253" i="3"/>
  <c r="AK237" i="3"/>
  <c r="AK221" i="3"/>
  <c r="AK205" i="3"/>
  <c r="AK189" i="3"/>
  <c r="AK173" i="3"/>
  <c r="AK157" i="3"/>
  <c r="AK141" i="3"/>
  <c r="AK125" i="3"/>
  <c r="AK109" i="3"/>
  <c r="AK93" i="3"/>
  <c r="AK77" i="3"/>
  <c r="AK61" i="3"/>
  <c r="AK45" i="3"/>
  <c r="AK29" i="3"/>
  <c r="AK371" i="3"/>
  <c r="AK343" i="3"/>
  <c r="AK315" i="3"/>
  <c r="AK283" i="3"/>
  <c r="AK255" i="3"/>
  <c r="AK223" i="3"/>
  <c r="AK199" i="3"/>
  <c r="AK175" i="3"/>
  <c r="AK147" i="3"/>
  <c r="AK119" i="3"/>
  <c r="AK378" i="3"/>
  <c r="AK362" i="3"/>
  <c r="AK346" i="3"/>
  <c r="AK330" i="3"/>
  <c r="AK314" i="3"/>
  <c r="AK298" i="3"/>
  <c r="AK282" i="3"/>
  <c r="AK266" i="3"/>
  <c r="AK250" i="3"/>
  <c r="AK234" i="3"/>
  <c r="AK218" i="3"/>
  <c r="AK202" i="3"/>
  <c r="AK186" i="3"/>
  <c r="AK170" i="3"/>
  <c r="AK154" i="3"/>
  <c r="AK138" i="3"/>
  <c r="AK122" i="3"/>
  <c r="AK106" i="3"/>
  <c r="AK90" i="3"/>
  <c r="AK74" i="3"/>
  <c r="AK58" i="3"/>
  <c r="AK42" i="3"/>
  <c r="AK26" i="3"/>
  <c r="AK356" i="3"/>
  <c r="AK324" i="3"/>
  <c r="AK292" i="3"/>
  <c r="AK260" i="3"/>
  <c r="AK228" i="3"/>
  <c r="AK196" i="3"/>
  <c r="AK164" i="3"/>
  <c r="AK132" i="3"/>
  <c r="AK100" i="3"/>
  <c r="AK68" i="3"/>
  <c r="AK36" i="3"/>
  <c r="AK351" i="3"/>
  <c r="AK247" i="3"/>
  <c r="AK159" i="3"/>
  <c r="AK99" i="3"/>
  <c r="AK63" i="3"/>
  <c r="AK31" i="3"/>
  <c r="AK353" i="3"/>
  <c r="AK321" i="3"/>
  <c r="AK289" i="3"/>
  <c r="AK257" i="3"/>
  <c r="AK225" i="3"/>
  <c r="AK193" i="3"/>
  <c r="AK161" i="3"/>
  <c r="AK129" i="3"/>
  <c r="AK97" i="3"/>
  <c r="AK65" i="3"/>
  <c r="AK33" i="3"/>
  <c r="AK347" i="3"/>
  <c r="AK291" i="3"/>
  <c r="AK227" i="3"/>
  <c r="AK179" i="3"/>
  <c r="AK127" i="3"/>
  <c r="AK366" i="3"/>
  <c r="AK334" i="3"/>
  <c r="AK302" i="3"/>
  <c r="AK270" i="3"/>
  <c r="AK238" i="3"/>
  <c r="AK206" i="3"/>
  <c r="AK174" i="3"/>
  <c r="AK142" i="3"/>
  <c r="AK110" i="3"/>
  <c r="AK78" i="3"/>
  <c r="AK46" i="3"/>
  <c r="AK376" i="3"/>
  <c r="AK344" i="3"/>
  <c r="AK312" i="3"/>
  <c r="AK280" i="3"/>
  <c r="AK248" i="3"/>
  <c r="AK216" i="3"/>
  <c r="AK184" i="3"/>
  <c r="AK136" i="3"/>
  <c r="AK104" i="3"/>
  <c r="AK72" i="3"/>
  <c r="AK40" i="3"/>
  <c r="AK359" i="3"/>
  <c r="AK287" i="3"/>
  <c r="AK219" i="3"/>
  <c r="AK135" i="3"/>
  <c r="AK83" i="3"/>
  <c r="AK51" i="3"/>
  <c r="AK373" i="3"/>
  <c r="AK341" i="3"/>
  <c r="AK309" i="3"/>
  <c r="AK261" i="3"/>
  <c r="AK229" i="3"/>
  <c r="AK197" i="3"/>
  <c r="AK165" i="3"/>
  <c r="AK133" i="3"/>
  <c r="AK101" i="3"/>
  <c r="AK69" i="3"/>
  <c r="AK37" i="3"/>
  <c r="AK355" i="3"/>
  <c r="AK299" i="3"/>
  <c r="AK235" i="3"/>
  <c r="AK187" i="3"/>
  <c r="AK131" i="3"/>
  <c r="AK370" i="3"/>
  <c r="AK338" i="3"/>
  <c r="AK306" i="3"/>
  <c r="AK274" i="3"/>
  <c r="AK242" i="3"/>
  <c r="AK210" i="3"/>
  <c r="AK178" i="3"/>
  <c r="AK146" i="3"/>
  <c r="AK114" i="3"/>
  <c r="AK82" i="3"/>
  <c r="AK50" i="3"/>
  <c r="AK364" i="3"/>
  <c r="AK348" i="3"/>
  <c r="AK332" i="3"/>
  <c r="AK316" i="3"/>
  <c r="AK300" i="3"/>
  <c r="AK284" i="3"/>
  <c r="AK268" i="3"/>
  <c r="AK252" i="3"/>
  <c r="AK236" i="3"/>
  <c r="AK220" i="3"/>
  <c r="AK204" i="3"/>
  <c r="AK188" i="3"/>
  <c r="AK172" i="3"/>
  <c r="AK156" i="3"/>
  <c r="AK140" i="3"/>
  <c r="AK124" i="3"/>
  <c r="AK108" i="3"/>
  <c r="AK92" i="3"/>
  <c r="AK76" i="3"/>
  <c r="AK60" i="3"/>
  <c r="AK44" i="3"/>
  <c r="AK28" i="3"/>
  <c r="AK367" i="3"/>
  <c r="AK327" i="3"/>
  <c r="AK295" i="3"/>
  <c r="AK259" i="3"/>
  <c r="AK231" i="3"/>
  <c r="AK183" i="3"/>
  <c r="AK143" i="3"/>
  <c r="AK107" i="3"/>
  <c r="AK87" i="3"/>
  <c r="AK71" i="3"/>
  <c r="AK55" i="3"/>
  <c r="AK39" i="3"/>
  <c r="AK377" i="3"/>
  <c r="AK361" i="3"/>
  <c r="AK345" i="3"/>
  <c r="AK329" i="3"/>
  <c r="AK313" i="3"/>
  <c r="AK297" i="3"/>
  <c r="AK281" i="3"/>
  <c r="AK265" i="3"/>
  <c r="AK249" i="3"/>
  <c r="AK233" i="3"/>
  <c r="AK217" i="3"/>
  <c r="AK201" i="3"/>
  <c r="AK185" i="3"/>
  <c r="AK169" i="3"/>
  <c r="AK153" i="3"/>
  <c r="AK137" i="3"/>
  <c r="AK121" i="3"/>
  <c r="AK105" i="3"/>
  <c r="AK89" i="3"/>
  <c r="AK73" i="3"/>
  <c r="AK57" i="3"/>
  <c r="AK41" i="3"/>
  <c r="AK25" i="3"/>
  <c r="AK363" i="3"/>
  <c r="AK335" i="3"/>
  <c r="AK307" i="3"/>
  <c r="AK279" i="3"/>
  <c r="AK239" i="3"/>
  <c r="AK215" i="3"/>
  <c r="AK191" i="3"/>
  <c r="AK171" i="3"/>
  <c r="AK139" i="3"/>
  <c r="AK111" i="3"/>
  <c r="AK374" i="3"/>
  <c r="AK358" i="3"/>
  <c r="AK342" i="3"/>
  <c r="AK326" i="3"/>
  <c r="AK310" i="3"/>
  <c r="AK294" i="3"/>
  <c r="AK278" i="3"/>
  <c r="AK262" i="3"/>
  <c r="AK246" i="3"/>
  <c r="AK230" i="3"/>
  <c r="AK214" i="3"/>
  <c r="AK198" i="3"/>
  <c r="AK182" i="3"/>
  <c r="AK166" i="3"/>
  <c r="AK150" i="3"/>
  <c r="AK134" i="3"/>
  <c r="AK118" i="3"/>
  <c r="AK102" i="3"/>
  <c r="AK86" i="3"/>
  <c r="AK70" i="3"/>
  <c r="AK54" i="3"/>
  <c r="AK38" i="3"/>
  <c r="AK372" i="3"/>
  <c r="AK340" i="3"/>
  <c r="AK308" i="3"/>
  <c r="AK276" i="3"/>
  <c r="AK244" i="3"/>
  <c r="AK212" i="3"/>
  <c r="AK180" i="3"/>
  <c r="AK148" i="3"/>
  <c r="AK116" i="3"/>
  <c r="AK84" i="3"/>
  <c r="AK52" i="3"/>
  <c r="AK20" i="3"/>
  <c r="AK311" i="3"/>
  <c r="AK275" i="3"/>
  <c r="AK207" i="3"/>
  <c r="AK123" i="3"/>
  <c r="AK79" i="3"/>
  <c r="AK47" i="3"/>
  <c r="AK369" i="3"/>
  <c r="AK337" i="3"/>
  <c r="AK305" i="3"/>
  <c r="AK273" i="3"/>
  <c r="AK241" i="3"/>
  <c r="AK209" i="3"/>
  <c r="AK177" i="3"/>
  <c r="AK145" i="3"/>
  <c r="AK113" i="3"/>
  <c r="AK81" i="3"/>
  <c r="AK49" i="3"/>
  <c r="AK379" i="3"/>
  <c r="AK323" i="3"/>
  <c r="AK263" i="3"/>
  <c r="AK203" i="3"/>
  <c r="AK155" i="3"/>
  <c r="AK27" i="3"/>
  <c r="AK350" i="3"/>
  <c r="AK318" i="3"/>
  <c r="AK286" i="3"/>
  <c r="AK254" i="3"/>
  <c r="AK222" i="3"/>
  <c r="AK190" i="3"/>
  <c r="AK158" i="3"/>
  <c r="AK126" i="3"/>
  <c r="AK94" i="3"/>
  <c r="AK62" i="3"/>
  <c r="AK30" i="3"/>
  <c r="AK360" i="3"/>
  <c r="AK328" i="3"/>
  <c r="AK296" i="3"/>
  <c r="AK264" i="3"/>
  <c r="AK232" i="3"/>
  <c r="AK200" i="3"/>
  <c r="AK168" i="3"/>
  <c r="AK152" i="3"/>
  <c r="AK120" i="3"/>
  <c r="AK88" i="3"/>
  <c r="AK56" i="3"/>
  <c r="AK24" i="3"/>
  <c r="AK319" i="3"/>
  <c r="AK251" i="3"/>
  <c r="AK167" i="3"/>
  <c r="AK103" i="3"/>
  <c r="AK67" i="3"/>
  <c r="AK35" i="3"/>
  <c r="AK357" i="3"/>
  <c r="AK325" i="3"/>
  <c r="AK293" i="3"/>
  <c r="AK277" i="3"/>
  <c r="AK245" i="3"/>
  <c r="AK213" i="3"/>
  <c r="AK181" i="3"/>
  <c r="AK149" i="3"/>
  <c r="AK117" i="3"/>
  <c r="AK85" i="3"/>
  <c r="AK53" i="3"/>
  <c r="AK21" i="3"/>
  <c r="AK331" i="3"/>
  <c r="AK271" i="3"/>
  <c r="AK211" i="3"/>
  <c r="AK163" i="3"/>
  <c r="AK95" i="3"/>
  <c r="AK354" i="3"/>
  <c r="AK322" i="3"/>
  <c r="AK290" i="3"/>
  <c r="AK258" i="3"/>
  <c r="AK226" i="3"/>
  <c r="AK194" i="3"/>
  <c r="AK162" i="3"/>
  <c r="AK130" i="3"/>
  <c r="AK98" i="3"/>
  <c r="AK66" i="3"/>
  <c r="AK34" i="3"/>
  <c r="AD23" i="3"/>
  <c r="J9" i="3" s="1"/>
  <c r="AD28" i="3"/>
  <c r="J14" i="3" s="1"/>
  <c r="AD32" i="3"/>
  <c r="AD36" i="3"/>
  <c r="AD40" i="3"/>
  <c r="AD44" i="3"/>
  <c r="AD48" i="3"/>
  <c r="AD52" i="3"/>
  <c r="AD56" i="3"/>
  <c r="AD60" i="3"/>
  <c r="AD64" i="3"/>
  <c r="AD68" i="3"/>
  <c r="AD72" i="3"/>
  <c r="AD76" i="3"/>
  <c r="AD80" i="3"/>
  <c r="AD84" i="3"/>
  <c r="AD88" i="3"/>
  <c r="AD92" i="3"/>
  <c r="AD96" i="3"/>
  <c r="AD100" i="3"/>
  <c r="AD104" i="3"/>
  <c r="AD108" i="3"/>
  <c r="AD112" i="3"/>
  <c r="AD116" i="3"/>
  <c r="AD120" i="3"/>
  <c r="AD124" i="3"/>
  <c r="AD128" i="3"/>
  <c r="AD132" i="3"/>
  <c r="AD136" i="3"/>
  <c r="AD140" i="3"/>
  <c r="AD144" i="3"/>
  <c r="AD148" i="3"/>
  <c r="AD152" i="3"/>
  <c r="AD156" i="3"/>
  <c r="AD160" i="3"/>
  <c r="AD164" i="3"/>
  <c r="AD168" i="3"/>
  <c r="AD172" i="3"/>
  <c r="AD176" i="3"/>
  <c r="AD180" i="3"/>
  <c r="AD184" i="3"/>
  <c r="AD188" i="3"/>
  <c r="AD192" i="3"/>
  <c r="AD196" i="3"/>
  <c r="AD200" i="3"/>
  <c r="AD204" i="3"/>
  <c r="AD208" i="3"/>
  <c r="AD212" i="3"/>
  <c r="AD216" i="3"/>
  <c r="AD220" i="3"/>
  <c r="AD224" i="3"/>
  <c r="AD228" i="3"/>
  <c r="AD232" i="3"/>
  <c r="AD236" i="3"/>
  <c r="AD240" i="3"/>
  <c r="AD244" i="3"/>
  <c r="AD248" i="3"/>
  <c r="AD252" i="3"/>
  <c r="AD256" i="3"/>
  <c r="AD260" i="3"/>
  <c r="AD264" i="3"/>
  <c r="AD268" i="3"/>
  <c r="AD272" i="3"/>
  <c r="AD276" i="3"/>
  <c r="AD280" i="3"/>
  <c r="AD284" i="3"/>
  <c r="AD288" i="3"/>
  <c r="AD292" i="3"/>
  <c r="AD296" i="3"/>
  <c r="AD300" i="3"/>
  <c r="AD304" i="3"/>
  <c r="AD308" i="3"/>
  <c r="AD312" i="3"/>
  <c r="AD316" i="3"/>
  <c r="AD320" i="3"/>
  <c r="AD324" i="3"/>
  <c r="AD328" i="3"/>
  <c r="AD332" i="3"/>
  <c r="AD336" i="3"/>
  <c r="AD340" i="3"/>
  <c r="AD344" i="3"/>
  <c r="AD348" i="3"/>
  <c r="AD352" i="3"/>
  <c r="AD356" i="3"/>
  <c r="AD360" i="3"/>
  <c r="AD364" i="3"/>
  <c r="AD368" i="3"/>
  <c r="AD372" i="3"/>
  <c r="AD376" i="3"/>
  <c r="AD26" i="3"/>
  <c r="J12" i="3" s="1"/>
  <c r="AD22" i="3"/>
  <c r="J8" i="3" s="1"/>
  <c r="AD27" i="3"/>
  <c r="J13" i="3" s="1"/>
  <c r="AD31" i="3"/>
  <c r="AD35" i="3"/>
  <c r="AD39" i="3"/>
  <c r="AD43" i="3"/>
  <c r="AD47" i="3"/>
  <c r="AD51" i="3"/>
  <c r="AD55" i="3"/>
  <c r="AD59" i="3"/>
  <c r="AD63" i="3"/>
  <c r="AD67" i="3"/>
  <c r="AD71" i="3"/>
  <c r="AD75" i="3"/>
  <c r="AD79" i="3"/>
  <c r="AD83" i="3"/>
  <c r="AD87" i="3"/>
  <c r="AD91" i="3"/>
  <c r="AD95" i="3"/>
  <c r="AD99" i="3"/>
  <c r="AD103" i="3"/>
  <c r="AD107" i="3"/>
  <c r="AD111" i="3"/>
  <c r="AD115" i="3"/>
  <c r="AD119" i="3"/>
  <c r="AD123" i="3"/>
  <c r="AD127" i="3"/>
  <c r="AD131" i="3"/>
  <c r="AD135" i="3"/>
  <c r="AD139" i="3"/>
  <c r="AD143" i="3"/>
  <c r="AD147" i="3"/>
  <c r="AD151" i="3"/>
  <c r="AD155" i="3"/>
  <c r="AD159" i="3"/>
  <c r="AD163" i="3"/>
  <c r="AD167" i="3"/>
  <c r="AD171" i="3"/>
  <c r="AD175" i="3"/>
  <c r="AD179" i="3"/>
  <c r="AD183" i="3"/>
  <c r="AD187" i="3"/>
  <c r="AD191" i="3"/>
  <c r="AD195" i="3"/>
  <c r="AD199" i="3"/>
  <c r="AD203" i="3"/>
  <c r="AD207" i="3"/>
  <c r="AD211" i="3"/>
  <c r="AD215" i="3"/>
  <c r="AD219" i="3"/>
  <c r="AD223" i="3"/>
  <c r="AD227" i="3"/>
  <c r="AD231" i="3"/>
  <c r="AD235" i="3"/>
  <c r="AD239" i="3"/>
  <c r="AD243" i="3"/>
  <c r="AD247" i="3"/>
  <c r="AD251" i="3"/>
  <c r="AD255" i="3"/>
  <c r="AD259" i="3"/>
  <c r="AD263" i="3"/>
  <c r="AD267" i="3"/>
  <c r="AD271" i="3"/>
  <c r="AD275" i="3"/>
  <c r="AD279" i="3"/>
  <c r="AD283" i="3"/>
  <c r="AD287" i="3"/>
  <c r="AD291" i="3"/>
  <c r="AD295" i="3"/>
  <c r="AD299" i="3"/>
  <c r="AD303" i="3"/>
  <c r="AD307" i="3"/>
  <c r="AD311" i="3"/>
  <c r="AD315" i="3"/>
  <c r="AD319" i="3"/>
  <c r="AD323" i="3"/>
  <c r="AD327" i="3"/>
  <c r="AD331" i="3"/>
  <c r="AD335" i="3"/>
  <c r="AD339" i="3"/>
  <c r="AD343" i="3"/>
  <c r="AD347" i="3"/>
  <c r="AD351" i="3"/>
  <c r="AD355" i="3"/>
  <c r="AD359" i="3"/>
  <c r="AD363" i="3"/>
  <c r="AD367" i="3"/>
  <c r="AD371" i="3"/>
  <c r="AD375" i="3"/>
  <c r="AD379" i="3"/>
  <c r="AD24" i="3"/>
  <c r="J10" i="3" s="1"/>
  <c r="AD33" i="3"/>
  <c r="AD41" i="3"/>
  <c r="AD49" i="3"/>
  <c r="AD57" i="3"/>
  <c r="AD65" i="3"/>
  <c r="AD73" i="3"/>
  <c r="AD81" i="3"/>
  <c r="AD89" i="3"/>
  <c r="AD97" i="3"/>
  <c r="AD105" i="3"/>
  <c r="AD113" i="3"/>
  <c r="AD121" i="3"/>
  <c r="AD129" i="3"/>
  <c r="AD137" i="3"/>
  <c r="AD145" i="3"/>
  <c r="AD153" i="3"/>
  <c r="AD161" i="3"/>
  <c r="AD169" i="3"/>
  <c r="AD177" i="3"/>
  <c r="AD185" i="3"/>
  <c r="AD193" i="3"/>
  <c r="AD201" i="3"/>
  <c r="AD209" i="3"/>
  <c r="AD217" i="3"/>
  <c r="AD225" i="3"/>
  <c r="AD233" i="3"/>
  <c r="AD241" i="3"/>
  <c r="AD249" i="3"/>
  <c r="AD257" i="3"/>
  <c r="AD265" i="3"/>
  <c r="AD273" i="3"/>
  <c r="AD281" i="3"/>
  <c r="AD289" i="3"/>
  <c r="AD297" i="3"/>
  <c r="AD305" i="3"/>
  <c r="AD313" i="3"/>
  <c r="AD321" i="3"/>
  <c r="AD329" i="3"/>
  <c r="AD337" i="3"/>
  <c r="AD345" i="3"/>
  <c r="AD353" i="3"/>
  <c r="AD361" i="3"/>
  <c r="AD369" i="3"/>
  <c r="AD377" i="3"/>
  <c r="AD21" i="3"/>
  <c r="J7" i="3" s="1"/>
  <c r="AD30" i="3"/>
  <c r="AD38" i="3"/>
  <c r="AD46" i="3"/>
  <c r="AD54" i="3"/>
  <c r="AD62" i="3"/>
  <c r="AD70" i="3"/>
  <c r="AD78" i="3"/>
  <c r="AD86" i="3"/>
  <c r="AD94" i="3"/>
  <c r="AD102" i="3"/>
  <c r="AD110" i="3"/>
  <c r="AD118" i="3"/>
  <c r="AD126" i="3"/>
  <c r="AD134" i="3"/>
  <c r="AD142" i="3"/>
  <c r="AD150" i="3"/>
  <c r="AD158" i="3"/>
  <c r="AD166" i="3"/>
  <c r="AD174" i="3"/>
  <c r="AD182" i="3"/>
  <c r="AD190" i="3"/>
  <c r="AD198" i="3"/>
  <c r="AD206" i="3"/>
  <c r="AD214" i="3"/>
  <c r="AD222" i="3"/>
  <c r="AD230" i="3"/>
  <c r="AD238" i="3"/>
  <c r="AD246" i="3"/>
  <c r="AD254" i="3"/>
  <c r="AD262" i="3"/>
  <c r="AD270" i="3"/>
  <c r="AD278" i="3"/>
  <c r="AD286" i="3"/>
  <c r="AD294" i="3"/>
  <c r="AD302" i="3"/>
  <c r="AD310" i="3"/>
  <c r="AD318" i="3"/>
  <c r="AD326" i="3"/>
  <c r="AD334" i="3"/>
  <c r="AD342" i="3"/>
  <c r="AD350" i="3"/>
  <c r="AD358" i="3"/>
  <c r="AD366" i="3"/>
  <c r="AD374" i="3"/>
  <c r="AD20" i="3"/>
  <c r="J6" i="3" s="1"/>
  <c r="AD29" i="3"/>
  <c r="J15" i="3" s="1"/>
  <c r="AD37" i="3"/>
  <c r="AD45" i="3"/>
  <c r="AD53" i="3"/>
  <c r="AD61" i="3"/>
  <c r="AD69" i="3"/>
  <c r="AD77" i="3"/>
  <c r="AD85" i="3"/>
  <c r="AD93" i="3"/>
  <c r="AD101" i="3"/>
  <c r="AD109" i="3"/>
  <c r="AD117" i="3"/>
  <c r="AD125" i="3"/>
  <c r="AD133" i="3"/>
  <c r="AD141" i="3"/>
  <c r="AD149" i="3"/>
  <c r="AD157" i="3"/>
  <c r="AD165" i="3"/>
  <c r="AD173" i="3"/>
  <c r="AD181" i="3"/>
  <c r="AD189" i="3"/>
  <c r="AD197" i="3"/>
  <c r="AD205" i="3"/>
  <c r="AD213" i="3"/>
  <c r="AD221" i="3"/>
  <c r="AD229" i="3"/>
  <c r="AD237" i="3"/>
  <c r="AD245" i="3"/>
  <c r="AD253" i="3"/>
  <c r="AD261" i="3"/>
  <c r="AD269" i="3"/>
  <c r="AD277" i="3"/>
  <c r="AD285" i="3"/>
  <c r="AD293" i="3"/>
  <c r="AD301" i="3"/>
  <c r="AD309" i="3"/>
  <c r="AD317" i="3"/>
  <c r="AD325" i="3"/>
  <c r="AD333" i="3"/>
  <c r="AD341" i="3"/>
  <c r="AD349" i="3"/>
  <c r="AD357" i="3"/>
  <c r="AD365" i="3"/>
  <c r="AD373" i="3"/>
  <c r="AD25" i="3"/>
  <c r="J11" i="3" s="1"/>
  <c r="AD34" i="3"/>
  <c r="AD42" i="3"/>
  <c r="AD50" i="3"/>
  <c r="AD58" i="3"/>
  <c r="AD66" i="3"/>
  <c r="AD74" i="3"/>
  <c r="AD82" i="3"/>
  <c r="AD90" i="3"/>
  <c r="AD98" i="3"/>
  <c r="AD106" i="3"/>
  <c r="AD114" i="3"/>
  <c r="AD122" i="3"/>
  <c r="AD130" i="3"/>
  <c r="AD138" i="3"/>
  <c r="AD146" i="3"/>
  <c r="AD154" i="3"/>
  <c r="AD162" i="3"/>
  <c r="AD170" i="3"/>
  <c r="AD178" i="3"/>
  <c r="AD186" i="3"/>
  <c r="AD194" i="3"/>
  <c r="AD202" i="3"/>
  <c r="AD210" i="3"/>
  <c r="AD218" i="3"/>
  <c r="AD226" i="3"/>
  <c r="AD234" i="3"/>
  <c r="AD242" i="3"/>
  <c r="AD250" i="3"/>
  <c r="AD258" i="3"/>
  <c r="AD266" i="3"/>
  <c r="AD274" i="3"/>
  <c r="AD282" i="3"/>
  <c r="AD290" i="3"/>
  <c r="AD298" i="3"/>
  <c r="AD306" i="3"/>
  <c r="AD314" i="3"/>
  <c r="AD322" i="3"/>
  <c r="AD330" i="3"/>
  <c r="AD338" i="3"/>
  <c r="AD346" i="3"/>
  <c r="AD354" i="3"/>
  <c r="AD362" i="3"/>
  <c r="AD370" i="3"/>
  <c r="AD378" i="3"/>
  <c r="AT24" i="3"/>
  <c r="Y10" i="3" s="1"/>
  <c r="AT26" i="3"/>
  <c r="Y12" i="3" s="1"/>
  <c r="AT28" i="3"/>
  <c r="Y14" i="3" s="1"/>
  <c r="AT25" i="3"/>
  <c r="Y11" i="3" s="1"/>
  <c r="AT54" i="3"/>
  <c r="AT118" i="3"/>
  <c r="AT182" i="3"/>
  <c r="AT246" i="3"/>
  <c r="AT310" i="3"/>
  <c r="AT374" i="3"/>
  <c r="AT85" i="3"/>
  <c r="AT149" i="3"/>
  <c r="AT213" i="3"/>
  <c r="AT277" i="3"/>
  <c r="AT341" i="3"/>
  <c r="AT46" i="3"/>
  <c r="AT110" i="3"/>
  <c r="AT174" i="3"/>
  <c r="AT238" i="3"/>
  <c r="AT302" i="3"/>
  <c r="AT366" i="3"/>
  <c r="AT93" i="3"/>
  <c r="AT157" i="3"/>
  <c r="AT221" i="3"/>
  <c r="AT285" i="3"/>
  <c r="AT349" i="3"/>
  <c r="AT50" i="3"/>
  <c r="AT82" i="3"/>
  <c r="AT114" i="3"/>
  <c r="AT146" i="3"/>
  <c r="AT178" i="3"/>
  <c r="AT210" i="3"/>
  <c r="AT242" i="3"/>
  <c r="AT274" i="3"/>
  <c r="AT306" i="3"/>
  <c r="AT338" i="3"/>
  <c r="AT370" i="3"/>
  <c r="AT49" i="3"/>
  <c r="AT81" i="3"/>
  <c r="AT113" i="3"/>
  <c r="AT145" i="3"/>
  <c r="AT177" i="3"/>
  <c r="AT209" i="3"/>
  <c r="AT241" i="3"/>
  <c r="AT273" i="3"/>
  <c r="AT305" i="3"/>
  <c r="AT337" i="3"/>
  <c r="AT369" i="3"/>
  <c r="AT36" i="3"/>
  <c r="AT52" i="3"/>
  <c r="AT68" i="3"/>
  <c r="AT84" i="3"/>
  <c r="AT100" i="3"/>
  <c r="AT116" i="3"/>
  <c r="AT132" i="3"/>
  <c r="AT148" i="3"/>
  <c r="AT164" i="3"/>
  <c r="AT180" i="3"/>
  <c r="AT196" i="3"/>
  <c r="AT212" i="3"/>
  <c r="AT228" i="3"/>
  <c r="AT244" i="3"/>
  <c r="AT260" i="3"/>
  <c r="AT276" i="3"/>
  <c r="AT292" i="3"/>
  <c r="AT308" i="3"/>
  <c r="AT324" i="3"/>
  <c r="AT340" i="3"/>
  <c r="AT356" i="3"/>
  <c r="AT372" i="3"/>
  <c r="AT39" i="3"/>
  <c r="AT55" i="3"/>
  <c r="AT71" i="3"/>
  <c r="AT87" i="3"/>
  <c r="AT103" i="3"/>
  <c r="AT119" i="3"/>
  <c r="AT135" i="3"/>
  <c r="AT151" i="3"/>
  <c r="AT167" i="3"/>
  <c r="AT183" i="3"/>
  <c r="AT199" i="3"/>
  <c r="AT215" i="3"/>
  <c r="AT231" i="3"/>
  <c r="AT247" i="3"/>
  <c r="AT263" i="3"/>
  <c r="AT279" i="3"/>
  <c r="AT295" i="3"/>
  <c r="AT311" i="3"/>
  <c r="AT327" i="3"/>
  <c r="AT343" i="3"/>
  <c r="AT359" i="3"/>
  <c r="AT375" i="3"/>
  <c r="AT22" i="3"/>
  <c r="Y8" i="3" s="1"/>
  <c r="AT21" i="3"/>
  <c r="Y7" i="3" s="1"/>
  <c r="AT38" i="3"/>
  <c r="AT102" i="3"/>
  <c r="AT166" i="3"/>
  <c r="AT230" i="3"/>
  <c r="AT294" i="3"/>
  <c r="AT358" i="3"/>
  <c r="AT69" i="3"/>
  <c r="AT133" i="3"/>
  <c r="AT197" i="3"/>
  <c r="AT261" i="3"/>
  <c r="AT325" i="3"/>
  <c r="AT30" i="3"/>
  <c r="AT94" i="3"/>
  <c r="AT158" i="3"/>
  <c r="AT222" i="3"/>
  <c r="AT286" i="3"/>
  <c r="AT350" i="3"/>
  <c r="AT77" i="3"/>
  <c r="AT141" i="3"/>
  <c r="AT205" i="3"/>
  <c r="AT269" i="3"/>
  <c r="AT333" i="3"/>
  <c r="AT42" i="3"/>
  <c r="AT74" i="3"/>
  <c r="AT106" i="3"/>
  <c r="AT138" i="3"/>
  <c r="AT170" i="3"/>
  <c r="AT202" i="3"/>
  <c r="AT234" i="3"/>
  <c r="AT266" i="3"/>
  <c r="AT298" i="3"/>
  <c r="AT330" i="3"/>
  <c r="AT362" i="3"/>
  <c r="AT41" i="3"/>
  <c r="AT73" i="3"/>
  <c r="AT105" i="3"/>
  <c r="AT137" i="3"/>
  <c r="AT169" i="3"/>
  <c r="AT201" i="3"/>
  <c r="AT233" i="3"/>
  <c r="AT265" i="3"/>
  <c r="AT297" i="3"/>
  <c r="AT329" i="3"/>
  <c r="AT361" i="3"/>
  <c r="AT32" i="3"/>
  <c r="AT48" i="3"/>
  <c r="AT64" i="3"/>
  <c r="AT80" i="3"/>
  <c r="AT96" i="3"/>
  <c r="AT112" i="3"/>
  <c r="AT128" i="3"/>
  <c r="AT144" i="3"/>
  <c r="AT160" i="3"/>
  <c r="AT176" i="3"/>
  <c r="AT192" i="3"/>
  <c r="AT208" i="3"/>
  <c r="AT224" i="3"/>
  <c r="AT240" i="3"/>
  <c r="AT256" i="3"/>
  <c r="AT272" i="3"/>
  <c r="AT288" i="3"/>
  <c r="AT304" i="3"/>
  <c r="AT320" i="3"/>
  <c r="AT336" i="3"/>
  <c r="AT352" i="3"/>
  <c r="AT368" i="3"/>
  <c r="AT35" i="3"/>
  <c r="AT51" i="3"/>
  <c r="AT67" i="3"/>
  <c r="AT83" i="3"/>
  <c r="AT99" i="3"/>
  <c r="AT115" i="3"/>
  <c r="AT131" i="3"/>
  <c r="AT147" i="3"/>
  <c r="AT163" i="3"/>
  <c r="AT179" i="3"/>
  <c r="AT195" i="3"/>
  <c r="AT211" i="3"/>
  <c r="AT227" i="3"/>
  <c r="AT243" i="3"/>
  <c r="AT259" i="3"/>
  <c r="AT275" i="3"/>
  <c r="AT291" i="3"/>
  <c r="AT307" i="3"/>
  <c r="AT323" i="3"/>
  <c r="AT339" i="3"/>
  <c r="AT355" i="3"/>
  <c r="AT371" i="3"/>
  <c r="AT27" i="3"/>
  <c r="Y13" i="3" s="1"/>
  <c r="AT23" i="3"/>
  <c r="Y9" i="3" s="1"/>
  <c r="AT86" i="3"/>
  <c r="AT214" i="3"/>
  <c r="AT342" i="3"/>
  <c r="AT117" i="3"/>
  <c r="AT245" i="3"/>
  <c r="AT373" i="3"/>
  <c r="AT142" i="3"/>
  <c r="AT270" i="3"/>
  <c r="AT61" i="3"/>
  <c r="AT189" i="3"/>
  <c r="AT317" i="3"/>
  <c r="AT66" i="3"/>
  <c r="AT130" i="3"/>
  <c r="AT194" i="3"/>
  <c r="AT258" i="3"/>
  <c r="AT322" i="3"/>
  <c r="AT33" i="3"/>
  <c r="AT97" i="3"/>
  <c r="AT161" i="3"/>
  <c r="AT225" i="3"/>
  <c r="AT289" i="3"/>
  <c r="AT353" i="3"/>
  <c r="AT44" i="3"/>
  <c r="AT76" i="3"/>
  <c r="AT108" i="3"/>
  <c r="AT140" i="3"/>
  <c r="AT172" i="3"/>
  <c r="AT204" i="3"/>
  <c r="AT236" i="3"/>
  <c r="AT268" i="3"/>
  <c r="AT300" i="3"/>
  <c r="AT332" i="3"/>
  <c r="AT364" i="3"/>
  <c r="AT47" i="3"/>
  <c r="AT79" i="3"/>
  <c r="AT111" i="3"/>
  <c r="AT143" i="3"/>
  <c r="AT175" i="3"/>
  <c r="AT207" i="3"/>
  <c r="AT239" i="3"/>
  <c r="AT271" i="3"/>
  <c r="AT303" i="3"/>
  <c r="AT335" i="3"/>
  <c r="AT367" i="3"/>
  <c r="AT70" i="3"/>
  <c r="AT198" i="3"/>
  <c r="AT326" i="3"/>
  <c r="AT101" i="3"/>
  <c r="AT229" i="3"/>
  <c r="AT357" i="3"/>
  <c r="AT126" i="3"/>
  <c r="AT254" i="3"/>
  <c r="AT45" i="3"/>
  <c r="AT173" i="3"/>
  <c r="AT301" i="3"/>
  <c r="AT58" i="3"/>
  <c r="AT122" i="3"/>
  <c r="AT186" i="3"/>
  <c r="AT250" i="3"/>
  <c r="AT314" i="3"/>
  <c r="AT378" i="3"/>
  <c r="AT89" i="3"/>
  <c r="AT153" i="3"/>
  <c r="AT217" i="3"/>
  <c r="AT281" i="3"/>
  <c r="AT345" i="3"/>
  <c r="AT40" i="3"/>
  <c r="AT72" i="3"/>
  <c r="AT104" i="3"/>
  <c r="AT136" i="3"/>
  <c r="AT168" i="3"/>
  <c r="AT200" i="3"/>
  <c r="AT232" i="3"/>
  <c r="AT264" i="3"/>
  <c r="AT296" i="3"/>
  <c r="AT328" i="3"/>
  <c r="AT360" i="3"/>
  <c r="AT43" i="3"/>
  <c r="AT75" i="3"/>
  <c r="AT107" i="3"/>
  <c r="AT139" i="3"/>
  <c r="AT171" i="3"/>
  <c r="AT203" i="3"/>
  <c r="AT235" i="3"/>
  <c r="AT267" i="3"/>
  <c r="AT299" i="3"/>
  <c r="AT331" i="3"/>
  <c r="AT363" i="3"/>
  <c r="AT29" i="3"/>
  <c r="Y15" i="3" s="1"/>
  <c r="AT134" i="3"/>
  <c r="AT37" i="3"/>
  <c r="AT293" i="3"/>
  <c r="AT190" i="3"/>
  <c r="AT109" i="3"/>
  <c r="AT365" i="3"/>
  <c r="AT154" i="3"/>
  <c r="AT282" i="3"/>
  <c r="AT57" i="3"/>
  <c r="AT185" i="3"/>
  <c r="AT313" i="3"/>
  <c r="AT56" i="3"/>
  <c r="AT120" i="3"/>
  <c r="AT184" i="3"/>
  <c r="AT248" i="3"/>
  <c r="AT312" i="3"/>
  <c r="AT376" i="3"/>
  <c r="AT91" i="3"/>
  <c r="AT155" i="3"/>
  <c r="AT219" i="3"/>
  <c r="AT283" i="3"/>
  <c r="AT347" i="3"/>
  <c r="AT278" i="3"/>
  <c r="AT181" i="3"/>
  <c r="AT78" i="3"/>
  <c r="AT334" i="3"/>
  <c r="AT253" i="3"/>
  <c r="AT98" i="3"/>
  <c r="AT226" i="3"/>
  <c r="AT354" i="3"/>
  <c r="AT129" i="3"/>
  <c r="AT257" i="3"/>
  <c r="AT20" i="3"/>
  <c r="Y6" i="3" s="1"/>
  <c r="AT92" i="3"/>
  <c r="AT156" i="3"/>
  <c r="AT220" i="3"/>
  <c r="AT284" i="3"/>
  <c r="AT348" i="3"/>
  <c r="AT63" i="3"/>
  <c r="AT127" i="3"/>
  <c r="AT191" i="3"/>
  <c r="AT255" i="3"/>
  <c r="AT319" i="3"/>
  <c r="AT262" i="3"/>
  <c r="AT165" i="3"/>
  <c r="AT62" i="3"/>
  <c r="AT318" i="3"/>
  <c r="AT237" i="3"/>
  <c r="AT90" i="3"/>
  <c r="AT218" i="3"/>
  <c r="AT346" i="3"/>
  <c r="AT121" i="3"/>
  <c r="AT249" i="3"/>
  <c r="AT377" i="3"/>
  <c r="AT88" i="3"/>
  <c r="AT152" i="3"/>
  <c r="AT216" i="3"/>
  <c r="AT280" i="3"/>
  <c r="AT344" i="3"/>
  <c r="AT59" i="3"/>
  <c r="AT123" i="3"/>
  <c r="AT187" i="3"/>
  <c r="AT251" i="3"/>
  <c r="AT315" i="3"/>
  <c r="AT379" i="3"/>
  <c r="AT150" i="3"/>
  <c r="AT53" i="3"/>
  <c r="AT309" i="3"/>
  <c r="AT206" i="3"/>
  <c r="AT125" i="3"/>
  <c r="AT34" i="3"/>
  <c r="AT162" i="3"/>
  <c r="AT290" i="3"/>
  <c r="AT65" i="3"/>
  <c r="AT193" i="3"/>
  <c r="AT321" i="3"/>
  <c r="AT60" i="3"/>
  <c r="AT124" i="3"/>
  <c r="AT188" i="3"/>
  <c r="AT252" i="3"/>
  <c r="AT316" i="3"/>
  <c r="AT31" i="3"/>
  <c r="AT95" i="3"/>
  <c r="AT159" i="3"/>
  <c r="AT223" i="3"/>
  <c r="AT287" i="3"/>
  <c r="AT351" i="3"/>
  <c r="P11" i="3"/>
  <c r="C28" i="2" s="1"/>
  <c r="AP20" i="3"/>
  <c r="U6" i="3" s="1"/>
  <c r="AP24" i="3"/>
  <c r="U10" i="3" s="1"/>
  <c r="AP28" i="3"/>
  <c r="U14" i="3" s="1"/>
  <c r="AP32" i="3"/>
  <c r="AP36" i="3"/>
  <c r="AP40" i="3"/>
  <c r="AP44" i="3"/>
  <c r="AP48" i="3"/>
  <c r="AP52" i="3"/>
  <c r="AP56" i="3"/>
  <c r="AP60" i="3"/>
  <c r="AP64" i="3"/>
  <c r="AP68" i="3"/>
  <c r="AP72" i="3"/>
  <c r="AP76" i="3"/>
  <c r="AP80" i="3"/>
  <c r="AP84" i="3"/>
  <c r="AP88" i="3"/>
  <c r="AP92" i="3"/>
  <c r="AP96" i="3"/>
  <c r="AP100" i="3"/>
  <c r="AP104" i="3"/>
  <c r="AP108" i="3"/>
  <c r="AP112" i="3"/>
  <c r="AP116" i="3"/>
  <c r="AP120" i="3"/>
  <c r="AP124" i="3"/>
  <c r="AP128" i="3"/>
  <c r="AP132" i="3"/>
  <c r="AP136" i="3"/>
  <c r="AP140" i="3"/>
  <c r="AP144" i="3"/>
  <c r="AP148" i="3"/>
  <c r="AP152" i="3"/>
  <c r="AP156" i="3"/>
  <c r="AP160" i="3"/>
  <c r="AP164" i="3"/>
  <c r="AP168" i="3"/>
  <c r="AP172" i="3"/>
  <c r="AP176" i="3"/>
  <c r="AP180" i="3"/>
  <c r="AP184" i="3"/>
  <c r="AP188" i="3"/>
  <c r="AP192" i="3"/>
  <c r="AP196" i="3"/>
  <c r="AP200" i="3"/>
  <c r="AP204" i="3"/>
  <c r="AP208" i="3"/>
  <c r="AP212" i="3"/>
  <c r="AP216" i="3"/>
  <c r="AP220" i="3"/>
  <c r="AP224" i="3"/>
  <c r="AP228" i="3"/>
  <c r="AP232" i="3"/>
  <c r="AP236" i="3"/>
  <c r="AP240" i="3"/>
  <c r="AP244" i="3"/>
  <c r="AP248" i="3"/>
  <c r="AP252" i="3"/>
  <c r="AP256" i="3"/>
  <c r="AP260" i="3"/>
  <c r="AP264" i="3"/>
  <c r="AP268" i="3"/>
  <c r="AP272" i="3"/>
  <c r="AP276" i="3"/>
  <c r="AP280" i="3"/>
  <c r="AP284" i="3"/>
  <c r="AP288" i="3"/>
  <c r="AP21" i="3"/>
  <c r="U7" i="3" s="1"/>
  <c r="AP26" i="3"/>
  <c r="U12" i="3" s="1"/>
  <c r="AP31" i="3"/>
  <c r="AP37" i="3"/>
  <c r="AP42" i="3"/>
  <c r="AP47" i="3"/>
  <c r="AP53" i="3"/>
  <c r="AP58" i="3"/>
  <c r="AP63" i="3"/>
  <c r="AP69" i="3"/>
  <c r="AP74" i="3"/>
  <c r="AP79" i="3"/>
  <c r="AP85" i="3"/>
  <c r="AP90" i="3"/>
  <c r="AP95" i="3"/>
  <c r="AP101" i="3"/>
  <c r="AP106" i="3"/>
  <c r="AP111" i="3"/>
  <c r="AP117" i="3"/>
  <c r="AP122" i="3"/>
  <c r="AP127" i="3"/>
  <c r="AP133" i="3"/>
  <c r="AP138" i="3"/>
  <c r="AP143" i="3"/>
  <c r="AP149" i="3"/>
  <c r="AP154" i="3"/>
  <c r="AP159" i="3"/>
  <c r="AP165" i="3"/>
  <c r="AP170" i="3"/>
  <c r="AP175" i="3"/>
  <c r="AP181" i="3"/>
  <c r="AP186" i="3"/>
  <c r="AP191" i="3"/>
  <c r="AP197" i="3"/>
  <c r="AP202" i="3"/>
  <c r="AP207" i="3"/>
  <c r="AP213" i="3"/>
  <c r="AP218" i="3"/>
  <c r="AP223" i="3"/>
  <c r="AP229" i="3"/>
  <c r="AP234" i="3"/>
  <c r="AP239" i="3"/>
  <c r="AP245" i="3"/>
  <c r="AP250" i="3"/>
  <c r="AP255" i="3"/>
  <c r="AP261" i="3"/>
  <c r="AP266" i="3"/>
  <c r="AP271" i="3"/>
  <c r="AP277" i="3"/>
  <c r="AP282" i="3"/>
  <c r="AP287" i="3"/>
  <c r="AP292" i="3"/>
  <c r="AP296" i="3"/>
  <c r="AP300" i="3"/>
  <c r="AP304" i="3"/>
  <c r="AP308" i="3"/>
  <c r="AP312" i="3"/>
  <c r="AP316" i="3"/>
  <c r="AP320" i="3"/>
  <c r="AP324" i="3"/>
  <c r="AP328" i="3"/>
  <c r="AP332" i="3"/>
  <c r="AP336" i="3"/>
  <c r="AP340" i="3"/>
  <c r="AP344" i="3"/>
  <c r="AP348" i="3"/>
  <c r="AP352" i="3"/>
  <c r="AP356" i="3"/>
  <c r="AP360" i="3"/>
  <c r="AP364" i="3"/>
  <c r="AP368" i="3"/>
  <c r="AP372" i="3"/>
  <c r="AP376" i="3"/>
  <c r="AP23" i="3"/>
  <c r="U9" i="3" s="1"/>
  <c r="AP29" i="3"/>
  <c r="U15" i="3" s="1"/>
  <c r="AP34" i="3"/>
  <c r="AP39" i="3"/>
  <c r="AP45" i="3"/>
  <c r="AP50" i="3"/>
  <c r="AP55" i="3"/>
  <c r="AP61" i="3"/>
  <c r="AP66" i="3"/>
  <c r="AP71" i="3"/>
  <c r="AP77" i="3"/>
  <c r="AP82" i="3"/>
  <c r="AP87" i="3"/>
  <c r="AP93" i="3"/>
  <c r="AP98" i="3"/>
  <c r="AP103" i="3"/>
  <c r="AP109" i="3"/>
  <c r="AP114" i="3"/>
  <c r="AP119" i="3"/>
  <c r="AP125" i="3"/>
  <c r="AP130" i="3"/>
  <c r="AP135" i="3"/>
  <c r="AP141" i="3"/>
  <c r="AP146" i="3"/>
  <c r="AP151" i="3"/>
  <c r="AP157" i="3"/>
  <c r="AP162" i="3"/>
  <c r="AP167" i="3"/>
  <c r="AP173" i="3"/>
  <c r="AP178" i="3"/>
  <c r="AP183" i="3"/>
  <c r="AP189" i="3"/>
  <c r="AP194" i="3"/>
  <c r="AP199" i="3"/>
  <c r="AP205" i="3"/>
  <c r="AP210" i="3"/>
  <c r="AP215" i="3"/>
  <c r="AP221" i="3"/>
  <c r="AP226" i="3"/>
  <c r="AP231" i="3"/>
  <c r="AP237" i="3"/>
  <c r="AP242" i="3"/>
  <c r="AP247" i="3"/>
  <c r="AP253" i="3"/>
  <c r="AP258" i="3"/>
  <c r="AP263" i="3"/>
  <c r="AP269" i="3"/>
  <c r="AP274" i="3"/>
  <c r="AP279" i="3"/>
  <c r="AP285" i="3"/>
  <c r="AP290" i="3"/>
  <c r="AP294" i="3"/>
  <c r="AP298" i="3"/>
  <c r="AP302" i="3"/>
  <c r="AP306" i="3"/>
  <c r="AP310" i="3"/>
  <c r="AP314" i="3"/>
  <c r="AP318" i="3"/>
  <c r="AP322" i="3"/>
  <c r="AP326" i="3"/>
  <c r="AP330" i="3"/>
  <c r="AP334" i="3"/>
  <c r="AP338" i="3"/>
  <c r="AP342" i="3"/>
  <c r="AP346" i="3"/>
  <c r="AP350" i="3"/>
  <c r="AP354" i="3"/>
  <c r="AP358" i="3"/>
  <c r="AP362" i="3"/>
  <c r="AP366" i="3"/>
  <c r="AP370" i="3"/>
  <c r="AP374" i="3"/>
  <c r="AP378" i="3"/>
  <c r="AP30" i="3"/>
  <c r="AP41" i="3"/>
  <c r="AP51" i="3"/>
  <c r="AP62" i="3"/>
  <c r="AP73" i="3"/>
  <c r="AP83" i="3"/>
  <c r="AP94" i="3"/>
  <c r="AP105" i="3"/>
  <c r="AP115" i="3"/>
  <c r="AP126" i="3"/>
  <c r="AP137" i="3"/>
  <c r="AP147" i="3"/>
  <c r="AP158" i="3"/>
  <c r="AP169" i="3"/>
  <c r="AP179" i="3"/>
  <c r="AP190" i="3"/>
  <c r="AP201" i="3"/>
  <c r="AP211" i="3"/>
  <c r="AP222" i="3"/>
  <c r="AP233" i="3"/>
  <c r="AP243" i="3"/>
  <c r="AP254" i="3"/>
  <c r="AP265" i="3"/>
  <c r="AP275" i="3"/>
  <c r="AP286" i="3"/>
  <c r="AP295" i="3"/>
  <c r="AP303" i="3"/>
  <c r="AP311" i="3"/>
  <c r="AP319" i="3"/>
  <c r="AP327" i="3"/>
  <c r="AP335" i="3"/>
  <c r="AP343" i="3"/>
  <c r="AP351" i="3"/>
  <c r="AP359" i="3"/>
  <c r="AP367" i="3"/>
  <c r="AP375" i="3"/>
  <c r="AP25" i="3"/>
  <c r="U11" i="3" s="1"/>
  <c r="AP35" i="3"/>
  <c r="AP46" i="3"/>
  <c r="AP57" i="3"/>
  <c r="AP67" i="3"/>
  <c r="AP78" i="3"/>
  <c r="AP89" i="3"/>
  <c r="AP99" i="3"/>
  <c r="AP110" i="3"/>
  <c r="AP121" i="3"/>
  <c r="AP131" i="3"/>
  <c r="AP142" i="3"/>
  <c r="AP153" i="3"/>
  <c r="AP163" i="3"/>
  <c r="AP174" i="3"/>
  <c r="AP185" i="3"/>
  <c r="AP195" i="3"/>
  <c r="AP206" i="3"/>
  <c r="AP217" i="3"/>
  <c r="AP227" i="3"/>
  <c r="AP238" i="3"/>
  <c r="AP249" i="3"/>
  <c r="AP259" i="3"/>
  <c r="AP270" i="3"/>
  <c r="AP281" i="3"/>
  <c r="AP291" i="3"/>
  <c r="AP299" i="3"/>
  <c r="AP307" i="3"/>
  <c r="AP315" i="3"/>
  <c r="AP323" i="3"/>
  <c r="AP331" i="3"/>
  <c r="AP339" i="3"/>
  <c r="AP347" i="3"/>
  <c r="AP355" i="3"/>
  <c r="AP363" i="3"/>
  <c r="AP371" i="3"/>
  <c r="AP22" i="3"/>
  <c r="U8" i="3" s="1"/>
  <c r="AP33" i="3"/>
  <c r="AP43" i="3"/>
  <c r="AP54" i="3"/>
  <c r="AP65" i="3"/>
  <c r="AP75" i="3"/>
  <c r="AP86" i="3"/>
  <c r="AP97" i="3"/>
  <c r="AP107" i="3"/>
  <c r="AP118" i="3"/>
  <c r="AP129" i="3"/>
  <c r="AP139" i="3"/>
  <c r="AP150" i="3"/>
  <c r="AP161" i="3"/>
  <c r="AP171" i="3"/>
  <c r="AP182" i="3"/>
  <c r="AP193" i="3"/>
  <c r="AP203" i="3"/>
  <c r="AP214" i="3"/>
  <c r="AP225" i="3"/>
  <c r="AP235" i="3"/>
  <c r="AP246" i="3"/>
  <c r="AP257" i="3"/>
  <c r="AP267" i="3"/>
  <c r="AP278" i="3"/>
  <c r="AP289" i="3"/>
  <c r="AP297" i="3"/>
  <c r="AP305" i="3"/>
  <c r="AP313" i="3"/>
  <c r="AP321" i="3"/>
  <c r="AP329" i="3"/>
  <c r="AP337" i="3"/>
  <c r="AP345" i="3"/>
  <c r="AP353" i="3"/>
  <c r="AP361" i="3"/>
  <c r="AP369" i="3"/>
  <c r="AP377" i="3"/>
  <c r="AP59" i="3"/>
  <c r="AP102" i="3"/>
  <c r="AP145" i="3"/>
  <c r="AP187" i="3"/>
  <c r="AP230" i="3"/>
  <c r="AP273" i="3"/>
  <c r="AP309" i="3"/>
  <c r="AP341" i="3"/>
  <c r="AP373" i="3"/>
  <c r="AP38" i="3"/>
  <c r="AP81" i="3"/>
  <c r="AP123" i="3"/>
  <c r="AP166" i="3"/>
  <c r="AP209" i="3"/>
  <c r="AP251" i="3"/>
  <c r="AP293" i="3"/>
  <c r="AP325" i="3"/>
  <c r="AP357" i="3"/>
  <c r="AP27" i="3"/>
  <c r="U13" i="3" s="1"/>
  <c r="AP70" i="3"/>
  <c r="AP113" i="3"/>
  <c r="AP155" i="3"/>
  <c r="AP198" i="3"/>
  <c r="AP241" i="3"/>
  <c r="AP283" i="3"/>
  <c r="AP317" i="3"/>
  <c r="AP349" i="3"/>
  <c r="AP379" i="3"/>
  <c r="AP177" i="3"/>
  <c r="AP333" i="3"/>
  <c r="AP134" i="3"/>
  <c r="AP301" i="3"/>
  <c r="AP91" i="3"/>
  <c r="AP262" i="3"/>
  <c r="AP49" i="3"/>
  <c r="AP219" i="3"/>
  <c r="AP365" i="3"/>
  <c r="AS29" i="3"/>
  <c r="X15" i="3" s="1"/>
  <c r="AS24" i="3"/>
  <c r="X10" i="3" s="1"/>
  <c r="AS23" i="3"/>
  <c r="X9" i="3" s="1"/>
  <c r="AS26" i="3"/>
  <c r="X12" i="3" s="1"/>
  <c r="AS28" i="3"/>
  <c r="X14" i="3" s="1"/>
  <c r="AS79" i="3"/>
  <c r="AS143" i="3"/>
  <c r="AS207" i="3"/>
  <c r="AS271" i="3"/>
  <c r="AS335" i="3"/>
  <c r="AS46" i="3"/>
  <c r="AS110" i="3"/>
  <c r="AS174" i="3"/>
  <c r="AS238" i="3"/>
  <c r="AS302" i="3"/>
  <c r="AS366" i="3"/>
  <c r="AS87" i="3"/>
  <c r="AS151" i="3"/>
  <c r="AS215" i="3"/>
  <c r="AS279" i="3"/>
  <c r="AS343" i="3"/>
  <c r="AS54" i="3"/>
  <c r="AS118" i="3"/>
  <c r="AS182" i="3"/>
  <c r="AS246" i="3"/>
  <c r="AS310" i="3"/>
  <c r="AS374" i="3"/>
  <c r="AS59" i="3"/>
  <c r="AS91" i="3"/>
  <c r="AS123" i="3"/>
  <c r="AS155" i="3"/>
  <c r="AS187" i="3"/>
  <c r="AS219" i="3"/>
  <c r="AS251" i="3"/>
  <c r="AS283" i="3"/>
  <c r="AS315" i="3"/>
  <c r="AS347" i="3"/>
  <c r="AS379" i="3"/>
  <c r="AS58" i="3"/>
  <c r="AS90" i="3"/>
  <c r="AS122" i="3"/>
  <c r="AS154" i="3"/>
  <c r="AS186" i="3"/>
  <c r="AS218" i="3"/>
  <c r="AS250" i="3"/>
  <c r="AS282" i="3"/>
  <c r="AS314" i="3"/>
  <c r="AS346" i="3"/>
  <c r="AS378" i="3"/>
  <c r="AS45" i="3"/>
  <c r="AS61" i="3"/>
  <c r="AS77" i="3"/>
  <c r="AS93" i="3"/>
  <c r="AS109" i="3"/>
  <c r="AS125" i="3"/>
  <c r="AS141" i="3"/>
  <c r="AS157" i="3"/>
  <c r="AS173" i="3"/>
  <c r="AS189" i="3"/>
  <c r="AS205" i="3"/>
  <c r="AS221" i="3"/>
  <c r="AS237" i="3"/>
  <c r="AS253" i="3"/>
  <c r="AS269" i="3"/>
  <c r="AS285" i="3"/>
  <c r="AS301" i="3"/>
  <c r="AS317" i="3"/>
  <c r="AS333" i="3"/>
  <c r="AS349" i="3"/>
  <c r="AS365" i="3"/>
  <c r="AS20" i="3"/>
  <c r="X6" i="3" s="1"/>
  <c r="AS44" i="3"/>
  <c r="AS60" i="3"/>
  <c r="AS76" i="3"/>
  <c r="AS92" i="3"/>
  <c r="AS108" i="3"/>
  <c r="AS124" i="3"/>
  <c r="AS140" i="3"/>
  <c r="AS156" i="3"/>
  <c r="AS172" i="3"/>
  <c r="AS188" i="3"/>
  <c r="AS204" i="3"/>
  <c r="AS220" i="3"/>
  <c r="AS236" i="3"/>
  <c r="AS252" i="3"/>
  <c r="AS268" i="3"/>
  <c r="AS284" i="3"/>
  <c r="AS300" i="3"/>
  <c r="AS316" i="3"/>
  <c r="AS332" i="3"/>
  <c r="AS348" i="3"/>
  <c r="AS364" i="3"/>
  <c r="AS27" i="3"/>
  <c r="X13" i="3" s="1"/>
  <c r="AS21" i="3"/>
  <c r="X7" i="3" s="1"/>
  <c r="AS63" i="3"/>
  <c r="AS127" i="3"/>
  <c r="AS191" i="3"/>
  <c r="AS255" i="3"/>
  <c r="AS319" i="3"/>
  <c r="AS30" i="3"/>
  <c r="AS94" i="3"/>
  <c r="AS158" i="3"/>
  <c r="AS222" i="3"/>
  <c r="AS286" i="3"/>
  <c r="AS350" i="3"/>
  <c r="AS71" i="3"/>
  <c r="AS135" i="3"/>
  <c r="AS199" i="3"/>
  <c r="AS263" i="3"/>
  <c r="AS327" i="3"/>
  <c r="AS38" i="3"/>
  <c r="AS102" i="3"/>
  <c r="AS166" i="3"/>
  <c r="AS230" i="3"/>
  <c r="AS294" i="3"/>
  <c r="AS358" i="3"/>
  <c r="AS51" i="3"/>
  <c r="AS83" i="3"/>
  <c r="AS115" i="3"/>
  <c r="AS147" i="3"/>
  <c r="AS179" i="3"/>
  <c r="AS211" i="3"/>
  <c r="AS243" i="3"/>
  <c r="AS275" i="3"/>
  <c r="AS307" i="3"/>
  <c r="AS339" i="3"/>
  <c r="AS371" i="3"/>
  <c r="AS50" i="3"/>
  <c r="AS82" i="3"/>
  <c r="AS114" i="3"/>
  <c r="AS146" i="3"/>
  <c r="AS178" i="3"/>
  <c r="AS210" i="3"/>
  <c r="AS242" i="3"/>
  <c r="AS274" i="3"/>
  <c r="AS306" i="3"/>
  <c r="AS338" i="3"/>
  <c r="AS370" i="3"/>
  <c r="AS41" i="3"/>
  <c r="AS57" i="3"/>
  <c r="AS73" i="3"/>
  <c r="AS89" i="3"/>
  <c r="AS105" i="3"/>
  <c r="AS121" i="3"/>
  <c r="AS137" i="3"/>
  <c r="AS153" i="3"/>
  <c r="AS169" i="3"/>
  <c r="AS185" i="3"/>
  <c r="AS201" i="3"/>
  <c r="AS217" i="3"/>
  <c r="AS233" i="3"/>
  <c r="AS249" i="3"/>
  <c r="AS265" i="3"/>
  <c r="AS281" i="3"/>
  <c r="AS297" i="3"/>
  <c r="AS313" i="3"/>
  <c r="AS329" i="3"/>
  <c r="AS345" i="3"/>
  <c r="AS361" i="3"/>
  <c r="AS377" i="3"/>
  <c r="AS40" i="3"/>
  <c r="AS56" i="3"/>
  <c r="AS72" i="3"/>
  <c r="AS88" i="3"/>
  <c r="AS104" i="3"/>
  <c r="AS120" i="3"/>
  <c r="AS136" i="3"/>
  <c r="AS152" i="3"/>
  <c r="AS168" i="3"/>
  <c r="AS184" i="3"/>
  <c r="AS200" i="3"/>
  <c r="AS216" i="3"/>
  <c r="AS232" i="3"/>
  <c r="AS248" i="3"/>
  <c r="AS264" i="3"/>
  <c r="AS280" i="3"/>
  <c r="AS296" i="3"/>
  <c r="AS312" i="3"/>
  <c r="AS328" i="3"/>
  <c r="AS344" i="3"/>
  <c r="AS360" i="3"/>
  <c r="AS376" i="3"/>
  <c r="AS22" i="3"/>
  <c r="X8" i="3" s="1"/>
  <c r="AS31" i="3"/>
  <c r="AS159" i="3"/>
  <c r="AS287" i="3"/>
  <c r="AS62" i="3"/>
  <c r="AS190" i="3"/>
  <c r="AS318" i="3"/>
  <c r="AS103" i="3"/>
  <c r="AS231" i="3"/>
  <c r="AS359" i="3"/>
  <c r="AS134" i="3"/>
  <c r="AS262" i="3"/>
  <c r="AS35" i="3"/>
  <c r="AS99" i="3"/>
  <c r="AS163" i="3"/>
  <c r="AS227" i="3"/>
  <c r="AS291" i="3"/>
  <c r="AS355" i="3"/>
  <c r="AS66" i="3"/>
  <c r="AS130" i="3"/>
  <c r="AS194" i="3"/>
  <c r="AS25" i="3"/>
  <c r="X11" i="3" s="1"/>
  <c r="AS111" i="3"/>
  <c r="AS239" i="3"/>
  <c r="AS367" i="3"/>
  <c r="AS142" i="3"/>
  <c r="AS270" i="3"/>
  <c r="AS55" i="3"/>
  <c r="AS183" i="3"/>
  <c r="AS311" i="3"/>
  <c r="AS86" i="3"/>
  <c r="AS214" i="3"/>
  <c r="AS342" i="3"/>
  <c r="AS75" i="3"/>
  <c r="AS139" i="3"/>
  <c r="AS203" i="3"/>
  <c r="AS267" i="3"/>
  <c r="AS331" i="3"/>
  <c r="AS42" i="3"/>
  <c r="AS106" i="3"/>
  <c r="AS170" i="3"/>
  <c r="AS234" i="3"/>
  <c r="AS298" i="3"/>
  <c r="AS362" i="3"/>
  <c r="AS53" i="3"/>
  <c r="AS85" i="3"/>
  <c r="AS117" i="3"/>
  <c r="AS149" i="3"/>
  <c r="AS181" i="3"/>
  <c r="AS213" i="3"/>
  <c r="AS245" i="3"/>
  <c r="AS277" i="3"/>
  <c r="AS309" i="3"/>
  <c r="AS341" i="3"/>
  <c r="AS373" i="3"/>
  <c r="AS52" i="3"/>
  <c r="AS84" i="3"/>
  <c r="AS116" i="3"/>
  <c r="AS148" i="3"/>
  <c r="AS180" i="3"/>
  <c r="AS212" i="3"/>
  <c r="AS244" i="3"/>
  <c r="AS276" i="3"/>
  <c r="AS308" i="3"/>
  <c r="AS340" i="3"/>
  <c r="AS372" i="3"/>
  <c r="AS95" i="3"/>
  <c r="AS223" i="3"/>
  <c r="AS351" i="3"/>
  <c r="AS126" i="3"/>
  <c r="AS254" i="3"/>
  <c r="AS39" i="3"/>
  <c r="AS167" i="3"/>
  <c r="AS295" i="3"/>
  <c r="AS70" i="3"/>
  <c r="AS198" i="3"/>
  <c r="AS326" i="3"/>
  <c r="AS67" i="3"/>
  <c r="AS131" i="3"/>
  <c r="AS195" i="3"/>
  <c r="AS259" i="3"/>
  <c r="AS323" i="3"/>
  <c r="AS34" i="3"/>
  <c r="AS98" i="3"/>
  <c r="AS162" i="3"/>
  <c r="AS226" i="3"/>
  <c r="AS290" i="3"/>
  <c r="AS354" i="3"/>
  <c r="AS49" i="3"/>
  <c r="AS81" i="3"/>
  <c r="AS113" i="3"/>
  <c r="AS145" i="3"/>
  <c r="AS177" i="3"/>
  <c r="AS209" i="3"/>
  <c r="AS241" i="3"/>
  <c r="AS273" i="3"/>
  <c r="AS305" i="3"/>
  <c r="AS337" i="3"/>
  <c r="AS369" i="3"/>
  <c r="AS48" i="3"/>
  <c r="AS80" i="3"/>
  <c r="AS112" i="3"/>
  <c r="AS144" i="3"/>
  <c r="AS176" i="3"/>
  <c r="AS208" i="3"/>
  <c r="AS240" i="3"/>
  <c r="AS272" i="3"/>
  <c r="AS304" i="3"/>
  <c r="AS336" i="3"/>
  <c r="AS368" i="3"/>
  <c r="AS303" i="3"/>
  <c r="AS119" i="3"/>
  <c r="AS278" i="3"/>
  <c r="AS235" i="3"/>
  <c r="AS138" i="3"/>
  <c r="AS322" i="3"/>
  <c r="AS65" i="3"/>
  <c r="AS129" i="3"/>
  <c r="AS193" i="3"/>
  <c r="AS257" i="3"/>
  <c r="AS321" i="3"/>
  <c r="AS32" i="3"/>
  <c r="AS96" i="3"/>
  <c r="AS160" i="3"/>
  <c r="AS224" i="3"/>
  <c r="AS288" i="3"/>
  <c r="AS352" i="3"/>
  <c r="AS175" i="3"/>
  <c r="AS334" i="3"/>
  <c r="AS150" i="3"/>
  <c r="AS171" i="3"/>
  <c r="AS74" i="3"/>
  <c r="AS266" i="3"/>
  <c r="AS37" i="3"/>
  <c r="AS101" i="3"/>
  <c r="AS165" i="3"/>
  <c r="AS229" i="3"/>
  <c r="AS293" i="3"/>
  <c r="AS357" i="3"/>
  <c r="AS68" i="3"/>
  <c r="AS132" i="3"/>
  <c r="AS196" i="3"/>
  <c r="AS260" i="3"/>
  <c r="AS324" i="3"/>
  <c r="AS47" i="3"/>
  <c r="AS206" i="3"/>
  <c r="AS375" i="3"/>
  <c r="AS107" i="3"/>
  <c r="AS363" i="3"/>
  <c r="AS258" i="3"/>
  <c r="AS33" i="3"/>
  <c r="AS97" i="3"/>
  <c r="AS161" i="3"/>
  <c r="AS225" i="3"/>
  <c r="AS289" i="3"/>
  <c r="AS353" i="3"/>
  <c r="AS64" i="3"/>
  <c r="AS128" i="3"/>
  <c r="AS192" i="3"/>
  <c r="AS256" i="3"/>
  <c r="AS320" i="3"/>
  <c r="AS78" i="3"/>
  <c r="AS247" i="3"/>
  <c r="AS43" i="3"/>
  <c r="AS299" i="3"/>
  <c r="AS202" i="3"/>
  <c r="AS330" i="3"/>
  <c r="AS69" i="3"/>
  <c r="AS133" i="3"/>
  <c r="AS197" i="3"/>
  <c r="AS261" i="3"/>
  <c r="AS325" i="3"/>
  <c r="AS36" i="3"/>
  <c r="AS100" i="3"/>
  <c r="AS164" i="3"/>
  <c r="AS228" i="3"/>
  <c r="AS292" i="3"/>
  <c r="AS356" i="3"/>
  <c r="AW29" i="3"/>
  <c r="AB15" i="3" s="1"/>
  <c r="AW24" i="3"/>
  <c r="AB10" i="3" s="1"/>
  <c r="AW26" i="3"/>
  <c r="AB12" i="3" s="1"/>
  <c r="AW28" i="3"/>
  <c r="AB14" i="3" s="1"/>
  <c r="AW23" i="3"/>
  <c r="AB9" i="3" s="1"/>
  <c r="AW25" i="3"/>
  <c r="AB11" i="3" s="1"/>
  <c r="AW75" i="3"/>
  <c r="AW139" i="3"/>
  <c r="AW203" i="3"/>
  <c r="AW267" i="3"/>
  <c r="AW331" i="3"/>
  <c r="AW35" i="3"/>
  <c r="AW99" i="3"/>
  <c r="AW163" i="3"/>
  <c r="AW227" i="3"/>
  <c r="AW291" i="3"/>
  <c r="AW355" i="3"/>
  <c r="AW74" i="3"/>
  <c r="AW138" i="3"/>
  <c r="AW202" i="3"/>
  <c r="AW266" i="3"/>
  <c r="AW330" i="3"/>
  <c r="AW34" i="3"/>
  <c r="AW98" i="3"/>
  <c r="AW162" i="3"/>
  <c r="AW226" i="3"/>
  <c r="AW290" i="3"/>
  <c r="AW354" i="3"/>
  <c r="AW47" i="3"/>
  <c r="AW79" i="3"/>
  <c r="AW111" i="3"/>
  <c r="AW143" i="3"/>
  <c r="AW175" i="3"/>
  <c r="AW207" i="3"/>
  <c r="AW239" i="3"/>
  <c r="AW271" i="3"/>
  <c r="AW303" i="3"/>
  <c r="AW335" i="3"/>
  <c r="AW367" i="3"/>
  <c r="AW46" i="3"/>
  <c r="AW78" i="3"/>
  <c r="AW110" i="3"/>
  <c r="AW142" i="3"/>
  <c r="AW174" i="3"/>
  <c r="AW206" i="3"/>
  <c r="AW238" i="3"/>
  <c r="AW270" i="3"/>
  <c r="AW302" i="3"/>
  <c r="AW334" i="3"/>
  <c r="AW366" i="3"/>
  <c r="AW41" i="3"/>
  <c r="AW57" i="3"/>
  <c r="AW73" i="3"/>
  <c r="AW89" i="3"/>
  <c r="AW105" i="3"/>
  <c r="AW121" i="3"/>
  <c r="AW137" i="3"/>
  <c r="AW153" i="3"/>
  <c r="AW169" i="3"/>
  <c r="AW185" i="3"/>
  <c r="AW201" i="3"/>
  <c r="AW217" i="3"/>
  <c r="AW233" i="3"/>
  <c r="AW249" i="3"/>
  <c r="AW265" i="3"/>
  <c r="AW281" i="3"/>
  <c r="AW297" i="3"/>
  <c r="AW313" i="3"/>
  <c r="AW329" i="3"/>
  <c r="AW345" i="3"/>
  <c r="AW361" i="3"/>
  <c r="AW377" i="3"/>
  <c r="AW40" i="3"/>
  <c r="AW56" i="3"/>
  <c r="AW72" i="3"/>
  <c r="AW88" i="3"/>
  <c r="AW104" i="3"/>
  <c r="AW120" i="3"/>
  <c r="AW136" i="3"/>
  <c r="AW152" i="3"/>
  <c r="AW168" i="3"/>
  <c r="AW184" i="3"/>
  <c r="AW200" i="3"/>
  <c r="AW216" i="3"/>
  <c r="AW232" i="3"/>
  <c r="AW248" i="3"/>
  <c r="AW264" i="3"/>
  <c r="AW280" i="3"/>
  <c r="AW296" i="3"/>
  <c r="AW312" i="3"/>
  <c r="AW328" i="3"/>
  <c r="AW344" i="3"/>
  <c r="AW360" i="3"/>
  <c r="AW376" i="3"/>
  <c r="AW22" i="3"/>
  <c r="AB8" i="3" s="1"/>
  <c r="AW59" i="3"/>
  <c r="AW123" i="3"/>
  <c r="AW187" i="3"/>
  <c r="AW251" i="3"/>
  <c r="AW315" i="3"/>
  <c r="AW379" i="3"/>
  <c r="AW83" i="3"/>
  <c r="AW147" i="3"/>
  <c r="AW211" i="3"/>
  <c r="AW275" i="3"/>
  <c r="AW339" i="3"/>
  <c r="AW58" i="3"/>
  <c r="AW122" i="3"/>
  <c r="AW186" i="3"/>
  <c r="AW250" i="3"/>
  <c r="AW314" i="3"/>
  <c r="AW378" i="3"/>
  <c r="AW82" i="3"/>
  <c r="AW146" i="3"/>
  <c r="AW210" i="3"/>
  <c r="AW274" i="3"/>
  <c r="AW338" i="3"/>
  <c r="AW39" i="3"/>
  <c r="AW71" i="3"/>
  <c r="AW103" i="3"/>
  <c r="AW135" i="3"/>
  <c r="AW167" i="3"/>
  <c r="AW199" i="3"/>
  <c r="AW231" i="3"/>
  <c r="AW263" i="3"/>
  <c r="AW295" i="3"/>
  <c r="AW327" i="3"/>
  <c r="AW359" i="3"/>
  <c r="AW38" i="3"/>
  <c r="AW70" i="3"/>
  <c r="AW102" i="3"/>
  <c r="AW134" i="3"/>
  <c r="AW166" i="3"/>
  <c r="AW198" i="3"/>
  <c r="AW230" i="3"/>
  <c r="AW262" i="3"/>
  <c r="AW294" i="3"/>
  <c r="AW326" i="3"/>
  <c r="AW358" i="3"/>
  <c r="AW37" i="3"/>
  <c r="AW53" i="3"/>
  <c r="AW69" i="3"/>
  <c r="AW85" i="3"/>
  <c r="AW101" i="3"/>
  <c r="AW117" i="3"/>
  <c r="AW133" i="3"/>
  <c r="AW149" i="3"/>
  <c r="AW165" i="3"/>
  <c r="AW181" i="3"/>
  <c r="AW197" i="3"/>
  <c r="AW213" i="3"/>
  <c r="AW229" i="3"/>
  <c r="AW245" i="3"/>
  <c r="AW261" i="3"/>
  <c r="AW277" i="3"/>
  <c r="AW293" i="3"/>
  <c r="AW309" i="3"/>
  <c r="AW325" i="3"/>
  <c r="AW341" i="3"/>
  <c r="AW357" i="3"/>
  <c r="AW373" i="3"/>
  <c r="AW36" i="3"/>
  <c r="AW52" i="3"/>
  <c r="AW68" i="3"/>
  <c r="AW84" i="3"/>
  <c r="AW100" i="3"/>
  <c r="AW116" i="3"/>
  <c r="AW132" i="3"/>
  <c r="AW148" i="3"/>
  <c r="AW164" i="3"/>
  <c r="AW180" i="3"/>
  <c r="AW196" i="3"/>
  <c r="AW212" i="3"/>
  <c r="AW228" i="3"/>
  <c r="AW244" i="3"/>
  <c r="AW260" i="3"/>
  <c r="AW276" i="3"/>
  <c r="AW292" i="3"/>
  <c r="AW308" i="3"/>
  <c r="AW324" i="3"/>
  <c r="AW340" i="3"/>
  <c r="AW356" i="3"/>
  <c r="AW372" i="3"/>
  <c r="AW21" i="3"/>
  <c r="AB7" i="3" s="1"/>
  <c r="AW91" i="3"/>
  <c r="AW219" i="3"/>
  <c r="AW347" i="3"/>
  <c r="AW115" i="3"/>
  <c r="AW243" i="3"/>
  <c r="AW371" i="3"/>
  <c r="AW154" i="3"/>
  <c r="AW282" i="3"/>
  <c r="AW50" i="3"/>
  <c r="AW178" i="3"/>
  <c r="AW306" i="3"/>
  <c r="AW55" i="3"/>
  <c r="AW119" i="3"/>
  <c r="AW183" i="3"/>
  <c r="AW247" i="3"/>
  <c r="AW311" i="3"/>
  <c r="AW375" i="3"/>
  <c r="AW86" i="3"/>
  <c r="AW150" i="3"/>
  <c r="AW214" i="3"/>
  <c r="AW278" i="3"/>
  <c r="AW342" i="3"/>
  <c r="AW45" i="3"/>
  <c r="AW77" i="3"/>
  <c r="AW109" i="3"/>
  <c r="AW141" i="3"/>
  <c r="AW173" i="3"/>
  <c r="AW205" i="3"/>
  <c r="AW237" i="3"/>
  <c r="AW269" i="3"/>
  <c r="AW301" i="3"/>
  <c r="AW333" i="3"/>
  <c r="AW365" i="3"/>
  <c r="AW44" i="3"/>
  <c r="AW76" i="3"/>
  <c r="AW108" i="3"/>
  <c r="AW140" i="3"/>
  <c r="AW172" i="3"/>
  <c r="AW204" i="3"/>
  <c r="AW236" i="3"/>
  <c r="AW268" i="3"/>
  <c r="AW300" i="3"/>
  <c r="AW332" i="3"/>
  <c r="AW364" i="3"/>
  <c r="AW43" i="3"/>
  <c r="AW171" i="3"/>
  <c r="AW299" i="3"/>
  <c r="AW67" i="3"/>
  <c r="AW195" i="3"/>
  <c r="AW323" i="3"/>
  <c r="AW106" i="3"/>
  <c r="AW234" i="3"/>
  <c r="AW362" i="3"/>
  <c r="AW130" i="3"/>
  <c r="AW258" i="3"/>
  <c r="AW31" i="3"/>
  <c r="AW95" i="3"/>
  <c r="AW159" i="3"/>
  <c r="AW223" i="3"/>
  <c r="AW287" i="3"/>
  <c r="AW351" i="3"/>
  <c r="AW62" i="3"/>
  <c r="AW126" i="3"/>
  <c r="AW190" i="3"/>
  <c r="AW254" i="3"/>
  <c r="AW318" i="3"/>
  <c r="AW33" i="3"/>
  <c r="AW65" i="3"/>
  <c r="AW97" i="3"/>
  <c r="AW129" i="3"/>
  <c r="AW161" i="3"/>
  <c r="AW193" i="3"/>
  <c r="AW225" i="3"/>
  <c r="AW257" i="3"/>
  <c r="AW289" i="3"/>
  <c r="AW321" i="3"/>
  <c r="AW353" i="3"/>
  <c r="AW32" i="3"/>
  <c r="AW64" i="3"/>
  <c r="AW96" i="3"/>
  <c r="AW128" i="3"/>
  <c r="AW160" i="3"/>
  <c r="AW192" i="3"/>
  <c r="AW224" i="3"/>
  <c r="AW256" i="3"/>
  <c r="AW288" i="3"/>
  <c r="AW320" i="3"/>
  <c r="AW352" i="3"/>
  <c r="AW27" i="3"/>
  <c r="AB13" i="3" s="1"/>
  <c r="AW155" i="3"/>
  <c r="AW283" i="3"/>
  <c r="AW51" i="3"/>
  <c r="AW179" i="3"/>
  <c r="AW307" i="3"/>
  <c r="AW90" i="3"/>
  <c r="AW218" i="3"/>
  <c r="AW346" i="3"/>
  <c r="AW114" i="3"/>
  <c r="AW242" i="3"/>
  <c r="AW370" i="3"/>
  <c r="AW87" i="3"/>
  <c r="AW151" i="3"/>
  <c r="AW215" i="3"/>
  <c r="AW279" i="3"/>
  <c r="AW343" i="3"/>
  <c r="AW54" i="3"/>
  <c r="AW118" i="3"/>
  <c r="AW182" i="3"/>
  <c r="AW246" i="3"/>
  <c r="AW310" i="3"/>
  <c r="AW374" i="3"/>
  <c r="AW61" i="3"/>
  <c r="AW93" i="3"/>
  <c r="AW125" i="3"/>
  <c r="AW157" i="3"/>
  <c r="AW189" i="3"/>
  <c r="AW221" i="3"/>
  <c r="AW253" i="3"/>
  <c r="AW285" i="3"/>
  <c r="AW317" i="3"/>
  <c r="AW349" i="3"/>
  <c r="AW20" i="3"/>
  <c r="AB6" i="3" s="1"/>
  <c r="AW60" i="3"/>
  <c r="AW92" i="3"/>
  <c r="AW124" i="3"/>
  <c r="AW156" i="3"/>
  <c r="AW188" i="3"/>
  <c r="AW220" i="3"/>
  <c r="AW252" i="3"/>
  <c r="AW284" i="3"/>
  <c r="AW316" i="3"/>
  <c r="AW348" i="3"/>
  <c r="AW107" i="3"/>
  <c r="AW235" i="3"/>
  <c r="AW363" i="3"/>
  <c r="AW131" i="3"/>
  <c r="AW170" i="3"/>
  <c r="AW322" i="3"/>
  <c r="AW255" i="3"/>
  <c r="AW158" i="3"/>
  <c r="AW49" i="3"/>
  <c r="AW177" i="3"/>
  <c r="AW305" i="3"/>
  <c r="AW80" i="3"/>
  <c r="AW208" i="3"/>
  <c r="AW336" i="3"/>
  <c r="AW42" i="3"/>
  <c r="AW194" i="3"/>
  <c r="AW191" i="3"/>
  <c r="AW94" i="3"/>
  <c r="AW350" i="3"/>
  <c r="AW145" i="3"/>
  <c r="AW273" i="3"/>
  <c r="AW48" i="3"/>
  <c r="AW176" i="3"/>
  <c r="AW304" i="3"/>
  <c r="AW259" i="3"/>
  <c r="AW66" i="3"/>
  <c r="AW127" i="3"/>
  <c r="AW30" i="3"/>
  <c r="AW286" i="3"/>
  <c r="AW113" i="3"/>
  <c r="AW241" i="3"/>
  <c r="AW369" i="3"/>
  <c r="AW144" i="3"/>
  <c r="AW272" i="3"/>
  <c r="AW298" i="3"/>
  <c r="AW63" i="3"/>
  <c r="AW319" i="3"/>
  <c r="AW222" i="3"/>
  <c r="AW81" i="3"/>
  <c r="AW209" i="3"/>
  <c r="AW337" i="3"/>
  <c r="AW112" i="3"/>
  <c r="AW240" i="3"/>
  <c r="AW368" i="3"/>
  <c r="V367" i="3"/>
  <c r="V351" i="3"/>
  <c r="V335" i="3"/>
  <c r="V319" i="3"/>
  <c r="V303" i="3"/>
  <c r="V287" i="3"/>
  <c r="V271" i="3"/>
  <c r="V255" i="3"/>
  <c r="V239" i="3"/>
  <c r="V223" i="3"/>
  <c r="V207" i="3"/>
  <c r="V191" i="3"/>
  <c r="V175" i="3"/>
  <c r="V159" i="3"/>
  <c r="V143" i="3"/>
  <c r="V127" i="3"/>
  <c r="V111" i="3"/>
  <c r="V95" i="3"/>
  <c r="V79" i="3"/>
  <c r="V63" i="3"/>
  <c r="V47" i="3"/>
  <c r="V31" i="3"/>
  <c r="V372" i="3"/>
  <c r="V356" i="3"/>
  <c r="V340" i="3"/>
  <c r="V324" i="3"/>
  <c r="V308" i="3"/>
  <c r="V292" i="3"/>
  <c r="V276" i="3"/>
  <c r="V260" i="3"/>
  <c r="V244" i="3"/>
  <c r="V228" i="3"/>
  <c r="V212" i="3"/>
  <c r="V196" i="3"/>
  <c r="V180" i="3"/>
  <c r="V164" i="3"/>
  <c r="V148" i="3"/>
  <c r="V132" i="3"/>
  <c r="V116" i="3"/>
  <c r="V100" i="3"/>
  <c r="V84" i="3"/>
  <c r="V68" i="3"/>
  <c r="V52" i="3"/>
  <c r="V36" i="3"/>
  <c r="V20" i="3"/>
  <c r="V365" i="3"/>
  <c r="V349" i="3"/>
  <c r="V333" i="3"/>
  <c r="V317" i="3"/>
  <c r="V301" i="3"/>
  <c r="V285" i="3"/>
  <c r="V269" i="3"/>
  <c r="V253" i="3"/>
  <c r="V237" i="3"/>
  <c r="V221" i="3"/>
  <c r="V205" i="3"/>
  <c r="V189" i="3"/>
  <c r="V173" i="3"/>
  <c r="V157" i="3"/>
  <c r="V141" i="3"/>
  <c r="V125" i="3"/>
  <c r="V109" i="3"/>
  <c r="V93" i="3"/>
  <c r="V77" i="3"/>
  <c r="V61" i="3"/>
  <c r="V45" i="3"/>
  <c r="V29" i="3"/>
  <c r="V378" i="3"/>
  <c r="V362" i="3"/>
  <c r="V346" i="3"/>
  <c r="V330" i="3"/>
  <c r="V314" i="3"/>
  <c r="V298" i="3"/>
  <c r="V282" i="3"/>
  <c r="V266" i="3"/>
  <c r="V250" i="3"/>
  <c r="V234" i="3"/>
  <c r="V218" i="3"/>
  <c r="V202" i="3"/>
  <c r="V186" i="3"/>
  <c r="V170" i="3"/>
  <c r="V154" i="3"/>
  <c r="V134" i="3"/>
  <c r="V118" i="3"/>
  <c r="V102" i="3"/>
  <c r="V86" i="3"/>
  <c r="V70" i="3"/>
  <c r="V54" i="3"/>
  <c r="V38" i="3"/>
  <c r="V22" i="3"/>
  <c r="V379" i="3"/>
  <c r="V363" i="3"/>
  <c r="V347" i="3"/>
  <c r="V331" i="3"/>
  <c r="V315" i="3"/>
  <c r="V299" i="3"/>
  <c r="V283" i="3"/>
  <c r="V267" i="3"/>
  <c r="V251" i="3"/>
  <c r="V235" i="3"/>
  <c r="V219" i="3"/>
  <c r="V203" i="3"/>
  <c r="V187" i="3"/>
  <c r="V171" i="3"/>
  <c r="V155" i="3"/>
  <c r="V139" i="3"/>
  <c r="V123" i="3"/>
  <c r="V107" i="3"/>
  <c r="V91" i="3"/>
  <c r="V75" i="3"/>
  <c r="V59" i="3"/>
  <c r="V43" i="3"/>
  <c r="V27" i="3"/>
  <c r="V368" i="3"/>
  <c r="V352" i="3"/>
  <c r="V336" i="3"/>
  <c r="V320" i="3"/>
  <c r="V304" i="3"/>
  <c r="V288" i="3"/>
  <c r="V272" i="3"/>
  <c r="V256" i="3"/>
  <c r="V240" i="3"/>
  <c r="V224" i="3"/>
  <c r="V208" i="3"/>
  <c r="V192" i="3"/>
  <c r="V176" i="3"/>
  <c r="V160" i="3"/>
  <c r="V144" i="3"/>
  <c r="V128" i="3"/>
  <c r="V112" i="3"/>
  <c r="V96" i="3"/>
  <c r="V80" i="3"/>
  <c r="V64" i="3"/>
  <c r="V48" i="3"/>
  <c r="V32" i="3"/>
  <c r="V377" i="3"/>
  <c r="V361" i="3"/>
  <c r="V345" i="3"/>
  <c r="V329" i="3"/>
  <c r="V313" i="3"/>
  <c r="V297" i="3"/>
  <c r="V281" i="3"/>
  <c r="V265" i="3"/>
  <c r="V249" i="3"/>
  <c r="V233" i="3"/>
  <c r="V217" i="3"/>
  <c r="V201" i="3"/>
  <c r="V185" i="3"/>
  <c r="V169" i="3"/>
  <c r="V153" i="3"/>
  <c r="V137" i="3"/>
  <c r="V121" i="3"/>
  <c r="V105" i="3"/>
  <c r="V89" i="3"/>
  <c r="V73" i="3"/>
  <c r="V57" i="3"/>
  <c r="V41" i="3"/>
  <c r="V25" i="3"/>
  <c r="V374" i="3"/>
  <c r="V358" i="3"/>
  <c r="V342" i="3"/>
  <c r="V326" i="3"/>
  <c r="V310" i="3"/>
  <c r="V294" i="3"/>
  <c r="V278" i="3"/>
  <c r="V262" i="3"/>
  <c r="V246" i="3"/>
  <c r="V230" i="3"/>
  <c r="V214" i="3"/>
  <c r="V198" i="3"/>
  <c r="V182" i="3"/>
  <c r="V166" i="3"/>
  <c r="V150" i="3"/>
  <c r="V130" i="3"/>
  <c r="V114" i="3"/>
  <c r="V98" i="3"/>
  <c r="V82" i="3"/>
  <c r="V66" i="3"/>
  <c r="V50" i="3"/>
  <c r="V34" i="3"/>
  <c r="V375" i="3"/>
  <c r="V343" i="3"/>
  <c r="V311" i="3"/>
  <c r="V279" i="3"/>
  <c r="V247" i="3"/>
  <c r="V215" i="3"/>
  <c r="V183" i="3"/>
  <c r="V151" i="3"/>
  <c r="V119" i="3"/>
  <c r="V87" i="3"/>
  <c r="V55" i="3"/>
  <c r="V23" i="3"/>
  <c r="V348" i="3"/>
  <c r="V316" i="3"/>
  <c r="V284" i="3"/>
  <c r="V252" i="3"/>
  <c r="V220" i="3"/>
  <c r="V188" i="3"/>
  <c r="V156" i="3"/>
  <c r="V124" i="3"/>
  <c r="V92" i="3"/>
  <c r="V60" i="3"/>
  <c r="V28" i="3"/>
  <c r="V357" i="3"/>
  <c r="V325" i="3"/>
  <c r="V293" i="3"/>
  <c r="V261" i="3"/>
  <c r="V229" i="3"/>
  <c r="V197" i="3"/>
  <c r="V165" i="3"/>
  <c r="V133" i="3"/>
  <c r="V101" i="3"/>
  <c r="V69" i="3"/>
  <c r="V37" i="3"/>
  <c r="V370" i="3"/>
  <c r="V338" i="3"/>
  <c r="V306" i="3"/>
  <c r="V274" i="3"/>
  <c r="V242" i="3"/>
  <c r="V210" i="3"/>
  <c r="V178" i="3"/>
  <c r="V146" i="3"/>
  <c r="V110" i="3"/>
  <c r="V78" i="3"/>
  <c r="V46" i="3"/>
  <c r="V355" i="3"/>
  <c r="V307" i="3"/>
  <c r="V263" i="3"/>
  <c r="V227" i="3"/>
  <c r="V179" i="3"/>
  <c r="V135" i="3"/>
  <c r="V99" i="3"/>
  <c r="V51" i="3"/>
  <c r="V364" i="3"/>
  <c r="V328" i="3"/>
  <c r="V280" i="3"/>
  <c r="V236" i="3"/>
  <c r="V200" i="3"/>
  <c r="V152" i="3"/>
  <c r="V108" i="3"/>
  <c r="V72" i="3"/>
  <c r="V24" i="3"/>
  <c r="V341" i="3"/>
  <c r="V305" i="3"/>
  <c r="V257" i="3"/>
  <c r="V213" i="3"/>
  <c r="V177" i="3"/>
  <c r="V129" i="3"/>
  <c r="V85" i="3"/>
  <c r="V49" i="3"/>
  <c r="V366" i="3"/>
  <c r="V322" i="3"/>
  <c r="V286" i="3"/>
  <c r="V238" i="3"/>
  <c r="V194" i="3"/>
  <c r="V158" i="3"/>
  <c r="V106" i="3"/>
  <c r="V62" i="3"/>
  <c r="V26" i="3"/>
  <c r="V327" i="3"/>
  <c r="V275" i="3"/>
  <c r="V211" i="3"/>
  <c r="V163" i="3"/>
  <c r="V103" i="3"/>
  <c r="V39" i="3"/>
  <c r="V344" i="3"/>
  <c r="V296" i="3"/>
  <c r="V232" i="3"/>
  <c r="V172" i="3"/>
  <c r="V120" i="3"/>
  <c r="V56" i="3"/>
  <c r="V369" i="3"/>
  <c r="V309" i="3"/>
  <c r="V245" i="3"/>
  <c r="V193" i="3"/>
  <c r="V145" i="3"/>
  <c r="V81" i="3"/>
  <c r="V21" i="3"/>
  <c r="V334" i="3"/>
  <c r="V270" i="3"/>
  <c r="V222" i="3"/>
  <c r="V162" i="3"/>
  <c r="V94" i="3"/>
  <c r="V42" i="3"/>
  <c r="V339" i="3"/>
  <c r="V259" i="3"/>
  <c r="V195" i="3"/>
  <c r="V115" i="3"/>
  <c r="V35" i="3"/>
  <c r="V312" i="3"/>
  <c r="V248" i="3"/>
  <c r="V168" i="3"/>
  <c r="V88" i="3"/>
  <c r="V373" i="3"/>
  <c r="V289" i="3"/>
  <c r="V225" i="3"/>
  <c r="V149" i="3"/>
  <c r="V65" i="3"/>
  <c r="V354" i="3"/>
  <c r="V290" i="3"/>
  <c r="V206" i="3"/>
  <c r="V126" i="3"/>
  <c r="V58" i="3"/>
  <c r="V359" i="3"/>
  <c r="V291" i="3"/>
  <c r="V199" i="3"/>
  <c r="V131" i="3"/>
  <c r="V67" i="3"/>
  <c r="V332" i="3"/>
  <c r="V264" i="3"/>
  <c r="V184" i="3"/>
  <c r="V104" i="3"/>
  <c r="V40" i="3"/>
  <c r="V321" i="3"/>
  <c r="V241" i="3"/>
  <c r="V161" i="3"/>
  <c r="V97" i="3"/>
  <c r="V138" i="3"/>
  <c r="V302" i="3"/>
  <c r="V226" i="3"/>
  <c r="V142" i="3"/>
  <c r="V74" i="3"/>
  <c r="V371" i="3"/>
  <c r="V295" i="3"/>
  <c r="V231" i="3"/>
  <c r="V147" i="3"/>
  <c r="V71" i="3"/>
  <c r="V360" i="3"/>
  <c r="V268" i="3"/>
  <c r="V204" i="3"/>
  <c r="V136" i="3"/>
  <c r="V44" i="3"/>
  <c r="V337" i="3"/>
  <c r="V273" i="3"/>
  <c r="V181" i="3"/>
  <c r="V113" i="3"/>
  <c r="V33" i="3"/>
  <c r="V318" i="3"/>
  <c r="V254" i="3"/>
  <c r="V174" i="3"/>
  <c r="V90" i="3"/>
  <c r="V323" i="3"/>
  <c r="V243" i="3"/>
  <c r="V167" i="3"/>
  <c r="V83" i="3"/>
  <c r="V376" i="3"/>
  <c r="V300" i="3"/>
  <c r="V216" i="3"/>
  <c r="V140" i="3"/>
  <c r="V76" i="3"/>
  <c r="V353" i="3"/>
  <c r="V277" i="3"/>
  <c r="V209" i="3"/>
  <c r="V117" i="3"/>
  <c r="V53" i="3"/>
  <c r="V350" i="3"/>
  <c r="V258" i="3"/>
  <c r="V190" i="3"/>
  <c r="V122" i="3"/>
  <c r="V30" i="3"/>
  <c r="AE21" i="3"/>
  <c r="K7" i="3" s="1"/>
  <c r="AE25" i="3"/>
  <c r="K11" i="3" s="1"/>
  <c r="AE31" i="3"/>
  <c r="AE35" i="3"/>
  <c r="AE39" i="3"/>
  <c r="AE43" i="3"/>
  <c r="AE47" i="3"/>
  <c r="AE51" i="3"/>
  <c r="AE55" i="3"/>
  <c r="AE59" i="3"/>
  <c r="AE63" i="3"/>
  <c r="AE67" i="3"/>
  <c r="AE71" i="3"/>
  <c r="AE75" i="3"/>
  <c r="AE79" i="3"/>
  <c r="AE83" i="3"/>
  <c r="AE87" i="3"/>
  <c r="AE91" i="3"/>
  <c r="AE95" i="3"/>
  <c r="AE99" i="3"/>
  <c r="AE103" i="3"/>
  <c r="AE107" i="3"/>
  <c r="AE111" i="3"/>
  <c r="AE115" i="3"/>
  <c r="AE119" i="3"/>
  <c r="AE123" i="3"/>
  <c r="AE127" i="3"/>
  <c r="AE131" i="3"/>
  <c r="AE135" i="3"/>
  <c r="AE139" i="3"/>
  <c r="AE143" i="3"/>
  <c r="AE147" i="3"/>
  <c r="AE151" i="3"/>
  <c r="AE155" i="3"/>
  <c r="AE159" i="3"/>
  <c r="AE163" i="3"/>
  <c r="AE167" i="3"/>
  <c r="AE171" i="3"/>
  <c r="AE175" i="3"/>
  <c r="AE179" i="3"/>
  <c r="AE183" i="3"/>
  <c r="AE187" i="3"/>
  <c r="AE191" i="3"/>
  <c r="AE195" i="3"/>
  <c r="AE199" i="3"/>
  <c r="AE203" i="3"/>
  <c r="AE207" i="3"/>
  <c r="AE211" i="3"/>
  <c r="AE215" i="3"/>
  <c r="AE219" i="3"/>
  <c r="AE223" i="3"/>
  <c r="AE227" i="3"/>
  <c r="AE231" i="3"/>
  <c r="AE235" i="3"/>
  <c r="AE239" i="3"/>
  <c r="AE243" i="3"/>
  <c r="AE247" i="3"/>
  <c r="AE251" i="3"/>
  <c r="AE255" i="3"/>
  <c r="AE259" i="3"/>
  <c r="AE263" i="3"/>
  <c r="AE267" i="3"/>
  <c r="AE271" i="3"/>
  <c r="AE275" i="3"/>
  <c r="AE279" i="3"/>
  <c r="AE283" i="3"/>
  <c r="AE287" i="3"/>
  <c r="AE291" i="3"/>
  <c r="AE295" i="3"/>
  <c r="AE299" i="3"/>
  <c r="AE303" i="3"/>
  <c r="AE307" i="3"/>
  <c r="AE311" i="3"/>
  <c r="AE315" i="3"/>
  <c r="AE319" i="3"/>
  <c r="AE323" i="3"/>
  <c r="AE327" i="3"/>
  <c r="AE331" i="3"/>
  <c r="AE335" i="3"/>
  <c r="AE339" i="3"/>
  <c r="AE343" i="3"/>
  <c r="AE347" i="3"/>
  <c r="AE351" i="3"/>
  <c r="AE355" i="3"/>
  <c r="AE359" i="3"/>
  <c r="AE363" i="3"/>
  <c r="AE367" i="3"/>
  <c r="AE371" i="3"/>
  <c r="AE375" i="3"/>
  <c r="AE379" i="3"/>
  <c r="AE29" i="3"/>
  <c r="K15" i="3" s="1"/>
  <c r="AE20" i="3"/>
  <c r="K6" i="3" s="1"/>
  <c r="AE24" i="3"/>
  <c r="K10" i="3" s="1"/>
  <c r="AE30" i="3"/>
  <c r="AE34" i="3"/>
  <c r="AE38" i="3"/>
  <c r="AE42" i="3"/>
  <c r="AE46" i="3"/>
  <c r="AE50" i="3"/>
  <c r="AE54" i="3"/>
  <c r="AE58" i="3"/>
  <c r="AE62" i="3"/>
  <c r="AE66" i="3"/>
  <c r="AE70" i="3"/>
  <c r="AE74" i="3"/>
  <c r="AE78" i="3"/>
  <c r="AE82" i="3"/>
  <c r="AE86" i="3"/>
  <c r="AE90" i="3"/>
  <c r="AE94" i="3"/>
  <c r="AE98" i="3"/>
  <c r="AE102" i="3"/>
  <c r="AE106" i="3"/>
  <c r="AE110" i="3"/>
  <c r="AE114" i="3"/>
  <c r="AE118" i="3"/>
  <c r="AE122" i="3"/>
  <c r="AE126" i="3"/>
  <c r="AE130" i="3"/>
  <c r="AE134" i="3"/>
  <c r="AE138" i="3"/>
  <c r="AE142" i="3"/>
  <c r="AE146" i="3"/>
  <c r="AE150" i="3"/>
  <c r="AE154" i="3"/>
  <c r="AE158" i="3"/>
  <c r="AE162" i="3"/>
  <c r="AE166" i="3"/>
  <c r="AE170" i="3"/>
  <c r="AE174" i="3"/>
  <c r="AE178" i="3"/>
  <c r="AE182" i="3"/>
  <c r="AE186" i="3"/>
  <c r="AE190" i="3"/>
  <c r="AE194" i="3"/>
  <c r="AE198" i="3"/>
  <c r="AE202" i="3"/>
  <c r="AE206" i="3"/>
  <c r="AE210" i="3"/>
  <c r="AE214" i="3"/>
  <c r="AE218" i="3"/>
  <c r="AE222" i="3"/>
  <c r="AE226" i="3"/>
  <c r="AE230" i="3"/>
  <c r="AE234" i="3"/>
  <c r="AE238" i="3"/>
  <c r="AE242" i="3"/>
  <c r="AE246" i="3"/>
  <c r="AE250" i="3"/>
  <c r="AE254" i="3"/>
  <c r="AE258" i="3"/>
  <c r="AE262" i="3"/>
  <c r="AE266" i="3"/>
  <c r="AE270" i="3"/>
  <c r="AE274" i="3"/>
  <c r="AE278" i="3"/>
  <c r="AE282" i="3"/>
  <c r="AE286" i="3"/>
  <c r="AE290" i="3"/>
  <c r="AE294" i="3"/>
  <c r="AE298" i="3"/>
  <c r="AE302" i="3"/>
  <c r="AE306" i="3"/>
  <c r="AE310" i="3"/>
  <c r="AE314" i="3"/>
  <c r="AE318" i="3"/>
  <c r="AE322" i="3"/>
  <c r="AE326" i="3"/>
  <c r="AE330" i="3"/>
  <c r="AE334" i="3"/>
  <c r="AE338" i="3"/>
  <c r="AE342" i="3"/>
  <c r="AE346" i="3"/>
  <c r="AE350" i="3"/>
  <c r="AE354" i="3"/>
  <c r="AE358" i="3"/>
  <c r="AE362" i="3"/>
  <c r="AE366" i="3"/>
  <c r="AE370" i="3"/>
  <c r="AE374" i="3"/>
  <c r="AE378" i="3"/>
  <c r="AE28" i="3"/>
  <c r="K14" i="3" s="1"/>
  <c r="AE26" i="3"/>
  <c r="K12" i="3" s="1"/>
  <c r="AE36" i="3"/>
  <c r="AE44" i="3"/>
  <c r="AE52" i="3"/>
  <c r="AE60" i="3"/>
  <c r="AE68" i="3"/>
  <c r="AE76" i="3"/>
  <c r="AE84" i="3"/>
  <c r="AE92" i="3"/>
  <c r="AE100" i="3"/>
  <c r="AE108" i="3"/>
  <c r="AE116" i="3"/>
  <c r="AE124" i="3"/>
  <c r="AE132" i="3"/>
  <c r="AE140" i="3"/>
  <c r="AE148" i="3"/>
  <c r="AE156" i="3"/>
  <c r="AE164" i="3"/>
  <c r="AE172" i="3"/>
  <c r="AE180" i="3"/>
  <c r="AE188" i="3"/>
  <c r="AE196" i="3"/>
  <c r="AE204" i="3"/>
  <c r="AE212" i="3"/>
  <c r="AE220" i="3"/>
  <c r="AE228" i="3"/>
  <c r="AE236" i="3"/>
  <c r="AE244" i="3"/>
  <c r="AE252" i="3"/>
  <c r="AE260" i="3"/>
  <c r="AE268" i="3"/>
  <c r="AE276" i="3"/>
  <c r="AE284" i="3"/>
  <c r="AE292" i="3"/>
  <c r="AE300" i="3"/>
  <c r="AE308" i="3"/>
  <c r="AE316" i="3"/>
  <c r="AE324" i="3"/>
  <c r="AE332" i="3"/>
  <c r="AE340" i="3"/>
  <c r="AE348" i="3"/>
  <c r="AE356" i="3"/>
  <c r="AE364" i="3"/>
  <c r="AE372" i="3"/>
  <c r="AE22" i="3"/>
  <c r="K8" i="3" s="1"/>
  <c r="AE32" i="3"/>
  <c r="AE40" i="3"/>
  <c r="AE48" i="3"/>
  <c r="AE56" i="3"/>
  <c r="AE64" i="3"/>
  <c r="AE72" i="3"/>
  <c r="AE80" i="3"/>
  <c r="AE88" i="3"/>
  <c r="AE96" i="3"/>
  <c r="AE104" i="3"/>
  <c r="AE112" i="3"/>
  <c r="AE120" i="3"/>
  <c r="AE128" i="3"/>
  <c r="AE136" i="3"/>
  <c r="AE144" i="3"/>
  <c r="AE152" i="3"/>
  <c r="AE160" i="3"/>
  <c r="AE168" i="3"/>
  <c r="AE176" i="3"/>
  <c r="AE184" i="3"/>
  <c r="AE192" i="3"/>
  <c r="AE200" i="3"/>
  <c r="AE208" i="3"/>
  <c r="AE216" i="3"/>
  <c r="AE224" i="3"/>
  <c r="AE232" i="3"/>
  <c r="AE240" i="3"/>
  <c r="AE248" i="3"/>
  <c r="AE256" i="3"/>
  <c r="AE264" i="3"/>
  <c r="AE272" i="3"/>
  <c r="AE280" i="3"/>
  <c r="AE288" i="3"/>
  <c r="AE296" i="3"/>
  <c r="AE304" i="3"/>
  <c r="AE312" i="3"/>
  <c r="AE320" i="3"/>
  <c r="AE328" i="3"/>
  <c r="AE336" i="3"/>
  <c r="AE344" i="3"/>
  <c r="AE352" i="3"/>
  <c r="AE360" i="3"/>
  <c r="AE368" i="3"/>
  <c r="AE376" i="3"/>
  <c r="AE27" i="3"/>
  <c r="K13" i="3" s="1"/>
  <c r="AE37" i="3"/>
  <c r="AE45" i="3"/>
  <c r="AE53" i="3"/>
  <c r="AE61" i="3"/>
  <c r="AE69" i="3"/>
  <c r="AE77" i="3"/>
  <c r="AE85" i="3"/>
  <c r="AE93" i="3"/>
  <c r="AE101" i="3"/>
  <c r="AE109" i="3"/>
  <c r="AE117" i="3"/>
  <c r="AE125" i="3"/>
  <c r="AE133" i="3"/>
  <c r="AE141" i="3"/>
  <c r="AE149" i="3"/>
  <c r="AE157" i="3"/>
  <c r="AE165" i="3"/>
  <c r="AE173" i="3"/>
  <c r="AE181" i="3"/>
  <c r="AE189" i="3"/>
  <c r="AE197" i="3"/>
  <c r="AE205" i="3"/>
  <c r="AE213" i="3"/>
  <c r="AE221" i="3"/>
  <c r="AE229" i="3"/>
  <c r="AE237" i="3"/>
  <c r="AE245" i="3"/>
  <c r="AE253" i="3"/>
  <c r="AE261" i="3"/>
  <c r="AE269" i="3"/>
  <c r="AE277" i="3"/>
  <c r="AE285" i="3"/>
  <c r="AE293" i="3"/>
  <c r="AE301" i="3"/>
  <c r="AE309" i="3"/>
  <c r="AE317" i="3"/>
  <c r="AE325" i="3"/>
  <c r="AE333" i="3"/>
  <c r="AE341" i="3"/>
  <c r="AE349" i="3"/>
  <c r="AE357" i="3"/>
  <c r="AE365" i="3"/>
  <c r="AE373" i="3"/>
  <c r="AE41" i="3"/>
  <c r="AE73" i="3"/>
  <c r="AE105" i="3"/>
  <c r="AE137" i="3"/>
  <c r="AE169" i="3"/>
  <c r="AE201" i="3"/>
  <c r="AE233" i="3"/>
  <c r="AE265" i="3"/>
  <c r="AE297" i="3"/>
  <c r="AE329" i="3"/>
  <c r="AE361" i="3"/>
  <c r="AE33" i="3"/>
  <c r="AE65" i="3"/>
  <c r="AE97" i="3"/>
  <c r="AE129" i="3"/>
  <c r="AE161" i="3"/>
  <c r="AE193" i="3"/>
  <c r="AE225" i="3"/>
  <c r="AE257" i="3"/>
  <c r="AE289" i="3"/>
  <c r="AE321" i="3"/>
  <c r="AE353" i="3"/>
  <c r="AE23" i="3"/>
  <c r="K9" i="3" s="1"/>
  <c r="AE57" i="3"/>
  <c r="AE89" i="3"/>
  <c r="AE121" i="3"/>
  <c r="AE153" i="3"/>
  <c r="AE185" i="3"/>
  <c r="AE217" i="3"/>
  <c r="AE249" i="3"/>
  <c r="AE281" i="3"/>
  <c r="AE313" i="3"/>
  <c r="AE345" i="3"/>
  <c r="AE377" i="3"/>
  <c r="AE49" i="3"/>
  <c r="AE81" i="3"/>
  <c r="AE113" i="3"/>
  <c r="AE145" i="3"/>
  <c r="AE177" i="3"/>
  <c r="AE209" i="3"/>
  <c r="AE241" i="3"/>
  <c r="AE273" i="3"/>
  <c r="AE305" i="3"/>
  <c r="AE337" i="3"/>
  <c r="AE369" i="3"/>
  <c r="AU25" i="3"/>
  <c r="Z11" i="3" s="1"/>
  <c r="AU27" i="3"/>
  <c r="Z13" i="3" s="1"/>
  <c r="AU28" i="3"/>
  <c r="Z14" i="3" s="1"/>
  <c r="AU22" i="3"/>
  <c r="Z8" i="3" s="1"/>
  <c r="AU61" i="3"/>
  <c r="AU125" i="3"/>
  <c r="AU189" i="3"/>
  <c r="AU253" i="3"/>
  <c r="AU317" i="3"/>
  <c r="AU60" i="3"/>
  <c r="AU124" i="3"/>
  <c r="AU188" i="3"/>
  <c r="AU252" i="3"/>
  <c r="AU316" i="3"/>
  <c r="AU333" i="3"/>
  <c r="AU85" i="3"/>
  <c r="AU149" i="3"/>
  <c r="AU213" i="3"/>
  <c r="AU277" i="3"/>
  <c r="AU341" i="3"/>
  <c r="AU36" i="3"/>
  <c r="AU100" i="3"/>
  <c r="AU164" i="3"/>
  <c r="AU228" i="3"/>
  <c r="AU292" i="3"/>
  <c r="AU356" i="3"/>
  <c r="AU49" i="3"/>
  <c r="AU81" i="3"/>
  <c r="AU113" i="3"/>
  <c r="AU145" i="3"/>
  <c r="AU177" i="3"/>
  <c r="AU209" i="3"/>
  <c r="AU241" i="3"/>
  <c r="AU273" i="3"/>
  <c r="AU305" i="3"/>
  <c r="AU337" i="3"/>
  <c r="AU369" i="3"/>
  <c r="AU48" i="3"/>
  <c r="AU80" i="3"/>
  <c r="AU112" i="3"/>
  <c r="AU144" i="3"/>
  <c r="AU176" i="3"/>
  <c r="AU208" i="3"/>
  <c r="AU240" i="3"/>
  <c r="AU272" i="3"/>
  <c r="AU304" i="3"/>
  <c r="AU336" i="3"/>
  <c r="AU368" i="3"/>
  <c r="AU39" i="3"/>
  <c r="AU55" i="3"/>
  <c r="AU71" i="3"/>
  <c r="AU87" i="3"/>
  <c r="AU103" i="3"/>
  <c r="AU119" i="3"/>
  <c r="AU135" i="3"/>
  <c r="AU151" i="3"/>
  <c r="AU167" i="3"/>
  <c r="AU183" i="3"/>
  <c r="AU199" i="3"/>
  <c r="AU215" i="3"/>
  <c r="AU231" i="3"/>
  <c r="AU247" i="3"/>
  <c r="AU263" i="3"/>
  <c r="AU279" i="3"/>
  <c r="AU295" i="3"/>
  <c r="AU311" i="3"/>
  <c r="AU327" i="3"/>
  <c r="AU343" i="3"/>
  <c r="AU359" i="3"/>
  <c r="AU375" i="3"/>
  <c r="AU38" i="3"/>
  <c r="AU54" i="3"/>
  <c r="AU70" i="3"/>
  <c r="AU86" i="3"/>
  <c r="AU102" i="3"/>
  <c r="AU118" i="3"/>
  <c r="AU134" i="3"/>
  <c r="AU150" i="3"/>
  <c r="AU166" i="3"/>
  <c r="AU182" i="3"/>
  <c r="AU198" i="3"/>
  <c r="AU214" i="3"/>
  <c r="AU230" i="3"/>
  <c r="AU246" i="3"/>
  <c r="AU262" i="3"/>
  <c r="AU278" i="3"/>
  <c r="AU294" i="3"/>
  <c r="AU310" i="3"/>
  <c r="AU326" i="3"/>
  <c r="AU342" i="3"/>
  <c r="AU358" i="3"/>
  <c r="AU374" i="3"/>
  <c r="AU29" i="3"/>
  <c r="Z15" i="3" s="1"/>
  <c r="AU21" i="3"/>
  <c r="Z7" i="3" s="1"/>
  <c r="AU45" i="3"/>
  <c r="AU109" i="3"/>
  <c r="AU173" i="3"/>
  <c r="AU237" i="3"/>
  <c r="AU301" i="3"/>
  <c r="AU44" i="3"/>
  <c r="AU108" i="3"/>
  <c r="AU172" i="3"/>
  <c r="AU236" i="3"/>
  <c r="AU300" i="3"/>
  <c r="AU364" i="3"/>
  <c r="AU69" i="3"/>
  <c r="AU133" i="3"/>
  <c r="AU197" i="3"/>
  <c r="AU261" i="3"/>
  <c r="AU325" i="3"/>
  <c r="AU20" i="3"/>
  <c r="Z6" i="3" s="1"/>
  <c r="AU84" i="3"/>
  <c r="AU148" i="3"/>
  <c r="AU212" i="3"/>
  <c r="AU276" i="3"/>
  <c r="AU340" i="3"/>
  <c r="AU41" i="3"/>
  <c r="AU73" i="3"/>
  <c r="AU105" i="3"/>
  <c r="AU137" i="3"/>
  <c r="AU169" i="3"/>
  <c r="AU201" i="3"/>
  <c r="AU233" i="3"/>
  <c r="AU265" i="3"/>
  <c r="AU297" i="3"/>
  <c r="AU329" i="3"/>
  <c r="AU361" i="3"/>
  <c r="AU40" i="3"/>
  <c r="AU72" i="3"/>
  <c r="AU104" i="3"/>
  <c r="AU136" i="3"/>
  <c r="AU168" i="3"/>
  <c r="AU200" i="3"/>
  <c r="AU232" i="3"/>
  <c r="AU264" i="3"/>
  <c r="AU296" i="3"/>
  <c r="AU328" i="3"/>
  <c r="AU360" i="3"/>
  <c r="AU35" i="3"/>
  <c r="AU51" i="3"/>
  <c r="AU67" i="3"/>
  <c r="AU83" i="3"/>
  <c r="AU99" i="3"/>
  <c r="AU115" i="3"/>
  <c r="AU131" i="3"/>
  <c r="AU147" i="3"/>
  <c r="AU163" i="3"/>
  <c r="AU179" i="3"/>
  <c r="AU195" i="3"/>
  <c r="AU211" i="3"/>
  <c r="AU227" i="3"/>
  <c r="AU243" i="3"/>
  <c r="AU259" i="3"/>
  <c r="AU275" i="3"/>
  <c r="AU291" i="3"/>
  <c r="AU307" i="3"/>
  <c r="AU323" i="3"/>
  <c r="AU339" i="3"/>
  <c r="AU355" i="3"/>
  <c r="AU371" i="3"/>
  <c r="AU34" i="3"/>
  <c r="AU50" i="3"/>
  <c r="AU66" i="3"/>
  <c r="AU82" i="3"/>
  <c r="AU98" i="3"/>
  <c r="AU114" i="3"/>
  <c r="AU130" i="3"/>
  <c r="AU146" i="3"/>
  <c r="AU162" i="3"/>
  <c r="AU178" i="3"/>
  <c r="AU194" i="3"/>
  <c r="AU210" i="3"/>
  <c r="AU226" i="3"/>
  <c r="AU242" i="3"/>
  <c r="AU258" i="3"/>
  <c r="AU274" i="3"/>
  <c r="AU290" i="3"/>
  <c r="AU306" i="3"/>
  <c r="AU322" i="3"/>
  <c r="AU338" i="3"/>
  <c r="AU354" i="3"/>
  <c r="AU370" i="3"/>
  <c r="AU26" i="3"/>
  <c r="Z12" i="3" s="1"/>
  <c r="AU157" i="3"/>
  <c r="AU285" i="3"/>
  <c r="AU92" i="3"/>
  <c r="AU220" i="3"/>
  <c r="AU348" i="3"/>
  <c r="AU117" i="3"/>
  <c r="AU245" i="3"/>
  <c r="AU373" i="3"/>
  <c r="AU132" i="3"/>
  <c r="AU260" i="3"/>
  <c r="AU33" i="3"/>
  <c r="AU97" i="3"/>
  <c r="AU161" i="3"/>
  <c r="AU225" i="3"/>
  <c r="AU289" i="3"/>
  <c r="AU353" i="3"/>
  <c r="AU64" i="3"/>
  <c r="AU128" i="3"/>
  <c r="AU192" i="3"/>
  <c r="AU256" i="3"/>
  <c r="AU320" i="3"/>
  <c r="AU31" i="3"/>
  <c r="AU63" i="3"/>
  <c r="AU95" i="3"/>
  <c r="AU127" i="3"/>
  <c r="AU159" i="3"/>
  <c r="AU191" i="3"/>
  <c r="AU223" i="3"/>
  <c r="AU255" i="3"/>
  <c r="AU287" i="3"/>
  <c r="AU319" i="3"/>
  <c r="AU351" i="3"/>
  <c r="AU30" i="3"/>
  <c r="AU62" i="3"/>
  <c r="AU94" i="3"/>
  <c r="AU126" i="3"/>
  <c r="AU158" i="3"/>
  <c r="AU190" i="3"/>
  <c r="AU222" i="3"/>
  <c r="AU254" i="3"/>
  <c r="AU286" i="3"/>
  <c r="AU318" i="3"/>
  <c r="AU350" i="3"/>
  <c r="AU24" i="3"/>
  <c r="Z10" i="3" s="1"/>
  <c r="AU23" i="3"/>
  <c r="Z9" i="3" s="1"/>
  <c r="AU141" i="3"/>
  <c r="AU269" i="3"/>
  <c r="AU76" i="3"/>
  <c r="AU204" i="3"/>
  <c r="AU332" i="3"/>
  <c r="AU101" i="3"/>
  <c r="AU229" i="3"/>
  <c r="AU357" i="3"/>
  <c r="AU116" i="3"/>
  <c r="AU244" i="3"/>
  <c r="AU372" i="3"/>
  <c r="AU89" i="3"/>
  <c r="AU153" i="3"/>
  <c r="AU217" i="3"/>
  <c r="AU281" i="3"/>
  <c r="AU345" i="3"/>
  <c r="AU56" i="3"/>
  <c r="AU120" i="3"/>
  <c r="AU184" i="3"/>
  <c r="AU248" i="3"/>
  <c r="AU312" i="3"/>
  <c r="AU376" i="3"/>
  <c r="AU59" i="3"/>
  <c r="AU91" i="3"/>
  <c r="AU123" i="3"/>
  <c r="AU155" i="3"/>
  <c r="AU187" i="3"/>
  <c r="AU219" i="3"/>
  <c r="AU251" i="3"/>
  <c r="AU283" i="3"/>
  <c r="AU315" i="3"/>
  <c r="AU347" i="3"/>
  <c r="AU379" i="3"/>
  <c r="AU58" i="3"/>
  <c r="AU90" i="3"/>
  <c r="AU122" i="3"/>
  <c r="AU154" i="3"/>
  <c r="AU186" i="3"/>
  <c r="AU218" i="3"/>
  <c r="AU250" i="3"/>
  <c r="AU282" i="3"/>
  <c r="AU314" i="3"/>
  <c r="AU346" i="3"/>
  <c r="AU378" i="3"/>
  <c r="AU77" i="3"/>
  <c r="AU349" i="3"/>
  <c r="AU268" i="3"/>
  <c r="AU165" i="3"/>
  <c r="AU52" i="3"/>
  <c r="AU308" i="3"/>
  <c r="AU121" i="3"/>
  <c r="AU249" i="3"/>
  <c r="AU377" i="3"/>
  <c r="AU152" i="3"/>
  <c r="AU280" i="3"/>
  <c r="AU43" i="3"/>
  <c r="AU107" i="3"/>
  <c r="AU171" i="3"/>
  <c r="AU235" i="3"/>
  <c r="AU299" i="3"/>
  <c r="AU363" i="3"/>
  <c r="AU74" i="3"/>
  <c r="AU138" i="3"/>
  <c r="AU202" i="3"/>
  <c r="AU266" i="3"/>
  <c r="AU330" i="3"/>
  <c r="AU221" i="3"/>
  <c r="AU156" i="3"/>
  <c r="AU53" i="3"/>
  <c r="AU309" i="3"/>
  <c r="AU196" i="3"/>
  <c r="AU65" i="3"/>
  <c r="AU193" i="3"/>
  <c r="AU321" i="3"/>
  <c r="AU96" i="3"/>
  <c r="AU224" i="3"/>
  <c r="AU352" i="3"/>
  <c r="AU79" i="3"/>
  <c r="AU143" i="3"/>
  <c r="AU207" i="3"/>
  <c r="AU271" i="3"/>
  <c r="AU335" i="3"/>
  <c r="AU46" i="3"/>
  <c r="AU110" i="3"/>
  <c r="AU174" i="3"/>
  <c r="AU238" i="3"/>
  <c r="AU302" i="3"/>
  <c r="AU366" i="3"/>
  <c r="AU205" i="3"/>
  <c r="AU140" i="3"/>
  <c r="AU37" i="3"/>
  <c r="AU293" i="3"/>
  <c r="AU180" i="3"/>
  <c r="AU57" i="3"/>
  <c r="AU185" i="3"/>
  <c r="AU313" i="3"/>
  <c r="AU88" i="3"/>
  <c r="AU216" i="3"/>
  <c r="AU344" i="3"/>
  <c r="AU75" i="3"/>
  <c r="AU139" i="3"/>
  <c r="AU203" i="3"/>
  <c r="AU267" i="3"/>
  <c r="AU331" i="3"/>
  <c r="AU42" i="3"/>
  <c r="AU106" i="3"/>
  <c r="AU170" i="3"/>
  <c r="AU234" i="3"/>
  <c r="AU298" i="3"/>
  <c r="AU362" i="3"/>
  <c r="AU93" i="3"/>
  <c r="AU365" i="3"/>
  <c r="AU284" i="3"/>
  <c r="AU181" i="3"/>
  <c r="AU68" i="3"/>
  <c r="AU324" i="3"/>
  <c r="AU129" i="3"/>
  <c r="AU257" i="3"/>
  <c r="AU32" i="3"/>
  <c r="AU160" i="3"/>
  <c r="AU288" i="3"/>
  <c r="AU47" i="3"/>
  <c r="AU111" i="3"/>
  <c r="AU175" i="3"/>
  <c r="AU239" i="3"/>
  <c r="AU303" i="3"/>
  <c r="AU367" i="3"/>
  <c r="AU78" i="3"/>
  <c r="AU142" i="3"/>
  <c r="AU206" i="3"/>
  <c r="AU270" i="3"/>
  <c r="AU334" i="3"/>
  <c r="X20" i="3"/>
  <c r="X23" i="3"/>
  <c r="D9" i="3" s="1"/>
  <c r="X27" i="3"/>
  <c r="D13" i="3" s="1"/>
  <c r="X31" i="3"/>
  <c r="X35" i="3"/>
  <c r="X39" i="3"/>
  <c r="X43" i="3"/>
  <c r="X47" i="3"/>
  <c r="X51" i="3"/>
  <c r="X55" i="3"/>
  <c r="X59" i="3"/>
  <c r="X63" i="3"/>
  <c r="X67" i="3"/>
  <c r="X71" i="3"/>
  <c r="X75" i="3"/>
  <c r="X79" i="3"/>
  <c r="X83" i="3"/>
  <c r="X87" i="3"/>
  <c r="X91" i="3"/>
  <c r="X95" i="3"/>
  <c r="X99" i="3"/>
  <c r="X103" i="3"/>
  <c r="X107" i="3"/>
  <c r="X111" i="3"/>
  <c r="X115" i="3"/>
  <c r="X119" i="3"/>
  <c r="X123" i="3"/>
  <c r="X127" i="3"/>
  <c r="X131" i="3"/>
  <c r="X135" i="3"/>
  <c r="X139" i="3"/>
  <c r="X143" i="3"/>
  <c r="X147" i="3"/>
  <c r="X151" i="3"/>
  <c r="X155" i="3"/>
  <c r="X159" i="3"/>
  <c r="X163" i="3"/>
  <c r="X167" i="3"/>
  <c r="X171" i="3"/>
  <c r="X175" i="3"/>
  <c r="X179" i="3"/>
  <c r="X183" i="3"/>
  <c r="X187" i="3"/>
  <c r="X191" i="3"/>
  <c r="X195" i="3"/>
  <c r="X199" i="3"/>
  <c r="X203" i="3"/>
  <c r="X207" i="3"/>
  <c r="X211" i="3"/>
  <c r="X215" i="3"/>
  <c r="X219" i="3"/>
  <c r="X223" i="3"/>
  <c r="X227" i="3"/>
  <c r="X231" i="3"/>
  <c r="X235" i="3"/>
  <c r="X239" i="3"/>
  <c r="X243" i="3"/>
  <c r="X247" i="3"/>
  <c r="X251" i="3"/>
  <c r="X255" i="3"/>
  <c r="X259" i="3"/>
  <c r="X263" i="3"/>
  <c r="X267" i="3"/>
  <c r="X271" i="3"/>
  <c r="X275" i="3"/>
  <c r="X279" i="3"/>
  <c r="X283" i="3"/>
  <c r="X287" i="3"/>
  <c r="X291" i="3"/>
  <c r="X295" i="3"/>
  <c r="X299" i="3"/>
  <c r="X303" i="3"/>
  <c r="X307" i="3"/>
  <c r="X311" i="3"/>
  <c r="X315" i="3"/>
  <c r="X319" i="3"/>
  <c r="X323" i="3"/>
  <c r="X327" i="3"/>
  <c r="X331" i="3"/>
  <c r="X335" i="3"/>
  <c r="X339" i="3"/>
  <c r="X343" i="3"/>
  <c r="X347" i="3"/>
  <c r="X351" i="3"/>
  <c r="X355" i="3"/>
  <c r="X359" i="3"/>
  <c r="X363" i="3"/>
  <c r="X367" i="3"/>
  <c r="X371" i="3"/>
  <c r="X375" i="3"/>
  <c r="X379" i="3"/>
  <c r="X28" i="3"/>
  <c r="D14" i="3" s="1"/>
  <c r="X33" i="3"/>
  <c r="X38" i="3"/>
  <c r="X44" i="3"/>
  <c r="X49" i="3"/>
  <c r="X54" i="3"/>
  <c r="X60" i="3"/>
  <c r="X65" i="3"/>
  <c r="X70" i="3"/>
  <c r="X76" i="3"/>
  <c r="X81" i="3"/>
  <c r="X86" i="3"/>
  <c r="X92" i="3"/>
  <c r="X97" i="3"/>
  <c r="X102" i="3"/>
  <c r="X108" i="3"/>
  <c r="X113" i="3"/>
  <c r="X118" i="3"/>
  <c r="X124" i="3"/>
  <c r="X129" i="3"/>
  <c r="X134" i="3"/>
  <c r="X140" i="3"/>
  <c r="X145" i="3"/>
  <c r="X150" i="3"/>
  <c r="X156" i="3"/>
  <c r="X161" i="3"/>
  <c r="X166" i="3"/>
  <c r="X172" i="3"/>
  <c r="X177" i="3"/>
  <c r="X182" i="3"/>
  <c r="X188" i="3"/>
  <c r="X193" i="3"/>
  <c r="X198" i="3"/>
  <c r="X204" i="3"/>
  <c r="X209" i="3"/>
  <c r="X214" i="3"/>
  <c r="X220" i="3"/>
  <c r="X225" i="3"/>
  <c r="X230" i="3"/>
  <c r="X236" i="3"/>
  <c r="X241" i="3"/>
  <c r="X246" i="3"/>
  <c r="X252" i="3"/>
  <c r="X257" i="3"/>
  <c r="X262" i="3"/>
  <c r="X268" i="3"/>
  <c r="X273" i="3"/>
  <c r="X278" i="3"/>
  <c r="X284" i="3"/>
  <c r="X289" i="3"/>
  <c r="X294" i="3"/>
  <c r="X300" i="3"/>
  <c r="X305" i="3"/>
  <c r="X310" i="3"/>
  <c r="X316" i="3"/>
  <c r="X321" i="3"/>
  <c r="X326" i="3"/>
  <c r="X332" i="3"/>
  <c r="X337" i="3"/>
  <c r="X342" i="3"/>
  <c r="X348" i="3"/>
  <c r="X353" i="3"/>
  <c r="X358" i="3"/>
  <c r="X364" i="3"/>
  <c r="X369" i="3"/>
  <c r="X374" i="3"/>
  <c r="X21" i="3"/>
  <c r="D7" i="3" s="1"/>
  <c r="X25" i="3"/>
  <c r="D11" i="3" s="1"/>
  <c r="X30" i="3"/>
  <c r="X36" i="3"/>
  <c r="X41" i="3"/>
  <c r="X46" i="3"/>
  <c r="X52" i="3"/>
  <c r="X57" i="3"/>
  <c r="X62" i="3"/>
  <c r="X68" i="3"/>
  <c r="X73" i="3"/>
  <c r="X78" i="3"/>
  <c r="X84" i="3"/>
  <c r="X89" i="3"/>
  <c r="X94" i="3"/>
  <c r="X100" i="3"/>
  <c r="X105" i="3"/>
  <c r="X110" i="3"/>
  <c r="X116" i="3"/>
  <c r="X121" i="3"/>
  <c r="X126" i="3"/>
  <c r="X132" i="3"/>
  <c r="X137" i="3"/>
  <c r="X142" i="3"/>
  <c r="X148" i="3"/>
  <c r="X153" i="3"/>
  <c r="X158" i="3"/>
  <c r="X164" i="3"/>
  <c r="X169" i="3"/>
  <c r="X174" i="3"/>
  <c r="X180" i="3"/>
  <c r="X185" i="3"/>
  <c r="X190" i="3"/>
  <c r="X196" i="3"/>
  <c r="X201" i="3"/>
  <c r="X206" i="3"/>
  <c r="X212" i="3"/>
  <c r="X217" i="3"/>
  <c r="X222" i="3"/>
  <c r="X228" i="3"/>
  <c r="X233" i="3"/>
  <c r="X238" i="3"/>
  <c r="X244" i="3"/>
  <c r="X249" i="3"/>
  <c r="X254" i="3"/>
  <c r="X260" i="3"/>
  <c r="X265" i="3"/>
  <c r="X270" i="3"/>
  <c r="X276" i="3"/>
  <c r="X281" i="3"/>
  <c r="X286" i="3"/>
  <c r="X292" i="3"/>
  <c r="X297" i="3"/>
  <c r="X302" i="3"/>
  <c r="X308" i="3"/>
  <c r="X313" i="3"/>
  <c r="X318" i="3"/>
  <c r="X324" i="3"/>
  <c r="X329" i="3"/>
  <c r="X334" i="3"/>
  <c r="X340" i="3"/>
  <c r="X345" i="3"/>
  <c r="X350" i="3"/>
  <c r="X356" i="3"/>
  <c r="X361" i="3"/>
  <c r="X366" i="3"/>
  <c r="X372" i="3"/>
  <c r="X377" i="3"/>
  <c r="X24" i="3"/>
  <c r="D10" i="3" s="1"/>
  <c r="X29" i="3"/>
  <c r="D15" i="3" s="1"/>
  <c r="X34" i="3"/>
  <c r="X40" i="3"/>
  <c r="X45" i="3"/>
  <c r="X50" i="3"/>
  <c r="X56" i="3"/>
  <c r="X61" i="3"/>
  <c r="X66" i="3"/>
  <c r="X72" i="3"/>
  <c r="X77" i="3"/>
  <c r="X82" i="3"/>
  <c r="X88" i="3"/>
  <c r="X93" i="3"/>
  <c r="X98" i="3"/>
  <c r="X104" i="3"/>
  <c r="X109" i="3"/>
  <c r="X114" i="3"/>
  <c r="X120" i="3"/>
  <c r="X125" i="3"/>
  <c r="X130" i="3"/>
  <c r="X136" i="3"/>
  <c r="X141" i="3"/>
  <c r="X146" i="3"/>
  <c r="X152" i="3"/>
  <c r="X157" i="3"/>
  <c r="X162" i="3"/>
  <c r="X168" i="3"/>
  <c r="X173" i="3"/>
  <c r="X178" i="3"/>
  <c r="X184" i="3"/>
  <c r="X189" i="3"/>
  <c r="X194" i="3"/>
  <c r="X200" i="3"/>
  <c r="X205" i="3"/>
  <c r="X210" i="3"/>
  <c r="X216" i="3"/>
  <c r="X221" i="3"/>
  <c r="X226" i="3"/>
  <c r="X232" i="3"/>
  <c r="X237" i="3"/>
  <c r="X242" i="3"/>
  <c r="X248" i="3"/>
  <c r="X253" i="3"/>
  <c r="X258" i="3"/>
  <c r="X264" i="3"/>
  <c r="X269" i="3"/>
  <c r="X274" i="3"/>
  <c r="X280" i="3"/>
  <c r="X285" i="3"/>
  <c r="X290" i="3"/>
  <c r="X296" i="3"/>
  <c r="X301" i="3"/>
  <c r="X306" i="3"/>
  <c r="X312" i="3"/>
  <c r="X317" i="3"/>
  <c r="X322" i="3"/>
  <c r="X328" i="3"/>
  <c r="X333" i="3"/>
  <c r="X338" i="3"/>
  <c r="X344" i="3"/>
  <c r="X349" i="3"/>
  <c r="X354" i="3"/>
  <c r="X360" i="3"/>
  <c r="X365" i="3"/>
  <c r="X370" i="3"/>
  <c r="X376" i="3"/>
  <c r="X37" i="3"/>
  <c r="X58" i="3"/>
  <c r="X80" i="3"/>
  <c r="X101" i="3"/>
  <c r="X122" i="3"/>
  <c r="X144" i="3"/>
  <c r="X165" i="3"/>
  <c r="X186" i="3"/>
  <c r="X208" i="3"/>
  <c r="X229" i="3"/>
  <c r="X250" i="3"/>
  <c r="X272" i="3"/>
  <c r="X293" i="3"/>
  <c r="X314" i="3"/>
  <c r="X336" i="3"/>
  <c r="X357" i="3"/>
  <c r="X378" i="3"/>
  <c r="X26" i="3"/>
  <c r="D12" i="3" s="1"/>
  <c r="X48" i="3"/>
  <c r="X69" i="3"/>
  <c r="X90" i="3"/>
  <c r="X112" i="3"/>
  <c r="X133" i="3"/>
  <c r="X154" i="3"/>
  <c r="X176" i="3"/>
  <c r="X197" i="3"/>
  <c r="X218" i="3"/>
  <c r="X240" i="3"/>
  <c r="X261" i="3"/>
  <c r="X282" i="3"/>
  <c r="X304" i="3"/>
  <c r="X325" i="3"/>
  <c r="X346" i="3"/>
  <c r="X368" i="3"/>
  <c r="X22" i="3"/>
  <c r="D8" i="3" s="1"/>
  <c r="X42" i="3"/>
  <c r="X64" i="3"/>
  <c r="X85" i="3"/>
  <c r="X106" i="3"/>
  <c r="X128" i="3"/>
  <c r="X149" i="3"/>
  <c r="X170" i="3"/>
  <c r="X192" i="3"/>
  <c r="X213" i="3"/>
  <c r="X234" i="3"/>
  <c r="X256" i="3"/>
  <c r="X277" i="3"/>
  <c r="X298" i="3"/>
  <c r="X320" i="3"/>
  <c r="X341" i="3"/>
  <c r="X362" i="3"/>
  <c r="X53" i="3"/>
  <c r="X138" i="3"/>
  <c r="X224" i="3"/>
  <c r="X309" i="3"/>
  <c r="X32" i="3"/>
  <c r="X117" i="3"/>
  <c r="X202" i="3"/>
  <c r="X288" i="3"/>
  <c r="X373" i="3"/>
  <c r="X96" i="3"/>
  <c r="X181" i="3"/>
  <c r="X266" i="3"/>
  <c r="X352" i="3"/>
  <c r="X74" i="3"/>
  <c r="X160" i="3"/>
  <c r="X245" i="3"/>
  <c r="X330" i="3"/>
  <c r="AL23" i="3"/>
  <c r="Q9" i="3" s="1"/>
  <c r="AL27" i="3"/>
  <c r="Q13" i="3" s="1"/>
  <c r="AL31" i="3"/>
  <c r="AL35" i="3"/>
  <c r="AL39" i="3"/>
  <c r="AL43" i="3"/>
  <c r="AL47" i="3"/>
  <c r="AL51" i="3"/>
  <c r="AL55" i="3"/>
  <c r="AL59" i="3"/>
  <c r="AL63" i="3"/>
  <c r="AL67" i="3"/>
  <c r="AL71" i="3"/>
  <c r="AL75" i="3"/>
  <c r="AL79" i="3"/>
  <c r="AL83" i="3"/>
  <c r="AL87" i="3"/>
  <c r="AL91" i="3"/>
  <c r="AL95" i="3"/>
  <c r="AL99" i="3"/>
  <c r="AL103" i="3"/>
  <c r="AL107" i="3"/>
  <c r="AL111" i="3"/>
  <c r="AL115" i="3"/>
  <c r="AL119" i="3"/>
  <c r="AL123" i="3"/>
  <c r="AL127" i="3"/>
  <c r="AL131" i="3"/>
  <c r="AL135" i="3"/>
  <c r="AL139" i="3"/>
  <c r="AL143" i="3"/>
  <c r="AL147" i="3"/>
  <c r="AL151" i="3"/>
  <c r="AL155" i="3"/>
  <c r="AL159" i="3"/>
  <c r="AL163" i="3"/>
  <c r="AL167" i="3"/>
  <c r="AL171" i="3"/>
  <c r="AL175" i="3"/>
  <c r="AL179" i="3"/>
  <c r="AL183" i="3"/>
  <c r="AL187" i="3"/>
  <c r="AL191" i="3"/>
  <c r="AL195" i="3"/>
  <c r="AL199" i="3"/>
  <c r="AL203" i="3"/>
  <c r="AL207" i="3"/>
  <c r="AL211" i="3"/>
  <c r="AL215" i="3"/>
  <c r="AL219" i="3"/>
  <c r="AL223" i="3"/>
  <c r="AL227" i="3"/>
  <c r="AL231" i="3"/>
  <c r="AL235" i="3"/>
  <c r="AL239" i="3"/>
  <c r="AL243" i="3"/>
  <c r="AL247" i="3"/>
  <c r="AL251" i="3"/>
  <c r="AL255" i="3"/>
  <c r="AL259" i="3"/>
  <c r="AL263" i="3"/>
  <c r="AL267" i="3"/>
  <c r="AL271" i="3"/>
  <c r="AL275" i="3"/>
  <c r="AL279" i="3"/>
  <c r="AL283" i="3"/>
  <c r="AL287" i="3"/>
  <c r="AL291" i="3"/>
  <c r="AL295" i="3"/>
  <c r="AL299" i="3"/>
  <c r="AL303" i="3"/>
  <c r="AL307" i="3"/>
  <c r="AL311" i="3"/>
  <c r="AL315" i="3"/>
  <c r="AL319" i="3"/>
  <c r="AL323" i="3"/>
  <c r="AL327" i="3"/>
  <c r="AL331" i="3"/>
  <c r="AL335" i="3"/>
  <c r="AL339" i="3"/>
  <c r="AL343" i="3"/>
  <c r="AL347" i="3"/>
  <c r="AL20" i="3"/>
  <c r="Q6" i="3" s="1"/>
  <c r="AL25" i="3"/>
  <c r="Q11" i="3" s="1"/>
  <c r="AL30" i="3"/>
  <c r="AL36" i="3"/>
  <c r="AL41" i="3"/>
  <c r="AL46" i="3"/>
  <c r="AL52" i="3"/>
  <c r="AL57" i="3"/>
  <c r="AL62" i="3"/>
  <c r="AL68" i="3"/>
  <c r="AL73" i="3"/>
  <c r="AL78" i="3"/>
  <c r="AL84" i="3"/>
  <c r="AL89" i="3"/>
  <c r="AL94" i="3"/>
  <c r="AL100" i="3"/>
  <c r="AL105" i="3"/>
  <c r="AL110" i="3"/>
  <c r="AL116" i="3"/>
  <c r="AL121" i="3"/>
  <c r="AL126" i="3"/>
  <c r="AL132" i="3"/>
  <c r="AL137" i="3"/>
  <c r="AL142" i="3"/>
  <c r="AL148" i="3"/>
  <c r="AL153" i="3"/>
  <c r="AL158" i="3"/>
  <c r="AL164" i="3"/>
  <c r="AL169" i="3"/>
  <c r="AL174" i="3"/>
  <c r="AL180" i="3"/>
  <c r="AL185" i="3"/>
  <c r="AL190" i="3"/>
  <c r="AL196" i="3"/>
  <c r="AL201" i="3"/>
  <c r="AL206" i="3"/>
  <c r="AL212" i="3"/>
  <c r="AL217" i="3"/>
  <c r="AL222" i="3"/>
  <c r="AL228" i="3"/>
  <c r="AL233" i="3"/>
  <c r="AL238" i="3"/>
  <c r="AL244" i="3"/>
  <c r="AL249" i="3"/>
  <c r="AL254" i="3"/>
  <c r="AL260" i="3"/>
  <c r="AL265" i="3"/>
  <c r="AL270" i="3"/>
  <c r="AL276" i="3"/>
  <c r="AL281" i="3"/>
  <c r="AL286" i="3"/>
  <c r="AL292" i="3"/>
  <c r="AL297" i="3"/>
  <c r="AL302" i="3"/>
  <c r="AL308" i="3"/>
  <c r="AL313" i="3"/>
  <c r="AL318" i="3"/>
  <c r="AL324" i="3"/>
  <c r="AL329" i="3"/>
  <c r="AL334" i="3"/>
  <c r="AL340" i="3"/>
  <c r="AL345" i="3"/>
  <c r="AL350" i="3"/>
  <c r="AL354" i="3"/>
  <c r="AL358" i="3"/>
  <c r="AL362" i="3"/>
  <c r="AL366" i="3"/>
  <c r="AL370" i="3"/>
  <c r="AL374" i="3"/>
  <c r="AL378" i="3"/>
  <c r="AL22" i="3"/>
  <c r="Q8" i="3" s="1"/>
  <c r="AL28" i="3"/>
  <c r="Q14" i="3" s="1"/>
  <c r="AL33" i="3"/>
  <c r="AL38" i="3"/>
  <c r="AL44" i="3"/>
  <c r="AL49" i="3"/>
  <c r="AL54" i="3"/>
  <c r="AL60" i="3"/>
  <c r="AL65" i="3"/>
  <c r="AL70" i="3"/>
  <c r="AL76" i="3"/>
  <c r="AL81" i="3"/>
  <c r="AL86" i="3"/>
  <c r="AL92" i="3"/>
  <c r="AL97" i="3"/>
  <c r="AL102" i="3"/>
  <c r="AL108" i="3"/>
  <c r="AL113" i="3"/>
  <c r="AL118" i="3"/>
  <c r="AL124" i="3"/>
  <c r="AL129" i="3"/>
  <c r="AL134" i="3"/>
  <c r="AL140" i="3"/>
  <c r="AL145" i="3"/>
  <c r="AL150" i="3"/>
  <c r="AL156" i="3"/>
  <c r="AL161" i="3"/>
  <c r="AL166" i="3"/>
  <c r="AL172" i="3"/>
  <c r="AL177" i="3"/>
  <c r="AL182" i="3"/>
  <c r="AL188" i="3"/>
  <c r="AL193" i="3"/>
  <c r="AL198" i="3"/>
  <c r="AL204" i="3"/>
  <c r="AL209" i="3"/>
  <c r="AL214" i="3"/>
  <c r="AL220" i="3"/>
  <c r="AL225" i="3"/>
  <c r="AL230" i="3"/>
  <c r="AL236" i="3"/>
  <c r="AL241" i="3"/>
  <c r="AL246" i="3"/>
  <c r="AL252" i="3"/>
  <c r="AL257" i="3"/>
  <c r="AL262" i="3"/>
  <c r="AL268" i="3"/>
  <c r="AL273" i="3"/>
  <c r="AL278" i="3"/>
  <c r="AL284" i="3"/>
  <c r="AL289" i="3"/>
  <c r="AL294" i="3"/>
  <c r="AL300" i="3"/>
  <c r="AL305" i="3"/>
  <c r="AL310" i="3"/>
  <c r="AL316" i="3"/>
  <c r="AL321" i="3"/>
  <c r="AL326" i="3"/>
  <c r="AL332" i="3"/>
  <c r="AL337" i="3"/>
  <c r="AL342" i="3"/>
  <c r="AL348" i="3"/>
  <c r="AL352" i="3"/>
  <c r="AL356" i="3"/>
  <c r="AL360" i="3"/>
  <c r="AL364" i="3"/>
  <c r="AL368" i="3"/>
  <c r="AL372" i="3"/>
  <c r="AL376" i="3"/>
  <c r="AL21" i="3"/>
  <c r="Q7" i="3" s="1"/>
  <c r="AL26" i="3"/>
  <c r="Q12" i="3" s="1"/>
  <c r="AL32" i="3"/>
  <c r="AL37" i="3"/>
  <c r="AL42" i="3"/>
  <c r="AL48" i="3"/>
  <c r="AL53" i="3"/>
  <c r="AL58" i="3"/>
  <c r="AL64" i="3"/>
  <c r="AL69" i="3"/>
  <c r="AL74" i="3"/>
  <c r="AL80" i="3"/>
  <c r="AL85" i="3"/>
  <c r="AL90" i="3"/>
  <c r="AL96" i="3"/>
  <c r="AL101" i="3"/>
  <c r="AL106" i="3"/>
  <c r="AL112" i="3"/>
  <c r="AL117" i="3"/>
  <c r="AL122" i="3"/>
  <c r="AL128" i="3"/>
  <c r="AL133" i="3"/>
  <c r="AL138" i="3"/>
  <c r="AL144" i="3"/>
  <c r="AL149" i="3"/>
  <c r="AL154" i="3"/>
  <c r="AL160" i="3"/>
  <c r="AL165" i="3"/>
  <c r="AL170" i="3"/>
  <c r="AL176" i="3"/>
  <c r="AL181" i="3"/>
  <c r="AL186" i="3"/>
  <c r="AL192" i="3"/>
  <c r="AL197" i="3"/>
  <c r="AL202" i="3"/>
  <c r="AL208" i="3"/>
  <c r="AL213" i="3"/>
  <c r="AL218" i="3"/>
  <c r="AL224" i="3"/>
  <c r="AL229" i="3"/>
  <c r="AL234" i="3"/>
  <c r="AL240" i="3"/>
  <c r="AL245" i="3"/>
  <c r="AL250" i="3"/>
  <c r="AL256" i="3"/>
  <c r="AL261" i="3"/>
  <c r="AL266" i="3"/>
  <c r="AL272" i="3"/>
  <c r="AL277" i="3"/>
  <c r="AL282" i="3"/>
  <c r="AL288" i="3"/>
  <c r="AL293" i="3"/>
  <c r="AL298" i="3"/>
  <c r="AL304" i="3"/>
  <c r="AL309" i="3"/>
  <c r="AL314" i="3"/>
  <c r="AL320" i="3"/>
  <c r="AL325" i="3"/>
  <c r="AL330" i="3"/>
  <c r="AL336" i="3"/>
  <c r="AL341" i="3"/>
  <c r="AL346" i="3"/>
  <c r="AL351" i="3"/>
  <c r="AL355" i="3"/>
  <c r="AL359" i="3"/>
  <c r="AL363" i="3"/>
  <c r="AL367" i="3"/>
  <c r="AL371" i="3"/>
  <c r="AL375" i="3"/>
  <c r="AL40" i="3"/>
  <c r="AL61" i="3"/>
  <c r="AL82" i="3"/>
  <c r="AL104" i="3"/>
  <c r="AL125" i="3"/>
  <c r="AL146" i="3"/>
  <c r="AL168" i="3"/>
  <c r="AL189" i="3"/>
  <c r="AL210" i="3"/>
  <c r="AL232" i="3"/>
  <c r="AL253" i="3"/>
  <c r="AL274" i="3"/>
  <c r="AL296" i="3"/>
  <c r="AL317" i="3"/>
  <c r="AL338" i="3"/>
  <c r="AL357" i="3"/>
  <c r="AL373" i="3"/>
  <c r="AL29" i="3"/>
  <c r="Q15" i="3" s="1"/>
  <c r="AL50" i="3"/>
  <c r="AL72" i="3"/>
  <c r="AL93" i="3"/>
  <c r="AL114" i="3"/>
  <c r="AL136" i="3"/>
  <c r="AL157" i="3"/>
  <c r="AL178" i="3"/>
  <c r="AL200" i="3"/>
  <c r="AL221" i="3"/>
  <c r="AL242" i="3"/>
  <c r="AL264" i="3"/>
  <c r="AL285" i="3"/>
  <c r="AL306" i="3"/>
  <c r="AL328" i="3"/>
  <c r="AL349" i="3"/>
  <c r="AL365" i="3"/>
  <c r="AL24" i="3"/>
  <c r="Q10" i="3" s="1"/>
  <c r="AL45" i="3"/>
  <c r="AL66" i="3"/>
  <c r="AL88" i="3"/>
  <c r="AL109" i="3"/>
  <c r="AL130" i="3"/>
  <c r="AL152" i="3"/>
  <c r="AL173" i="3"/>
  <c r="AL194" i="3"/>
  <c r="AL216" i="3"/>
  <c r="AL237" i="3"/>
  <c r="AL258" i="3"/>
  <c r="AL280" i="3"/>
  <c r="AL301" i="3"/>
  <c r="AL322" i="3"/>
  <c r="AL344" i="3"/>
  <c r="AL361" i="3"/>
  <c r="AL377" i="3"/>
  <c r="AL34" i="3"/>
  <c r="AL120" i="3"/>
  <c r="AL205" i="3"/>
  <c r="AL290" i="3"/>
  <c r="AL369" i="3"/>
  <c r="AL98" i="3"/>
  <c r="AL184" i="3"/>
  <c r="AL269" i="3"/>
  <c r="AL353" i="3"/>
  <c r="AL77" i="3"/>
  <c r="AL162" i="3"/>
  <c r="AL248" i="3"/>
  <c r="AL333" i="3"/>
  <c r="AL379" i="3"/>
  <c r="AL56" i="3"/>
  <c r="AL141" i="3"/>
  <c r="AL226" i="3"/>
  <c r="AL312" i="3"/>
  <c r="AV28" i="3"/>
  <c r="AA14" i="3" s="1"/>
  <c r="AV23" i="3"/>
  <c r="AA9" i="3" s="1"/>
  <c r="AV22" i="3"/>
  <c r="AA8" i="3" s="1"/>
  <c r="AV20" i="3"/>
  <c r="AA6" i="3" s="1"/>
  <c r="AV84" i="3"/>
  <c r="AV148" i="3"/>
  <c r="AV212" i="3"/>
  <c r="AV276" i="3"/>
  <c r="AV340" i="3"/>
  <c r="AV51" i="3"/>
  <c r="AV115" i="3"/>
  <c r="AV179" i="3"/>
  <c r="AV243" i="3"/>
  <c r="AV307" i="3"/>
  <c r="AV371" i="3"/>
  <c r="AV92" i="3"/>
  <c r="AV156" i="3"/>
  <c r="AV220" i="3"/>
  <c r="AV284" i="3"/>
  <c r="AV348" i="3"/>
  <c r="AV75" i="3"/>
  <c r="AV139" i="3"/>
  <c r="AV203" i="3"/>
  <c r="AV267" i="3"/>
  <c r="AV331" i="3"/>
  <c r="AV32" i="3"/>
  <c r="AV64" i="3"/>
  <c r="AV96" i="3"/>
  <c r="AV128" i="3"/>
  <c r="AV160" i="3"/>
  <c r="AV192" i="3"/>
  <c r="AV224" i="3"/>
  <c r="AV27" i="3"/>
  <c r="AA13" i="3" s="1"/>
  <c r="AV25" i="3"/>
  <c r="AA11" i="3" s="1"/>
  <c r="AV26" i="3"/>
  <c r="AA12" i="3" s="1"/>
  <c r="AV68" i="3"/>
  <c r="AV132" i="3"/>
  <c r="AV196" i="3"/>
  <c r="AV260" i="3"/>
  <c r="AV324" i="3"/>
  <c r="AV35" i="3"/>
  <c r="AV99" i="3"/>
  <c r="AV163" i="3"/>
  <c r="AV227" i="3"/>
  <c r="AV291" i="3"/>
  <c r="AV355" i="3"/>
  <c r="AV76" i="3"/>
  <c r="AV140" i="3"/>
  <c r="AV204" i="3"/>
  <c r="AV268" i="3"/>
  <c r="AV332" i="3"/>
  <c r="AV59" i="3"/>
  <c r="AV123" i="3"/>
  <c r="AV187" i="3"/>
  <c r="AV251" i="3"/>
  <c r="AV315" i="3"/>
  <c r="AV379" i="3"/>
  <c r="AV56" i="3"/>
  <c r="AV88" i="3"/>
  <c r="AV120" i="3"/>
  <c r="AV152" i="3"/>
  <c r="AV184" i="3"/>
  <c r="AV216" i="3"/>
  <c r="AV248" i="3"/>
  <c r="AV29" i="3"/>
  <c r="AA15" i="3" s="1"/>
  <c r="AV24" i="3"/>
  <c r="AA10" i="3" s="1"/>
  <c r="AV52" i="3"/>
  <c r="AV180" i="3"/>
  <c r="AV308" i="3"/>
  <c r="AV83" i="3"/>
  <c r="AV211" i="3"/>
  <c r="AV339" i="3"/>
  <c r="AV124" i="3"/>
  <c r="AV252" i="3"/>
  <c r="AV43" i="3"/>
  <c r="AV171" i="3"/>
  <c r="AV299" i="3"/>
  <c r="AV48" i="3"/>
  <c r="AV112" i="3"/>
  <c r="AV176" i="3"/>
  <c r="AV240" i="3"/>
  <c r="AV280" i="3"/>
  <c r="AV312" i="3"/>
  <c r="AV344" i="3"/>
  <c r="AV376" i="3"/>
  <c r="AV55" i="3"/>
  <c r="AV87" i="3"/>
  <c r="AV119" i="3"/>
  <c r="AV151" i="3"/>
  <c r="AV183" i="3"/>
  <c r="AV215" i="3"/>
  <c r="AV247" i="3"/>
  <c r="AV279" i="3"/>
  <c r="AV311" i="3"/>
  <c r="AV343" i="3"/>
  <c r="AV375" i="3"/>
  <c r="AV42" i="3"/>
  <c r="AV58" i="3"/>
  <c r="AV74" i="3"/>
  <c r="AV90" i="3"/>
  <c r="AV106" i="3"/>
  <c r="AV122" i="3"/>
  <c r="AV138" i="3"/>
  <c r="AV154" i="3"/>
  <c r="AV170" i="3"/>
  <c r="AV186" i="3"/>
  <c r="AV202" i="3"/>
  <c r="AV218" i="3"/>
  <c r="AV234" i="3"/>
  <c r="AV250" i="3"/>
  <c r="AV266" i="3"/>
  <c r="AV282" i="3"/>
  <c r="AV298" i="3"/>
  <c r="AV314" i="3"/>
  <c r="AV330" i="3"/>
  <c r="AV346" i="3"/>
  <c r="AV362" i="3"/>
  <c r="AV378" i="3"/>
  <c r="AV45" i="3"/>
  <c r="AV61" i="3"/>
  <c r="AV77" i="3"/>
  <c r="AV93" i="3"/>
  <c r="AV109" i="3"/>
  <c r="AV125" i="3"/>
  <c r="AV141" i="3"/>
  <c r="AV157" i="3"/>
  <c r="AV173" i="3"/>
  <c r="AV189" i="3"/>
  <c r="AV205" i="3"/>
  <c r="AV221" i="3"/>
  <c r="AV237" i="3"/>
  <c r="AV253" i="3"/>
  <c r="AV269" i="3"/>
  <c r="AV285" i="3"/>
  <c r="AV301" i="3"/>
  <c r="AV317" i="3"/>
  <c r="AV333" i="3"/>
  <c r="AV349" i="3"/>
  <c r="AV365" i="3"/>
  <c r="AV36" i="3"/>
  <c r="AV164" i="3"/>
  <c r="AV292" i="3"/>
  <c r="AV67" i="3"/>
  <c r="AV195" i="3"/>
  <c r="AV323" i="3"/>
  <c r="AV108" i="3"/>
  <c r="AV236" i="3"/>
  <c r="AV364" i="3"/>
  <c r="AV155" i="3"/>
  <c r="AV283" i="3"/>
  <c r="AV40" i="3"/>
  <c r="AV104" i="3"/>
  <c r="AV168" i="3"/>
  <c r="AV232" i="3"/>
  <c r="AV272" i="3"/>
  <c r="AV304" i="3"/>
  <c r="AV336" i="3"/>
  <c r="AV368" i="3"/>
  <c r="AV47" i="3"/>
  <c r="AV79" i="3"/>
  <c r="AV111" i="3"/>
  <c r="AV143" i="3"/>
  <c r="AV175" i="3"/>
  <c r="AV207" i="3"/>
  <c r="AV239" i="3"/>
  <c r="AV271" i="3"/>
  <c r="AV303" i="3"/>
  <c r="AV335" i="3"/>
  <c r="AV367" i="3"/>
  <c r="AV38" i="3"/>
  <c r="AV54" i="3"/>
  <c r="AV70" i="3"/>
  <c r="AV86" i="3"/>
  <c r="AV102" i="3"/>
  <c r="AV118" i="3"/>
  <c r="AV134" i="3"/>
  <c r="AV150" i="3"/>
  <c r="AV166" i="3"/>
  <c r="AV182" i="3"/>
  <c r="AV198" i="3"/>
  <c r="AV214" i="3"/>
  <c r="AV230" i="3"/>
  <c r="AV246" i="3"/>
  <c r="AV262" i="3"/>
  <c r="AV278" i="3"/>
  <c r="AV294" i="3"/>
  <c r="AV310" i="3"/>
  <c r="AV326" i="3"/>
  <c r="AV342" i="3"/>
  <c r="AV358" i="3"/>
  <c r="AV374" i="3"/>
  <c r="AV41" i="3"/>
  <c r="AV57" i="3"/>
  <c r="AV73" i="3"/>
  <c r="AV89" i="3"/>
  <c r="AV105" i="3"/>
  <c r="AV121" i="3"/>
  <c r="AV137" i="3"/>
  <c r="AV153" i="3"/>
  <c r="AV169" i="3"/>
  <c r="AV185" i="3"/>
  <c r="AV201" i="3"/>
  <c r="AV217" i="3"/>
  <c r="AV233" i="3"/>
  <c r="AV249" i="3"/>
  <c r="AV265" i="3"/>
  <c r="AV281" i="3"/>
  <c r="AV297" i="3"/>
  <c r="AV313" i="3"/>
  <c r="AV329" i="3"/>
  <c r="AV345" i="3"/>
  <c r="AV361" i="3"/>
  <c r="AV377" i="3"/>
  <c r="AV21" i="3"/>
  <c r="AA7" i="3" s="1"/>
  <c r="AV228" i="3"/>
  <c r="AV131" i="3"/>
  <c r="AV44" i="3"/>
  <c r="AV300" i="3"/>
  <c r="AV219" i="3"/>
  <c r="AV72" i="3"/>
  <c r="AV200" i="3"/>
  <c r="AV288" i="3"/>
  <c r="AV352" i="3"/>
  <c r="AV63" i="3"/>
  <c r="AV127" i="3"/>
  <c r="AV191" i="3"/>
  <c r="AV255" i="3"/>
  <c r="AV319" i="3"/>
  <c r="AV30" i="3"/>
  <c r="AV62" i="3"/>
  <c r="AV94" i="3"/>
  <c r="AV126" i="3"/>
  <c r="AV158" i="3"/>
  <c r="AV190" i="3"/>
  <c r="AV222" i="3"/>
  <c r="AV254" i="3"/>
  <c r="AV286" i="3"/>
  <c r="AV318" i="3"/>
  <c r="AV350" i="3"/>
  <c r="AV33" i="3"/>
  <c r="AV65" i="3"/>
  <c r="AV97" i="3"/>
  <c r="AV129" i="3"/>
  <c r="AV161" i="3"/>
  <c r="AV193" i="3"/>
  <c r="AV225" i="3"/>
  <c r="AV257" i="3"/>
  <c r="AV289" i="3"/>
  <c r="AV321" i="3"/>
  <c r="AV353" i="3"/>
  <c r="AV116" i="3"/>
  <c r="AV372" i="3"/>
  <c r="AV275" i="3"/>
  <c r="AV188" i="3"/>
  <c r="AV107" i="3"/>
  <c r="AV363" i="3"/>
  <c r="AV144" i="3"/>
  <c r="AV264" i="3"/>
  <c r="AV328" i="3"/>
  <c r="AV39" i="3"/>
  <c r="AV103" i="3"/>
  <c r="AV167" i="3"/>
  <c r="AV231" i="3"/>
  <c r="AV295" i="3"/>
  <c r="AV359" i="3"/>
  <c r="AV50" i="3"/>
  <c r="AV82" i="3"/>
  <c r="AV114" i="3"/>
  <c r="AV146" i="3"/>
  <c r="AV178" i="3"/>
  <c r="AV210" i="3"/>
  <c r="AV242" i="3"/>
  <c r="AV274" i="3"/>
  <c r="AV306" i="3"/>
  <c r="AV338" i="3"/>
  <c r="AV370" i="3"/>
  <c r="AV53" i="3"/>
  <c r="AV85" i="3"/>
  <c r="AV117" i="3"/>
  <c r="AV149" i="3"/>
  <c r="AV181" i="3"/>
  <c r="AV213" i="3"/>
  <c r="AV245" i="3"/>
  <c r="AV277" i="3"/>
  <c r="AV309" i="3"/>
  <c r="AV341" i="3"/>
  <c r="AV373" i="3"/>
  <c r="AV100" i="3"/>
  <c r="AV356" i="3"/>
  <c r="AV259" i="3"/>
  <c r="AV172" i="3"/>
  <c r="AV91" i="3"/>
  <c r="AV347" i="3"/>
  <c r="AV136" i="3"/>
  <c r="AV256" i="3"/>
  <c r="AV320" i="3"/>
  <c r="AV31" i="3"/>
  <c r="AV95" i="3"/>
  <c r="AV159" i="3"/>
  <c r="AV223" i="3"/>
  <c r="AV287" i="3"/>
  <c r="AV351" i="3"/>
  <c r="AV46" i="3"/>
  <c r="AV78" i="3"/>
  <c r="AV110" i="3"/>
  <c r="AV142" i="3"/>
  <c r="AV174" i="3"/>
  <c r="AV206" i="3"/>
  <c r="AV238" i="3"/>
  <c r="AV270" i="3"/>
  <c r="AV302" i="3"/>
  <c r="AV334" i="3"/>
  <c r="AV366" i="3"/>
  <c r="AV49" i="3"/>
  <c r="AV81" i="3"/>
  <c r="AV113" i="3"/>
  <c r="AV145" i="3"/>
  <c r="AV177" i="3"/>
  <c r="AV209" i="3"/>
  <c r="AV241" i="3"/>
  <c r="AV273" i="3"/>
  <c r="AV305" i="3"/>
  <c r="AV337" i="3"/>
  <c r="AV369" i="3"/>
  <c r="AV244" i="3"/>
  <c r="AV147" i="3"/>
  <c r="AV60" i="3"/>
  <c r="AV316" i="3"/>
  <c r="AV235" i="3"/>
  <c r="AV80" i="3"/>
  <c r="AV208" i="3"/>
  <c r="AV296" i="3"/>
  <c r="AV360" i="3"/>
  <c r="AV71" i="3"/>
  <c r="AV135" i="3"/>
  <c r="AV199" i="3"/>
  <c r="AV263" i="3"/>
  <c r="AV327" i="3"/>
  <c r="AV34" i="3"/>
  <c r="AV66" i="3"/>
  <c r="AV98" i="3"/>
  <c r="AV130" i="3"/>
  <c r="AV162" i="3"/>
  <c r="AV194" i="3"/>
  <c r="AV226" i="3"/>
  <c r="AV258" i="3"/>
  <c r="AV290" i="3"/>
  <c r="AV322" i="3"/>
  <c r="AV354" i="3"/>
  <c r="AV37" i="3"/>
  <c r="AV69" i="3"/>
  <c r="AV101" i="3"/>
  <c r="AV133" i="3"/>
  <c r="AV165" i="3"/>
  <c r="AV197" i="3"/>
  <c r="AV229" i="3"/>
  <c r="AV261" i="3"/>
  <c r="AV293" i="3"/>
  <c r="AV325" i="3"/>
  <c r="AV357" i="3"/>
  <c r="AN28" i="3"/>
  <c r="S14" i="3" s="1"/>
  <c r="AN23" i="3"/>
  <c r="S9" i="3" s="1"/>
  <c r="AN21" i="3"/>
  <c r="S7" i="3" s="1"/>
  <c r="AN29" i="3"/>
  <c r="S15" i="3" s="1"/>
  <c r="AN33" i="3"/>
  <c r="AN37" i="3"/>
  <c r="AN41" i="3"/>
  <c r="AN45" i="3"/>
  <c r="AN49" i="3"/>
  <c r="AN53" i="3"/>
  <c r="AN57" i="3"/>
  <c r="AN61" i="3"/>
  <c r="AN65" i="3"/>
  <c r="AN69" i="3"/>
  <c r="AN73" i="3"/>
  <c r="AN77" i="3"/>
  <c r="AN81" i="3"/>
  <c r="AN85" i="3"/>
  <c r="AN89" i="3"/>
  <c r="AN93" i="3"/>
  <c r="AN97" i="3"/>
  <c r="AN101" i="3"/>
  <c r="AN105" i="3"/>
  <c r="AN109" i="3"/>
  <c r="AN113" i="3"/>
  <c r="AN117" i="3"/>
  <c r="AN20" i="3"/>
  <c r="S6" i="3" s="1"/>
  <c r="AN26" i="3"/>
  <c r="S12" i="3" s="1"/>
  <c r="AN32" i="3"/>
  <c r="AN36" i="3"/>
  <c r="AN40" i="3"/>
  <c r="AN44" i="3"/>
  <c r="AN48" i="3"/>
  <c r="AN52" i="3"/>
  <c r="AN56" i="3"/>
  <c r="AN60" i="3"/>
  <c r="AN64" i="3"/>
  <c r="AN68" i="3"/>
  <c r="AN72" i="3"/>
  <c r="AN76" i="3"/>
  <c r="AN80" i="3"/>
  <c r="AN84" i="3"/>
  <c r="AN88" i="3"/>
  <c r="AN92" i="3"/>
  <c r="AN96" i="3"/>
  <c r="AN100" i="3"/>
  <c r="AN104" i="3"/>
  <c r="AN108" i="3"/>
  <c r="AN112" i="3"/>
  <c r="AN116" i="3"/>
  <c r="AN22" i="3"/>
  <c r="S8" i="3" s="1"/>
  <c r="AN34" i="3"/>
  <c r="AN42" i="3"/>
  <c r="AN50" i="3"/>
  <c r="AN58" i="3"/>
  <c r="AN66" i="3"/>
  <c r="AN74" i="3"/>
  <c r="AN82" i="3"/>
  <c r="AN90" i="3"/>
  <c r="AN98" i="3"/>
  <c r="AN106" i="3"/>
  <c r="AN114" i="3"/>
  <c r="AN27" i="3"/>
  <c r="S13" i="3" s="1"/>
  <c r="AN31" i="3"/>
  <c r="AN39" i="3"/>
  <c r="AN47" i="3"/>
  <c r="AN55" i="3"/>
  <c r="AN63" i="3"/>
  <c r="AN71" i="3"/>
  <c r="AN79" i="3"/>
  <c r="AN87" i="3"/>
  <c r="AN95" i="3"/>
  <c r="AN103" i="3"/>
  <c r="AN111" i="3"/>
  <c r="AN119" i="3"/>
  <c r="AN146" i="3"/>
  <c r="AN178" i="3"/>
  <c r="AN210" i="3"/>
  <c r="AN242" i="3"/>
  <c r="AN274" i="3"/>
  <c r="AN306" i="3"/>
  <c r="AN340" i="3"/>
  <c r="AN121" i="3"/>
  <c r="AN153" i="3"/>
  <c r="AN185" i="3"/>
  <c r="AN217" i="3"/>
  <c r="AN249" i="3"/>
  <c r="AN281" i="3"/>
  <c r="AN313" i="3"/>
  <c r="AN349" i="3"/>
  <c r="AN134" i="3"/>
  <c r="AN166" i="3"/>
  <c r="AN198" i="3"/>
  <c r="AN230" i="3"/>
  <c r="AN262" i="3"/>
  <c r="AN294" i="3"/>
  <c r="AN326" i="3"/>
  <c r="AN367" i="3"/>
  <c r="AN141" i="3"/>
  <c r="AN173" i="3"/>
  <c r="AN205" i="3"/>
  <c r="AN237" i="3"/>
  <c r="AN269" i="3"/>
  <c r="AN301" i="3"/>
  <c r="AN333" i="3"/>
  <c r="AN376" i="3"/>
  <c r="AN132" i="3"/>
  <c r="AN148" i="3"/>
  <c r="AN164" i="3"/>
  <c r="AN180" i="3"/>
  <c r="AN196" i="3"/>
  <c r="AN212" i="3"/>
  <c r="AN228" i="3"/>
  <c r="AN244" i="3"/>
  <c r="AN260" i="3"/>
  <c r="AN276" i="3"/>
  <c r="AN292" i="3"/>
  <c r="AN308" i="3"/>
  <c r="AN324" i="3"/>
  <c r="AN343" i="3"/>
  <c r="AN364" i="3"/>
  <c r="AN127" i="3"/>
  <c r="AN143" i="3"/>
  <c r="AN159" i="3"/>
  <c r="AN175" i="3"/>
  <c r="AN191" i="3"/>
  <c r="AN207" i="3"/>
  <c r="AN223" i="3"/>
  <c r="AN239" i="3"/>
  <c r="AN255" i="3"/>
  <c r="AN271" i="3"/>
  <c r="AN287" i="3"/>
  <c r="AN303" i="3"/>
  <c r="AN319" i="3"/>
  <c r="AN336" i="3"/>
  <c r="AN357" i="3"/>
  <c r="AN379" i="3"/>
  <c r="AN346" i="3"/>
  <c r="AN362" i="3"/>
  <c r="AN378" i="3"/>
  <c r="AN30" i="3"/>
  <c r="AN38" i="3"/>
  <c r="AN46" i="3"/>
  <c r="AN54" i="3"/>
  <c r="AN62" i="3"/>
  <c r="AN70" i="3"/>
  <c r="AN78" i="3"/>
  <c r="AN86" i="3"/>
  <c r="AN94" i="3"/>
  <c r="AN102" i="3"/>
  <c r="AN110" i="3"/>
  <c r="AN118" i="3"/>
  <c r="AN138" i="3"/>
  <c r="AN170" i="3"/>
  <c r="AN202" i="3"/>
  <c r="AN234" i="3"/>
  <c r="AN266" i="3"/>
  <c r="AN298" i="3"/>
  <c r="AN330" i="3"/>
  <c r="AN372" i="3"/>
  <c r="AN145" i="3"/>
  <c r="AN177" i="3"/>
  <c r="AN209" i="3"/>
  <c r="AN241" i="3"/>
  <c r="AN273" i="3"/>
  <c r="AN305" i="3"/>
  <c r="AN339" i="3"/>
  <c r="AN126" i="3"/>
  <c r="AN158" i="3"/>
  <c r="AN190" i="3"/>
  <c r="AN222" i="3"/>
  <c r="AN254" i="3"/>
  <c r="AN286" i="3"/>
  <c r="AN318" i="3"/>
  <c r="AN356" i="3"/>
  <c r="AN133" i="3"/>
  <c r="AN165" i="3"/>
  <c r="AN197" i="3"/>
  <c r="AN229" i="3"/>
  <c r="AN261" i="3"/>
  <c r="AN293" i="3"/>
  <c r="AN325" i="3"/>
  <c r="AN365" i="3"/>
  <c r="AN128" i="3"/>
  <c r="AN144" i="3"/>
  <c r="AN160" i="3"/>
  <c r="AN176" i="3"/>
  <c r="AN192" i="3"/>
  <c r="AN208" i="3"/>
  <c r="AN224" i="3"/>
  <c r="AN240" i="3"/>
  <c r="AN256" i="3"/>
  <c r="AN272" i="3"/>
  <c r="AN288" i="3"/>
  <c r="AN304" i="3"/>
  <c r="AN320" i="3"/>
  <c r="AN337" i="3"/>
  <c r="AN359" i="3"/>
  <c r="AN123" i="3"/>
  <c r="AN139" i="3"/>
  <c r="AN155" i="3"/>
  <c r="AN171" i="3"/>
  <c r="AN187" i="3"/>
  <c r="AN203" i="3"/>
  <c r="AN219" i="3"/>
  <c r="AN235" i="3"/>
  <c r="AN251" i="3"/>
  <c r="AN267" i="3"/>
  <c r="AN283" i="3"/>
  <c r="AN299" i="3"/>
  <c r="AN315" i="3"/>
  <c r="AN331" i="3"/>
  <c r="AN352" i="3"/>
  <c r="AN373" i="3"/>
  <c r="AN342" i="3"/>
  <c r="AN358" i="3"/>
  <c r="AN374" i="3"/>
  <c r="AN25" i="3"/>
  <c r="S11" i="3" s="1"/>
  <c r="AN24" i="3"/>
  <c r="S10" i="3" s="1"/>
  <c r="AN35" i="3"/>
  <c r="AN43" i="3"/>
  <c r="AN51" i="3"/>
  <c r="AN59" i="3"/>
  <c r="AN67" i="3"/>
  <c r="AN75" i="3"/>
  <c r="AN83" i="3"/>
  <c r="AN91" i="3"/>
  <c r="AN99" i="3"/>
  <c r="AN107" i="3"/>
  <c r="AN115" i="3"/>
  <c r="AN122" i="3"/>
  <c r="AN186" i="3"/>
  <c r="AN250" i="3"/>
  <c r="AN314" i="3"/>
  <c r="AN129" i="3"/>
  <c r="AN193" i="3"/>
  <c r="AN257" i="3"/>
  <c r="AN321" i="3"/>
  <c r="AN142" i="3"/>
  <c r="AN206" i="3"/>
  <c r="AN270" i="3"/>
  <c r="AN335" i="3"/>
  <c r="AN149" i="3"/>
  <c r="AN213" i="3"/>
  <c r="AN277" i="3"/>
  <c r="AN344" i="3"/>
  <c r="AN136" i="3"/>
  <c r="AN168" i="3"/>
  <c r="AN200" i="3"/>
  <c r="AN232" i="3"/>
  <c r="AN264" i="3"/>
  <c r="AN296" i="3"/>
  <c r="AN328" i="3"/>
  <c r="AN369" i="3"/>
  <c r="AN147" i="3"/>
  <c r="AN179" i="3"/>
  <c r="AN211" i="3"/>
  <c r="AN243" i="3"/>
  <c r="AN275" i="3"/>
  <c r="AN307" i="3"/>
  <c r="AN341" i="3"/>
  <c r="AN334" i="3"/>
  <c r="AN366" i="3"/>
  <c r="AN162" i="3"/>
  <c r="AN226" i="3"/>
  <c r="AN290" i="3"/>
  <c r="AN361" i="3"/>
  <c r="AN169" i="3"/>
  <c r="AN233" i="3"/>
  <c r="AN297" i="3"/>
  <c r="AN371" i="3"/>
  <c r="AN182" i="3"/>
  <c r="AN246" i="3"/>
  <c r="AN310" i="3"/>
  <c r="AN125" i="3"/>
  <c r="AN189" i="3"/>
  <c r="AN253" i="3"/>
  <c r="AN317" i="3"/>
  <c r="AN124" i="3"/>
  <c r="AN156" i="3"/>
  <c r="AN188" i="3"/>
  <c r="AN220" i="3"/>
  <c r="AN252" i="3"/>
  <c r="AN284" i="3"/>
  <c r="AN316" i="3"/>
  <c r="AN353" i="3"/>
  <c r="AN135" i="3"/>
  <c r="AN167" i="3"/>
  <c r="AN199" i="3"/>
  <c r="AN231" i="3"/>
  <c r="AN263" i="3"/>
  <c r="AN295" i="3"/>
  <c r="AN327" i="3"/>
  <c r="AN368" i="3"/>
  <c r="AN354" i="3"/>
  <c r="AN154" i="3"/>
  <c r="AN218" i="3"/>
  <c r="AN282" i="3"/>
  <c r="AN351" i="3"/>
  <c r="AN161" i="3"/>
  <c r="AN225" i="3"/>
  <c r="AN289" i="3"/>
  <c r="AN360" i="3"/>
  <c r="AN174" i="3"/>
  <c r="AN238" i="3"/>
  <c r="AN302" i="3"/>
  <c r="AN377" i="3"/>
  <c r="AN181" i="3"/>
  <c r="AN245" i="3"/>
  <c r="AN309" i="3"/>
  <c r="AN120" i="3"/>
  <c r="AN152" i="3"/>
  <c r="AN184" i="3"/>
  <c r="AN216" i="3"/>
  <c r="AN248" i="3"/>
  <c r="AN280" i="3"/>
  <c r="AN312" i="3"/>
  <c r="AN348" i="3"/>
  <c r="AN131" i="3"/>
  <c r="AN163" i="3"/>
  <c r="AN195" i="3"/>
  <c r="AN227" i="3"/>
  <c r="AN259" i="3"/>
  <c r="AN291" i="3"/>
  <c r="AN323" i="3"/>
  <c r="AN363" i="3"/>
  <c r="AN350" i="3"/>
  <c r="AN130" i="3"/>
  <c r="AN194" i="3"/>
  <c r="AN258" i="3"/>
  <c r="AN322" i="3"/>
  <c r="AN137" i="3"/>
  <c r="AN201" i="3"/>
  <c r="AN265" i="3"/>
  <c r="AN329" i="3"/>
  <c r="AN150" i="3"/>
  <c r="AN214" i="3"/>
  <c r="AN278" i="3"/>
  <c r="AN345" i="3"/>
  <c r="AN157" i="3"/>
  <c r="AN221" i="3"/>
  <c r="AN285" i="3"/>
  <c r="AN355" i="3"/>
  <c r="AN140" i="3"/>
  <c r="AN172" i="3"/>
  <c r="AN204" i="3"/>
  <c r="AN236" i="3"/>
  <c r="AN268" i="3"/>
  <c r="AN300" i="3"/>
  <c r="AN332" i="3"/>
  <c r="AN375" i="3"/>
  <c r="AN151" i="3"/>
  <c r="AN183" i="3"/>
  <c r="AN215" i="3"/>
  <c r="AN247" i="3"/>
  <c r="AN279" i="3"/>
  <c r="AN311" i="3"/>
  <c r="AN347" i="3"/>
  <c r="AN338" i="3"/>
  <c r="AN370" i="3"/>
  <c r="AA22" i="3"/>
  <c r="G8" i="3" s="1"/>
  <c r="AA25" i="3"/>
  <c r="G11" i="3" s="1"/>
  <c r="AA29" i="3"/>
  <c r="G15" i="3" s="1"/>
  <c r="AA33" i="3"/>
  <c r="AA37" i="3"/>
  <c r="AA41" i="3"/>
  <c r="AA45" i="3"/>
  <c r="AA49" i="3"/>
  <c r="AA53" i="3"/>
  <c r="AA57" i="3"/>
  <c r="AA61" i="3"/>
  <c r="AA65" i="3"/>
  <c r="AA69" i="3"/>
  <c r="AA73" i="3"/>
  <c r="AA77" i="3"/>
  <c r="AA81" i="3"/>
  <c r="AA85" i="3"/>
  <c r="AA89" i="3"/>
  <c r="AA93" i="3"/>
  <c r="AA97" i="3"/>
  <c r="AA101" i="3"/>
  <c r="AA105" i="3"/>
  <c r="AA109" i="3"/>
  <c r="AA113" i="3"/>
  <c r="AA117" i="3"/>
  <c r="AA121" i="3"/>
  <c r="AA125" i="3"/>
  <c r="AA129" i="3"/>
  <c r="AA133" i="3"/>
  <c r="AA137" i="3"/>
  <c r="AA141" i="3"/>
  <c r="AA145" i="3"/>
  <c r="AA149" i="3"/>
  <c r="AA153" i="3"/>
  <c r="AA157" i="3"/>
  <c r="AA161" i="3"/>
  <c r="AA165" i="3"/>
  <c r="AA169" i="3"/>
  <c r="AA173" i="3"/>
  <c r="AA177" i="3"/>
  <c r="AA181" i="3"/>
  <c r="AA185" i="3"/>
  <c r="AA189" i="3"/>
  <c r="AA193" i="3"/>
  <c r="AA197" i="3"/>
  <c r="AA201" i="3"/>
  <c r="AA205" i="3"/>
  <c r="AA209" i="3"/>
  <c r="AA213" i="3"/>
  <c r="AA217" i="3"/>
  <c r="AA221" i="3"/>
  <c r="AA225" i="3"/>
  <c r="AA20" i="3"/>
  <c r="AA26" i="3"/>
  <c r="G12" i="3" s="1"/>
  <c r="AA31" i="3"/>
  <c r="AA36" i="3"/>
  <c r="AA42" i="3"/>
  <c r="AA47" i="3"/>
  <c r="AA52" i="3"/>
  <c r="AA58" i="3"/>
  <c r="AA63" i="3"/>
  <c r="AA68" i="3"/>
  <c r="AA74" i="3"/>
  <c r="AA79" i="3"/>
  <c r="AA84" i="3"/>
  <c r="AA90" i="3"/>
  <c r="AA95" i="3"/>
  <c r="AA100" i="3"/>
  <c r="AA106" i="3"/>
  <c r="AA111" i="3"/>
  <c r="AA116" i="3"/>
  <c r="AA122" i="3"/>
  <c r="AA127" i="3"/>
  <c r="AA132" i="3"/>
  <c r="AA138" i="3"/>
  <c r="AA143" i="3"/>
  <c r="AA148" i="3"/>
  <c r="AA154" i="3"/>
  <c r="AA159" i="3"/>
  <c r="AA164" i="3"/>
  <c r="AA170" i="3"/>
  <c r="AA175" i="3"/>
  <c r="AA180" i="3"/>
  <c r="AA186" i="3"/>
  <c r="AA191" i="3"/>
  <c r="AA196" i="3"/>
  <c r="AA202" i="3"/>
  <c r="AA207" i="3"/>
  <c r="AA212" i="3"/>
  <c r="AA218" i="3"/>
  <c r="AA223" i="3"/>
  <c r="AA228" i="3"/>
  <c r="AA232" i="3"/>
  <c r="AA236" i="3"/>
  <c r="AA240" i="3"/>
  <c r="AA244" i="3"/>
  <c r="AA248" i="3"/>
  <c r="AA252" i="3"/>
  <c r="AA256" i="3"/>
  <c r="AA260" i="3"/>
  <c r="AA264" i="3"/>
  <c r="AA268" i="3"/>
  <c r="AA272" i="3"/>
  <c r="AA276" i="3"/>
  <c r="AA280" i="3"/>
  <c r="AA284" i="3"/>
  <c r="AA288" i="3"/>
  <c r="AA292" i="3"/>
  <c r="AA296" i="3"/>
  <c r="AA300" i="3"/>
  <c r="AA304" i="3"/>
  <c r="AA308" i="3"/>
  <c r="AA312" i="3"/>
  <c r="AA316" i="3"/>
  <c r="AA320" i="3"/>
  <c r="AA324" i="3"/>
  <c r="AA328" i="3"/>
  <c r="AA332" i="3"/>
  <c r="AA336" i="3"/>
  <c r="AA340" i="3"/>
  <c r="AA344" i="3"/>
  <c r="AA348" i="3"/>
  <c r="AA352" i="3"/>
  <c r="AA356" i="3"/>
  <c r="AA360" i="3"/>
  <c r="AA364" i="3"/>
  <c r="AA368" i="3"/>
  <c r="AA372" i="3"/>
  <c r="AA376" i="3"/>
  <c r="AA27" i="3"/>
  <c r="G13" i="3" s="1"/>
  <c r="AA34" i="3"/>
  <c r="AA40" i="3"/>
  <c r="AA48" i="3"/>
  <c r="AA55" i="3"/>
  <c r="AA62" i="3"/>
  <c r="AA70" i="3"/>
  <c r="AA76" i="3"/>
  <c r="AA83" i="3"/>
  <c r="AA91" i="3"/>
  <c r="AA98" i="3"/>
  <c r="AA104" i="3"/>
  <c r="AA112" i="3"/>
  <c r="AA119" i="3"/>
  <c r="AA126" i="3"/>
  <c r="AA134" i="3"/>
  <c r="AA140" i="3"/>
  <c r="AA147" i="3"/>
  <c r="AA155" i="3"/>
  <c r="AA162" i="3"/>
  <c r="AA168" i="3"/>
  <c r="AA176" i="3"/>
  <c r="AA183" i="3"/>
  <c r="AA190" i="3"/>
  <c r="AA198" i="3"/>
  <c r="AA204" i="3"/>
  <c r="AA211" i="3"/>
  <c r="AA219" i="3"/>
  <c r="AA226" i="3"/>
  <c r="AA231" i="3"/>
  <c r="AA237" i="3"/>
  <c r="AA242" i="3"/>
  <c r="AA247" i="3"/>
  <c r="AA253" i="3"/>
  <c r="AA258" i="3"/>
  <c r="AA263" i="3"/>
  <c r="AA269" i="3"/>
  <c r="AA274" i="3"/>
  <c r="AA279" i="3"/>
  <c r="AA285" i="3"/>
  <c r="AA290" i="3"/>
  <c r="AA295" i="3"/>
  <c r="AA301" i="3"/>
  <c r="AA306" i="3"/>
  <c r="AA311" i="3"/>
  <c r="AA317" i="3"/>
  <c r="AA322" i="3"/>
  <c r="AA327" i="3"/>
  <c r="AA333" i="3"/>
  <c r="AA338" i="3"/>
  <c r="AA343" i="3"/>
  <c r="AA349" i="3"/>
  <c r="AA354" i="3"/>
  <c r="AA359" i="3"/>
  <c r="AA365" i="3"/>
  <c r="AA370" i="3"/>
  <c r="AA375" i="3"/>
  <c r="AA24" i="3"/>
  <c r="G10" i="3" s="1"/>
  <c r="AA35" i="3"/>
  <c r="AA44" i="3"/>
  <c r="AA54" i="3"/>
  <c r="AA64" i="3"/>
  <c r="AA72" i="3"/>
  <c r="AA82" i="3"/>
  <c r="AA92" i="3"/>
  <c r="AA102" i="3"/>
  <c r="AA110" i="3"/>
  <c r="AA120" i="3"/>
  <c r="AA130" i="3"/>
  <c r="AA139" i="3"/>
  <c r="AA150" i="3"/>
  <c r="AA158" i="3"/>
  <c r="AA167" i="3"/>
  <c r="AA178" i="3"/>
  <c r="AA187" i="3"/>
  <c r="AA195" i="3"/>
  <c r="AA206" i="3"/>
  <c r="AA215" i="3"/>
  <c r="AA224" i="3"/>
  <c r="AA233" i="3"/>
  <c r="AA239" i="3"/>
  <c r="AA246" i="3"/>
  <c r="AA254" i="3"/>
  <c r="AA261" i="3"/>
  <c r="AA267" i="3"/>
  <c r="AA275" i="3"/>
  <c r="AA282" i="3"/>
  <c r="AA289" i="3"/>
  <c r="AA297" i="3"/>
  <c r="AA303" i="3"/>
  <c r="AA310" i="3"/>
  <c r="AA318" i="3"/>
  <c r="AA325" i="3"/>
  <c r="AA331" i="3"/>
  <c r="AA339" i="3"/>
  <c r="AA346" i="3"/>
  <c r="AA353" i="3"/>
  <c r="AA361" i="3"/>
  <c r="AA367" i="3"/>
  <c r="AA374" i="3"/>
  <c r="AA28" i="3"/>
  <c r="G14" i="3" s="1"/>
  <c r="AA39" i="3"/>
  <c r="AA51" i="3"/>
  <c r="AA66" i="3"/>
  <c r="AA78" i="3"/>
  <c r="AA88" i="3"/>
  <c r="AA103" i="3"/>
  <c r="AA115" i="3"/>
  <c r="AA128" i="3"/>
  <c r="AA142" i="3"/>
  <c r="AA152" i="3"/>
  <c r="AA166" i="3"/>
  <c r="AA179" i="3"/>
  <c r="AA192" i="3"/>
  <c r="AA203" i="3"/>
  <c r="AA216" i="3"/>
  <c r="AA229" i="3"/>
  <c r="AA238" i="3"/>
  <c r="AA249" i="3"/>
  <c r="AA257" i="3"/>
  <c r="AA266" i="3"/>
  <c r="AA277" i="3"/>
  <c r="AA286" i="3"/>
  <c r="AA294" i="3"/>
  <c r="AA305" i="3"/>
  <c r="AA314" i="3"/>
  <c r="AA323" i="3"/>
  <c r="AA334" i="3"/>
  <c r="AA342" i="3"/>
  <c r="AA351" i="3"/>
  <c r="AA362" i="3"/>
  <c r="AA371" i="3"/>
  <c r="AA23" i="3"/>
  <c r="G9" i="3" s="1"/>
  <c r="AA38" i="3"/>
  <c r="AA50" i="3"/>
  <c r="AA60" i="3"/>
  <c r="AA75" i="3"/>
  <c r="AA87" i="3"/>
  <c r="AA99" i="3"/>
  <c r="AA114" i="3"/>
  <c r="AA124" i="3"/>
  <c r="AA136" i="3"/>
  <c r="AA151" i="3"/>
  <c r="AA163" i="3"/>
  <c r="AA174" i="3"/>
  <c r="AA188" i="3"/>
  <c r="AA200" i="3"/>
  <c r="AA214" i="3"/>
  <c r="AA227" i="3"/>
  <c r="AA235" i="3"/>
  <c r="AA245" i="3"/>
  <c r="AA255" i="3"/>
  <c r="AA265" i="3"/>
  <c r="AA273" i="3"/>
  <c r="AA283" i="3"/>
  <c r="AA293" i="3"/>
  <c r="AA302" i="3"/>
  <c r="AA313" i="3"/>
  <c r="AA321" i="3"/>
  <c r="AA330" i="3"/>
  <c r="AA341" i="3"/>
  <c r="AA350" i="3"/>
  <c r="AA358" i="3"/>
  <c r="AA369" i="3"/>
  <c r="AA378" i="3"/>
  <c r="AA21" i="3"/>
  <c r="G7" i="3" s="1"/>
  <c r="AA32" i="3"/>
  <c r="AA46" i="3"/>
  <c r="AA59" i="3"/>
  <c r="AA71" i="3"/>
  <c r="AA86" i="3"/>
  <c r="AA96" i="3"/>
  <c r="AA108" i="3"/>
  <c r="AA123" i="3"/>
  <c r="AA135" i="3"/>
  <c r="AA146" i="3"/>
  <c r="AA160" i="3"/>
  <c r="AA172" i="3"/>
  <c r="AA184" i="3"/>
  <c r="AA199" i="3"/>
  <c r="AA210" i="3"/>
  <c r="AA222" i="3"/>
  <c r="AA234" i="3"/>
  <c r="AA243" i="3"/>
  <c r="AA251" i="3"/>
  <c r="AA262" i="3"/>
  <c r="AA271" i="3"/>
  <c r="AA281" i="3"/>
  <c r="AA291" i="3"/>
  <c r="AA299" i="3"/>
  <c r="AA309" i="3"/>
  <c r="AA319" i="3"/>
  <c r="AA329" i="3"/>
  <c r="AA337" i="3"/>
  <c r="AA347" i="3"/>
  <c r="AA357" i="3"/>
  <c r="AA366" i="3"/>
  <c r="AA377" i="3"/>
  <c r="AA30" i="3"/>
  <c r="AA43" i="3"/>
  <c r="AA56" i="3"/>
  <c r="AA67" i="3"/>
  <c r="AA80" i="3"/>
  <c r="AA94" i="3"/>
  <c r="AA107" i="3"/>
  <c r="AA118" i="3"/>
  <c r="AA131" i="3"/>
  <c r="AA144" i="3"/>
  <c r="AA156" i="3"/>
  <c r="AA171" i="3"/>
  <c r="AA182" i="3"/>
  <c r="AA194" i="3"/>
  <c r="AA208" i="3"/>
  <c r="AA220" i="3"/>
  <c r="AA230" i="3"/>
  <c r="AA241" i="3"/>
  <c r="AA250" i="3"/>
  <c r="AA259" i="3"/>
  <c r="AA270" i="3"/>
  <c r="AA278" i="3"/>
  <c r="AA287" i="3"/>
  <c r="AA298" i="3"/>
  <c r="AA307" i="3"/>
  <c r="AA315" i="3"/>
  <c r="AA326" i="3"/>
  <c r="AA335" i="3"/>
  <c r="AA345" i="3"/>
  <c r="AA355" i="3"/>
  <c r="AA363" i="3"/>
  <c r="AA373" i="3"/>
  <c r="AA379" i="3"/>
  <c r="AG20" i="3"/>
  <c r="M6" i="3" s="1"/>
  <c r="AG25" i="3"/>
  <c r="M11" i="3" s="1"/>
  <c r="AG29" i="3"/>
  <c r="M15" i="3" s="1"/>
  <c r="AG33" i="3"/>
  <c r="AG37" i="3"/>
  <c r="AG41" i="3"/>
  <c r="AG45" i="3"/>
  <c r="AG49" i="3"/>
  <c r="AG53" i="3"/>
  <c r="AG57" i="3"/>
  <c r="AG61" i="3"/>
  <c r="AG65" i="3"/>
  <c r="AG69" i="3"/>
  <c r="AG73" i="3"/>
  <c r="AG77" i="3"/>
  <c r="AG81" i="3"/>
  <c r="AG85" i="3"/>
  <c r="AG89" i="3"/>
  <c r="AG93" i="3"/>
  <c r="AG97" i="3"/>
  <c r="AG101" i="3"/>
  <c r="AG105" i="3"/>
  <c r="AG109" i="3"/>
  <c r="AG113" i="3"/>
  <c r="AG117" i="3"/>
  <c r="AG121" i="3"/>
  <c r="AG125" i="3"/>
  <c r="AG129" i="3"/>
  <c r="AG133" i="3"/>
  <c r="AG137" i="3"/>
  <c r="AG141" i="3"/>
  <c r="AG145" i="3"/>
  <c r="AG149" i="3"/>
  <c r="AG153" i="3"/>
  <c r="AG157" i="3"/>
  <c r="AG161" i="3"/>
  <c r="AG165" i="3"/>
  <c r="AG169" i="3"/>
  <c r="AG173" i="3"/>
  <c r="AG177" i="3"/>
  <c r="AG181" i="3"/>
  <c r="AG185" i="3"/>
  <c r="AG189" i="3"/>
  <c r="AG193" i="3"/>
  <c r="AG197" i="3"/>
  <c r="AG201" i="3"/>
  <c r="AG205" i="3"/>
  <c r="AG209" i="3"/>
  <c r="AG213" i="3"/>
  <c r="AG217" i="3"/>
  <c r="AG221" i="3"/>
  <c r="AG225" i="3"/>
  <c r="AG229" i="3"/>
  <c r="AG233" i="3"/>
  <c r="AG237" i="3"/>
  <c r="AG241" i="3"/>
  <c r="AG245" i="3"/>
  <c r="AG249" i="3"/>
  <c r="AG253" i="3"/>
  <c r="AG257" i="3"/>
  <c r="AG261" i="3"/>
  <c r="AG265" i="3"/>
  <c r="AG269" i="3"/>
  <c r="AG273" i="3"/>
  <c r="AG277" i="3"/>
  <c r="AG281" i="3"/>
  <c r="AG285" i="3"/>
  <c r="AG289" i="3"/>
  <c r="AG293" i="3"/>
  <c r="AG297" i="3"/>
  <c r="AG301" i="3"/>
  <c r="AG305" i="3"/>
  <c r="AG309" i="3"/>
  <c r="AG313" i="3"/>
  <c r="AG317" i="3"/>
  <c r="AG321" i="3"/>
  <c r="AG325" i="3"/>
  <c r="AG329" i="3"/>
  <c r="AG333" i="3"/>
  <c r="AG337" i="3"/>
  <c r="AG341" i="3"/>
  <c r="AG345" i="3"/>
  <c r="AG349" i="3"/>
  <c r="AG353" i="3"/>
  <c r="AG357" i="3"/>
  <c r="AG361" i="3"/>
  <c r="AG365" i="3"/>
  <c r="AG369" i="3"/>
  <c r="AG373" i="3"/>
  <c r="AG377" i="3"/>
  <c r="AG23" i="3"/>
  <c r="M9" i="3" s="1"/>
  <c r="AG28" i="3"/>
  <c r="M14" i="3" s="1"/>
  <c r="AG32" i="3"/>
  <c r="AG36" i="3"/>
  <c r="AG40" i="3"/>
  <c r="AG44" i="3"/>
  <c r="AG48" i="3"/>
  <c r="AG52" i="3"/>
  <c r="AG56" i="3"/>
  <c r="AG60" i="3"/>
  <c r="AG64" i="3"/>
  <c r="AG68" i="3"/>
  <c r="AG72" i="3"/>
  <c r="AG76" i="3"/>
  <c r="AG80" i="3"/>
  <c r="AG84" i="3"/>
  <c r="AG88" i="3"/>
  <c r="AG92" i="3"/>
  <c r="AG96" i="3"/>
  <c r="AG100" i="3"/>
  <c r="AG104" i="3"/>
  <c r="AG108" i="3"/>
  <c r="AG112" i="3"/>
  <c r="AG116" i="3"/>
  <c r="AG120" i="3"/>
  <c r="AG124" i="3"/>
  <c r="AG128" i="3"/>
  <c r="AG132" i="3"/>
  <c r="AG136" i="3"/>
  <c r="AG140" i="3"/>
  <c r="AG144" i="3"/>
  <c r="AG148" i="3"/>
  <c r="AG152" i="3"/>
  <c r="AG156" i="3"/>
  <c r="AG160" i="3"/>
  <c r="AG164" i="3"/>
  <c r="AG168" i="3"/>
  <c r="AG172" i="3"/>
  <c r="AG176" i="3"/>
  <c r="AG180" i="3"/>
  <c r="AG184" i="3"/>
  <c r="AG188" i="3"/>
  <c r="AG192" i="3"/>
  <c r="AG196" i="3"/>
  <c r="AG200" i="3"/>
  <c r="AG204" i="3"/>
  <c r="AG208" i="3"/>
  <c r="AG212" i="3"/>
  <c r="AG216" i="3"/>
  <c r="AG220" i="3"/>
  <c r="AG224" i="3"/>
  <c r="AG228" i="3"/>
  <c r="AG232" i="3"/>
  <c r="AG236" i="3"/>
  <c r="AG240" i="3"/>
  <c r="AG244" i="3"/>
  <c r="AG248" i="3"/>
  <c r="AG252" i="3"/>
  <c r="AG256" i="3"/>
  <c r="AG260" i="3"/>
  <c r="AG264" i="3"/>
  <c r="AG268" i="3"/>
  <c r="AG272" i="3"/>
  <c r="AG276" i="3"/>
  <c r="AG280" i="3"/>
  <c r="AG284" i="3"/>
  <c r="AG288" i="3"/>
  <c r="AG292" i="3"/>
  <c r="AG296" i="3"/>
  <c r="AG300" i="3"/>
  <c r="AG304" i="3"/>
  <c r="AG308" i="3"/>
  <c r="AG312" i="3"/>
  <c r="AG316" i="3"/>
  <c r="AG320" i="3"/>
  <c r="AG324" i="3"/>
  <c r="AG328" i="3"/>
  <c r="AG332" i="3"/>
  <c r="AG336" i="3"/>
  <c r="AG340" i="3"/>
  <c r="AG344" i="3"/>
  <c r="AG348" i="3"/>
  <c r="AG352" i="3"/>
  <c r="AG356" i="3"/>
  <c r="AG360" i="3"/>
  <c r="AG364" i="3"/>
  <c r="AG368" i="3"/>
  <c r="AG372" i="3"/>
  <c r="AG376" i="3"/>
  <c r="AG26" i="3"/>
  <c r="M12" i="3" s="1"/>
  <c r="AG34" i="3"/>
  <c r="AG42" i="3"/>
  <c r="AG50" i="3"/>
  <c r="AG58" i="3"/>
  <c r="AG66" i="3"/>
  <c r="AG74" i="3"/>
  <c r="AG82" i="3"/>
  <c r="AG90" i="3"/>
  <c r="AG98" i="3"/>
  <c r="AG106" i="3"/>
  <c r="AG114" i="3"/>
  <c r="AG122" i="3"/>
  <c r="AG130" i="3"/>
  <c r="AG138" i="3"/>
  <c r="AG146" i="3"/>
  <c r="AG154" i="3"/>
  <c r="AG162" i="3"/>
  <c r="AG170" i="3"/>
  <c r="AG178" i="3"/>
  <c r="AG186" i="3"/>
  <c r="AG194" i="3"/>
  <c r="AG202" i="3"/>
  <c r="AG210" i="3"/>
  <c r="AG218" i="3"/>
  <c r="AG226" i="3"/>
  <c r="AG234" i="3"/>
  <c r="AG242" i="3"/>
  <c r="AG250" i="3"/>
  <c r="AG258" i="3"/>
  <c r="AG266" i="3"/>
  <c r="AG274" i="3"/>
  <c r="AG282" i="3"/>
  <c r="AG290" i="3"/>
  <c r="AG298" i="3"/>
  <c r="AG306" i="3"/>
  <c r="AG314" i="3"/>
  <c r="AG322" i="3"/>
  <c r="AG330" i="3"/>
  <c r="AG338" i="3"/>
  <c r="AG346" i="3"/>
  <c r="AG354" i="3"/>
  <c r="AG362" i="3"/>
  <c r="AG370" i="3"/>
  <c r="AG378" i="3"/>
  <c r="AG22" i="3"/>
  <c r="M8" i="3" s="1"/>
  <c r="AG31" i="3"/>
  <c r="AG39" i="3"/>
  <c r="AG47" i="3"/>
  <c r="AG55" i="3"/>
  <c r="AG63" i="3"/>
  <c r="AG71" i="3"/>
  <c r="AG79" i="3"/>
  <c r="AG87" i="3"/>
  <c r="AG95" i="3"/>
  <c r="AG103" i="3"/>
  <c r="AG111" i="3"/>
  <c r="AG119" i="3"/>
  <c r="AG127" i="3"/>
  <c r="AG135" i="3"/>
  <c r="AG143" i="3"/>
  <c r="AG151" i="3"/>
  <c r="AG159" i="3"/>
  <c r="AG167" i="3"/>
  <c r="AG175" i="3"/>
  <c r="AG183" i="3"/>
  <c r="AG191" i="3"/>
  <c r="AG199" i="3"/>
  <c r="AG207" i="3"/>
  <c r="AG215" i="3"/>
  <c r="AG223" i="3"/>
  <c r="AG231" i="3"/>
  <c r="AG239" i="3"/>
  <c r="AG247" i="3"/>
  <c r="AG255" i="3"/>
  <c r="AG263" i="3"/>
  <c r="AG271" i="3"/>
  <c r="AG279" i="3"/>
  <c r="AG287" i="3"/>
  <c r="AG295" i="3"/>
  <c r="AG303" i="3"/>
  <c r="AG311" i="3"/>
  <c r="AG319" i="3"/>
  <c r="AG327" i="3"/>
  <c r="AG335" i="3"/>
  <c r="AG343" i="3"/>
  <c r="AG351" i="3"/>
  <c r="AG359" i="3"/>
  <c r="AG367" i="3"/>
  <c r="AG375" i="3"/>
  <c r="AG21" i="3"/>
  <c r="M7" i="3" s="1"/>
  <c r="AG30" i="3"/>
  <c r="AG38" i="3"/>
  <c r="AG46" i="3"/>
  <c r="AG54" i="3"/>
  <c r="AG62" i="3"/>
  <c r="AG70" i="3"/>
  <c r="AG78" i="3"/>
  <c r="AG86" i="3"/>
  <c r="AG94" i="3"/>
  <c r="AG102" i="3"/>
  <c r="AG110" i="3"/>
  <c r="AG118" i="3"/>
  <c r="AG126" i="3"/>
  <c r="AG134" i="3"/>
  <c r="AG142" i="3"/>
  <c r="AG150" i="3"/>
  <c r="AG158" i="3"/>
  <c r="AG166" i="3"/>
  <c r="AG174" i="3"/>
  <c r="AG182" i="3"/>
  <c r="AG190" i="3"/>
  <c r="AG198" i="3"/>
  <c r="AG206" i="3"/>
  <c r="AG214" i="3"/>
  <c r="AG222" i="3"/>
  <c r="AG230" i="3"/>
  <c r="AG238" i="3"/>
  <c r="AG246" i="3"/>
  <c r="AG254" i="3"/>
  <c r="AG262" i="3"/>
  <c r="AG270" i="3"/>
  <c r="AG278" i="3"/>
  <c r="AG286" i="3"/>
  <c r="AG294" i="3"/>
  <c r="AG302" i="3"/>
  <c r="AG310" i="3"/>
  <c r="AG318" i="3"/>
  <c r="AG326" i="3"/>
  <c r="AG334" i="3"/>
  <c r="AG342" i="3"/>
  <c r="AG350" i="3"/>
  <c r="AG358" i="3"/>
  <c r="AG366" i="3"/>
  <c r="AG374" i="3"/>
  <c r="AG24" i="3"/>
  <c r="M10" i="3" s="1"/>
  <c r="AG27" i="3"/>
  <c r="M13" i="3" s="1"/>
  <c r="AG35" i="3"/>
  <c r="AG43" i="3"/>
  <c r="AG51" i="3"/>
  <c r="AG59" i="3"/>
  <c r="AG67" i="3"/>
  <c r="AG75" i="3"/>
  <c r="AG83" i="3"/>
  <c r="AG91" i="3"/>
  <c r="AG99" i="3"/>
  <c r="AG107" i="3"/>
  <c r="AG115" i="3"/>
  <c r="AG123" i="3"/>
  <c r="AG131" i="3"/>
  <c r="AG139" i="3"/>
  <c r="AG147" i="3"/>
  <c r="AG155" i="3"/>
  <c r="AG163" i="3"/>
  <c r="AG171" i="3"/>
  <c r="AG179" i="3"/>
  <c r="AG187" i="3"/>
  <c r="AG195" i="3"/>
  <c r="AG203" i="3"/>
  <c r="AG211" i="3"/>
  <c r="AG219" i="3"/>
  <c r="AG227" i="3"/>
  <c r="AG235" i="3"/>
  <c r="AG243" i="3"/>
  <c r="AG251" i="3"/>
  <c r="AG259" i="3"/>
  <c r="AG267" i="3"/>
  <c r="AG275" i="3"/>
  <c r="AG283" i="3"/>
  <c r="AG291" i="3"/>
  <c r="AG299" i="3"/>
  <c r="AG307" i="3"/>
  <c r="AG315" i="3"/>
  <c r="AG323" i="3"/>
  <c r="AG331" i="3"/>
  <c r="AG339" i="3"/>
  <c r="AG347" i="3"/>
  <c r="AG355" i="3"/>
  <c r="AG363" i="3"/>
  <c r="AG371" i="3"/>
  <c r="AG379" i="3"/>
  <c r="AC20" i="3"/>
  <c r="I6" i="3" s="1"/>
  <c r="AC24" i="3"/>
  <c r="I10" i="3" s="1"/>
  <c r="AC28" i="3"/>
  <c r="I14" i="3" s="1"/>
  <c r="AC33" i="3"/>
  <c r="AC37" i="3"/>
  <c r="AC41" i="3"/>
  <c r="AC45" i="3"/>
  <c r="AC49" i="3"/>
  <c r="AC53" i="3"/>
  <c r="AC57" i="3"/>
  <c r="AC61" i="3"/>
  <c r="AC65" i="3"/>
  <c r="AC69" i="3"/>
  <c r="AC73" i="3"/>
  <c r="AC77" i="3"/>
  <c r="AC81" i="3"/>
  <c r="AC85" i="3"/>
  <c r="AC89" i="3"/>
  <c r="AC93" i="3"/>
  <c r="AC97" i="3"/>
  <c r="AC101" i="3"/>
  <c r="AC105" i="3"/>
  <c r="AC109" i="3"/>
  <c r="AC113" i="3"/>
  <c r="AC117" i="3"/>
  <c r="AC121" i="3"/>
  <c r="AC125" i="3"/>
  <c r="AC129" i="3"/>
  <c r="AC133" i="3"/>
  <c r="AC137" i="3"/>
  <c r="AC141" i="3"/>
  <c r="AC145" i="3"/>
  <c r="AC149" i="3"/>
  <c r="AC153" i="3"/>
  <c r="AC157" i="3"/>
  <c r="AC161" i="3"/>
  <c r="AC165" i="3"/>
  <c r="AC169" i="3"/>
  <c r="AC173" i="3"/>
  <c r="AC177" i="3"/>
  <c r="AC181" i="3"/>
  <c r="AC185" i="3"/>
  <c r="AC189" i="3"/>
  <c r="AC193" i="3"/>
  <c r="AC197" i="3"/>
  <c r="AC201" i="3"/>
  <c r="AC205" i="3"/>
  <c r="AC209" i="3"/>
  <c r="AC213" i="3"/>
  <c r="AC217" i="3"/>
  <c r="AC221" i="3"/>
  <c r="AC225" i="3"/>
  <c r="AC229" i="3"/>
  <c r="AC233" i="3"/>
  <c r="AC237" i="3"/>
  <c r="AC241" i="3"/>
  <c r="AC245" i="3"/>
  <c r="AC249" i="3"/>
  <c r="AC253" i="3"/>
  <c r="AC257" i="3"/>
  <c r="AC261" i="3"/>
  <c r="AC265" i="3"/>
  <c r="AC269" i="3"/>
  <c r="AC273" i="3"/>
  <c r="AC277" i="3"/>
  <c r="AC281" i="3"/>
  <c r="AC285" i="3"/>
  <c r="AC289" i="3"/>
  <c r="AC293" i="3"/>
  <c r="AC297" i="3"/>
  <c r="AC301" i="3"/>
  <c r="AC305" i="3"/>
  <c r="AC309" i="3"/>
  <c r="AC313" i="3"/>
  <c r="AC317" i="3"/>
  <c r="AC321" i="3"/>
  <c r="AC325" i="3"/>
  <c r="AC329" i="3"/>
  <c r="AC333" i="3"/>
  <c r="AC337" i="3"/>
  <c r="AC341" i="3"/>
  <c r="AC345" i="3"/>
  <c r="AC349" i="3"/>
  <c r="AC353" i="3"/>
  <c r="AC357" i="3"/>
  <c r="AC361" i="3"/>
  <c r="AC365" i="3"/>
  <c r="AC369" i="3"/>
  <c r="AC373" i="3"/>
  <c r="AC377" i="3"/>
  <c r="AC29" i="3"/>
  <c r="I15" i="3" s="1"/>
  <c r="AC22" i="3"/>
  <c r="I8" i="3" s="1"/>
  <c r="AC26" i="3"/>
  <c r="I12" i="3" s="1"/>
  <c r="AC31" i="3"/>
  <c r="AC35" i="3"/>
  <c r="AC39" i="3"/>
  <c r="AC43" i="3"/>
  <c r="AC47" i="3"/>
  <c r="AC51" i="3"/>
  <c r="AC55" i="3"/>
  <c r="AC59" i="3"/>
  <c r="AC63" i="3"/>
  <c r="AC67" i="3"/>
  <c r="AC71" i="3"/>
  <c r="AC75" i="3"/>
  <c r="AC79" i="3"/>
  <c r="AC83" i="3"/>
  <c r="AC87" i="3"/>
  <c r="AC91" i="3"/>
  <c r="AC95" i="3"/>
  <c r="AC99" i="3"/>
  <c r="AC103" i="3"/>
  <c r="AC107" i="3"/>
  <c r="AC111" i="3"/>
  <c r="AC115" i="3"/>
  <c r="AC119" i="3"/>
  <c r="AC123" i="3"/>
  <c r="AC127" i="3"/>
  <c r="AC131" i="3"/>
  <c r="AC135" i="3"/>
  <c r="AC139" i="3"/>
  <c r="AC143" i="3"/>
  <c r="AC147" i="3"/>
  <c r="AC151" i="3"/>
  <c r="AC155" i="3"/>
  <c r="AC159" i="3"/>
  <c r="AC163" i="3"/>
  <c r="AC167" i="3"/>
  <c r="AC171" i="3"/>
  <c r="AC175" i="3"/>
  <c r="AC179" i="3"/>
  <c r="AC183" i="3"/>
  <c r="AC187" i="3"/>
  <c r="AC191" i="3"/>
  <c r="AC195" i="3"/>
  <c r="AC199" i="3"/>
  <c r="AC203" i="3"/>
  <c r="AC207" i="3"/>
  <c r="AC211" i="3"/>
  <c r="AC215" i="3"/>
  <c r="AC219" i="3"/>
  <c r="AC223" i="3"/>
  <c r="AC227" i="3"/>
  <c r="AC231" i="3"/>
  <c r="AC235" i="3"/>
  <c r="AC239" i="3"/>
  <c r="AC243" i="3"/>
  <c r="AC247" i="3"/>
  <c r="AC251" i="3"/>
  <c r="AC255" i="3"/>
  <c r="AC259" i="3"/>
  <c r="AC263" i="3"/>
  <c r="AC267" i="3"/>
  <c r="AC271" i="3"/>
  <c r="AC275" i="3"/>
  <c r="AC279" i="3"/>
  <c r="AC283" i="3"/>
  <c r="AC287" i="3"/>
  <c r="AC291" i="3"/>
  <c r="AC295" i="3"/>
  <c r="AC299" i="3"/>
  <c r="AC303" i="3"/>
  <c r="AC307" i="3"/>
  <c r="AC311" i="3"/>
  <c r="AC315" i="3"/>
  <c r="AC319" i="3"/>
  <c r="AC323" i="3"/>
  <c r="AC327" i="3"/>
  <c r="AC331" i="3"/>
  <c r="AC335" i="3"/>
  <c r="AC339" i="3"/>
  <c r="AC343" i="3"/>
  <c r="AC347" i="3"/>
  <c r="AC351" i="3"/>
  <c r="AC355" i="3"/>
  <c r="AC359" i="3"/>
  <c r="AC363" i="3"/>
  <c r="AC367" i="3"/>
  <c r="AC371" i="3"/>
  <c r="AC375" i="3"/>
  <c r="AC379" i="3"/>
  <c r="AC21" i="3"/>
  <c r="I7" i="3" s="1"/>
  <c r="AC25" i="3"/>
  <c r="I11" i="3" s="1"/>
  <c r="AC30" i="3"/>
  <c r="AC34" i="3"/>
  <c r="AC38" i="3"/>
  <c r="AC42" i="3"/>
  <c r="AC46" i="3"/>
  <c r="AC50" i="3"/>
  <c r="AC54" i="3"/>
  <c r="AC58" i="3"/>
  <c r="AC62" i="3"/>
  <c r="AC66" i="3"/>
  <c r="AC70" i="3"/>
  <c r="AC74" i="3"/>
  <c r="AC78" i="3"/>
  <c r="AC82" i="3"/>
  <c r="AC86" i="3"/>
  <c r="AC90" i="3"/>
  <c r="AC94" i="3"/>
  <c r="AC98" i="3"/>
  <c r="AC102" i="3"/>
  <c r="AC106" i="3"/>
  <c r="AC110" i="3"/>
  <c r="AC114" i="3"/>
  <c r="AC118" i="3"/>
  <c r="AC122" i="3"/>
  <c r="AC126" i="3"/>
  <c r="AC130" i="3"/>
  <c r="AC134" i="3"/>
  <c r="AC138" i="3"/>
  <c r="AC142" i="3"/>
  <c r="AC146" i="3"/>
  <c r="AC150" i="3"/>
  <c r="AC154" i="3"/>
  <c r="AC158" i="3"/>
  <c r="AC162" i="3"/>
  <c r="AC166" i="3"/>
  <c r="AC170" i="3"/>
  <c r="AC174" i="3"/>
  <c r="AC178" i="3"/>
  <c r="AC182" i="3"/>
  <c r="AC186" i="3"/>
  <c r="AC190" i="3"/>
  <c r="AC194" i="3"/>
  <c r="AC198" i="3"/>
  <c r="AC202" i="3"/>
  <c r="AC206" i="3"/>
  <c r="AC210" i="3"/>
  <c r="AC214" i="3"/>
  <c r="AC218" i="3"/>
  <c r="AC222" i="3"/>
  <c r="AC226" i="3"/>
  <c r="AC230" i="3"/>
  <c r="AC234" i="3"/>
  <c r="AC238" i="3"/>
  <c r="AC242" i="3"/>
  <c r="AC246" i="3"/>
  <c r="AC250" i="3"/>
  <c r="AC254" i="3"/>
  <c r="AC258" i="3"/>
  <c r="AC262" i="3"/>
  <c r="AC266" i="3"/>
  <c r="AC270" i="3"/>
  <c r="AC274" i="3"/>
  <c r="AC278" i="3"/>
  <c r="AC282" i="3"/>
  <c r="AC286" i="3"/>
  <c r="AC290" i="3"/>
  <c r="AC294" i="3"/>
  <c r="AC298" i="3"/>
  <c r="AC302" i="3"/>
  <c r="AC306" i="3"/>
  <c r="AC310" i="3"/>
  <c r="AC314" i="3"/>
  <c r="AC318" i="3"/>
  <c r="AC322" i="3"/>
  <c r="AC326" i="3"/>
  <c r="AC330" i="3"/>
  <c r="AC334" i="3"/>
  <c r="AC338" i="3"/>
  <c r="AC342" i="3"/>
  <c r="AC346" i="3"/>
  <c r="AC350" i="3"/>
  <c r="AC354" i="3"/>
  <c r="AC358" i="3"/>
  <c r="AC362" i="3"/>
  <c r="AC366" i="3"/>
  <c r="AC370" i="3"/>
  <c r="AC374" i="3"/>
  <c r="AC378" i="3"/>
  <c r="AC23" i="3"/>
  <c r="I9" i="3" s="1"/>
  <c r="AC40" i="3"/>
  <c r="AC56" i="3"/>
  <c r="AC72" i="3"/>
  <c r="AC88" i="3"/>
  <c r="AC104" i="3"/>
  <c r="AC120" i="3"/>
  <c r="AC136" i="3"/>
  <c r="AC152" i="3"/>
  <c r="AC168" i="3"/>
  <c r="AC184" i="3"/>
  <c r="AC200" i="3"/>
  <c r="AC216" i="3"/>
  <c r="AC232" i="3"/>
  <c r="AC248" i="3"/>
  <c r="AC264" i="3"/>
  <c r="AC280" i="3"/>
  <c r="AC296" i="3"/>
  <c r="AC312" i="3"/>
  <c r="AC328" i="3"/>
  <c r="AC344" i="3"/>
  <c r="AC360" i="3"/>
  <c r="AC376" i="3"/>
  <c r="AC32" i="3"/>
  <c r="AC48" i="3"/>
  <c r="AC64" i="3"/>
  <c r="AC80" i="3"/>
  <c r="AC96" i="3"/>
  <c r="AC112" i="3"/>
  <c r="AC128" i="3"/>
  <c r="AC144" i="3"/>
  <c r="AC160" i="3"/>
  <c r="AC176" i="3"/>
  <c r="AC192" i="3"/>
  <c r="AC208" i="3"/>
  <c r="AC224" i="3"/>
  <c r="AC240" i="3"/>
  <c r="AC256" i="3"/>
  <c r="AC272" i="3"/>
  <c r="AC288" i="3"/>
  <c r="AC304" i="3"/>
  <c r="AC320" i="3"/>
  <c r="AC336" i="3"/>
  <c r="AC352" i="3"/>
  <c r="AC368" i="3"/>
  <c r="AC27" i="3"/>
  <c r="I13" i="3" s="1"/>
  <c r="AC44" i="3"/>
  <c r="AC60" i="3"/>
  <c r="AC76" i="3"/>
  <c r="AC92" i="3"/>
  <c r="AC108" i="3"/>
  <c r="AC124" i="3"/>
  <c r="AC140" i="3"/>
  <c r="AC156" i="3"/>
  <c r="AC172" i="3"/>
  <c r="AC188" i="3"/>
  <c r="AC204" i="3"/>
  <c r="AC220" i="3"/>
  <c r="AC236" i="3"/>
  <c r="AC252" i="3"/>
  <c r="AC268" i="3"/>
  <c r="AC284" i="3"/>
  <c r="AC300" i="3"/>
  <c r="AC316" i="3"/>
  <c r="AC332" i="3"/>
  <c r="AC348" i="3"/>
  <c r="AC364" i="3"/>
  <c r="AC68" i="3"/>
  <c r="AC132" i="3"/>
  <c r="AC196" i="3"/>
  <c r="AC260" i="3"/>
  <c r="AC324" i="3"/>
  <c r="AC52" i="3"/>
  <c r="AC116" i="3"/>
  <c r="AC180" i="3"/>
  <c r="AC244" i="3"/>
  <c r="AC308" i="3"/>
  <c r="AC372" i="3"/>
  <c r="AC36" i="3"/>
  <c r="AC100" i="3"/>
  <c r="AC164" i="3"/>
  <c r="AC228" i="3"/>
  <c r="AC292" i="3"/>
  <c r="AC356" i="3"/>
  <c r="AC84" i="3"/>
  <c r="AC148" i="3"/>
  <c r="AC212" i="3"/>
  <c r="AC276" i="3"/>
  <c r="AC340" i="3"/>
  <c r="Y23" i="3"/>
  <c r="E9" i="3" s="1"/>
  <c r="Y27" i="3"/>
  <c r="E13" i="3" s="1"/>
  <c r="Y32" i="3"/>
  <c r="Y36" i="3"/>
  <c r="Y40" i="3"/>
  <c r="Y44" i="3"/>
  <c r="Y48" i="3"/>
  <c r="Y52" i="3"/>
  <c r="Y56" i="3"/>
  <c r="Y60" i="3"/>
  <c r="Y64" i="3"/>
  <c r="Y68" i="3"/>
  <c r="Y72" i="3"/>
  <c r="Y76" i="3"/>
  <c r="Y80" i="3"/>
  <c r="Y84" i="3"/>
  <c r="Y88" i="3"/>
  <c r="Y92" i="3"/>
  <c r="Y96" i="3"/>
  <c r="Y100" i="3"/>
  <c r="Y104" i="3"/>
  <c r="Y108" i="3"/>
  <c r="Y112" i="3"/>
  <c r="Y116" i="3"/>
  <c r="Y120" i="3"/>
  <c r="Y124" i="3"/>
  <c r="Y128" i="3"/>
  <c r="Y132" i="3"/>
  <c r="Y136" i="3"/>
  <c r="Y140" i="3"/>
  <c r="Y144" i="3"/>
  <c r="Y148" i="3"/>
  <c r="Y152" i="3"/>
  <c r="Y156" i="3"/>
  <c r="Y160" i="3"/>
  <c r="Y164" i="3"/>
  <c r="Y168" i="3"/>
  <c r="Y172" i="3"/>
  <c r="Y176" i="3"/>
  <c r="Y180" i="3"/>
  <c r="Y184" i="3"/>
  <c r="Y188" i="3"/>
  <c r="Y192" i="3"/>
  <c r="Y196" i="3"/>
  <c r="Y200" i="3"/>
  <c r="Y204" i="3"/>
  <c r="Y208" i="3"/>
  <c r="Y212" i="3"/>
  <c r="Y216" i="3"/>
  <c r="Y220" i="3"/>
  <c r="Y224" i="3"/>
  <c r="Y228" i="3"/>
  <c r="Y232" i="3"/>
  <c r="Y236" i="3"/>
  <c r="Y240" i="3"/>
  <c r="Y244" i="3"/>
  <c r="Y248" i="3"/>
  <c r="Y252" i="3"/>
  <c r="Y256" i="3"/>
  <c r="Y260" i="3"/>
  <c r="Y264" i="3"/>
  <c r="Y268" i="3"/>
  <c r="Y272" i="3"/>
  <c r="Y276" i="3"/>
  <c r="Y280" i="3"/>
  <c r="Y284" i="3"/>
  <c r="Y288" i="3"/>
  <c r="Y292" i="3"/>
  <c r="Y296" i="3"/>
  <c r="Y300" i="3"/>
  <c r="Y304" i="3"/>
  <c r="Y308" i="3"/>
  <c r="Y312" i="3"/>
  <c r="Y316" i="3"/>
  <c r="Y320" i="3"/>
  <c r="Y324" i="3"/>
  <c r="Y328" i="3"/>
  <c r="Y332" i="3"/>
  <c r="Y336" i="3"/>
  <c r="Y340" i="3"/>
  <c r="Y344" i="3"/>
  <c r="Y348" i="3"/>
  <c r="Y352" i="3"/>
  <c r="Y356" i="3"/>
  <c r="Y360" i="3"/>
  <c r="Y364" i="3"/>
  <c r="Y368" i="3"/>
  <c r="Y372" i="3"/>
  <c r="Y376" i="3"/>
  <c r="Y29" i="3"/>
  <c r="E15" i="3" s="1"/>
  <c r="Y22" i="3"/>
  <c r="E8" i="3" s="1"/>
  <c r="Y26" i="3"/>
  <c r="E12" i="3" s="1"/>
  <c r="Y31" i="3"/>
  <c r="Y35" i="3"/>
  <c r="Y39" i="3"/>
  <c r="Y43" i="3"/>
  <c r="Y47" i="3"/>
  <c r="Y51" i="3"/>
  <c r="Y55" i="3"/>
  <c r="Y59" i="3"/>
  <c r="Y63" i="3"/>
  <c r="Y67" i="3"/>
  <c r="Y71" i="3"/>
  <c r="Y75" i="3"/>
  <c r="Y79" i="3"/>
  <c r="Y83" i="3"/>
  <c r="Y87" i="3"/>
  <c r="Y91" i="3"/>
  <c r="Y95" i="3"/>
  <c r="Y99" i="3"/>
  <c r="Y103" i="3"/>
  <c r="Y107" i="3"/>
  <c r="Y111" i="3"/>
  <c r="Y115" i="3"/>
  <c r="Y119" i="3"/>
  <c r="Y123" i="3"/>
  <c r="Y127" i="3"/>
  <c r="Y131" i="3"/>
  <c r="Y135" i="3"/>
  <c r="Y139" i="3"/>
  <c r="Y143" i="3"/>
  <c r="Y147" i="3"/>
  <c r="Y151" i="3"/>
  <c r="Y155" i="3"/>
  <c r="Y159" i="3"/>
  <c r="Y163" i="3"/>
  <c r="Y167" i="3"/>
  <c r="Y171" i="3"/>
  <c r="Y175" i="3"/>
  <c r="Y179" i="3"/>
  <c r="Y183" i="3"/>
  <c r="Y187" i="3"/>
  <c r="Y191" i="3"/>
  <c r="Y195" i="3"/>
  <c r="Y199" i="3"/>
  <c r="Y203" i="3"/>
  <c r="Y207" i="3"/>
  <c r="Y211" i="3"/>
  <c r="Y215" i="3"/>
  <c r="Y219" i="3"/>
  <c r="Y223" i="3"/>
  <c r="Y227" i="3"/>
  <c r="Y231" i="3"/>
  <c r="Y235" i="3"/>
  <c r="Y239" i="3"/>
  <c r="Y243" i="3"/>
  <c r="Y247" i="3"/>
  <c r="Y251" i="3"/>
  <c r="Y255" i="3"/>
  <c r="Y259" i="3"/>
  <c r="Y263" i="3"/>
  <c r="Y267" i="3"/>
  <c r="Y271" i="3"/>
  <c r="Y275" i="3"/>
  <c r="Y279" i="3"/>
  <c r="Y283" i="3"/>
  <c r="Y287" i="3"/>
  <c r="Y291" i="3"/>
  <c r="Y295" i="3"/>
  <c r="Y299" i="3"/>
  <c r="Y303" i="3"/>
  <c r="Y307" i="3"/>
  <c r="Y311" i="3"/>
  <c r="Y315" i="3"/>
  <c r="Y319" i="3"/>
  <c r="Y323" i="3"/>
  <c r="Y327" i="3"/>
  <c r="Y331" i="3"/>
  <c r="Y335" i="3"/>
  <c r="Y339" i="3"/>
  <c r="Y343" i="3"/>
  <c r="Y347" i="3"/>
  <c r="Y351" i="3"/>
  <c r="Y355" i="3"/>
  <c r="Y359" i="3"/>
  <c r="Y363" i="3"/>
  <c r="Y367" i="3"/>
  <c r="Y371" i="3"/>
  <c r="Y375" i="3"/>
  <c r="Y379" i="3"/>
  <c r="Y24" i="3"/>
  <c r="E10" i="3" s="1"/>
  <c r="Y33" i="3"/>
  <c r="Y41" i="3"/>
  <c r="Y49" i="3"/>
  <c r="Y57" i="3"/>
  <c r="Y65" i="3"/>
  <c r="Y73" i="3"/>
  <c r="Y81" i="3"/>
  <c r="Y89" i="3"/>
  <c r="Y97" i="3"/>
  <c r="Y105" i="3"/>
  <c r="Y113" i="3"/>
  <c r="Y121" i="3"/>
  <c r="Y129" i="3"/>
  <c r="Y137" i="3"/>
  <c r="Y145" i="3"/>
  <c r="Y153" i="3"/>
  <c r="Y161" i="3"/>
  <c r="Y169" i="3"/>
  <c r="Y177" i="3"/>
  <c r="Y185" i="3"/>
  <c r="Y193" i="3"/>
  <c r="Y201" i="3"/>
  <c r="Y209" i="3"/>
  <c r="Y217" i="3"/>
  <c r="Y225" i="3"/>
  <c r="Y233" i="3"/>
  <c r="Y241" i="3"/>
  <c r="Y249" i="3"/>
  <c r="Y257" i="3"/>
  <c r="Y265" i="3"/>
  <c r="Y273" i="3"/>
  <c r="Y281" i="3"/>
  <c r="Y289" i="3"/>
  <c r="Y297" i="3"/>
  <c r="Y305" i="3"/>
  <c r="Y313" i="3"/>
  <c r="Y321" i="3"/>
  <c r="Y329" i="3"/>
  <c r="Y337" i="3"/>
  <c r="Y345" i="3"/>
  <c r="Y353" i="3"/>
  <c r="Y361" i="3"/>
  <c r="Y369" i="3"/>
  <c r="Y377" i="3"/>
  <c r="Y20" i="3"/>
  <c r="Y28" i="3"/>
  <c r="E14" i="3" s="1"/>
  <c r="Y37" i="3"/>
  <c r="Y45" i="3"/>
  <c r="Y53" i="3"/>
  <c r="Y61" i="3"/>
  <c r="Y69" i="3"/>
  <c r="Y77" i="3"/>
  <c r="Y85" i="3"/>
  <c r="Y93" i="3"/>
  <c r="Y101" i="3"/>
  <c r="Y109" i="3"/>
  <c r="Y117" i="3"/>
  <c r="Y125" i="3"/>
  <c r="Y133" i="3"/>
  <c r="Y141" i="3"/>
  <c r="Y149" i="3"/>
  <c r="Y157" i="3"/>
  <c r="Y165" i="3"/>
  <c r="Y173" i="3"/>
  <c r="Y181" i="3"/>
  <c r="Y189" i="3"/>
  <c r="Y197" i="3"/>
  <c r="Y205" i="3"/>
  <c r="Y213" i="3"/>
  <c r="Y221" i="3"/>
  <c r="Y229" i="3"/>
  <c r="Y237" i="3"/>
  <c r="Y245" i="3"/>
  <c r="Y253" i="3"/>
  <c r="Y261" i="3"/>
  <c r="Y269" i="3"/>
  <c r="Y277" i="3"/>
  <c r="Y285" i="3"/>
  <c r="Y293" i="3"/>
  <c r="Y301" i="3"/>
  <c r="Y309" i="3"/>
  <c r="Y317" i="3"/>
  <c r="Y325" i="3"/>
  <c r="Y333" i="3"/>
  <c r="Y341" i="3"/>
  <c r="Y349" i="3"/>
  <c r="Y357" i="3"/>
  <c r="Y365" i="3"/>
  <c r="Y373" i="3"/>
  <c r="Y25" i="3"/>
  <c r="E11" i="3" s="1"/>
  <c r="Y34" i="3"/>
  <c r="Y42" i="3"/>
  <c r="Y50" i="3"/>
  <c r="Y58" i="3"/>
  <c r="Y66" i="3"/>
  <c r="Y74" i="3"/>
  <c r="Y82" i="3"/>
  <c r="Y90" i="3"/>
  <c r="Y98" i="3"/>
  <c r="Y106" i="3"/>
  <c r="Y114" i="3"/>
  <c r="Y122" i="3"/>
  <c r="Y130" i="3"/>
  <c r="Y138" i="3"/>
  <c r="Y146" i="3"/>
  <c r="Y154" i="3"/>
  <c r="Y162" i="3"/>
  <c r="Y170" i="3"/>
  <c r="Y178" i="3"/>
  <c r="Y186" i="3"/>
  <c r="Y194" i="3"/>
  <c r="Y202" i="3"/>
  <c r="Y210" i="3"/>
  <c r="Y218" i="3"/>
  <c r="Y226" i="3"/>
  <c r="Y234" i="3"/>
  <c r="Y242" i="3"/>
  <c r="Y250" i="3"/>
  <c r="Y258" i="3"/>
  <c r="Y266" i="3"/>
  <c r="Y274" i="3"/>
  <c r="Y282" i="3"/>
  <c r="Y290" i="3"/>
  <c r="Y298" i="3"/>
  <c r="Y306" i="3"/>
  <c r="Y314" i="3"/>
  <c r="Y322" i="3"/>
  <c r="Y330" i="3"/>
  <c r="Y338" i="3"/>
  <c r="Y346" i="3"/>
  <c r="Y354" i="3"/>
  <c r="Y362" i="3"/>
  <c r="Y370" i="3"/>
  <c r="Y378" i="3"/>
  <c r="Y21" i="3"/>
  <c r="E7" i="3" s="1"/>
  <c r="Y54" i="3"/>
  <c r="Y86" i="3"/>
  <c r="Y118" i="3"/>
  <c r="Y150" i="3"/>
  <c r="Y182" i="3"/>
  <c r="Y214" i="3"/>
  <c r="Y246" i="3"/>
  <c r="Y278" i="3"/>
  <c r="Y310" i="3"/>
  <c r="Y342" i="3"/>
  <c r="Y374" i="3"/>
  <c r="Y46" i="3"/>
  <c r="Y78" i="3"/>
  <c r="Y110" i="3"/>
  <c r="Y142" i="3"/>
  <c r="Y174" i="3"/>
  <c r="Y206" i="3"/>
  <c r="Y238" i="3"/>
  <c r="Y270" i="3"/>
  <c r="Y302" i="3"/>
  <c r="Y334" i="3"/>
  <c r="Y366" i="3"/>
  <c r="Y38" i="3"/>
  <c r="Y70" i="3"/>
  <c r="Y102" i="3"/>
  <c r="Y134" i="3"/>
  <c r="Y166" i="3"/>
  <c r="Y198" i="3"/>
  <c r="Y230" i="3"/>
  <c r="Y262" i="3"/>
  <c r="Y294" i="3"/>
  <c r="Y326" i="3"/>
  <c r="Y358" i="3"/>
  <c r="Y30" i="3"/>
  <c r="Y62" i="3"/>
  <c r="Y94" i="3"/>
  <c r="Y126" i="3"/>
  <c r="Y158" i="3"/>
  <c r="Y190" i="3"/>
  <c r="Y222" i="3"/>
  <c r="Y254" i="3"/>
  <c r="Y286" i="3"/>
  <c r="Y318" i="3"/>
  <c r="Y350" i="3"/>
  <c r="AI23" i="3"/>
  <c r="O9" i="3" s="1"/>
  <c r="AI27" i="3"/>
  <c r="O13" i="3" s="1"/>
  <c r="AI32" i="3"/>
  <c r="AI36" i="3"/>
  <c r="AI40" i="3"/>
  <c r="AI44" i="3"/>
  <c r="AI48" i="3"/>
  <c r="AI52" i="3"/>
  <c r="AI56" i="3"/>
  <c r="AI60" i="3"/>
  <c r="AI64" i="3"/>
  <c r="AI68" i="3"/>
  <c r="AI72" i="3"/>
  <c r="AI76" i="3"/>
  <c r="AI80" i="3"/>
  <c r="AI84" i="3"/>
  <c r="AI88" i="3"/>
  <c r="AI92" i="3"/>
  <c r="AI96" i="3"/>
  <c r="AI100" i="3"/>
  <c r="AI104" i="3"/>
  <c r="AI108" i="3"/>
  <c r="AI112" i="3"/>
  <c r="AI116" i="3"/>
  <c r="AI120" i="3"/>
  <c r="AI124" i="3"/>
  <c r="AI128" i="3"/>
  <c r="AI132" i="3"/>
  <c r="AI136" i="3"/>
  <c r="AI140" i="3"/>
  <c r="AI144" i="3"/>
  <c r="AI21" i="3"/>
  <c r="O7" i="3" s="1"/>
  <c r="AI26" i="3"/>
  <c r="O12" i="3" s="1"/>
  <c r="AI33" i="3"/>
  <c r="AI38" i="3"/>
  <c r="AI43" i="3"/>
  <c r="AI49" i="3"/>
  <c r="AI54" i="3"/>
  <c r="AI59" i="3"/>
  <c r="AI65" i="3"/>
  <c r="AI70" i="3"/>
  <c r="AI75" i="3"/>
  <c r="AI81" i="3"/>
  <c r="AI86" i="3"/>
  <c r="AI91" i="3"/>
  <c r="AI97" i="3"/>
  <c r="AI102" i="3"/>
  <c r="AI107" i="3"/>
  <c r="AI113" i="3"/>
  <c r="AI118" i="3"/>
  <c r="AI123" i="3"/>
  <c r="AI129" i="3"/>
  <c r="AI134" i="3"/>
  <c r="AI139" i="3"/>
  <c r="AI145" i="3"/>
  <c r="AI149" i="3"/>
  <c r="AI153" i="3"/>
  <c r="AI157" i="3"/>
  <c r="AI161" i="3"/>
  <c r="AI165" i="3"/>
  <c r="AI169" i="3"/>
  <c r="AI173" i="3"/>
  <c r="AI177" i="3"/>
  <c r="AI181" i="3"/>
  <c r="AI185" i="3"/>
  <c r="AI189" i="3"/>
  <c r="AI193" i="3"/>
  <c r="AI197" i="3"/>
  <c r="AI201" i="3"/>
  <c r="AI205" i="3"/>
  <c r="AI209" i="3"/>
  <c r="AI213" i="3"/>
  <c r="AI217" i="3"/>
  <c r="AI221" i="3"/>
  <c r="AI225" i="3"/>
  <c r="AI229" i="3"/>
  <c r="AI233" i="3"/>
  <c r="AI237" i="3"/>
  <c r="AI241" i="3"/>
  <c r="AI245" i="3"/>
  <c r="AI249" i="3"/>
  <c r="AI253" i="3"/>
  <c r="AI257" i="3"/>
  <c r="AI261" i="3"/>
  <c r="AI265" i="3"/>
  <c r="AI269" i="3"/>
  <c r="AI273" i="3"/>
  <c r="AI277" i="3"/>
  <c r="AI281" i="3"/>
  <c r="AI285" i="3"/>
  <c r="AI289" i="3"/>
  <c r="AI293" i="3"/>
  <c r="AI297" i="3"/>
  <c r="AI301" i="3"/>
  <c r="AI305" i="3"/>
  <c r="AI309" i="3"/>
  <c r="AI313" i="3"/>
  <c r="AI317" i="3"/>
  <c r="AI321" i="3"/>
  <c r="AI325" i="3"/>
  <c r="AI329" i="3"/>
  <c r="AI333" i="3"/>
  <c r="AI337" i="3"/>
  <c r="AI341" i="3"/>
  <c r="AI345" i="3"/>
  <c r="AI349" i="3"/>
  <c r="AI353" i="3"/>
  <c r="AI357" i="3"/>
  <c r="AI361" i="3"/>
  <c r="AI365" i="3"/>
  <c r="AI369" i="3"/>
  <c r="AI373" i="3"/>
  <c r="AI377" i="3"/>
  <c r="AI20" i="3"/>
  <c r="O6" i="3" s="1"/>
  <c r="AI25" i="3"/>
  <c r="O11" i="3" s="1"/>
  <c r="AI31" i="3"/>
  <c r="AI37" i="3"/>
  <c r="AI42" i="3"/>
  <c r="AI47" i="3"/>
  <c r="AI53" i="3"/>
  <c r="AI58" i="3"/>
  <c r="AI63" i="3"/>
  <c r="AI69" i="3"/>
  <c r="AI74" i="3"/>
  <c r="AI79" i="3"/>
  <c r="AI85" i="3"/>
  <c r="AI90" i="3"/>
  <c r="AI95" i="3"/>
  <c r="AI101" i="3"/>
  <c r="AI106" i="3"/>
  <c r="AI111" i="3"/>
  <c r="AI117" i="3"/>
  <c r="AI122" i="3"/>
  <c r="AI127" i="3"/>
  <c r="AI133" i="3"/>
  <c r="AI138" i="3"/>
  <c r="AI143" i="3"/>
  <c r="AI148" i="3"/>
  <c r="AI152" i="3"/>
  <c r="AI156" i="3"/>
  <c r="AI160" i="3"/>
  <c r="AI164" i="3"/>
  <c r="AI168" i="3"/>
  <c r="AI172" i="3"/>
  <c r="AI176" i="3"/>
  <c r="AI180" i="3"/>
  <c r="AI184" i="3"/>
  <c r="AI188" i="3"/>
  <c r="AI192" i="3"/>
  <c r="AI196" i="3"/>
  <c r="AI200" i="3"/>
  <c r="AI204" i="3"/>
  <c r="AI208" i="3"/>
  <c r="AI212" i="3"/>
  <c r="AI216" i="3"/>
  <c r="AI220" i="3"/>
  <c r="AI224" i="3"/>
  <c r="AI228" i="3"/>
  <c r="AI232" i="3"/>
  <c r="AI236" i="3"/>
  <c r="AI240" i="3"/>
  <c r="AI244" i="3"/>
  <c r="AI248" i="3"/>
  <c r="AI252" i="3"/>
  <c r="AI256" i="3"/>
  <c r="AI260" i="3"/>
  <c r="AI264" i="3"/>
  <c r="AI268" i="3"/>
  <c r="AI272" i="3"/>
  <c r="AI276" i="3"/>
  <c r="AI280" i="3"/>
  <c r="AI284" i="3"/>
  <c r="AI288" i="3"/>
  <c r="AI292" i="3"/>
  <c r="AI296" i="3"/>
  <c r="AI300" i="3"/>
  <c r="AI304" i="3"/>
  <c r="AI308" i="3"/>
  <c r="AI312" i="3"/>
  <c r="AI316" i="3"/>
  <c r="AI320" i="3"/>
  <c r="AI324" i="3"/>
  <c r="AI328" i="3"/>
  <c r="AI332" i="3"/>
  <c r="AI336" i="3"/>
  <c r="AI340" i="3"/>
  <c r="AI344" i="3"/>
  <c r="AI348" i="3"/>
  <c r="AI352" i="3"/>
  <c r="AI356" i="3"/>
  <c r="AI360" i="3"/>
  <c r="AI364" i="3"/>
  <c r="AI368" i="3"/>
  <c r="AI372" i="3"/>
  <c r="AI376" i="3"/>
  <c r="AI28" i="3"/>
  <c r="O14" i="3" s="1"/>
  <c r="AI24" i="3"/>
  <c r="O10" i="3" s="1"/>
  <c r="AI30" i="3"/>
  <c r="AI35" i="3"/>
  <c r="AI41" i="3"/>
  <c r="AI46" i="3"/>
  <c r="AI51" i="3"/>
  <c r="AI57" i="3"/>
  <c r="AI62" i="3"/>
  <c r="AI67" i="3"/>
  <c r="AI73" i="3"/>
  <c r="AI78" i="3"/>
  <c r="AI83" i="3"/>
  <c r="AI89" i="3"/>
  <c r="AI94" i="3"/>
  <c r="AI99" i="3"/>
  <c r="AI105" i="3"/>
  <c r="AI110" i="3"/>
  <c r="AI115" i="3"/>
  <c r="AI121" i="3"/>
  <c r="AI126" i="3"/>
  <c r="AI131" i="3"/>
  <c r="AI137" i="3"/>
  <c r="AI142" i="3"/>
  <c r="AI147" i="3"/>
  <c r="AI151" i="3"/>
  <c r="AI155" i="3"/>
  <c r="AI159" i="3"/>
  <c r="AI163" i="3"/>
  <c r="AI167" i="3"/>
  <c r="AI171" i="3"/>
  <c r="AI175" i="3"/>
  <c r="AI179" i="3"/>
  <c r="AI183" i="3"/>
  <c r="AI187" i="3"/>
  <c r="AI191" i="3"/>
  <c r="AI195" i="3"/>
  <c r="AI199" i="3"/>
  <c r="AI203" i="3"/>
  <c r="AI207" i="3"/>
  <c r="AI211" i="3"/>
  <c r="AI215" i="3"/>
  <c r="AI219" i="3"/>
  <c r="AI223" i="3"/>
  <c r="AI227" i="3"/>
  <c r="AI231" i="3"/>
  <c r="AI235" i="3"/>
  <c r="AI239" i="3"/>
  <c r="AI243" i="3"/>
  <c r="AI247" i="3"/>
  <c r="AI251" i="3"/>
  <c r="AI255" i="3"/>
  <c r="AI259" i="3"/>
  <c r="AI263" i="3"/>
  <c r="AI267" i="3"/>
  <c r="AI271" i="3"/>
  <c r="AI275" i="3"/>
  <c r="AI279" i="3"/>
  <c r="AI283" i="3"/>
  <c r="AI287" i="3"/>
  <c r="AI291" i="3"/>
  <c r="AI295" i="3"/>
  <c r="AI299" i="3"/>
  <c r="AI303" i="3"/>
  <c r="AI307" i="3"/>
  <c r="AI311" i="3"/>
  <c r="AI315" i="3"/>
  <c r="AI319" i="3"/>
  <c r="AI323" i="3"/>
  <c r="AI327" i="3"/>
  <c r="AI331" i="3"/>
  <c r="AI335" i="3"/>
  <c r="AI339" i="3"/>
  <c r="AI343" i="3"/>
  <c r="AI347" i="3"/>
  <c r="AI351" i="3"/>
  <c r="AI355" i="3"/>
  <c r="AI359" i="3"/>
  <c r="AI363" i="3"/>
  <c r="AI367" i="3"/>
  <c r="AI371" i="3"/>
  <c r="AI375" i="3"/>
  <c r="AI379" i="3"/>
  <c r="AI22" i="3"/>
  <c r="O8" i="3" s="1"/>
  <c r="AI45" i="3"/>
  <c r="AI66" i="3"/>
  <c r="AI87" i="3"/>
  <c r="AI109" i="3"/>
  <c r="AI130" i="3"/>
  <c r="AI150" i="3"/>
  <c r="AI166" i="3"/>
  <c r="AI182" i="3"/>
  <c r="AI198" i="3"/>
  <c r="AI214" i="3"/>
  <c r="AI230" i="3"/>
  <c r="AI246" i="3"/>
  <c r="AI262" i="3"/>
  <c r="AI278" i="3"/>
  <c r="AI294" i="3"/>
  <c r="AI310" i="3"/>
  <c r="AI326" i="3"/>
  <c r="AI342" i="3"/>
  <c r="AI358" i="3"/>
  <c r="AI374" i="3"/>
  <c r="AI34" i="3"/>
  <c r="AI55" i="3"/>
  <c r="AI77" i="3"/>
  <c r="AI98" i="3"/>
  <c r="AI119" i="3"/>
  <c r="AI141" i="3"/>
  <c r="AI158" i="3"/>
  <c r="AI174" i="3"/>
  <c r="AI190" i="3"/>
  <c r="AI206" i="3"/>
  <c r="AI222" i="3"/>
  <c r="AI238" i="3"/>
  <c r="AI254" i="3"/>
  <c r="AI270" i="3"/>
  <c r="AI286" i="3"/>
  <c r="AI302" i="3"/>
  <c r="AI318" i="3"/>
  <c r="AI334" i="3"/>
  <c r="AI350" i="3"/>
  <c r="AI366" i="3"/>
  <c r="AI29" i="3"/>
  <c r="O15" i="3" s="1"/>
  <c r="AI50" i="3"/>
  <c r="AI71" i="3"/>
  <c r="AI93" i="3"/>
  <c r="AI114" i="3"/>
  <c r="AI135" i="3"/>
  <c r="AI154" i="3"/>
  <c r="AI170" i="3"/>
  <c r="AI186" i="3"/>
  <c r="AI202" i="3"/>
  <c r="AI218" i="3"/>
  <c r="AI234" i="3"/>
  <c r="AI250" i="3"/>
  <c r="AI266" i="3"/>
  <c r="AI282" i="3"/>
  <c r="AI298" i="3"/>
  <c r="AI314" i="3"/>
  <c r="AI330" i="3"/>
  <c r="AI346" i="3"/>
  <c r="AI362" i="3"/>
  <c r="AI378" i="3"/>
  <c r="AI82" i="3"/>
  <c r="AI162" i="3"/>
  <c r="AI226" i="3"/>
  <c r="AI290" i="3"/>
  <c r="AI354" i="3"/>
  <c r="AI39" i="3"/>
  <c r="AI125" i="3"/>
  <c r="AI194" i="3"/>
  <c r="AI258" i="3"/>
  <c r="AI322" i="3"/>
  <c r="AI103" i="3"/>
  <c r="AI178" i="3"/>
  <c r="AI242" i="3"/>
  <c r="AI306" i="3"/>
  <c r="AI370" i="3"/>
  <c r="AI210" i="3"/>
  <c r="AI61" i="3"/>
  <c r="AI338" i="3"/>
  <c r="AI274" i="3"/>
  <c r="AI146" i="3"/>
  <c r="AH21" i="3"/>
  <c r="N7" i="3" s="1"/>
  <c r="AH25" i="3"/>
  <c r="N11" i="3" s="1"/>
  <c r="AH30" i="3"/>
  <c r="AH34" i="3"/>
  <c r="AH38" i="3"/>
  <c r="AH42" i="3"/>
  <c r="AH46" i="3"/>
  <c r="AH50" i="3"/>
  <c r="AH54" i="3"/>
  <c r="AH58" i="3"/>
  <c r="AH62" i="3"/>
  <c r="AH66" i="3"/>
  <c r="AH70" i="3"/>
  <c r="AH74" i="3"/>
  <c r="AH78" i="3"/>
  <c r="AH82" i="3"/>
  <c r="AH86" i="3"/>
  <c r="AH90" i="3"/>
  <c r="AH94" i="3"/>
  <c r="AH98" i="3"/>
  <c r="AH102" i="3"/>
  <c r="AH106" i="3"/>
  <c r="AH110" i="3"/>
  <c r="AH114" i="3"/>
  <c r="AH118" i="3"/>
  <c r="AH122" i="3"/>
  <c r="AH126" i="3"/>
  <c r="AH130" i="3"/>
  <c r="AH134" i="3"/>
  <c r="AH138" i="3"/>
  <c r="AH142" i="3"/>
  <c r="AH146" i="3"/>
  <c r="AH150" i="3"/>
  <c r="AH154" i="3"/>
  <c r="AH158" i="3"/>
  <c r="AH162" i="3"/>
  <c r="AH166" i="3"/>
  <c r="AH170" i="3"/>
  <c r="AH174" i="3"/>
  <c r="AH178" i="3"/>
  <c r="AH182" i="3"/>
  <c r="AH186" i="3"/>
  <c r="AH190" i="3"/>
  <c r="AH194" i="3"/>
  <c r="AH198" i="3"/>
  <c r="AH202" i="3"/>
  <c r="AH206" i="3"/>
  <c r="AH210" i="3"/>
  <c r="AH214" i="3"/>
  <c r="AH218" i="3"/>
  <c r="AH222" i="3"/>
  <c r="AH226" i="3"/>
  <c r="AH230" i="3"/>
  <c r="AH234" i="3"/>
  <c r="AH238" i="3"/>
  <c r="AH242" i="3"/>
  <c r="AH246" i="3"/>
  <c r="AH250" i="3"/>
  <c r="AH254" i="3"/>
  <c r="AH258" i="3"/>
  <c r="AH262" i="3"/>
  <c r="AH266" i="3"/>
  <c r="AH270" i="3"/>
  <c r="AH274" i="3"/>
  <c r="AH278" i="3"/>
  <c r="AH282" i="3"/>
  <c r="AH286" i="3"/>
  <c r="AH290" i="3"/>
  <c r="AH294" i="3"/>
  <c r="AH298" i="3"/>
  <c r="AH302" i="3"/>
  <c r="AH306" i="3"/>
  <c r="AH310" i="3"/>
  <c r="AH314" i="3"/>
  <c r="AH318" i="3"/>
  <c r="AH322" i="3"/>
  <c r="AH326" i="3"/>
  <c r="AH330" i="3"/>
  <c r="AH334" i="3"/>
  <c r="AH338" i="3"/>
  <c r="AH342" i="3"/>
  <c r="AH346" i="3"/>
  <c r="AH350" i="3"/>
  <c r="AH354" i="3"/>
  <c r="AH358" i="3"/>
  <c r="AH362" i="3"/>
  <c r="AH366" i="3"/>
  <c r="AH370" i="3"/>
  <c r="AH374" i="3"/>
  <c r="AH378" i="3"/>
  <c r="AH24" i="3"/>
  <c r="N10" i="3" s="1"/>
  <c r="AH31" i="3"/>
  <c r="AH36" i="3"/>
  <c r="AH41" i="3"/>
  <c r="AH47" i="3"/>
  <c r="AH52" i="3"/>
  <c r="AH57" i="3"/>
  <c r="AH63" i="3"/>
  <c r="AH68" i="3"/>
  <c r="AH73" i="3"/>
  <c r="AH79" i="3"/>
  <c r="AH84" i="3"/>
  <c r="AH89" i="3"/>
  <c r="AH95" i="3"/>
  <c r="AH100" i="3"/>
  <c r="AH105" i="3"/>
  <c r="AH111" i="3"/>
  <c r="AH116" i="3"/>
  <c r="AH121" i="3"/>
  <c r="AH127" i="3"/>
  <c r="AH132" i="3"/>
  <c r="AH137" i="3"/>
  <c r="AH143" i="3"/>
  <c r="AH148" i="3"/>
  <c r="AH153" i="3"/>
  <c r="AH159" i="3"/>
  <c r="AH164" i="3"/>
  <c r="AH169" i="3"/>
  <c r="AH175" i="3"/>
  <c r="AH180" i="3"/>
  <c r="AH185" i="3"/>
  <c r="AH191" i="3"/>
  <c r="AH196" i="3"/>
  <c r="AH201" i="3"/>
  <c r="AH207" i="3"/>
  <c r="AH212" i="3"/>
  <c r="AH217" i="3"/>
  <c r="AH223" i="3"/>
  <c r="AH228" i="3"/>
  <c r="AH233" i="3"/>
  <c r="AH239" i="3"/>
  <c r="AH244" i="3"/>
  <c r="AH249" i="3"/>
  <c r="AH255" i="3"/>
  <c r="AH260" i="3"/>
  <c r="AH265" i="3"/>
  <c r="AH271" i="3"/>
  <c r="AH276" i="3"/>
  <c r="AH281" i="3"/>
  <c r="AH287" i="3"/>
  <c r="AH292" i="3"/>
  <c r="AH297" i="3"/>
  <c r="AH303" i="3"/>
  <c r="AH308" i="3"/>
  <c r="AH313" i="3"/>
  <c r="AH319" i="3"/>
  <c r="AH324" i="3"/>
  <c r="AH329" i="3"/>
  <c r="AH335" i="3"/>
  <c r="AH340" i="3"/>
  <c r="AH345" i="3"/>
  <c r="AH351" i="3"/>
  <c r="AH356" i="3"/>
  <c r="AH361" i="3"/>
  <c r="AH367" i="3"/>
  <c r="AH372" i="3"/>
  <c r="AH377" i="3"/>
  <c r="AH22" i="3"/>
  <c r="N8" i="3" s="1"/>
  <c r="AH28" i="3"/>
  <c r="N14" i="3" s="1"/>
  <c r="AH33" i="3"/>
  <c r="AH39" i="3"/>
  <c r="AH44" i="3"/>
  <c r="AH49" i="3"/>
  <c r="AH55" i="3"/>
  <c r="AH60" i="3"/>
  <c r="AH65" i="3"/>
  <c r="AH71" i="3"/>
  <c r="AH76" i="3"/>
  <c r="AH81" i="3"/>
  <c r="AH87" i="3"/>
  <c r="AH92" i="3"/>
  <c r="AH97" i="3"/>
  <c r="AH103" i="3"/>
  <c r="AH108" i="3"/>
  <c r="AH113" i="3"/>
  <c r="AH119" i="3"/>
  <c r="AH124" i="3"/>
  <c r="AH129" i="3"/>
  <c r="AH135" i="3"/>
  <c r="AH140" i="3"/>
  <c r="AH145" i="3"/>
  <c r="AH151" i="3"/>
  <c r="AH156" i="3"/>
  <c r="AH161" i="3"/>
  <c r="AH167" i="3"/>
  <c r="AH172" i="3"/>
  <c r="AH177" i="3"/>
  <c r="AH183" i="3"/>
  <c r="AH188" i="3"/>
  <c r="AH193" i="3"/>
  <c r="AH199" i="3"/>
  <c r="AH204" i="3"/>
  <c r="AH209" i="3"/>
  <c r="AH215" i="3"/>
  <c r="AH220" i="3"/>
  <c r="AH225" i="3"/>
  <c r="AH231" i="3"/>
  <c r="AH236" i="3"/>
  <c r="AH241" i="3"/>
  <c r="AH247" i="3"/>
  <c r="AH252" i="3"/>
  <c r="AH257" i="3"/>
  <c r="AH263" i="3"/>
  <c r="AH268" i="3"/>
  <c r="AH273" i="3"/>
  <c r="AH279" i="3"/>
  <c r="AH284" i="3"/>
  <c r="AH289" i="3"/>
  <c r="AH295" i="3"/>
  <c r="AH300" i="3"/>
  <c r="AH305" i="3"/>
  <c r="AH311" i="3"/>
  <c r="AH316" i="3"/>
  <c r="AH321" i="3"/>
  <c r="AH327" i="3"/>
  <c r="AH332" i="3"/>
  <c r="AH337" i="3"/>
  <c r="AH343" i="3"/>
  <c r="AH348" i="3"/>
  <c r="AH353" i="3"/>
  <c r="AH359" i="3"/>
  <c r="AH364" i="3"/>
  <c r="AH369" i="3"/>
  <c r="AH375" i="3"/>
  <c r="AH20" i="3"/>
  <c r="N6" i="3" s="1"/>
  <c r="AH26" i="3"/>
  <c r="N12" i="3" s="1"/>
  <c r="AH32" i="3"/>
  <c r="AH37" i="3"/>
  <c r="AH43" i="3"/>
  <c r="AH48" i="3"/>
  <c r="AH53" i="3"/>
  <c r="AH59" i="3"/>
  <c r="AH64" i="3"/>
  <c r="AH69" i="3"/>
  <c r="AH75" i="3"/>
  <c r="AH80" i="3"/>
  <c r="AH85" i="3"/>
  <c r="AH91" i="3"/>
  <c r="AH96" i="3"/>
  <c r="AH101" i="3"/>
  <c r="AH107" i="3"/>
  <c r="AH112" i="3"/>
  <c r="AH117" i="3"/>
  <c r="AH123" i="3"/>
  <c r="AH128" i="3"/>
  <c r="AH133" i="3"/>
  <c r="AH139" i="3"/>
  <c r="AH144" i="3"/>
  <c r="AH149" i="3"/>
  <c r="AH155" i="3"/>
  <c r="AH160" i="3"/>
  <c r="AH165" i="3"/>
  <c r="AH171" i="3"/>
  <c r="AH176" i="3"/>
  <c r="AH181" i="3"/>
  <c r="AH187" i="3"/>
  <c r="AH192" i="3"/>
  <c r="AH197" i="3"/>
  <c r="AH203" i="3"/>
  <c r="AH208" i="3"/>
  <c r="AH213" i="3"/>
  <c r="AH219" i="3"/>
  <c r="AH224" i="3"/>
  <c r="AH229" i="3"/>
  <c r="AH235" i="3"/>
  <c r="AH240" i="3"/>
  <c r="AH245" i="3"/>
  <c r="AH251" i="3"/>
  <c r="AH256" i="3"/>
  <c r="AH261" i="3"/>
  <c r="AH267" i="3"/>
  <c r="AH272" i="3"/>
  <c r="AH277" i="3"/>
  <c r="AH283" i="3"/>
  <c r="AH288" i="3"/>
  <c r="AH293" i="3"/>
  <c r="AH299" i="3"/>
  <c r="AH304" i="3"/>
  <c r="AH309" i="3"/>
  <c r="AH315" i="3"/>
  <c r="AH320" i="3"/>
  <c r="AH325" i="3"/>
  <c r="AH331" i="3"/>
  <c r="AH336" i="3"/>
  <c r="AH341" i="3"/>
  <c r="AH347" i="3"/>
  <c r="AH352" i="3"/>
  <c r="AH357" i="3"/>
  <c r="AH363" i="3"/>
  <c r="AH368" i="3"/>
  <c r="AH373" i="3"/>
  <c r="AH379" i="3"/>
  <c r="AH23" i="3"/>
  <c r="N9" i="3" s="1"/>
  <c r="AH45" i="3"/>
  <c r="AH67" i="3"/>
  <c r="AH88" i="3"/>
  <c r="AH109" i="3"/>
  <c r="AH131" i="3"/>
  <c r="AH152" i="3"/>
  <c r="AH173" i="3"/>
  <c r="AH195" i="3"/>
  <c r="AH216" i="3"/>
  <c r="AH237" i="3"/>
  <c r="AH259" i="3"/>
  <c r="AH280" i="3"/>
  <c r="AH301" i="3"/>
  <c r="AH323" i="3"/>
  <c r="AH344" i="3"/>
  <c r="AH365" i="3"/>
  <c r="AH35" i="3"/>
  <c r="AH56" i="3"/>
  <c r="AH77" i="3"/>
  <c r="AH99" i="3"/>
  <c r="AH120" i="3"/>
  <c r="AH141" i="3"/>
  <c r="AH163" i="3"/>
  <c r="AH184" i="3"/>
  <c r="AH205" i="3"/>
  <c r="AH227" i="3"/>
  <c r="AH248" i="3"/>
  <c r="AH269" i="3"/>
  <c r="AH291" i="3"/>
  <c r="AH312" i="3"/>
  <c r="AH333" i="3"/>
  <c r="AH355" i="3"/>
  <c r="AH376" i="3"/>
  <c r="AH29" i="3"/>
  <c r="N15" i="3" s="1"/>
  <c r="AH51" i="3"/>
  <c r="AH72" i="3"/>
  <c r="AH93" i="3"/>
  <c r="AH115" i="3"/>
  <c r="AH136" i="3"/>
  <c r="AH157" i="3"/>
  <c r="AH179" i="3"/>
  <c r="AH200" i="3"/>
  <c r="AH221" i="3"/>
  <c r="AH243" i="3"/>
  <c r="AH264" i="3"/>
  <c r="AH285" i="3"/>
  <c r="AH307" i="3"/>
  <c r="AH328" i="3"/>
  <c r="AH349" i="3"/>
  <c r="AH371" i="3"/>
  <c r="AH40" i="3"/>
  <c r="AH125" i="3"/>
  <c r="AH211" i="3"/>
  <c r="AH296" i="3"/>
  <c r="AH83" i="3"/>
  <c r="AH168" i="3"/>
  <c r="AH253" i="3"/>
  <c r="AH339" i="3"/>
  <c r="AH61" i="3"/>
  <c r="AH147" i="3"/>
  <c r="AH232" i="3"/>
  <c r="AH317" i="3"/>
  <c r="AH104" i="3"/>
  <c r="AH27" i="3"/>
  <c r="N13" i="3" s="1"/>
  <c r="AH360" i="3"/>
  <c r="AH275" i="3"/>
  <c r="AH189" i="3"/>
  <c r="AO21" i="3"/>
  <c r="T7" i="3" s="1"/>
  <c r="AO25" i="3"/>
  <c r="T11" i="3" s="1"/>
  <c r="AO29" i="3"/>
  <c r="T15" i="3" s="1"/>
  <c r="AO33" i="3"/>
  <c r="AO37" i="3"/>
  <c r="AO41" i="3"/>
  <c r="AO45" i="3"/>
  <c r="AO49" i="3"/>
  <c r="AO53" i="3"/>
  <c r="AO57" i="3"/>
  <c r="AO61" i="3"/>
  <c r="AO65" i="3"/>
  <c r="AO69" i="3"/>
  <c r="AO73" i="3"/>
  <c r="AO77" i="3"/>
  <c r="AO81" i="3"/>
  <c r="AO85" i="3"/>
  <c r="AO89" i="3"/>
  <c r="AO93" i="3"/>
  <c r="AO97" i="3"/>
  <c r="AO101" i="3"/>
  <c r="AO105" i="3"/>
  <c r="AO109" i="3"/>
  <c r="AO113" i="3"/>
  <c r="AO117" i="3"/>
  <c r="AO121" i="3"/>
  <c r="AO125" i="3"/>
  <c r="AO129" i="3"/>
  <c r="AO133" i="3"/>
  <c r="AO137" i="3"/>
  <c r="AO141" i="3"/>
  <c r="AO145" i="3"/>
  <c r="AO149" i="3"/>
  <c r="AO153" i="3"/>
  <c r="AO157" i="3"/>
  <c r="AO161" i="3"/>
  <c r="AO165" i="3"/>
  <c r="AO169" i="3"/>
  <c r="AO173" i="3"/>
  <c r="AO177" i="3"/>
  <c r="AO181" i="3"/>
  <c r="AO185" i="3"/>
  <c r="AO189" i="3"/>
  <c r="AO193" i="3"/>
  <c r="AO197" i="3"/>
  <c r="AO201" i="3"/>
  <c r="AO205" i="3"/>
  <c r="AO209" i="3"/>
  <c r="AO213" i="3"/>
  <c r="AO217" i="3"/>
  <c r="AO221" i="3"/>
  <c r="AO225" i="3"/>
  <c r="AO229" i="3"/>
  <c r="AO233" i="3"/>
  <c r="AO237" i="3"/>
  <c r="AO241" i="3"/>
  <c r="AO245" i="3"/>
  <c r="AO249" i="3"/>
  <c r="AO253" i="3"/>
  <c r="AO257" i="3"/>
  <c r="AO261" i="3"/>
  <c r="AO265" i="3"/>
  <c r="AO269" i="3"/>
  <c r="AO273" i="3"/>
  <c r="AO277" i="3"/>
  <c r="AO281" i="3"/>
  <c r="AO285" i="3"/>
  <c r="AO289" i="3"/>
  <c r="AO293" i="3"/>
  <c r="AO297" i="3"/>
  <c r="AO301" i="3"/>
  <c r="AO305" i="3"/>
  <c r="AO309" i="3"/>
  <c r="AO313" i="3"/>
  <c r="AO317" i="3"/>
  <c r="AO321" i="3"/>
  <c r="AO325" i="3"/>
  <c r="AO329" i="3"/>
  <c r="AO333" i="3"/>
  <c r="AO337" i="3"/>
  <c r="AO341" i="3"/>
  <c r="AO345" i="3"/>
  <c r="AO22" i="3"/>
  <c r="T8" i="3" s="1"/>
  <c r="AO27" i="3"/>
  <c r="T13" i="3" s="1"/>
  <c r="AO32" i="3"/>
  <c r="AO38" i="3"/>
  <c r="AO43" i="3"/>
  <c r="AO48" i="3"/>
  <c r="AO54" i="3"/>
  <c r="AO59" i="3"/>
  <c r="AO64" i="3"/>
  <c r="AO70" i="3"/>
  <c r="AO75" i="3"/>
  <c r="AO80" i="3"/>
  <c r="AO86" i="3"/>
  <c r="AO91" i="3"/>
  <c r="AO96" i="3"/>
  <c r="AO102" i="3"/>
  <c r="AO107" i="3"/>
  <c r="AO112" i="3"/>
  <c r="AO118" i="3"/>
  <c r="AO123" i="3"/>
  <c r="AO128" i="3"/>
  <c r="AO134" i="3"/>
  <c r="AO139" i="3"/>
  <c r="AO144" i="3"/>
  <c r="AO150" i="3"/>
  <c r="AO155" i="3"/>
  <c r="AO160" i="3"/>
  <c r="AO166" i="3"/>
  <c r="AO171" i="3"/>
  <c r="AO176" i="3"/>
  <c r="AO182" i="3"/>
  <c r="AO187" i="3"/>
  <c r="AO192" i="3"/>
  <c r="AO198" i="3"/>
  <c r="AO203" i="3"/>
  <c r="AO208" i="3"/>
  <c r="AO214" i="3"/>
  <c r="AO219" i="3"/>
  <c r="AO224" i="3"/>
  <c r="AO230" i="3"/>
  <c r="AO235" i="3"/>
  <c r="AO240" i="3"/>
  <c r="AO246" i="3"/>
  <c r="AO251" i="3"/>
  <c r="AO256" i="3"/>
  <c r="AO262" i="3"/>
  <c r="AO267" i="3"/>
  <c r="AO272" i="3"/>
  <c r="AO278" i="3"/>
  <c r="AO283" i="3"/>
  <c r="AO288" i="3"/>
  <c r="AO294" i="3"/>
  <c r="AO299" i="3"/>
  <c r="AO304" i="3"/>
  <c r="AO310" i="3"/>
  <c r="AO315" i="3"/>
  <c r="AO320" i="3"/>
  <c r="AO326" i="3"/>
  <c r="AO331" i="3"/>
  <c r="AO336" i="3"/>
  <c r="AO342" i="3"/>
  <c r="AO347" i="3"/>
  <c r="AO351" i="3"/>
  <c r="AO355" i="3"/>
  <c r="AO359" i="3"/>
  <c r="AO363" i="3"/>
  <c r="AO367" i="3"/>
  <c r="AO371" i="3"/>
  <c r="AO375" i="3"/>
  <c r="AO23" i="3"/>
  <c r="T9" i="3" s="1"/>
  <c r="AO30" i="3"/>
  <c r="AO36" i="3"/>
  <c r="AO44" i="3"/>
  <c r="AO51" i="3"/>
  <c r="AO58" i="3"/>
  <c r="AO66" i="3"/>
  <c r="AO72" i="3"/>
  <c r="AO79" i="3"/>
  <c r="AO87" i="3"/>
  <c r="AO94" i="3"/>
  <c r="AO100" i="3"/>
  <c r="AO108" i="3"/>
  <c r="AO115" i="3"/>
  <c r="AO122" i="3"/>
  <c r="AO130" i="3"/>
  <c r="AO136" i="3"/>
  <c r="AO143" i="3"/>
  <c r="AO151" i="3"/>
  <c r="AO158" i="3"/>
  <c r="AO164" i="3"/>
  <c r="AO172" i="3"/>
  <c r="AO179" i="3"/>
  <c r="AO186" i="3"/>
  <c r="AO194" i="3"/>
  <c r="AO200" i="3"/>
  <c r="AO207" i="3"/>
  <c r="AO215" i="3"/>
  <c r="AO222" i="3"/>
  <c r="AO228" i="3"/>
  <c r="AO236" i="3"/>
  <c r="AO243" i="3"/>
  <c r="AO250" i="3"/>
  <c r="AO258" i="3"/>
  <c r="AO264" i="3"/>
  <c r="AO271" i="3"/>
  <c r="AO279" i="3"/>
  <c r="AO286" i="3"/>
  <c r="AO292" i="3"/>
  <c r="AO300" i="3"/>
  <c r="AO307" i="3"/>
  <c r="AO314" i="3"/>
  <c r="AO322" i="3"/>
  <c r="AO328" i="3"/>
  <c r="AO335" i="3"/>
  <c r="AO343" i="3"/>
  <c r="AO349" i="3"/>
  <c r="AO354" i="3"/>
  <c r="AO360" i="3"/>
  <c r="AO365" i="3"/>
  <c r="AO370" i="3"/>
  <c r="AO376" i="3"/>
  <c r="AO20" i="3"/>
  <c r="T6" i="3" s="1"/>
  <c r="AO31" i="3"/>
  <c r="AO40" i="3"/>
  <c r="AO50" i="3"/>
  <c r="AO60" i="3"/>
  <c r="AO68" i="3"/>
  <c r="AO78" i="3"/>
  <c r="AO88" i="3"/>
  <c r="AO98" i="3"/>
  <c r="AO106" i="3"/>
  <c r="AO116" i="3"/>
  <c r="AO126" i="3"/>
  <c r="AO135" i="3"/>
  <c r="AO146" i="3"/>
  <c r="AO154" i="3"/>
  <c r="AO163" i="3"/>
  <c r="AO174" i="3"/>
  <c r="AO183" i="3"/>
  <c r="AO191" i="3"/>
  <c r="AO202" i="3"/>
  <c r="AO211" i="3"/>
  <c r="AO220" i="3"/>
  <c r="AO231" i="3"/>
  <c r="AO239" i="3"/>
  <c r="AO248" i="3"/>
  <c r="AO259" i="3"/>
  <c r="AO268" i="3"/>
  <c r="AO276" i="3"/>
  <c r="AO287" i="3"/>
  <c r="AO296" i="3"/>
  <c r="AO306" i="3"/>
  <c r="AO316" i="3"/>
  <c r="AO324" i="3"/>
  <c r="AO334" i="3"/>
  <c r="AO344" i="3"/>
  <c r="AO352" i="3"/>
  <c r="AO358" i="3"/>
  <c r="AO366" i="3"/>
  <c r="AO373" i="3"/>
  <c r="AO28" i="3"/>
  <c r="T14" i="3" s="1"/>
  <c r="AO39" i="3"/>
  <c r="AO47" i="3"/>
  <c r="AO56" i="3"/>
  <c r="AO67" i="3"/>
  <c r="AO76" i="3"/>
  <c r="AO84" i="3"/>
  <c r="AO95" i="3"/>
  <c r="AO104" i="3"/>
  <c r="AO114" i="3"/>
  <c r="AO124" i="3"/>
  <c r="AO132" i="3"/>
  <c r="AO142" i="3"/>
  <c r="AO152" i="3"/>
  <c r="AO162" i="3"/>
  <c r="AO170" i="3"/>
  <c r="AO180" i="3"/>
  <c r="AO190" i="3"/>
  <c r="AO199" i="3"/>
  <c r="AO210" i="3"/>
  <c r="AO218" i="3"/>
  <c r="AO227" i="3"/>
  <c r="AO238" i="3"/>
  <c r="AO247" i="3"/>
  <c r="AO255" i="3"/>
  <c r="AO266" i="3"/>
  <c r="AO275" i="3"/>
  <c r="AO284" i="3"/>
  <c r="AO295" i="3"/>
  <c r="AO303" i="3"/>
  <c r="AO312" i="3"/>
  <c r="AO323" i="3"/>
  <c r="AO332" i="3"/>
  <c r="AO340" i="3"/>
  <c r="AO350" i="3"/>
  <c r="AO357" i="3"/>
  <c r="AO364" i="3"/>
  <c r="AO372" i="3"/>
  <c r="AO378" i="3"/>
  <c r="AO26" i="3"/>
  <c r="T12" i="3" s="1"/>
  <c r="AO35" i="3"/>
  <c r="AO46" i="3"/>
  <c r="AO55" i="3"/>
  <c r="AO63" i="3"/>
  <c r="AO74" i="3"/>
  <c r="AO83" i="3"/>
  <c r="AO92" i="3"/>
  <c r="AO103" i="3"/>
  <c r="AO111" i="3"/>
  <c r="AO120" i="3"/>
  <c r="AO131" i="3"/>
  <c r="AO140" i="3"/>
  <c r="AO148" i="3"/>
  <c r="AO159" i="3"/>
  <c r="AO168" i="3"/>
  <c r="AO178" i="3"/>
  <c r="AO188" i="3"/>
  <c r="AO196" i="3"/>
  <c r="AO206" i="3"/>
  <c r="AO216" i="3"/>
  <c r="AO226" i="3"/>
  <c r="AO234" i="3"/>
  <c r="AO244" i="3"/>
  <c r="AO254" i="3"/>
  <c r="AO263" i="3"/>
  <c r="AO274" i="3"/>
  <c r="AO282" i="3"/>
  <c r="AO291" i="3"/>
  <c r="AO302" i="3"/>
  <c r="AO311" i="3"/>
  <c r="AO319" i="3"/>
  <c r="AO330" i="3"/>
  <c r="AO339" i="3"/>
  <c r="AO348" i="3"/>
  <c r="AO356" i="3"/>
  <c r="AO362" i="3"/>
  <c r="AO369" i="3"/>
  <c r="AO377" i="3"/>
  <c r="AO24" i="3"/>
  <c r="T10" i="3" s="1"/>
  <c r="AO34" i="3"/>
  <c r="AO42" i="3"/>
  <c r="AO52" i="3"/>
  <c r="AO62" i="3"/>
  <c r="AO71" i="3"/>
  <c r="AO82" i="3"/>
  <c r="AO90" i="3"/>
  <c r="AO99" i="3"/>
  <c r="AO110" i="3"/>
  <c r="AO119" i="3"/>
  <c r="AO127" i="3"/>
  <c r="AO138" i="3"/>
  <c r="AO147" i="3"/>
  <c r="AO156" i="3"/>
  <c r="AO167" i="3"/>
  <c r="AO175" i="3"/>
  <c r="AO184" i="3"/>
  <c r="AO195" i="3"/>
  <c r="AO204" i="3"/>
  <c r="AO212" i="3"/>
  <c r="AO223" i="3"/>
  <c r="AO232" i="3"/>
  <c r="AO242" i="3"/>
  <c r="AO252" i="3"/>
  <c r="AO260" i="3"/>
  <c r="AO270" i="3"/>
  <c r="AO280" i="3"/>
  <c r="AO290" i="3"/>
  <c r="AO298" i="3"/>
  <c r="AO308" i="3"/>
  <c r="AO318" i="3"/>
  <c r="AO327" i="3"/>
  <c r="AO338" i="3"/>
  <c r="AO346" i="3"/>
  <c r="AO353" i="3"/>
  <c r="AO361" i="3"/>
  <c r="AO368" i="3"/>
  <c r="AO374" i="3"/>
  <c r="AO379" i="3"/>
  <c r="W28" i="3"/>
  <c r="C14" i="3" s="1"/>
  <c r="C18" i="2" s="1"/>
  <c r="W24" i="3"/>
  <c r="C10" i="3" s="1"/>
  <c r="C14" i="2" s="1"/>
  <c r="W33" i="3"/>
  <c r="W49" i="3"/>
  <c r="W65" i="3"/>
  <c r="W81" i="3"/>
  <c r="W97" i="3"/>
  <c r="W113" i="3"/>
  <c r="W129" i="3"/>
  <c r="W145" i="3"/>
  <c r="W161" i="3"/>
  <c r="W177" i="3"/>
  <c r="W193" i="3"/>
  <c r="W209" i="3"/>
  <c r="W225" i="3"/>
  <c r="W241" i="3"/>
  <c r="W257" i="3"/>
  <c r="W273" i="3"/>
  <c r="W289" i="3"/>
  <c r="W305" i="3"/>
  <c r="W321" i="3"/>
  <c r="W337" i="3"/>
  <c r="W353" i="3"/>
  <c r="W369" i="3"/>
  <c r="W32" i="3"/>
  <c r="W48" i="3"/>
  <c r="W64" i="3"/>
  <c r="W80" i="3"/>
  <c r="W96" i="3"/>
  <c r="W112" i="3"/>
  <c r="W128" i="3"/>
  <c r="W144" i="3"/>
  <c r="W160" i="3"/>
  <c r="W176" i="3"/>
  <c r="W192" i="3"/>
  <c r="W208" i="3"/>
  <c r="W224" i="3"/>
  <c r="W240" i="3"/>
  <c r="W256" i="3"/>
  <c r="W272" i="3"/>
  <c r="W288" i="3"/>
  <c r="W304" i="3"/>
  <c r="W320" i="3"/>
  <c r="W336" i="3"/>
  <c r="W352" i="3"/>
  <c r="W368" i="3"/>
  <c r="W35" i="3"/>
  <c r="W51" i="3"/>
  <c r="W67" i="3"/>
  <c r="W83" i="3"/>
  <c r="W99" i="3"/>
  <c r="W115" i="3"/>
  <c r="W131" i="3"/>
  <c r="W147" i="3"/>
  <c r="W163" i="3"/>
  <c r="W23" i="3"/>
  <c r="C9" i="3" s="1"/>
  <c r="C13" i="2" s="1"/>
  <c r="W21" i="3"/>
  <c r="C7" i="3" s="1"/>
  <c r="C11" i="2" s="1"/>
  <c r="W41" i="3"/>
  <c r="W61" i="3"/>
  <c r="W85" i="3"/>
  <c r="W105" i="3"/>
  <c r="W125" i="3"/>
  <c r="W149" i="3"/>
  <c r="W169" i="3"/>
  <c r="W189" i="3"/>
  <c r="W213" i="3"/>
  <c r="W233" i="3"/>
  <c r="W253" i="3"/>
  <c r="W277" i="3"/>
  <c r="W297" i="3"/>
  <c r="W317" i="3"/>
  <c r="W341" i="3"/>
  <c r="W361" i="3"/>
  <c r="W20" i="3"/>
  <c r="W52" i="3"/>
  <c r="W72" i="3"/>
  <c r="W92" i="3"/>
  <c r="W116" i="3"/>
  <c r="W136" i="3"/>
  <c r="W156" i="3"/>
  <c r="W180" i="3"/>
  <c r="W200" i="3"/>
  <c r="W220" i="3"/>
  <c r="W244" i="3"/>
  <c r="W264" i="3"/>
  <c r="W284" i="3"/>
  <c r="W308" i="3"/>
  <c r="W328" i="3"/>
  <c r="W348" i="3"/>
  <c r="W372" i="3"/>
  <c r="W43" i="3"/>
  <c r="W63" i="3"/>
  <c r="W87" i="3"/>
  <c r="W107" i="3"/>
  <c r="W127" i="3"/>
  <c r="W151" i="3"/>
  <c r="W171" i="3"/>
  <c r="W187" i="3"/>
  <c r="W203" i="3"/>
  <c r="W219" i="3"/>
  <c r="W235" i="3"/>
  <c r="W251" i="3"/>
  <c r="W267" i="3"/>
  <c r="W283" i="3"/>
  <c r="W299" i="3"/>
  <c r="W315" i="3"/>
  <c r="W331" i="3"/>
  <c r="W347" i="3"/>
  <c r="W363" i="3"/>
  <c r="W379" i="3"/>
  <c r="W42" i="3"/>
  <c r="W58" i="3"/>
  <c r="W74" i="3"/>
  <c r="W90" i="3"/>
  <c r="W106" i="3"/>
  <c r="W122" i="3"/>
  <c r="W138" i="3"/>
  <c r="W154" i="3"/>
  <c r="W170" i="3"/>
  <c r="W186" i="3"/>
  <c r="W202" i="3"/>
  <c r="W218" i="3"/>
  <c r="W234" i="3"/>
  <c r="W250" i="3"/>
  <c r="W266" i="3"/>
  <c r="W282" i="3"/>
  <c r="W298" i="3"/>
  <c r="W314" i="3"/>
  <c r="W330" i="3"/>
  <c r="W346" i="3"/>
  <c r="W362" i="3"/>
  <c r="W378" i="3"/>
  <c r="W26" i="3"/>
  <c r="C12" i="3" s="1"/>
  <c r="C16" i="2" s="1"/>
  <c r="W45" i="3"/>
  <c r="W69" i="3"/>
  <c r="W89" i="3"/>
  <c r="W109" i="3"/>
  <c r="W133" i="3"/>
  <c r="W153" i="3"/>
  <c r="W173" i="3"/>
  <c r="W197" i="3"/>
  <c r="W217" i="3"/>
  <c r="W237" i="3"/>
  <c r="W261" i="3"/>
  <c r="W281" i="3"/>
  <c r="W301" i="3"/>
  <c r="W325" i="3"/>
  <c r="W345" i="3"/>
  <c r="W365" i="3"/>
  <c r="W36" i="3"/>
  <c r="W56" i="3"/>
  <c r="W76" i="3"/>
  <c r="W100" i="3"/>
  <c r="W120" i="3"/>
  <c r="W140" i="3"/>
  <c r="W164" i="3"/>
  <c r="W184" i="3"/>
  <c r="W204" i="3"/>
  <c r="W228" i="3"/>
  <c r="W248" i="3"/>
  <c r="W268" i="3"/>
  <c r="W292" i="3"/>
  <c r="W312" i="3"/>
  <c r="W332" i="3"/>
  <c r="W356" i="3"/>
  <c r="W376" i="3"/>
  <c r="W47" i="3"/>
  <c r="W71" i="3"/>
  <c r="W91" i="3"/>
  <c r="W111" i="3"/>
  <c r="W135" i="3"/>
  <c r="W155" i="3"/>
  <c r="W175" i="3"/>
  <c r="W191" i="3"/>
  <c r="W207" i="3"/>
  <c r="W223" i="3"/>
  <c r="W239" i="3"/>
  <c r="W255" i="3"/>
  <c r="W271" i="3"/>
  <c r="W287" i="3"/>
  <c r="W303" i="3"/>
  <c r="W319" i="3"/>
  <c r="W335" i="3"/>
  <c r="W351" i="3"/>
  <c r="W367" i="3"/>
  <c r="W30" i="3"/>
  <c r="W46" i="3"/>
  <c r="W62" i="3"/>
  <c r="W78" i="3"/>
  <c r="W94" i="3"/>
  <c r="W110" i="3"/>
  <c r="W126" i="3"/>
  <c r="W142" i="3"/>
  <c r="W158" i="3"/>
  <c r="W174" i="3"/>
  <c r="W190" i="3"/>
  <c r="W206" i="3"/>
  <c r="W222" i="3"/>
  <c r="W238" i="3"/>
  <c r="W254" i="3"/>
  <c r="W270" i="3"/>
  <c r="W286" i="3"/>
  <c r="W302" i="3"/>
  <c r="W318" i="3"/>
  <c r="W334" i="3"/>
  <c r="W350" i="3"/>
  <c r="W366" i="3"/>
  <c r="W29" i="3"/>
  <c r="C15" i="3" s="1"/>
  <c r="C19" i="2" s="1"/>
  <c r="W25" i="3"/>
  <c r="C11" i="3" s="1"/>
  <c r="C15" i="2" s="1"/>
  <c r="W57" i="3"/>
  <c r="W101" i="3"/>
  <c r="W141" i="3"/>
  <c r="W185" i="3"/>
  <c r="W229" i="3"/>
  <c r="W269" i="3"/>
  <c r="W313" i="3"/>
  <c r="W357" i="3"/>
  <c r="W44" i="3"/>
  <c r="W88" i="3"/>
  <c r="W132" i="3"/>
  <c r="W172" i="3"/>
  <c r="W216" i="3"/>
  <c r="W260" i="3"/>
  <c r="W300" i="3"/>
  <c r="W344" i="3"/>
  <c r="W39" i="3"/>
  <c r="W79" i="3"/>
  <c r="W123" i="3"/>
  <c r="W167" i="3"/>
  <c r="W199" i="3"/>
  <c r="W231" i="3"/>
  <c r="W263" i="3"/>
  <c r="W295" i="3"/>
  <c r="W327" i="3"/>
  <c r="W359" i="3"/>
  <c r="W38" i="3"/>
  <c r="W70" i="3"/>
  <c r="W102" i="3"/>
  <c r="W134" i="3"/>
  <c r="W166" i="3"/>
  <c r="W198" i="3"/>
  <c r="W230" i="3"/>
  <c r="W262" i="3"/>
  <c r="W294" i="3"/>
  <c r="W326" i="3"/>
  <c r="W358" i="3"/>
  <c r="W22" i="3"/>
  <c r="C8" i="3" s="1"/>
  <c r="C12" i="2" s="1"/>
  <c r="W53" i="3"/>
  <c r="W93" i="3"/>
  <c r="W137" i="3"/>
  <c r="W181" i="3"/>
  <c r="W221" i="3"/>
  <c r="W265" i="3"/>
  <c r="W309" i="3"/>
  <c r="W349" i="3"/>
  <c r="W40" i="3"/>
  <c r="W84" i="3"/>
  <c r="W124" i="3"/>
  <c r="W168" i="3"/>
  <c r="W212" i="3"/>
  <c r="W252" i="3"/>
  <c r="W296" i="3"/>
  <c r="W340" i="3"/>
  <c r="W31" i="3"/>
  <c r="W75" i="3"/>
  <c r="W119" i="3"/>
  <c r="W159" i="3"/>
  <c r="W195" i="3"/>
  <c r="W227" i="3"/>
  <c r="W259" i="3"/>
  <c r="W291" i="3"/>
  <c r="W323" i="3"/>
  <c r="W355" i="3"/>
  <c r="W34" i="3"/>
  <c r="W66" i="3"/>
  <c r="W98" i="3"/>
  <c r="W130" i="3"/>
  <c r="W162" i="3"/>
  <c r="W194" i="3"/>
  <c r="W226" i="3"/>
  <c r="W258" i="3"/>
  <c r="W290" i="3"/>
  <c r="W322" i="3"/>
  <c r="W354" i="3"/>
  <c r="W27" i="3"/>
  <c r="C13" i="3" s="1"/>
  <c r="C17" i="2" s="1"/>
  <c r="W37" i="3"/>
  <c r="W77" i="3"/>
  <c r="W121" i="3"/>
  <c r="W165" i="3"/>
  <c r="W205" i="3"/>
  <c r="W249" i="3"/>
  <c r="W293" i="3"/>
  <c r="W333" i="3"/>
  <c r="W377" i="3"/>
  <c r="W68" i="3"/>
  <c r="W108" i="3"/>
  <c r="W152" i="3"/>
  <c r="W196" i="3"/>
  <c r="W236" i="3"/>
  <c r="W280" i="3"/>
  <c r="W324" i="3"/>
  <c r="W364" i="3"/>
  <c r="W59" i="3"/>
  <c r="W103" i="3"/>
  <c r="W143" i="3"/>
  <c r="W183" i="3"/>
  <c r="W215" i="3"/>
  <c r="W247" i="3"/>
  <c r="W279" i="3"/>
  <c r="W311" i="3"/>
  <c r="W343" i="3"/>
  <c r="W375" i="3"/>
  <c r="W54" i="3"/>
  <c r="W86" i="3"/>
  <c r="W118" i="3"/>
  <c r="W150" i="3"/>
  <c r="W182" i="3"/>
  <c r="W214" i="3"/>
  <c r="W246" i="3"/>
  <c r="W278" i="3"/>
  <c r="W310" i="3"/>
  <c r="W342" i="3"/>
  <c r="W374" i="3"/>
  <c r="W73" i="3"/>
  <c r="W117" i="3"/>
  <c r="W157" i="3"/>
  <c r="W201" i="3"/>
  <c r="W245" i="3"/>
  <c r="W285" i="3"/>
  <c r="W329" i="3"/>
  <c r="W373" i="3"/>
  <c r="W60" i="3"/>
  <c r="W104" i="3"/>
  <c r="W148" i="3"/>
  <c r="W188" i="3"/>
  <c r="W232" i="3"/>
  <c r="W276" i="3"/>
  <c r="W316" i="3"/>
  <c r="W360" i="3"/>
  <c r="W55" i="3"/>
  <c r="W95" i="3"/>
  <c r="W139" i="3"/>
  <c r="W179" i="3"/>
  <c r="W211" i="3"/>
  <c r="W243" i="3"/>
  <c r="W275" i="3"/>
  <c r="W307" i="3"/>
  <c r="W339" i="3"/>
  <c r="W371" i="3"/>
  <c r="W50" i="3"/>
  <c r="W82" i="3"/>
  <c r="W114" i="3"/>
  <c r="W146" i="3"/>
  <c r="W178" i="3"/>
  <c r="W210" i="3"/>
  <c r="W242" i="3"/>
  <c r="W274" i="3"/>
  <c r="W306" i="3"/>
  <c r="W338" i="3"/>
  <c r="W370" i="3"/>
  <c r="AF26" i="3"/>
  <c r="L12" i="3" s="1"/>
  <c r="AF22" i="3"/>
  <c r="L8" i="3" s="1"/>
  <c r="AF27" i="3"/>
  <c r="L13" i="3" s="1"/>
  <c r="AF31" i="3"/>
  <c r="AF35" i="3"/>
  <c r="AF39" i="3"/>
  <c r="AF43" i="3"/>
  <c r="AF47" i="3"/>
  <c r="AF51" i="3"/>
  <c r="AF55" i="3"/>
  <c r="AF59" i="3"/>
  <c r="AF63" i="3"/>
  <c r="AF67" i="3"/>
  <c r="AF71" i="3"/>
  <c r="AF75" i="3"/>
  <c r="AF79" i="3"/>
  <c r="AF83" i="3"/>
  <c r="AF87" i="3"/>
  <c r="AF91" i="3"/>
  <c r="AF95" i="3"/>
  <c r="AF99" i="3"/>
  <c r="AF103" i="3"/>
  <c r="AF107" i="3"/>
  <c r="AF111" i="3"/>
  <c r="AF115" i="3"/>
  <c r="AF119" i="3"/>
  <c r="AF123" i="3"/>
  <c r="AF127" i="3"/>
  <c r="AF131" i="3"/>
  <c r="AF135" i="3"/>
  <c r="AF139" i="3"/>
  <c r="AF143" i="3"/>
  <c r="AF147" i="3"/>
  <c r="AF151" i="3"/>
  <c r="AF155" i="3"/>
  <c r="AF159" i="3"/>
  <c r="AF163" i="3"/>
  <c r="AF167" i="3"/>
  <c r="AF171" i="3"/>
  <c r="AF175" i="3"/>
  <c r="AF179" i="3"/>
  <c r="AF183" i="3"/>
  <c r="AF187" i="3"/>
  <c r="AF191" i="3"/>
  <c r="AF195" i="3"/>
  <c r="AF199" i="3"/>
  <c r="AF203" i="3"/>
  <c r="AF207" i="3"/>
  <c r="AF211" i="3"/>
  <c r="AF215" i="3"/>
  <c r="AF219" i="3"/>
  <c r="AF223" i="3"/>
  <c r="AF227" i="3"/>
  <c r="AF231" i="3"/>
  <c r="AF235" i="3"/>
  <c r="AF239" i="3"/>
  <c r="AF243" i="3"/>
  <c r="AF247" i="3"/>
  <c r="AF251" i="3"/>
  <c r="AF255" i="3"/>
  <c r="AF259" i="3"/>
  <c r="AF263" i="3"/>
  <c r="AF267" i="3"/>
  <c r="AF271" i="3"/>
  <c r="AF275" i="3"/>
  <c r="AF279" i="3"/>
  <c r="AF283" i="3"/>
  <c r="AF287" i="3"/>
  <c r="AF291" i="3"/>
  <c r="AF295" i="3"/>
  <c r="AF299" i="3"/>
  <c r="AF303" i="3"/>
  <c r="AF307" i="3"/>
  <c r="AF311" i="3"/>
  <c r="AF315" i="3"/>
  <c r="AF319" i="3"/>
  <c r="AF323" i="3"/>
  <c r="AF327" i="3"/>
  <c r="AF331" i="3"/>
  <c r="AF335" i="3"/>
  <c r="AF339" i="3"/>
  <c r="AF343" i="3"/>
  <c r="AF347" i="3"/>
  <c r="AF351" i="3"/>
  <c r="AF355" i="3"/>
  <c r="AF359" i="3"/>
  <c r="AF363" i="3"/>
  <c r="AF367" i="3"/>
  <c r="AF371" i="3"/>
  <c r="AF375" i="3"/>
  <c r="AF379" i="3"/>
  <c r="AF21" i="3"/>
  <c r="L7" i="3" s="1"/>
  <c r="AF28" i="3"/>
  <c r="L14" i="3" s="1"/>
  <c r="AF33" i="3"/>
  <c r="AF38" i="3"/>
  <c r="AF44" i="3"/>
  <c r="AF49" i="3"/>
  <c r="AF54" i="3"/>
  <c r="AF60" i="3"/>
  <c r="AF65" i="3"/>
  <c r="AF70" i="3"/>
  <c r="AF76" i="3"/>
  <c r="AF81" i="3"/>
  <c r="AF86" i="3"/>
  <c r="AF92" i="3"/>
  <c r="AF97" i="3"/>
  <c r="AF102" i="3"/>
  <c r="AF108" i="3"/>
  <c r="AF113" i="3"/>
  <c r="AF118" i="3"/>
  <c r="AF124" i="3"/>
  <c r="AF129" i="3"/>
  <c r="AF134" i="3"/>
  <c r="AF140" i="3"/>
  <c r="AF145" i="3"/>
  <c r="AF150" i="3"/>
  <c r="AF156" i="3"/>
  <c r="AF161" i="3"/>
  <c r="AF166" i="3"/>
  <c r="AF172" i="3"/>
  <c r="AF177" i="3"/>
  <c r="AF182" i="3"/>
  <c r="AF188" i="3"/>
  <c r="AF193" i="3"/>
  <c r="AF198" i="3"/>
  <c r="AF204" i="3"/>
  <c r="AF209" i="3"/>
  <c r="AF214" i="3"/>
  <c r="AF220" i="3"/>
  <c r="AF225" i="3"/>
  <c r="AF230" i="3"/>
  <c r="AF236" i="3"/>
  <c r="AF241" i="3"/>
  <c r="AF246" i="3"/>
  <c r="AF252" i="3"/>
  <c r="AF257" i="3"/>
  <c r="AF262" i="3"/>
  <c r="AF268" i="3"/>
  <c r="AF273" i="3"/>
  <c r="AF278" i="3"/>
  <c r="AF284" i="3"/>
  <c r="AF289" i="3"/>
  <c r="AF294" i="3"/>
  <c r="AF300" i="3"/>
  <c r="AF305" i="3"/>
  <c r="AF310" i="3"/>
  <c r="AF316" i="3"/>
  <c r="AF321" i="3"/>
  <c r="AF326" i="3"/>
  <c r="AF332" i="3"/>
  <c r="AF337" i="3"/>
  <c r="AF342" i="3"/>
  <c r="AF348" i="3"/>
  <c r="AF353" i="3"/>
  <c r="AF358" i="3"/>
  <c r="AF364" i="3"/>
  <c r="AF369" i="3"/>
  <c r="AF374" i="3"/>
  <c r="AF24" i="3"/>
  <c r="L10" i="3" s="1"/>
  <c r="AF30" i="3"/>
  <c r="AF36" i="3"/>
  <c r="AF41" i="3"/>
  <c r="AF46" i="3"/>
  <c r="AF52" i="3"/>
  <c r="AF57" i="3"/>
  <c r="AF62" i="3"/>
  <c r="AF68" i="3"/>
  <c r="AF73" i="3"/>
  <c r="AF78" i="3"/>
  <c r="AF84" i="3"/>
  <c r="AF89" i="3"/>
  <c r="AF94" i="3"/>
  <c r="AF100" i="3"/>
  <c r="AF105" i="3"/>
  <c r="AF110" i="3"/>
  <c r="AF116" i="3"/>
  <c r="AF121" i="3"/>
  <c r="AF126" i="3"/>
  <c r="AF132" i="3"/>
  <c r="AF137" i="3"/>
  <c r="AF142" i="3"/>
  <c r="AF148" i="3"/>
  <c r="AF153" i="3"/>
  <c r="AF158" i="3"/>
  <c r="AF164" i="3"/>
  <c r="AF169" i="3"/>
  <c r="AF174" i="3"/>
  <c r="AF180" i="3"/>
  <c r="AF185" i="3"/>
  <c r="AF190" i="3"/>
  <c r="AF196" i="3"/>
  <c r="AF201" i="3"/>
  <c r="AF206" i="3"/>
  <c r="AF212" i="3"/>
  <c r="AF217" i="3"/>
  <c r="AF222" i="3"/>
  <c r="AF228" i="3"/>
  <c r="AF233" i="3"/>
  <c r="AF238" i="3"/>
  <c r="AF244" i="3"/>
  <c r="AF249" i="3"/>
  <c r="AF254" i="3"/>
  <c r="AF260" i="3"/>
  <c r="AF265" i="3"/>
  <c r="AF270" i="3"/>
  <c r="AF276" i="3"/>
  <c r="AF281" i="3"/>
  <c r="AF286" i="3"/>
  <c r="AF292" i="3"/>
  <c r="AF297" i="3"/>
  <c r="AF302" i="3"/>
  <c r="AF308" i="3"/>
  <c r="AF313" i="3"/>
  <c r="AF318" i="3"/>
  <c r="AF324" i="3"/>
  <c r="AF329" i="3"/>
  <c r="AF334" i="3"/>
  <c r="AF340" i="3"/>
  <c r="AF345" i="3"/>
  <c r="AF350" i="3"/>
  <c r="AF356" i="3"/>
  <c r="AF361" i="3"/>
  <c r="AF366" i="3"/>
  <c r="AF372" i="3"/>
  <c r="AF377" i="3"/>
  <c r="AF23" i="3"/>
  <c r="L9" i="3" s="1"/>
  <c r="AF29" i="3"/>
  <c r="L15" i="3" s="1"/>
  <c r="AF34" i="3"/>
  <c r="AF40" i="3"/>
  <c r="AF45" i="3"/>
  <c r="AF50" i="3"/>
  <c r="AF56" i="3"/>
  <c r="AF61" i="3"/>
  <c r="AF66" i="3"/>
  <c r="AF72" i="3"/>
  <c r="AF77" i="3"/>
  <c r="AF82" i="3"/>
  <c r="AF88" i="3"/>
  <c r="AF93" i="3"/>
  <c r="AF98" i="3"/>
  <c r="AF104" i="3"/>
  <c r="AF109" i="3"/>
  <c r="AF114" i="3"/>
  <c r="AF120" i="3"/>
  <c r="AF125" i="3"/>
  <c r="AF130" i="3"/>
  <c r="AF136" i="3"/>
  <c r="AF141" i="3"/>
  <c r="AF146" i="3"/>
  <c r="AF152" i="3"/>
  <c r="AF157" i="3"/>
  <c r="AF162" i="3"/>
  <c r="AF168" i="3"/>
  <c r="AF173" i="3"/>
  <c r="AF178" i="3"/>
  <c r="AF184" i="3"/>
  <c r="AF189" i="3"/>
  <c r="AF194" i="3"/>
  <c r="AF200" i="3"/>
  <c r="AF205" i="3"/>
  <c r="AF210" i="3"/>
  <c r="AF216" i="3"/>
  <c r="AF221" i="3"/>
  <c r="AF226" i="3"/>
  <c r="AF232" i="3"/>
  <c r="AF237" i="3"/>
  <c r="AF242" i="3"/>
  <c r="AF248" i="3"/>
  <c r="AF253" i="3"/>
  <c r="AF258" i="3"/>
  <c r="AF264" i="3"/>
  <c r="AF269" i="3"/>
  <c r="AF274" i="3"/>
  <c r="AF280" i="3"/>
  <c r="AF285" i="3"/>
  <c r="AF290" i="3"/>
  <c r="AF296" i="3"/>
  <c r="AF301" i="3"/>
  <c r="AF306" i="3"/>
  <c r="AF312" i="3"/>
  <c r="AF317" i="3"/>
  <c r="AF322" i="3"/>
  <c r="AF328" i="3"/>
  <c r="AF333" i="3"/>
  <c r="AF338" i="3"/>
  <c r="AF344" i="3"/>
  <c r="AF349" i="3"/>
  <c r="AF354" i="3"/>
  <c r="AF360" i="3"/>
  <c r="AF365" i="3"/>
  <c r="AF370" i="3"/>
  <c r="AF376" i="3"/>
  <c r="AF25" i="3"/>
  <c r="L11" i="3" s="1"/>
  <c r="AF48" i="3"/>
  <c r="AF69" i="3"/>
  <c r="AF90" i="3"/>
  <c r="AF112" i="3"/>
  <c r="AF133" i="3"/>
  <c r="AF154" i="3"/>
  <c r="AF176" i="3"/>
  <c r="AF197" i="3"/>
  <c r="AF218" i="3"/>
  <c r="AF240" i="3"/>
  <c r="AF261" i="3"/>
  <c r="AF282" i="3"/>
  <c r="AF304" i="3"/>
  <c r="AF325" i="3"/>
  <c r="AF346" i="3"/>
  <c r="AF368" i="3"/>
  <c r="AF20" i="3"/>
  <c r="L6" i="3" s="1"/>
  <c r="AF42" i="3"/>
  <c r="AF64" i="3"/>
  <c r="AF85" i="3"/>
  <c r="AF106" i="3"/>
  <c r="AF128" i="3"/>
  <c r="AF149" i="3"/>
  <c r="AF170" i="3"/>
  <c r="AF192" i="3"/>
  <c r="AF213" i="3"/>
  <c r="AF234" i="3"/>
  <c r="AF256" i="3"/>
  <c r="AF277" i="3"/>
  <c r="AF298" i="3"/>
  <c r="AF320" i="3"/>
  <c r="AF341" i="3"/>
  <c r="AF362" i="3"/>
  <c r="AF37" i="3"/>
  <c r="AF58" i="3"/>
  <c r="AF80" i="3"/>
  <c r="AF101" i="3"/>
  <c r="AF122" i="3"/>
  <c r="AF144" i="3"/>
  <c r="AF165" i="3"/>
  <c r="AF186" i="3"/>
  <c r="AF208" i="3"/>
  <c r="AF229" i="3"/>
  <c r="AF250" i="3"/>
  <c r="AF272" i="3"/>
  <c r="AF293" i="3"/>
  <c r="AF314" i="3"/>
  <c r="AF336" i="3"/>
  <c r="AF357" i="3"/>
  <c r="AF378" i="3"/>
  <c r="AF32" i="3"/>
  <c r="AF53" i="3"/>
  <c r="AF74" i="3"/>
  <c r="AF96" i="3"/>
  <c r="AF117" i="3"/>
  <c r="AF138" i="3"/>
  <c r="AF160" i="3"/>
  <c r="AF181" i="3"/>
  <c r="AF202" i="3"/>
  <c r="AF224" i="3"/>
  <c r="AF245" i="3"/>
  <c r="AF266" i="3"/>
  <c r="AF288" i="3"/>
  <c r="AF309" i="3"/>
  <c r="AF330" i="3"/>
  <c r="AF352" i="3"/>
  <c r="AF373" i="3"/>
  <c r="Z27" i="3"/>
  <c r="F13" i="3" s="1"/>
  <c r="Z22" i="3"/>
  <c r="F8" i="3" s="1"/>
  <c r="Z26" i="3"/>
  <c r="F12" i="3" s="1"/>
  <c r="Z31" i="3"/>
  <c r="Z35" i="3"/>
  <c r="Z39" i="3"/>
  <c r="Z43" i="3"/>
  <c r="Z47" i="3"/>
  <c r="Z51" i="3"/>
  <c r="Z55" i="3"/>
  <c r="Z59" i="3"/>
  <c r="Z63" i="3"/>
  <c r="Z67" i="3"/>
  <c r="Z71" i="3"/>
  <c r="Z75" i="3"/>
  <c r="Z79" i="3"/>
  <c r="Z83" i="3"/>
  <c r="Z87" i="3"/>
  <c r="Z91" i="3"/>
  <c r="Z95" i="3"/>
  <c r="Z99" i="3"/>
  <c r="Z103" i="3"/>
  <c r="Z107" i="3"/>
  <c r="Z111" i="3"/>
  <c r="Z115" i="3"/>
  <c r="Z119" i="3"/>
  <c r="Z123" i="3"/>
  <c r="Z127" i="3"/>
  <c r="Z131" i="3"/>
  <c r="Z135" i="3"/>
  <c r="Z139" i="3"/>
  <c r="Z143" i="3"/>
  <c r="Z147" i="3"/>
  <c r="Z151" i="3"/>
  <c r="Z155" i="3"/>
  <c r="Z159" i="3"/>
  <c r="Z163" i="3"/>
  <c r="Z167" i="3"/>
  <c r="Z171" i="3"/>
  <c r="Z175" i="3"/>
  <c r="Z179" i="3"/>
  <c r="Z183" i="3"/>
  <c r="Z187" i="3"/>
  <c r="Z191" i="3"/>
  <c r="Z195" i="3"/>
  <c r="Z199" i="3"/>
  <c r="Z203" i="3"/>
  <c r="Z207" i="3"/>
  <c r="Z211" i="3"/>
  <c r="Z215" i="3"/>
  <c r="Z219" i="3"/>
  <c r="Z223" i="3"/>
  <c r="Z227" i="3"/>
  <c r="Z231" i="3"/>
  <c r="Z235" i="3"/>
  <c r="Z239" i="3"/>
  <c r="Z243" i="3"/>
  <c r="Z247" i="3"/>
  <c r="Z251" i="3"/>
  <c r="Z255" i="3"/>
  <c r="Z259" i="3"/>
  <c r="Z263" i="3"/>
  <c r="Z267" i="3"/>
  <c r="Z271" i="3"/>
  <c r="Z275" i="3"/>
  <c r="Z279" i="3"/>
  <c r="Z283" i="3"/>
  <c r="Z287" i="3"/>
  <c r="Z291" i="3"/>
  <c r="Z295" i="3"/>
  <c r="Z299" i="3"/>
  <c r="Z303" i="3"/>
  <c r="Z307" i="3"/>
  <c r="Z311" i="3"/>
  <c r="Z315" i="3"/>
  <c r="Z319" i="3"/>
  <c r="Z323" i="3"/>
  <c r="Z327" i="3"/>
  <c r="Z331" i="3"/>
  <c r="Z335" i="3"/>
  <c r="Z339" i="3"/>
  <c r="Z343" i="3"/>
  <c r="Z347" i="3"/>
  <c r="Z351" i="3"/>
  <c r="Z355" i="3"/>
  <c r="Z359" i="3"/>
  <c r="Z363" i="3"/>
  <c r="Z367" i="3"/>
  <c r="Z371" i="3"/>
  <c r="Z375" i="3"/>
  <c r="Z379" i="3"/>
  <c r="Z24" i="3"/>
  <c r="F10" i="3" s="1"/>
  <c r="Z30" i="3"/>
  <c r="Z36" i="3"/>
  <c r="Z41" i="3"/>
  <c r="Z46" i="3"/>
  <c r="Z52" i="3"/>
  <c r="Z57" i="3"/>
  <c r="Z62" i="3"/>
  <c r="Z68" i="3"/>
  <c r="Z73" i="3"/>
  <c r="Z78" i="3"/>
  <c r="Z84" i="3"/>
  <c r="Z89" i="3"/>
  <c r="Z94" i="3"/>
  <c r="Z100" i="3"/>
  <c r="Z105" i="3"/>
  <c r="Z110" i="3"/>
  <c r="Z116" i="3"/>
  <c r="Z121" i="3"/>
  <c r="Z126" i="3"/>
  <c r="Z132" i="3"/>
  <c r="Z137" i="3"/>
  <c r="Z142" i="3"/>
  <c r="Z148" i="3"/>
  <c r="Z153" i="3"/>
  <c r="Z158" i="3"/>
  <c r="Z164" i="3"/>
  <c r="Z169" i="3"/>
  <c r="Z174" i="3"/>
  <c r="Z180" i="3"/>
  <c r="Z185" i="3"/>
  <c r="Z190" i="3"/>
  <c r="Z196" i="3"/>
  <c r="Z201" i="3"/>
  <c r="Z206" i="3"/>
  <c r="Z212" i="3"/>
  <c r="Z217" i="3"/>
  <c r="Z222" i="3"/>
  <c r="Z228" i="3"/>
  <c r="Z233" i="3"/>
  <c r="Z238" i="3"/>
  <c r="Z244" i="3"/>
  <c r="Z249" i="3"/>
  <c r="Z254" i="3"/>
  <c r="Z260" i="3"/>
  <c r="Z265" i="3"/>
  <c r="Z270" i="3"/>
  <c r="Z276" i="3"/>
  <c r="Z281" i="3"/>
  <c r="Z286" i="3"/>
  <c r="Z292" i="3"/>
  <c r="Z297" i="3"/>
  <c r="Z302" i="3"/>
  <c r="Z308" i="3"/>
  <c r="Z313" i="3"/>
  <c r="Z318" i="3"/>
  <c r="Z324" i="3"/>
  <c r="Z329" i="3"/>
  <c r="Z334" i="3"/>
  <c r="Z340" i="3"/>
  <c r="Z345" i="3"/>
  <c r="Z350" i="3"/>
  <c r="Z356" i="3"/>
  <c r="Z361" i="3"/>
  <c r="Z366" i="3"/>
  <c r="Z372" i="3"/>
  <c r="Z377" i="3"/>
  <c r="Z21" i="3"/>
  <c r="F7" i="3" s="1"/>
  <c r="Z28" i="3"/>
  <c r="F14" i="3" s="1"/>
  <c r="Z33" i="3"/>
  <c r="Z38" i="3"/>
  <c r="Z44" i="3"/>
  <c r="Z49" i="3"/>
  <c r="Z54" i="3"/>
  <c r="Z60" i="3"/>
  <c r="Z65" i="3"/>
  <c r="Z70" i="3"/>
  <c r="Z76" i="3"/>
  <c r="Z81" i="3"/>
  <c r="Z86" i="3"/>
  <c r="Z92" i="3"/>
  <c r="Z97" i="3"/>
  <c r="Z102" i="3"/>
  <c r="Z108" i="3"/>
  <c r="Z113" i="3"/>
  <c r="Z118" i="3"/>
  <c r="Z124" i="3"/>
  <c r="Z129" i="3"/>
  <c r="Z134" i="3"/>
  <c r="Z140" i="3"/>
  <c r="Z145" i="3"/>
  <c r="Z150" i="3"/>
  <c r="Z156" i="3"/>
  <c r="Z161" i="3"/>
  <c r="Z166" i="3"/>
  <c r="Z172" i="3"/>
  <c r="Z177" i="3"/>
  <c r="Z182" i="3"/>
  <c r="Z188" i="3"/>
  <c r="Z193" i="3"/>
  <c r="Z198" i="3"/>
  <c r="Z204" i="3"/>
  <c r="Z209" i="3"/>
  <c r="Z214" i="3"/>
  <c r="Z220" i="3"/>
  <c r="Z225" i="3"/>
  <c r="Z230" i="3"/>
  <c r="Z236" i="3"/>
  <c r="Z241" i="3"/>
  <c r="Z246" i="3"/>
  <c r="Z252" i="3"/>
  <c r="Z257" i="3"/>
  <c r="Z262" i="3"/>
  <c r="Z268" i="3"/>
  <c r="Z273" i="3"/>
  <c r="Z278" i="3"/>
  <c r="Z284" i="3"/>
  <c r="Z289" i="3"/>
  <c r="Z294" i="3"/>
  <c r="Z300" i="3"/>
  <c r="Z305" i="3"/>
  <c r="Z310" i="3"/>
  <c r="Z316" i="3"/>
  <c r="Z321" i="3"/>
  <c r="Z326" i="3"/>
  <c r="Z332" i="3"/>
  <c r="Z337" i="3"/>
  <c r="Z342" i="3"/>
  <c r="Z348" i="3"/>
  <c r="Z353" i="3"/>
  <c r="Z358" i="3"/>
  <c r="Z364" i="3"/>
  <c r="Z369" i="3"/>
  <c r="Z374" i="3"/>
  <c r="Z20" i="3"/>
  <c r="Z25" i="3"/>
  <c r="F11" i="3" s="1"/>
  <c r="Z32" i="3"/>
  <c r="Z37" i="3"/>
  <c r="Z42" i="3"/>
  <c r="Z48" i="3"/>
  <c r="Z53" i="3"/>
  <c r="Z58" i="3"/>
  <c r="Z64" i="3"/>
  <c r="Z69" i="3"/>
  <c r="Z74" i="3"/>
  <c r="Z80" i="3"/>
  <c r="Z85" i="3"/>
  <c r="Z90" i="3"/>
  <c r="Z96" i="3"/>
  <c r="Z101" i="3"/>
  <c r="Z106" i="3"/>
  <c r="Z112" i="3"/>
  <c r="Z117" i="3"/>
  <c r="Z122" i="3"/>
  <c r="Z128" i="3"/>
  <c r="Z133" i="3"/>
  <c r="Z138" i="3"/>
  <c r="Z144" i="3"/>
  <c r="Z149" i="3"/>
  <c r="Z154" i="3"/>
  <c r="Z160" i="3"/>
  <c r="Z165" i="3"/>
  <c r="Z170" i="3"/>
  <c r="Z176" i="3"/>
  <c r="Z181" i="3"/>
  <c r="Z186" i="3"/>
  <c r="Z192" i="3"/>
  <c r="Z197" i="3"/>
  <c r="Z202" i="3"/>
  <c r="Z208" i="3"/>
  <c r="Z213" i="3"/>
  <c r="Z218" i="3"/>
  <c r="Z224" i="3"/>
  <c r="Z229" i="3"/>
  <c r="Z234" i="3"/>
  <c r="Z240" i="3"/>
  <c r="Z245" i="3"/>
  <c r="Z250" i="3"/>
  <c r="Z256" i="3"/>
  <c r="Z261" i="3"/>
  <c r="Z266" i="3"/>
  <c r="Z272" i="3"/>
  <c r="Z277" i="3"/>
  <c r="Z282" i="3"/>
  <c r="Z288" i="3"/>
  <c r="Z293" i="3"/>
  <c r="Z298" i="3"/>
  <c r="Z304" i="3"/>
  <c r="Z309" i="3"/>
  <c r="Z314" i="3"/>
  <c r="Z320" i="3"/>
  <c r="Z325" i="3"/>
  <c r="Z330" i="3"/>
  <c r="Z336" i="3"/>
  <c r="Z341" i="3"/>
  <c r="Z346" i="3"/>
  <c r="Z352" i="3"/>
  <c r="Z357" i="3"/>
  <c r="Z362" i="3"/>
  <c r="Z368" i="3"/>
  <c r="Z373" i="3"/>
  <c r="Z378" i="3"/>
  <c r="Z23" i="3"/>
  <c r="F9" i="3" s="1"/>
  <c r="Z45" i="3"/>
  <c r="Z66" i="3"/>
  <c r="Z88" i="3"/>
  <c r="Z109" i="3"/>
  <c r="Z130" i="3"/>
  <c r="Z152" i="3"/>
  <c r="Z173" i="3"/>
  <c r="Z194" i="3"/>
  <c r="Z216" i="3"/>
  <c r="Z237" i="3"/>
  <c r="Z258" i="3"/>
  <c r="Z280" i="3"/>
  <c r="Z301" i="3"/>
  <c r="Z322" i="3"/>
  <c r="Z344" i="3"/>
  <c r="Z365" i="3"/>
  <c r="Z34" i="3"/>
  <c r="Z56" i="3"/>
  <c r="Z77" i="3"/>
  <c r="Z98" i="3"/>
  <c r="Z120" i="3"/>
  <c r="Z141" i="3"/>
  <c r="Z162" i="3"/>
  <c r="Z184" i="3"/>
  <c r="Z205" i="3"/>
  <c r="Z226" i="3"/>
  <c r="Z248" i="3"/>
  <c r="Z269" i="3"/>
  <c r="Z290" i="3"/>
  <c r="Z312" i="3"/>
  <c r="Z333" i="3"/>
  <c r="Z354" i="3"/>
  <c r="Z376" i="3"/>
  <c r="Z29" i="3"/>
  <c r="F15" i="3" s="1"/>
  <c r="Z50" i="3"/>
  <c r="Z72" i="3"/>
  <c r="Z93" i="3"/>
  <c r="Z114" i="3"/>
  <c r="Z136" i="3"/>
  <c r="Z157" i="3"/>
  <c r="Z178" i="3"/>
  <c r="Z200" i="3"/>
  <c r="Z221" i="3"/>
  <c r="Z242" i="3"/>
  <c r="Z264" i="3"/>
  <c r="Z285" i="3"/>
  <c r="Z306" i="3"/>
  <c r="Z328" i="3"/>
  <c r="Z349" i="3"/>
  <c r="Z370" i="3"/>
  <c r="Z104" i="3"/>
  <c r="Z189" i="3"/>
  <c r="Z274" i="3"/>
  <c r="Z360" i="3"/>
  <c r="Z61" i="3"/>
  <c r="Z146" i="3"/>
  <c r="Z232" i="3"/>
  <c r="Z317" i="3"/>
  <c r="Z40" i="3"/>
  <c r="Z125" i="3"/>
  <c r="Z210" i="3"/>
  <c r="Z296" i="3"/>
  <c r="Z82" i="3"/>
  <c r="Z338" i="3"/>
  <c r="Z253" i="3"/>
  <c r="Z168" i="3"/>
  <c r="AR28" i="3"/>
  <c r="W14" i="3" s="1"/>
  <c r="AR23" i="3"/>
  <c r="W9" i="3" s="1"/>
  <c r="AR27" i="3"/>
  <c r="W13" i="3" s="1"/>
  <c r="AR25" i="3"/>
  <c r="W11" i="3" s="1"/>
  <c r="AR24" i="3"/>
  <c r="W10" i="3" s="1"/>
  <c r="AR21" i="3"/>
  <c r="W7" i="3" s="1"/>
  <c r="AR29" i="3"/>
  <c r="W15" i="3" s="1"/>
  <c r="AR26" i="3"/>
  <c r="W12" i="3" s="1"/>
  <c r="AR22" i="3"/>
  <c r="W8" i="3" s="1"/>
  <c r="AR88" i="3"/>
  <c r="AR152" i="3"/>
  <c r="AR216" i="3"/>
  <c r="AR280" i="3"/>
  <c r="AR344" i="3"/>
  <c r="AR55" i="3"/>
  <c r="AR119" i="3"/>
  <c r="AR183" i="3"/>
  <c r="AR247" i="3"/>
  <c r="AR311" i="3"/>
  <c r="AR375" i="3"/>
  <c r="AR80" i="3"/>
  <c r="AR144" i="3"/>
  <c r="AR208" i="3"/>
  <c r="AR272" i="3"/>
  <c r="AR336" i="3"/>
  <c r="AR47" i="3"/>
  <c r="AR111" i="3"/>
  <c r="AR175" i="3"/>
  <c r="AR239" i="3"/>
  <c r="AR303" i="3"/>
  <c r="AR367" i="3"/>
  <c r="AR52" i="3"/>
  <c r="AR84" i="3"/>
  <c r="AR116" i="3"/>
  <c r="AR148" i="3"/>
  <c r="AR180" i="3"/>
  <c r="AR212" i="3"/>
  <c r="AR244" i="3"/>
  <c r="AR276" i="3"/>
  <c r="AR308" i="3"/>
  <c r="AR340" i="3"/>
  <c r="AR372" i="3"/>
  <c r="AR59" i="3"/>
  <c r="AR91" i="3"/>
  <c r="AR123" i="3"/>
  <c r="AR155" i="3"/>
  <c r="AR187" i="3"/>
  <c r="AR219" i="3"/>
  <c r="AR251" i="3"/>
  <c r="AR283" i="3"/>
  <c r="AR315" i="3"/>
  <c r="AR347" i="3"/>
  <c r="AR379" i="3"/>
  <c r="AR42" i="3"/>
  <c r="AR58" i="3"/>
  <c r="AR74" i="3"/>
  <c r="AR90" i="3"/>
  <c r="AR106" i="3"/>
  <c r="AR122" i="3"/>
  <c r="AR138" i="3"/>
  <c r="AR154" i="3"/>
  <c r="AR170" i="3"/>
  <c r="AR186" i="3"/>
  <c r="AR202" i="3"/>
  <c r="AR218" i="3"/>
  <c r="AR234" i="3"/>
  <c r="AR250" i="3"/>
  <c r="AR266" i="3"/>
  <c r="AR282" i="3"/>
  <c r="AR298" i="3"/>
  <c r="AR314" i="3"/>
  <c r="AR330" i="3"/>
  <c r="AR346" i="3"/>
  <c r="AR362" i="3"/>
  <c r="AR378" i="3"/>
  <c r="AR45" i="3"/>
  <c r="AR61" i="3"/>
  <c r="AR77" i="3"/>
  <c r="AR93" i="3"/>
  <c r="AR109" i="3"/>
  <c r="AR125" i="3"/>
  <c r="AR141" i="3"/>
  <c r="AR157" i="3"/>
  <c r="AR173" i="3"/>
  <c r="AR189" i="3"/>
  <c r="AR205" i="3"/>
  <c r="AR221" i="3"/>
  <c r="AR237" i="3"/>
  <c r="AR253" i="3"/>
  <c r="AR269" i="3"/>
  <c r="AR285" i="3"/>
  <c r="AR301" i="3"/>
  <c r="AR317" i="3"/>
  <c r="AR333" i="3"/>
  <c r="AR349" i="3"/>
  <c r="AR365" i="3"/>
  <c r="AR72" i="3"/>
  <c r="AR136" i="3"/>
  <c r="AR200" i="3"/>
  <c r="AR264" i="3"/>
  <c r="AR328" i="3"/>
  <c r="AR39" i="3"/>
  <c r="AR103" i="3"/>
  <c r="AR167" i="3"/>
  <c r="AR231" i="3"/>
  <c r="AR295" i="3"/>
  <c r="AR359" i="3"/>
  <c r="AR64" i="3"/>
  <c r="AR128" i="3"/>
  <c r="AR192" i="3"/>
  <c r="AR256" i="3"/>
  <c r="AR320" i="3"/>
  <c r="AR31" i="3"/>
  <c r="AR95" i="3"/>
  <c r="AR159" i="3"/>
  <c r="AR223" i="3"/>
  <c r="AR287" i="3"/>
  <c r="AR351" i="3"/>
  <c r="AR44" i="3"/>
  <c r="AR76" i="3"/>
  <c r="AR108" i="3"/>
  <c r="AR140" i="3"/>
  <c r="AR172" i="3"/>
  <c r="AR204" i="3"/>
  <c r="AR236" i="3"/>
  <c r="AR268" i="3"/>
  <c r="AR300" i="3"/>
  <c r="AR332" i="3"/>
  <c r="AR364" i="3"/>
  <c r="AR51" i="3"/>
  <c r="AR83" i="3"/>
  <c r="AR115" i="3"/>
  <c r="AR147" i="3"/>
  <c r="AR179" i="3"/>
  <c r="AR211" i="3"/>
  <c r="AR243" i="3"/>
  <c r="AR275" i="3"/>
  <c r="AR307" i="3"/>
  <c r="AR339" i="3"/>
  <c r="AR371" i="3"/>
  <c r="AR38" i="3"/>
  <c r="AR54" i="3"/>
  <c r="AR70" i="3"/>
  <c r="AR86" i="3"/>
  <c r="AR102" i="3"/>
  <c r="AR118" i="3"/>
  <c r="AR134" i="3"/>
  <c r="AR150" i="3"/>
  <c r="AR166" i="3"/>
  <c r="AR182" i="3"/>
  <c r="AR198" i="3"/>
  <c r="AR214" i="3"/>
  <c r="AR230" i="3"/>
  <c r="AR246" i="3"/>
  <c r="AR262" i="3"/>
  <c r="AR278" i="3"/>
  <c r="AR294" i="3"/>
  <c r="AR310" i="3"/>
  <c r="AR326" i="3"/>
  <c r="AR342" i="3"/>
  <c r="AR358" i="3"/>
  <c r="AR374" i="3"/>
  <c r="AR41" i="3"/>
  <c r="AR57" i="3"/>
  <c r="AR73" i="3"/>
  <c r="AR89" i="3"/>
  <c r="AR105" i="3"/>
  <c r="AR121" i="3"/>
  <c r="AR137" i="3"/>
  <c r="AR153" i="3"/>
  <c r="AR169" i="3"/>
  <c r="AR185" i="3"/>
  <c r="AR201" i="3"/>
  <c r="AR217" i="3"/>
  <c r="AR233" i="3"/>
  <c r="AR249" i="3"/>
  <c r="AR265" i="3"/>
  <c r="AR281" i="3"/>
  <c r="AR297" i="3"/>
  <c r="AR313" i="3"/>
  <c r="AR329" i="3"/>
  <c r="AR345" i="3"/>
  <c r="AR361" i="3"/>
  <c r="AR377" i="3"/>
  <c r="AR40" i="3"/>
  <c r="AR168" i="3"/>
  <c r="AR296" i="3"/>
  <c r="AR71" i="3"/>
  <c r="AR199" i="3"/>
  <c r="AR327" i="3"/>
  <c r="AR96" i="3"/>
  <c r="AR224" i="3"/>
  <c r="AR352" i="3"/>
  <c r="AR127" i="3"/>
  <c r="AR255" i="3"/>
  <c r="AR20" i="3"/>
  <c r="W6" i="3" s="1"/>
  <c r="AR92" i="3"/>
  <c r="AR156" i="3"/>
  <c r="AR220" i="3"/>
  <c r="AR284" i="3"/>
  <c r="AR348" i="3"/>
  <c r="AR67" i="3"/>
  <c r="AR131" i="3"/>
  <c r="AR195" i="3"/>
  <c r="AR259" i="3"/>
  <c r="AR323" i="3"/>
  <c r="AR30" i="3"/>
  <c r="AR62" i="3"/>
  <c r="AR94" i="3"/>
  <c r="AR126" i="3"/>
  <c r="AR158" i="3"/>
  <c r="AR190" i="3"/>
  <c r="AR222" i="3"/>
  <c r="AR254" i="3"/>
  <c r="AR286" i="3"/>
  <c r="AR318" i="3"/>
  <c r="AR350" i="3"/>
  <c r="AR33" i="3"/>
  <c r="AR65" i="3"/>
  <c r="AR97" i="3"/>
  <c r="AR129" i="3"/>
  <c r="AR161" i="3"/>
  <c r="AR193" i="3"/>
  <c r="AR225" i="3"/>
  <c r="AR257" i="3"/>
  <c r="AR289" i="3"/>
  <c r="AR321" i="3"/>
  <c r="AR353" i="3"/>
  <c r="AR120" i="3"/>
  <c r="AR248" i="3"/>
  <c r="AR376" i="3"/>
  <c r="AR151" i="3"/>
  <c r="AR279" i="3"/>
  <c r="AR48" i="3"/>
  <c r="AR176" i="3"/>
  <c r="AR304" i="3"/>
  <c r="AR79" i="3"/>
  <c r="AR207" i="3"/>
  <c r="AR335" i="3"/>
  <c r="AR68" i="3"/>
  <c r="AR132" i="3"/>
  <c r="AR196" i="3"/>
  <c r="AR260" i="3"/>
  <c r="AR324" i="3"/>
  <c r="AR43" i="3"/>
  <c r="AR107" i="3"/>
  <c r="AR171" i="3"/>
  <c r="AR235" i="3"/>
  <c r="AR299" i="3"/>
  <c r="AR363" i="3"/>
  <c r="AR50" i="3"/>
  <c r="AR82" i="3"/>
  <c r="AR114" i="3"/>
  <c r="AR146" i="3"/>
  <c r="AR178" i="3"/>
  <c r="AR210" i="3"/>
  <c r="AR242" i="3"/>
  <c r="AR274" i="3"/>
  <c r="AR306" i="3"/>
  <c r="AR338" i="3"/>
  <c r="AR370" i="3"/>
  <c r="AR53" i="3"/>
  <c r="AR85" i="3"/>
  <c r="AR117" i="3"/>
  <c r="AR149" i="3"/>
  <c r="AR181" i="3"/>
  <c r="AR213" i="3"/>
  <c r="AR245" i="3"/>
  <c r="AR277" i="3"/>
  <c r="AR309" i="3"/>
  <c r="AR341" i="3"/>
  <c r="AR373" i="3"/>
  <c r="AR104" i="3"/>
  <c r="AR232" i="3"/>
  <c r="AR360" i="3"/>
  <c r="AR135" i="3"/>
  <c r="AR263" i="3"/>
  <c r="AR32" i="3"/>
  <c r="AR160" i="3"/>
  <c r="AR288" i="3"/>
  <c r="AR63" i="3"/>
  <c r="AR191" i="3"/>
  <c r="AR319" i="3"/>
  <c r="AR60" i="3"/>
  <c r="AR124" i="3"/>
  <c r="AR188" i="3"/>
  <c r="AR252" i="3"/>
  <c r="AR316" i="3"/>
  <c r="AR35" i="3"/>
  <c r="AR99" i="3"/>
  <c r="AR163" i="3"/>
  <c r="AR227" i="3"/>
  <c r="AR291" i="3"/>
  <c r="AR355" i="3"/>
  <c r="AR46" i="3"/>
  <c r="AR78" i="3"/>
  <c r="AR110" i="3"/>
  <c r="AR142" i="3"/>
  <c r="AR174" i="3"/>
  <c r="AR206" i="3"/>
  <c r="AR238" i="3"/>
  <c r="AR270" i="3"/>
  <c r="AR302" i="3"/>
  <c r="AR334" i="3"/>
  <c r="AR366" i="3"/>
  <c r="AR49" i="3"/>
  <c r="AR81" i="3"/>
  <c r="AR113" i="3"/>
  <c r="AR145" i="3"/>
  <c r="AR177" i="3"/>
  <c r="AR209" i="3"/>
  <c r="AR241" i="3"/>
  <c r="AR273" i="3"/>
  <c r="AR305" i="3"/>
  <c r="AR337" i="3"/>
  <c r="AR369" i="3"/>
  <c r="AR56" i="3"/>
  <c r="AR184" i="3"/>
  <c r="AR312" i="3"/>
  <c r="AR87" i="3"/>
  <c r="AR215" i="3"/>
  <c r="AR343" i="3"/>
  <c r="AR112" i="3"/>
  <c r="AR240" i="3"/>
  <c r="AR368" i="3"/>
  <c r="AR143" i="3"/>
  <c r="AR271" i="3"/>
  <c r="AR36" i="3"/>
  <c r="AR100" i="3"/>
  <c r="AR164" i="3"/>
  <c r="AR228" i="3"/>
  <c r="AR292" i="3"/>
  <c r="AR356" i="3"/>
  <c r="AR75" i="3"/>
  <c r="AR139" i="3"/>
  <c r="AR203" i="3"/>
  <c r="AR267" i="3"/>
  <c r="AR331" i="3"/>
  <c r="AR34" i="3"/>
  <c r="AR66" i="3"/>
  <c r="AR98" i="3"/>
  <c r="AR130" i="3"/>
  <c r="AR162" i="3"/>
  <c r="AR194" i="3"/>
  <c r="AR226" i="3"/>
  <c r="AR258" i="3"/>
  <c r="AR290" i="3"/>
  <c r="AR322" i="3"/>
  <c r="AR354" i="3"/>
  <c r="AR37" i="3"/>
  <c r="AR69" i="3"/>
  <c r="AR101" i="3"/>
  <c r="AR133" i="3"/>
  <c r="AR165" i="3"/>
  <c r="AR197" i="3"/>
  <c r="AR229" i="3"/>
  <c r="AR261" i="3"/>
  <c r="AR293" i="3"/>
  <c r="AR325" i="3"/>
  <c r="AR357" i="3"/>
  <c r="AQ27" i="3"/>
  <c r="V13" i="3" s="1"/>
  <c r="AQ25" i="3"/>
  <c r="V11" i="3" s="1"/>
  <c r="AQ26" i="3"/>
  <c r="V12" i="3" s="1"/>
  <c r="AQ49" i="3"/>
  <c r="AQ113" i="3"/>
  <c r="AQ177" i="3"/>
  <c r="AQ241" i="3"/>
  <c r="AQ305" i="3"/>
  <c r="AQ369" i="3"/>
  <c r="AQ80" i="3"/>
  <c r="AQ144" i="3"/>
  <c r="AQ208" i="3"/>
  <c r="AQ272" i="3"/>
  <c r="AQ336" i="3"/>
  <c r="AQ57" i="3"/>
  <c r="AQ121" i="3"/>
  <c r="AQ185" i="3"/>
  <c r="AQ249" i="3"/>
  <c r="AQ313" i="3"/>
  <c r="AQ377" i="3"/>
  <c r="AQ88" i="3"/>
  <c r="AQ152" i="3"/>
  <c r="AQ216" i="3"/>
  <c r="AQ280" i="3"/>
  <c r="AQ344" i="3"/>
  <c r="AQ45" i="3"/>
  <c r="AQ77" i="3"/>
  <c r="AQ109" i="3"/>
  <c r="AQ141" i="3"/>
  <c r="AQ173" i="3"/>
  <c r="AQ205" i="3"/>
  <c r="AQ237" i="3"/>
  <c r="AQ269" i="3"/>
  <c r="AQ301" i="3"/>
  <c r="AQ333" i="3"/>
  <c r="AQ365" i="3"/>
  <c r="AQ44" i="3"/>
  <c r="AQ76" i="3"/>
  <c r="AQ108" i="3"/>
  <c r="AQ140" i="3"/>
  <c r="AQ172" i="3"/>
  <c r="AQ204" i="3"/>
  <c r="AQ236" i="3"/>
  <c r="AQ268" i="3"/>
  <c r="AQ300" i="3"/>
  <c r="AQ332" i="3"/>
  <c r="AQ364" i="3"/>
  <c r="AQ39" i="3"/>
  <c r="AQ55" i="3"/>
  <c r="AQ71" i="3"/>
  <c r="AQ87" i="3"/>
  <c r="AQ103" i="3"/>
  <c r="AQ119" i="3"/>
  <c r="AQ135" i="3"/>
  <c r="AQ151" i="3"/>
  <c r="AQ167" i="3"/>
  <c r="AQ183" i="3"/>
  <c r="AQ199" i="3"/>
  <c r="AQ215" i="3"/>
  <c r="AQ231" i="3"/>
  <c r="AQ247" i="3"/>
  <c r="AQ263" i="3"/>
  <c r="AQ279" i="3"/>
  <c r="AQ295" i="3"/>
  <c r="AQ311" i="3"/>
  <c r="AQ327" i="3"/>
  <c r="AQ343" i="3"/>
  <c r="AQ359" i="3"/>
  <c r="AQ375" i="3"/>
  <c r="AQ38" i="3"/>
  <c r="AQ54" i="3"/>
  <c r="AQ70" i="3"/>
  <c r="AQ86" i="3"/>
  <c r="AQ102" i="3"/>
  <c r="AQ118" i="3"/>
  <c r="AQ134" i="3"/>
  <c r="AQ150" i="3"/>
  <c r="AQ166" i="3"/>
  <c r="AQ182" i="3"/>
  <c r="AQ198" i="3"/>
  <c r="AQ214" i="3"/>
  <c r="AQ230" i="3"/>
  <c r="AQ246" i="3"/>
  <c r="AQ262" i="3"/>
  <c r="AQ278" i="3"/>
  <c r="AQ294" i="3"/>
  <c r="AQ310" i="3"/>
  <c r="AQ326" i="3"/>
  <c r="AQ342" i="3"/>
  <c r="AQ358" i="3"/>
  <c r="AQ374" i="3"/>
  <c r="AQ24" i="3"/>
  <c r="V10" i="3" s="1"/>
  <c r="AQ23" i="3"/>
  <c r="V9" i="3" s="1"/>
  <c r="AQ33" i="3"/>
  <c r="AQ97" i="3"/>
  <c r="AQ161" i="3"/>
  <c r="AQ225" i="3"/>
  <c r="AQ289" i="3"/>
  <c r="AQ353" i="3"/>
  <c r="AQ64" i="3"/>
  <c r="AQ128" i="3"/>
  <c r="AQ192" i="3"/>
  <c r="AQ256" i="3"/>
  <c r="AQ320" i="3"/>
  <c r="AQ41" i="3"/>
  <c r="AQ105" i="3"/>
  <c r="AQ169" i="3"/>
  <c r="AQ233" i="3"/>
  <c r="AQ297" i="3"/>
  <c r="AQ361" i="3"/>
  <c r="AQ72" i="3"/>
  <c r="AQ136" i="3"/>
  <c r="AQ200" i="3"/>
  <c r="AQ264" i="3"/>
  <c r="AQ328" i="3"/>
  <c r="AQ37" i="3"/>
  <c r="AQ69" i="3"/>
  <c r="AQ101" i="3"/>
  <c r="AQ133" i="3"/>
  <c r="AQ165" i="3"/>
  <c r="AQ197" i="3"/>
  <c r="AQ229" i="3"/>
  <c r="AQ261" i="3"/>
  <c r="AQ293" i="3"/>
  <c r="AQ325" i="3"/>
  <c r="AQ357" i="3"/>
  <c r="AQ36" i="3"/>
  <c r="AQ68" i="3"/>
  <c r="AQ100" i="3"/>
  <c r="AQ132" i="3"/>
  <c r="AQ164" i="3"/>
  <c r="AQ196" i="3"/>
  <c r="AQ228" i="3"/>
  <c r="AQ260" i="3"/>
  <c r="AQ292" i="3"/>
  <c r="AQ324" i="3"/>
  <c r="AQ356" i="3"/>
  <c r="AQ35" i="3"/>
  <c r="AQ51" i="3"/>
  <c r="AQ67" i="3"/>
  <c r="AQ83" i="3"/>
  <c r="AQ99" i="3"/>
  <c r="AQ115" i="3"/>
  <c r="AQ131" i="3"/>
  <c r="AQ147" i="3"/>
  <c r="AQ163" i="3"/>
  <c r="AQ179" i="3"/>
  <c r="AQ195" i="3"/>
  <c r="AQ211" i="3"/>
  <c r="AQ227" i="3"/>
  <c r="AQ243" i="3"/>
  <c r="AQ259" i="3"/>
  <c r="AQ275" i="3"/>
  <c r="AQ291" i="3"/>
  <c r="AQ307" i="3"/>
  <c r="AQ323" i="3"/>
  <c r="AQ339" i="3"/>
  <c r="AQ355" i="3"/>
  <c r="AQ371" i="3"/>
  <c r="AQ34" i="3"/>
  <c r="AQ50" i="3"/>
  <c r="AQ66" i="3"/>
  <c r="AQ82" i="3"/>
  <c r="AQ98" i="3"/>
  <c r="AQ114" i="3"/>
  <c r="AQ130" i="3"/>
  <c r="AQ146" i="3"/>
  <c r="AQ162" i="3"/>
  <c r="AQ178" i="3"/>
  <c r="AQ194" i="3"/>
  <c r="AQ210" i="3"/>
  <c r="AQ226" i="3"/>
  <c r="AQ242" i="3"/>
  <c r="AQ258" i="3"/>
  <c r="AQ274" i="3"/>
  <c r="AQ290" i="3"/>
  <c r="AQ306" i="3"/>
  <c r="AQ322" i="3"/>
  <c r="AQ338" i="3"/>
  <c r="AQ354" i="3"/>
  <c r="AQ370" i="3"/>
  <c r="AQ29" i="3"/>
  <c r="V15" i="3" s="1"/>
  <c r="AQ22" i="3"/>
  <c r="V8" i="3" s="1"/>
  <c r="AQ145" i="3"/>
  <c r="AQ273" i="3"/>
  <c r="AQ48" i="3"/>
  <c r="AQ176" i="3"/>
  <c r="AQ304" i="3"/>
  <c r="AQ89" i="3"/>
  <c r="AQ217" i="3"/>
  <c r="AQ345" i="3"/>
  <c r="AQ120" i="3"/>
  <c r="AQ248" i="3"/>
  <c r="AQ376" i="3"/>
  <c r="AQ93" i="3"/>
  <c r="AQ157" i="3"/>
  <c r="AQ221" i="3"/>
  <c r="AQ285" i="3"/>
  <c r="AQ349" i="3"/>
  <c r="AQ60" i="3"/>
  <c r="AQ124" i="3"/>
  <c r="AQ188" i="3"/>
  <c r="AQ252" i="3"/>
  <c r="AQ316" i="3"/>
  <c r="AQ31" i="3"/>
  <c r="AQ63" i="3"/>
  <c r="AQ95" i="3"/>
  <c r="AQ127" i="3"/>
  <c r="AQ159" i="3"/>
  <c r="AQ191" i="3"/>
  <c r="AQ223" i="3"/>
  <c r="AQ255" i="3"/>
  <c r="AQ287" i="3"/>
  <c r="AQ319" i="3"/>
  <c r="AQ351" i="3"/>
  <c r="AQ30" i="3"/>
  <c r="AQ62" i="3"/>
  <c r="AQ94" i="3"/>
  <c r="AQ126" i="3"/>
  <c r="AQ158" i="3"/>
  <c r="AQ190" i="3"/>
  <c r="AQ222" i="3"/>
  <c r="AQ254" i="3"/>
  <c r="AQ286" i="3"/>
  <c r="AQ318" i="3"/>
  <c r="AQ350" i="3"/>
  <c r="AQ21" i="3"/>
  <c r="V7" i="3" s="1"/>
  <c r="AQ129" i="3"/>
  <c r="AQ257" i="3"/>
  <c r="AQ32" i="3"/>
  <c r="AQ160" i="3"/>
  <c r="AQ288" i="3"/>
  <c r="AQ73" i="3"/>
  <c r="AQ201" i="3"/>
  <c r="AQ329" i="3"/>
  <c r="AQ104" i="3"/>
  <c r="AQ232" i="3"/>
  <c r="AQ360" i="3"/>
  <c r="AQ85" i="3"/>
  <c r="AQ149" i="3"/>
  <c r="AQ213" i="3"/>
  <c r="AQ277" i="3"/>
  <c r="AQ341" i="3"/>
  <c r="AQ52" i="3"/>
  <c r="AQ116" i="3"/>
  <c r="AQ180" i="3"/>
  <c r="AQ244" i="3"/>
  <c r="AQ308" i="3"/>
  <c r="AQ372" i="3"/>
  <c r="AQ59" i="3"/>
  <c r="AQ91" i="3"/>
  <c r="AQ123" i="3"/>
  <c r="AQ155" i="3"/>
  <c r="AQ187" i="3"/>
  <c r="AQ219" i="3"/>
  <c r="AQ251" i="3"/>
  <c r="AQ283" i="3"/>
  <c r="AQ315" i="3"/>
  <c r="AQ347" i="3"/>
  <c r="AQ379" i="3"/>
  <c r="AQ58" i="3"/>
  <c r="AQ90" i="3"/>
  <c r="AQ122" i="3"/>
  <c r="AQ154" i="3"/>
  <c r="AQ186" i="3"/>
  <c r="AQ218" i="3"/>
  <c r="AQ250" i="3"/>
  <c r="AQ282" i="3"/>
  <c r="AQ314" i="3"/>
  <c r="AQ346" i="3"/>
  <c r="AQ378" i="3"/>
  <c r="AQ28" i="3"/>
  <c r="V14" i="3" s="1"/>
  <c r="AQ65" i="3"/>
  <c r="AQ321" i="3"/>
  <c r="AQ224" i="3"/>
  <c r="AQ137" i="3"/>
  <c r="AQ40" i="3"/>
  <c r="AQ296" i="3"/>
  <c r="AQ117" i="3"/>
  <c r="AQ245" i="3"/>
  <c r="AQ373" i="3"/>
  <c r="AQ148" i="3"/>
  <c r="AQ276" i="3"/>
  <c r="AQ43" i="3"/>
  <c r="AQ107" i="3"/>
  <c r="AQ171" i="3"/>
  <c r="AQ235" i="3"/>
  <c r="AQ299" i="3"/>
  <c r="AQ363" i="3"/>
  <c r="AQ74" i="3"/>
  <c r="AQ138" i="3"/>
  <c r="AQ202" i="3"/>
  <c r="AQ266" i="3"/>
  <c r="AQ330" i="3"/>
  <c r="AQ209" i="3"/>
  <c r="AQ112" i="3"/>
  <c r="AQ368" i="3"/>
  <c r="AQ281" i="3"/>
  <c r="AQ184" i="3"/>
  <c r="AQ61" i="3"/>
  <c r="AQ189" i="3"/>
  <c r="AQ317" i="3"/>
  <c r="AQ92" i="3"/>
  <c r="AQ220" i="3"/>
  <c r="AQ348" i="3"/>
  <c r="AQ79" i="3"/>
  <c r="AQ143" i="3"/>
  <c r="AQ207" i="3"/>
  <c r="AQ271" i="3"/>
  <c r="AQ335" i="3"/>
  <c r="AQ46" i="3"/>
  <c r="AQ110" i="3"/>
  <c r="AQ174" i="3"/>
  <c r="AQ238" i="3"/>
  <c r="AQ302" i="3"/>
  <c r="AQ366" i="3"/>
  <c r="AQ193" i="3"/>
  <c r="AQ96" i="3"/>
  <c r="AQ352" i="3"/>
  <c r="AQ265" i="3"/>
  <c r="AQ168" i="3"/>
  <c r="AQ53" i="3"/>
  <c r="AQ181" i="3"/>
  <c r="AQ309" i="3"/>
  <c r="AQ84" i="3"/>
  <c r="AQ212" i="3"/>
  <c r="AQ340" i="3"/>
  <c r="AQ75" i="3"/>
  <c r="AQ139" i="3"/>
  <c r="AQ203" i="3"/>
  <c r="AQ267" i="3"/>
  <c r="AQ331" i="3"/>
  <c r="AQ42" i="3"/>
  <c r="AQ106" i="3"/>
  <c r="AQ170" i="3"/>
  <c r="AQ234" i="3"/>
  <c r="AQ298" i="3"/>
  <c r="AQ362" i="3"/>
  <c r="AQ81" i="3"/>
  <c r="AQ337" i="3"/>
  <c r="AQ240" i="3"/>
  <c r="AQ153" i="3"/>
  <c r="AQ56" i="3"/>
  <c r="AQ312" i="3"/>
  <c r="AQ125" i="3"/>
  <c r="AQ253" i="3"/>
  <c r="AQ20" i="3"/>
  <c r="V6" i="3" s="1"/>
  <c r="AQ156" i="3"/>
  <c r="AQ284" i="3"/>
  <c r="AQ47" i="3"/>
  <c r="AQ111" i="3"/>
  <c r="AQ175" i="3"/>
  <c r="AQ239" i="3"/>
  <c r="AQ303" i="3"/>
  <c r="AQ367" i="3"/>
  <c r="AQ78" i="3"/>
  <c r="AQ142" i="3"/>
  <c r="AQ206" i="3"/>
  <c r="AQ270" i="3"/>
  <c r="AQ334" i="3"/>
  <c r="AM25" i="3"/>
  <c r="R11" i="3" s="1"/>
  <c r="AM27" i="3"/>
  <c r="R13" i="3" s="1"/>
  <c r="AM22" i="3"/>
  <c r="R8" i="3" s="1"/>
  <c r="AM28" i="3"/>
  <c r="R14" i="3" s="1"/>
  <c r="AM32" i="3"/>
  <c r="AM36" i="3"/>
  <c r="AM40" i="3"/>
  <c r="AM44" i="3"/>
  <c r="AM48" i="3"/>
  <c r="AM52" i="3"/>
  <c r="AM56" i="3"/>
  <c r="AM60" i="3"/>
  <c r="AM64" i="3"/>
  <c r="AM68" i="3"/>
  <c r="AM72" i="3"/>
  <c r="AM76" i="3"/>
  <c r="AM80" i="3"/>
  <c r="AM84" i="3"/>
  <c r="AM88" i="3"/>
  <c r="AM92" i="3"/>
  <c r="AM96" i="3"/>
  <c r="AM100" i="3"/>
  <c r="AM104" i="3"/>
  <c r="AM108" i="3"/>
  <c r="AM112" i="3"/>
  <c r="AM116" i="3"/>
  <c r="AM21" i="3"/>
  <c r="R7" i="3" s="1"/>
  <c r="AM26" i="3"/>
  <c r="R12" i="3" s="1"/>
  <c r="AM31" i="3"/>
  <c r="AM35" i="3"/>
  <c r="AM39" i="3"/>
  <c r="AM43" i="3"/>
  <c r="AM47" i="3"/>
  <c r="AM51" i="3"/>
  <c r="AM55" i="3"/>
  <c r="AM59" i="3"/>
  <c r="AM63" i="3"/>
  <c r="AM67" i="3"/>
  <c r="AM71" i="3"/>
  <c r="AM75" i="3"/>
  <c r="AM79" i="3"/>
  <c r="AM83" i="3"/>
  <c r="AM87" i="3"/>
  <c r="AM91" i="3"/>
  <c r="AM95" i="3"/>
  <c r="AM99" i="3"/>
  <c r="AM103" i="3"/>
  <c r="AM107" i="3"/>
  <c r="AM111" i="3"/>
  <c r="AM115" i="3"/>
  <c r="AM119" i="3"/>
  <c r="AM23" i="3"/>
  <c r="R9" i="3" s="1"/>
  <c r="AM33" i="3"/>
  <c r="AM41" i="3"/>
  <c r="AM49" i="3"/>
  <c r="AM57" i="3"/>
  <c r="AM65" i="3"/>
  <c r="AM73" i="3"/>
  <c r="AM81" i="3"/>
  <c r="AM89" i="3"/>
  <c r="AM97" i="3"/>
  <c r="AM105" i="3"/>
  <c r="AM113" i="3"/>
  <c r="AM29" i="3"/>
  <c r="R15" i="3" s="1"/>
  <c r="AM37" i="3"/>
  <c r="AM45" i="3"/>
  <c r="AM53" i="3"/>
  <c r="AM61" i="3"/>
  <c r="AM69" i="3"/>
  <c r="AM77" i="3"/>
  <c r="AM85" i="3"/>
  <c r="AM93" i="3"/>
  <c r="AM101" i="3"/>
  <c r="AM109" i="3"/>
  <c r="AM117" i="3"/>
  <c r="AM131" i="3"/>
  <c r="AM163" i="3"/>
  <c r="AM195" i="3"/>
  <c r="AM227" i="3"/>
  <c r="AM259" i="3"/>
  <c r="AM291" i="3"/>
  <c r="AM323" i="3"/>
  <c r="AM363" i="3"/>
  <c r="AM130" i="3"/>
  <c r="AM162" i="3"/>
  <c r="AM194" i="3"/>
  <c r="AM226" i="3"/>
  <c r="AM258" i="3"/>
  <c r="AM290" i="3"/>
  <c r="AM322" i="3"/>
  <c r="AM354" i="3"/>
  <c r="AM339" i="3"/>
  <c r="AM151" i="3"/>
  <c r="AM183" i="3"/>
  <c r="AM215" i="3"/>
  <c r="AM247" i="3"/>
  <c r="AM279" i="3"/>
  <c r="AM311" i="3"/>
  <c r="AM343" i="3"/>
  <c r="AM375" i="3"/>
  <c r="AM150" i="3"/>
  <c r="AM182" i="3"/>
  <c r="AM214" i="3"/>
  <c r="AM246" i="3"/>
  <c r="AM278" i="3"/>
  <c r="AM310" i="3"/>
  <c r="AM342" i="3"/>
  <c r="AM374" i="3"/>
  <c r="AM133" i="3"/>
  <c r="AM149" i="3"/>
  <c r="AM165" i="3"/>
  <c r="AM181" i="3"/>
  <c r="AM197" i="3"/>
  <c r="AM213" i="3"/>
  <c r="AM229" i="3"/>
  <c r="AM245" i="3"/>
  <c r="AM261" i="3"/>
  <c r="AM277" i="3"/>
  <c r="AM293" i="3"/>
  <c r="AM309" i="3"/>
  <c r="AM325" i="3"/>
  <c r="AM341" i="3"/>
  <c r="AM357" i="3"/>
  <c r="AM373" i="3"/>
  <c r="AM128" i="3"/>
  <c r="AM144" i="3"/>
  <c r="AM160" i="3"/>
  <c r="AM176" i="3"/>
  <c r="AM192" i="3"/>
  <c r="AM208" i="3"/>
  <c r="AM224" i="3"/>
  <c r="AM240" i="3"/>
  <c r="AM256" i="3"/>
  <c r="AM272" i="3"/>
  <c r="AM288" i="3"/>
  <c r="AM304" i="3"/>
  <c r="AM320" i="3"/>
  <c r="AM336" i="3"/>
  <c r="AM352" i="3"/>
  <c r="AM368" i="3"/>
  <c r="AM24" i="3"/>
  <c r="R10" i="3" s="1"/>
  <c r="AM34" i="3"/>
  <c r="AM42" i="3"/>
  <c r="AM50" i="3"/>
  <c r="AM58" i="3"/>
  <c r="AM66" i="3"/>
  <c r="AM74" i="3"/>
  <c r="AM82" i="3"/>
  <c r="AM90" i="3"/>
  <c r="AM98" i="3"/>
  <c r="AM106" i="3"/>
  <c r="AM114" i="3"/>
  <c r="AM123" i="3"/>
  <c r="AM155" i="3"/>
  <c r="AM187" i="3"/>
  <c r="AM219" i="3"/>
  <c r="AM251" i="3"/>
  <c r="AM283" i="3"/>
  <c r="AM315" i="3"/>
  <c r="AM355" i="3"/>
  <c r="AM122" i="3"/>
  <c r="AM154" i="3"/>
  <c r="AM186" i="3"/>
  <c r="AM218" i="3"/>
  <c r="AM250" i="3"/>
  <c r="AM282" i="3"/>
  <c r="AM314" i="3"/>
  <c r="AM346" i="3"/>
  <c r="AM378" i="3"/>
  <c r="AM143" i="3"/>
  <c r="AM175" i="3"/>
  <c r="AM207" i="3"/>
  <c r="AM239" i="3"/>
  <c r="AM271" i="3"/>
  <c r="AM303" i="3"/>
  <c r="AM335" i="3"/>
  <c r="AM367" i="3"/>
  <c r="AM142" i="3"/>
  <c r="AM174" i="3"/>
  <c r="AM206" i="3"/>
  <c r="AM238" i="3"/>
  <c r="AM270" i="3"/>
  <c r="AM302" i="3"/>
  <c r="AM334" i="3"/>
  <c r="AM366" i="3"/>
  <c r="AM129" i="3"/>
  <c r="AM145" i="3"/>
  <c r="AM161" i="3"/>
  <c r="AM177" i="3"/>
  <c r="AM193" i="3"/>
  <c r="AM209" i="3"/>
  <c r="AM225" i="3"/>
  <c r="AM241" i="3"/>
  <c r="AM257" i="3"/>
  <c r="AM273" i="3"/>
  <c r="AM289" i="3"/>
  <c r="AM305" i="3"/>
  <c r="AM321" i="3"/>
  <c r="AM337" i="3"/>
  <c r="AM353" i="3"/>
  <c r="AM369" i="3"/>
  <c r="AM124" i="3"/>
  <c r="AM140" i="3"/>
  <c r="AM156" i="3"/>
  <c r="AM172" i="3"/>
  <c r="AM188" i="3"/>
  <c r="AM204" i="3"/>
  <c r="AM220" i="3"/>
  <c r="AM236" i="3"/>
  <c r="AM252" i="3"/>
  <c r="AM268" i="3"/>
  <c r="AM284" i="3"/>
  <c r="AM300" i="3"/>
  <c r="AM316" i="3"/>
  <c r="AM332" i="3"/>
  <c r="AM348" i="3"/>
  <c r="AM364" i="3"/>
  <c r="AM30" i="3"/>
  <c r="AM62" i="3"/>
  <c r="AM94" i="3"/>
  <c r="AM20" i="3"/>
  <c r="R6" i="3" s="1"/>
  <c r="AM54" i="3"/>
  <c r="AM86" i="3"/>
  <c r="AM118" i="3"/>
  <c r="AM179" i="3"/>
  <c r="AM243" i="3"/>
  <c r="AM307" i="3"/>
  <c r="AM379" i="3"/>
  <c r="AM178" i="3"/>
  <c r="AM242" i="3"/>
  <c r="AM306" i="3"/>
  <c r="AM370" i="3"/>
  <c r="AM167" i="3"/>
  <c r="AM231" i="3"/>
  <c r="AM295" i="3"/>
  <c r="AM359" i="3"/>
  <c r="AM166" i="3"/>
  <c r="AM230" i="3"/>
  <c r="AM294" i="3"/>
  <c r="AM358" i="3"/>
  <c r="AM141" i="3"/>
  <c r="AM173" i="3"/>
  <c r="AM205" i="3"/>
  <c r="AM237" i="3"/>
  <c r="AM269" i="3"/>
  <c r="AM301" i="3"/>
  <c r="AM333" i="3"/>
  <c r="AM365" i="3"/>
  <c r="AM136" i="3"/>
  <c r="AM168" i="3"/>
  <c r="AM200" i="3"/>
  <c r="AM232" i="3"/>
  <c r="AM264" i="3"/>
  <c r="AM296" i="3"/>
  <c r="AM328" i="3"/>
  <c r="AM360" i="3"/>
  <c r="AM46" i="3"/>
  <c r="AM78" i="3"/>
  <c r="AM110" i="3"/>
  <c r="AM171" i="3"/>
  <c r="AM235" i="3"/>
  <c r="AM299" i="3"/>
  <c r="AM371" i="3"/>
  <c r="AM170" i="3"/>
  <c r="AM234" i="3"/>
  <c r="AM298" i="3"/>
  <c r="AM362" i="3"/>
  <c r="AM159" i="3"/>
  <c r="AM223" i="3"/>
  <c r="AM287" i="3"/>
  <c r="AM351" i="3"/>
  <c r="AM158" i="3"/>
  <c r="AM222" i="3"/>
  <c r="AM286" i="3"/>
  <c r="AM350" i="3"/>
  <c r="AM137" i="3"/>
  <c r="AM169" i="3"/>
  <c r="AM201" i="3"/>
  <c r="AM233" i="3"/>
  <c r="AM265" i="3"/>
  <c r="AM297" i="3"/>
  <c r="AM329" i="3"/>
  <c r="AM361" i="3"/>
  <c r="AM132" i="3"/>
  <c r="AM164" i="3"/>
  <c r="AM196" i="3"/>
  <c r="AM228" i="3"/>
  <c r="AM260" i="3"/>
  <c r="AM292" i="3"/>
  <c r="AM324" i="3"/>
  <c r="AM356" i="3"/>
  <c r="AM38" i="3"/>
  <c r="AM70" i="3"/>
  <c r="AM102" i="3"/>
  <c r="AM139" i="3"/>
  <c r="AM267" i="3"/>
  <c r="AM138" i="3"/>
  <c r="AM266" i="3"/>
  <c r="AM127" i="3"/>
  <c r="AM255" i="3"/>
  <c r="AM126" i="3"/>
  <c r="AM254" i="3"/>
  <c r="AM121" i="3"/>
  <c r="AM185" i="3"/>
  <c r="AM249" i="3"/>
  <c r="AM313" i="3"/>
  <c r="AM377" i="3"/>
  <c r="AM180" i="3"/>
  <c r="AM244" i="3"/>
  <c r="AM308" i="3"/>
  <c r="AM372" i="3"/>
  <c r="AM211" i="3"/>
  <c r="AM347" i="3"/>
  <c r="AM210" i="3"/>
  <c r="AM338" i="3"/>
  <c r="AM199" i="3"/>
  <c r="AM327" i="3"/>
  <c r="AM198" i="3"/>
  <c r="AM326" i="3"/>
  <c r="AM157" i="3"/>
  <c r="AM221" i="3"/>
  <c r="AM285" i="3"/>
  <c r="AM349" i="3"/>
  <c r="AM152" i="3"/>
  <c r="AM216" i="3"/>
  <c r="AM280" i="3"/>
  <c r="AM344" i="3"/>
  <c r="AM203" i="3"/>
  <c r="AM331" i="3"/>
  <c r="AM202" i="3"/>
  <c r="AM330" i="3"/>
  <c r="AM191" i="3"/>
  <c r="AM319" i="3"/>
  <c r="AM190" i="3"/>
  <c r="AM318" i="3"/>
  <c r="AM153" i="3"/>
  <c r="AM217" i="3"/>
  <c r="AM281" i="3"/>
  <c r="AM345" i="3"/>
  <c r="AM148" i="3"/>
  <c r="AM212" i="3"/>
  <c r="AM276" i="3"/>
  <c r="AM340" i="3"/>
  <c r="AM147" i="3"/>
  <c r="AM275" i="3"/>
  <c r="AM146" i="3"/>
  <c r="AM274" i="3"/>
  <c r="AM135" i="3"/>
  <c r="AM263" i="3"/>
  <c r="AM134" i="3"/>
  <c r="AM262" i="3"/>
  <c r="AM125" i="3"/>
  <c r="AM189" i="3"/>
  <c r="AM253" i="3"/>
  <c r="AM317" i="3"/>
  <c r="AM120" i="3"/>
  <c r="AM184" i="3"/>
  <c r="AM248" i="3"/>
  <c r="AM312" i="3"/>
  <c r="AM376" i="3"/>
  <c r="AB20" i="3"/>
  <c r="AB24" i="3"/>
  <c r="H10" i="3" s="1"/>
  <c r="AB28" i="3"/>
  <c r="H14" i="3" s="1"/>
  <c r="AB33" i="3"/>
  <c r="AB37" i="3"/>
  <c r="AB41" i="3"/>
  <c r="AB45" i="3"/>
  <c r="AB49" i="3"/>
  <c r="AB53" i="3"/>
  <c r="AB57" i="3"/>
  <c r="AB61" i="3"/>
  <c r="AB65" i="3"/>
  <c r="AB69" i="3"/>
  <c r="AB73" i="3"/>
  <c r="AB77" i="3"/>
  <c r="AB81" i="3"/>
  <c r="AB85" i="3"/>
  <c r="AB89" i="3"/>
  <c r="AB93" i="3"/>
  <c r="AB97" i="3"/>
  <c r="AB101" i="3"/>
  <c r="AB105" i="3"/>
  <c r="AB109" i="3"/>
  <c r="AB113" i="3"/>
  <c r="AB117" i="3"/>
  <c r="AB121" i="3"/>
  <c r="AB125" i="3"/>
  <c r="AB129" i="3"/>
  <c r="AB133" i="3"/>
  <c r="AB137" i="3"/>
  <c r="AB141" i="3"/>
  <c r="AB145" i="3"/>
  <c r="AB149" i="3"/>
  <c r="AB153" i="3"/>
  <c r="AB157" i="3"/>
  <c r="AB161" i="3"/>
  <c r="AB165" i="3"/>
  <c r="AB169" i="3"/>
  <c r="AB173" i="3"/>
  <c r="AB177" i="3"/>
  <c r="AB181" i="3"/>
  <c r="AB185" i="3"/>
  <c r="AB189" i="3"/>
  <c r="AB193" i="3"/>
  <c r="AB197" i="3"/>
  <c r="AB201" i="3"/>
  <c r="AB205" i="3"/>
  <c r="AB209" i="3"/>
  <c r="AB213" i="3"/>
  <c r="AB217" i="3"/>
  <c r="AB221" i="3"/>
  <c r="AB225" i="3"/>
  <c r="AB229" i="3"/>
  <c r="AB233" i="3"/>
  <c r="AB237" i="3"/>
  <c r="AB241" i="3"/>
  <c r="AB245" i="3"/>
  <c r="AB249" i="3"/>
  <c r="AB253" i="3"/>
  <c r="AB257" i="3"/>
  <c r="AB29" i="3"/>
  <c r="H15" i="3" s="1"/>
  <c r="AB23" i="3"/>
  <c r="H9" i="3" s="1"/>
  <c r="AB30" i="3"/>
  <c r="AB35" i="3"/>
  <c r="AB40" i="3"/>
  <c r="AB46" i="3"/>
  <c r="AB51" i="3"/>
  <c r="AB56" i="3"/>
  <c r="AB62" i="3"/>
  <c r="AB67" i="3"/>
  <c r="AB72" i="3"/>
  <c r="AB78" i="3"/>
  <c r="AB83" i="3"/>
  <c r="AB88" i="3"/>
  <c r="AB94" i="3"/>
  <c r="AB99" i="3"/>
  <c r="AB104" i="3"/>
  <c r="AB110" i="3"/>
  <c r="AB115" i="3"/>
  <c r="AB120" i="3"/>
  <c r="AB126" i="3"/>
  <c r="AB131" i="3"/>
  <c r="AB136" i="3"/>
  <c r="AB142" i="3"/>
  <c r="AB147" i="3"/>
  <c r="AB152" i="3"/>
  <c r="AB158" i="3"/>
  <c r="AB163" i="3"/>
  <c r="AB168" i="3"/>
  <c r="AB174" i="3"/>
  <c r="AB179" i="3"/>
  <c r="AB184" i="3"/>
  <c r="AB190" i="3"/>
  <c r="AB195" i="3"/>
  <c r="AB200" i="3"/>
  <c r="AB206" i="3"/>
  <c r="AB211" i="3"/>
  <c r="AB216" i="3"/>
  <c r="AB222" i="3"/>
  <c r="AB227" i="3"/>
  <c r="AB232" i="3"/>
  <c r="AB238" i="3"/>
  <c r="AB243" i="3"/>
  <c r="AB248" i="3"/>
  <c r="AB254" i="3"/>
  <c r="AB259" i="3"/>
  <c r="AB263" i="3"/>
  <c r="AB267" i="3"/>
  <c r="AB271" i="3"/>
  <c r="AB275" i="3"/>
  <c r="AB279" i="3"/>
  <c r="AB283" i="3"/>
  <c r="AB287" i="3"/>
  <c r="AB291" i="3"/>
  <c r="AB295" i="3"/>
  <c r="AB299" i="3"/>
  <c r="AB303" i="3"/>
  <c r="AB307" i="3"/>
  <c r="AB311" i="3"/>
  <c r="AB315" i="3"/>
  <c r="AB319" i="3"/>
  <c r="AB323" i="3"/>
  <c r="AB327" i="3"/>
  <c r="AB331" i="3"/>
  <c r="AB335" i="3"/>
  <c r="AB339" i="3"/>
  <c r="AB343" i="3"/>
  <c r="AB347" i="3"/>
  <c r="AB351" i="3"/>
  <c r="AB355" i="3"/>
  <c r="AB359" i="3"/>
  <c r="AB363" i="3"/>
  <c r="AB367" i="3"/>
  <c r="AB371" i="3"/>
  <c r="AB375" i="3"/>
  <c r="AB379" i="3"/>
  <c r="AB25" i="3"/>
  <c r="H11" i="3" s="1"/>
  <c r="AB32" i="3"/>
  <c r="AB39" i="3"/>
  <c r="AB47" i="3"/>
  <c r="AB54" i="3"/>
  <c r="AB60" i="3"/>
  <c r="AB68" i="3"/>
  <c r="AB75" i="3"/>
  <c r="AB82" i="3"/>
  <c r="AB90" i="3"/>
  <c r="AB96" i="3"/>
  <c r="AB103" i="3"/>
  <c r="AB111" i="3"/>
  <c r="AB118" i="3"/>
  <c r="AB124" i="3"/>
  <c r="AB132" i="3"/>
  <c r="AB139" i="3"/>
  <c r="AB146" i="3"/>
  <c r="AB154" i="3"/>
  <c r="AB160" i="3"/>
  <c r="AB167" i="3"/>
  <c r="AB175" i="3"/>
  <c r="AB182" i="3"/>
  <c r="AB188" i="3"/>
  <c r="AB196" i="3"/>
  <c r="AB203" i="3"/>
  <c r="AB210" i="3"/>
  <c r="AB218" i="3"/>
  <c r="AB224" i="3"/>
  <c r="AB231" i="3"/>
  <c r="AB239" i="3"/>
  <c r="AB246" i="3"/>
  <c r="AB252" i="3"/>
  <c r="AB260" i="3"/>
  <c r="AB265" i="3"/>
  <c r="AB270" i="3"/>
  <c r="AB276" i="3"/>
  <c r="AB281" i="3"/>
  <c r="AB286" i="3"/>
  <c r="AB292" i="3"/>
  <c r="AB297" i="3"/>
  <c r="AB302" i="3"/>
  <c r="AB308" i="3"/>
  <c r="AB313" i="3"/>
  <c r="AB318" i="3"/>
  <c r="AB324" i="3"/>
  <c r="AB329" i="3"/>
  <c r="AB334" i="3"/>
  <c r="AB340" i="3"/>
  <c r="AB345" i="3"/>
  <c r="AB350" i="3"/>
  <c r="AB356" i="3"/>
  <c r="AB361" i="3"/>
  <c r="AB366" i="3"/>
  <c r="AB372" i="3"/>
  <c r="AB377" i="3"/>
  <c r="AB22" i="3"/>
  <c r="H8" i="3" s="1"/>
  <c r="AB31" i="3"/>
  <c r="AB38" i="3"/>
  <c r="AB44" i="3"/>
  <c r="AB52" i="3"/>
  <c r="AB59" i="3"/>
  <c r="AB66" i="3"/>
  <c r="AB74" i="3"/>
  <c r="AB80" i="3"/>
  <c r="AB87" i="3"/>
  <c r="AB95" i="3"/>
  <c r="AB102" i="3"/>
  <c r="AB108" i="3"/>
  <c r="AB116" i="3"/>
  <c r="AB123" i="3"/>
  <c r="AB130" i="3"/>
  <c r="AB138" i="3"/>
  <c r="AB144" i="3"/>
  <c r="AB151" i="3"/>
  <c r="AB159" i="3"/>
  <c r="AB166" i="3"/>
  <c r="AB172" i="3"/>
  <c r="AB180" i="3"/>
  <c r="AB187" i="3"/>
  <c r="AB194" i="3"/>
  <c r="AB202" i="3"/>
  <c r="AB208" i="3"/>
  <c r="AB215" i="3"/>
  <c r="AB223" i="3"/>
  <c r="AB230" i="3"/>
  <c r="AB236" i="3"/>
  <c r="AB244" i="3"/>
  <c r="AB251" i="3"/>
  <c r="AB258" i="3"/>
  <c r="AB264" i="3"/>
  <c r="AB269" i="3"/>
  <c r="AB274" i="3"/>
  <c r="AB280" i="3"/>
  <c r="AB285" i="3"/>
  <c r="AB290" i="3"/>
  <c r="AB296" i="3"/>
  <c r="AB301" i="3"/>
  <c r="AB306" i="3"/>
  <c r="AB312" i="3"/>
  <c r="AB317" i="3"/>
  <c r="AB322" i="3"/>
  <c r="AB328" i="3"/>
  <c r="AB333" i="3"/>
  <c r="AB338" i="3"/>
  <c r="AB344" i="3"/>
  <c r="AB349" i="3"/>
  <c r="AB354" i="3"/>
  <c r="AB360" i="3"/>
  <c r="AB365" i="3"/>
  <c r="AB370" i="3"/>
  <c r="AB376" i="3"/>
  <c r="AB21" i="3"/>
  <c r="H7" i="3" s="1"/>
  <c r="AB27" i="3"/>
  <c r="H13" i="3" s="1"/>
  <c r="AB36" i="3"/>
  <c r="AB43" i="3"/>
  <c r="AB50" i="3"/>
  <c r="AB58" i="3"/>
  <c r="AB64" i="3"/>
  <c r="AB71" i="3"/>
  <c r="AB79" i="3"/>
  <c r="AB86" i="3"/>
  <c r="AB92" i="3"/>
  <c r="AB100" i="3"/>
  <c r="AB107" i="3"/>
  <c r="AB114" i="3"/>
  <c r="AB122" i="3"/>
  <c r="AB128" i="3"/>
  <c r="AB135" i="3"/>
  <c r="AB143" i="3"/>
  <c r="AB150" i="3"/>
  <c r="AB156" i="3"/>
  <c r="AB164" i="3"/>
  <c r="AB171" i="3"/>
  <c r="AB178" i="3"/>
  <c r="AB186" i="3"/>
  <c r="AB192" i="3"/>
  <c r="AB199" i="3"/>
  <c r="AB207" i="3"/>
  <c r="AB214" i="3"/>
  <c r="AB220" i="3"/>
  <c r="AB228" i="3"/>
  <c r="AB235" i="3"/>
  <c r="AB242" i="3"/>
  <c r="AB250" i="3"/>
  <c r="AB256" i="3"/>
  <c r="AB262" i="3"/>
  <c r="AB268" i="3"/>
  <c r="AB273" i="3"/>
  <c r="AB278" i="3"/>
  <c r="AB284" i="3"/>
  <c r="AB289" i="3"/>
  <c r="AB294" i="3"/>
  <c r="AB300" i="3"/>
  <c r="AB305" i="3"/>
  <c r="AB310" i="3"/>
  <c r="AB316" i="3"/>
  <c r="AB321" i="3"/>
  <c r="AB326" i="3"/>
  <c r="AB332" i="3"/>
  <c r="AB337" i="3"/>
  <c r="AB342" i="3"/>
  <c r="AB348" i="3"/>
  <c r="AB353" i="3"/>
  <c r="AB358" i="3"/>
  <c r="AB364" i="3"/>
  <c r="AB369" i="3"/>
  <c r="AB374" i="3"/>
  <c r="AB26" i="3"/>
  <c r="H12" i="3" s="1"/>
  <c r="AB34" i="3"/>
  <c r="AB42" i="3"/>
  <c r="AB48" i="3"/>
  <c r="AB55" i="3"/>
  <c r="AB63" i="3"/>
  <c r="AB70" i="3"/>
  <c r="AB76" i="3"/>
  <c r="AB84" i="3"/>
  <c r="AB91" i="3"/>
  <c r="AB98" i="3"/>
  <c r="AB106" i="3"/>
  <c r="AB112" i="3"/>
  <c r="AB119" i="3"/>
  <c r="AB127" i="3"/>
  <c r="AB134" i="3"/>
  <c r="AB155" i="3"/>
  <c r="AB183" i="3"/>
  <c r="AB212" i="3"/>
  <c r="AB240" i="3"/>
  <c r="AB266" i="3"/>
  <c r="AB288" i="3"/>
  <c r="AB309" i="3"/>
  <c r="AB330" i="3"/>
  <c r="AB352" i="3"/>
  <c r="AB373" i="3"/>
  <c r="AB148" i="3"/>
  <c r="AB176" i="3"/>
  <c r="AB204" i="3"/>
  <c r="AB234" i="3"/>
  <c r="AB261" i="3"/>
  <c r="AB282" i="3"/>
  <c r="AB304" i="3"/>
  <c r="AB325" i="3"/>
  <c r="AB346" i="3"/>
  <c r="AB368" i="3"/>
  <c r="AB140" i="3"/>
  <c r="AB170" i="3"/>
  <c r="AB198" i="3"/>
  <c r="AB226" i="3"/>
  <c r="AB255" i="3"/>
  <c r="AB277" i="3"/>
  <c r="AB298" i="3"/>
  <c r="AB320" i="3"/>
  <c r="AB341" i="3"/>
  <c r="AB362" i="3"/>
  <c r="AB162" i="3"/>
  <c r="AB191" i="3"/>
  <c r="AB219" i="3"/>
  <c r="AB247" i="3"/>
  <c r="AB272" i="3"/>
  <c r="AB293" i="3"/>
  <c r="AB314" i="3"/>
  <c r="AB336" i="3"/>
  <c r="AB357" i="3"/>
  <c r="AB378" i="3"/>
  <c r="AY20" i="3" l="1" a="1"/>
  <c r="BD20" i="3" a="1"/>
  <c r="AG11" i="3"/>
  <c r="AT11" i="3" s="1"/>
  <c r="P15" i="2" s="1"/>
  <c r="Q15" i="2"/>
  <c r="AH17" i="3"/>
  <c r="H6" i="3"/>
  <c r="K17" i="2"/>
  <c r="AE13" i="3"/>
  <c r="AR13" i="3" s="1"/>
  <c r="J17" i="2" s="1"/>
  <c r="AK11" i="3"/>
  <c r="AX11" i="3" s="1"/>
  <c r="M28" i="2" s="1"/>
  <c r="N28" i="2"/>
  <c r="AK14" i="3"/>
  <c r="AX14" i="3" s="1"/>
  <c r="M31" i="2" s="1"/>
  <c r="N31" i="2"/>
  <c r="N29" i="2"/>
  <c r="AK12" i="3"/>
  <c r="AX12" i="3" s="1"/>
  <c r="M29" i="2" s="1"/>
  <c r="T30" i="2"/>
  <c r="AM13" i="3"/>
  <c r="AZ13" i="3" s="1"/>
  <c r="S30" i="2" s="1"/>
  <c r="AM9" i="3"/>
  <c r="AZ9" i="3" s="1"/>
  <c r="S26" i="2" s="1"/>
  <c r="T26" i="2"/>
  <c r="T23" i="2"/>
  <c r="AM6" i="3"/>
  <c r="AZ6" i="3" s="1"/>
  <c r="S23" i="2" s="1"/>
  <c r="AM7" i="3"/>
  <c r="AZ7" i="3" s="1"/>
  <c r="S24" i="2" s="1"/>
  <c r="T24" i="2"/>
  <c r="AN10" i="3"/>
  <c r="BA10" i="3" s="1"/>
  <c r="S14" i="2" s="1"/>
  <c r="T14" i="2"/>
  <c r="T16" i="2"/>
  <c r="AN12" i="3"/>
  <c r="BA12" i="3" s="1"/>
  <c r="S16" i="2" s="1"/>
  <c r="T13" i="2"/>
  <c r="AN9" i="3"/>
  <c r="BA9" i="3" s="1"/>
  <c r="S13" i="2" s="1"/>
  <c r="AD10" i="3"/>
  <c r="AQ10" i="3" s="1"/>
  <c r="G14" i="2" s="1"/>
  <c r="H14" i="2"/>
  <c r="H13" i="2"/>
  <c r="AD9" i="3"/>
  <c r="AQ9" i="3" s="1"/>
  <c r="G13" i="2" s="1"/>
  <c r="E30" i="2"/>
  <c r="AH13" i="3"/>
  <c r="AU13" i="3" s="1"/>
  <c r="D30" i="2" s="1"/>
  <c r="E29" i="2"/>
  <c r="AH12" i="3"/>
  <c r="AU12" i="3" s="1"/>
  <c r="D29" i="2" s="1"/>
  <c r="AH6" i="3"/>
  <c r="AU6" i="3" s="1"/>
  <c r="D23" i="2" s="1"/>
  <c r="E23" i="2"/>
  <c r="AL8" i="3"/>
  <c r="AY8" i="3" s="1"/>
  <c r="P25" i="2" s="1"/>
  <c r="Q25" i="2"/>
  <c r="Q23" i="2"/>
  <c r="AL6" i="3"/>
  <c r="AY6" i="3" s="1"/>
  <c r="P23" i="2" s="1"/>
  <c r="AG17" i="3"/>
  <c r="G6" i="3"/>
  <c r="AF8" i="3"/>
  <c r="AS8" i="3" s="1"/>
  <c r="M12" i="2" s="1"/>
  <c r="N12" i="2"/>
  <c r="AC17" i="3"/>
  <c r="D6" i="3"/>
  <c r="K27" i="2"/>
  <c r="AJ10" i="3"/>
  <c r="AW10" i="3" s="1"/>
  <c r="J27" i="2" s="1"/>
  <c r="AJ7" i="3"/>
  <c r="AW7" i="3" s="1"/>
  <c r="J24" i="2" s="1"/>
  <c r="K24" i="2"/>
  <c r="H27" i="2"/>
  <c r="AI10" i="3"/>
  <c r="AV10" i="3" s="1"/>
  <c r="G27" i="2" s="1"/>
  <c r="AI9" i="3"/>
  <c r="AV9" i="3" s="1"/>
  <c r="G26" i="2" s="1"/>
  <c r="H26" i="2"/>
  <c r="AG7" i="3"/>
  <c r="AT7" i="3" s="1"/>
  <c r="P11" i="2" s="1"/>
  <c r="Q11" i="2"/>
  <c r="AE9" i="3"/>
  <c r="AR9" i="3" s="1"/>
  <c r="J13" i="2" s="1"/>
  <c r="K13" i="2"/>
  <c r="AE17" i="3"/>
  <c r="F6" i="3"/>
  <c r="K12" i="2"/>
  <c r="AE8" i="3"/>
  <c r="AR8" i="3" s="1"/>
  <c r="J12" i="2" s="1"/>
  <c r="N23" i="2"/>
  <c r="AK6" i="3"/>
  <c r="AX6" i="3" s="1"/>
  <c r="M23" i="2" s="1"/>
  <c r="N26" i="2"/>
  <c r="AK9" i="3"/>
  <c r="AX9" i="3" s="1"/>
  <c r="M26" i="2" s="1"/>
  <c r="N25" i="2"/>
  <c r="AK8" i="3"/>
  <c r="AX8" i="3" s="1"/>
  <c r="M25" i="2" s="1"/>
  <c r="C6" i="3"/>
  <c r="C10" i="2" s="1"/>
  <c r="AM12" i="3"/>
  <c r="AZ12" i="3" s="1"/>
  <c r="S29" i="2" s="1"/>
  <c r="T29" i="2"/>
  <c r="AM8" i="3"/>
  <c r="AZ8" i="3" s="1"/>
  <c r="S25" i="2" s="1"/>
  <c r="T25" i="2"/>
  <c r="T28" i="2"/>
  <c r="AM11" i="3"/>
  <c r="AZ11" i="3" s="1"/>
  <c r="S28" i="2" s="1"/>
  <c r="T10" i="2"/>
  <c r="AN6" i="3"/>
  <c r="BA6" i="3" s="1"/>
  <c r="S10" i="2" s="1"/>
  <c r="T17" i="2"/>
  <c r="AN13" i="3"/>
  <c r="BA13" i="3" s="1"/>
  <c r="S17" i="2" s="1"/>
  <c r="AD17" i="3"/>
  <c r="AX20" i="3" a="1"/>
  <c r="E6" i="3"/>
  <c r="H19" i="2"/>
  <c r="AD15" i="3"/>
  <c r="AQ15" i="3" s="1"/>
  <c r="G19" i="2" s="1"/>
  <c r="H17" i="2"/>
  <c r="AD13" i="3"/>
  <c r="AQ13" i="3" s="1"/>
  <c r="G17" i="2" s="1"/>
  <c r="E24" i="2"/>
  <c r="AH7" i="3"/>
  <c r="AU7" i="3" s="1"/>
  <c r="D24" i="2" s="1"/>
  <c r="E27" i="2"/>
  <c r="AH10" i="3"/>
  <c r="AU10" i="3" s="1"/>
  <c r="D27" i="2" s="1"/>
  <c r="AL7" i="3"/>
  <c r="AY7" i="3" s="1"/>
  <c r="P24" i="2" s="1"/>
  <c r="Q24" i="2"/>
  <c r="AL11" i="3"/>
  <c r="AY11" i="3" s="1"/>
  <c r="P28" i="2" s="1"/>
  <c r="Q28" i="2"/>
  <c r="AF9" i="3"/>
  <c r="AS9" i="3" s="1"/>
  <c r="M13" i="2" s="1"/>
  <c r="N13" i="2"/>
  <c r="N18" i="2"/>
  <c r="AF14" i="3"/>
  <c r="AS14" i="3" s="1"/>
  <c r="M18" i="2" s="1"/>
  <c r="AF13" i="3"/>
  <c r="AS13" i="3" s="1"/>
  <c r="M17" i="2" s="1"/>
  <c r="N17" i="2"/>
  <c r="AF12" i="3"/>
  <c r="AS12" i="3" s="1"/>
  <c r="M16" i="2" s="1"/>
  <c r="N16" i="2"/>
  <c r="AF11" i="3"/>
  <c r="AS11" i="3" s="1"/>
  <c r="M15" i="2" s="1"/>
  <c r="N15" i="2"/>
  <c r="AC12" i="3"/>
  <c r="AP12" i="3" s="1"/>
  <c r="D16" i="2" s="1"/>
  <c r="E16" i="2"/>
  <c r="AC10" i="3"/>
  <c r="AP10" i="3" s="1"/>
  <c r="D14" i="2" s="1"/>
  <c r="E14" i="2"/>
  <c r="AC7" i="3"/>
  <c r="AP7" i="3" s="1"/>
  <c r="D11" i="2" s="1"/>
  <c r="E11" i="2"/>
  <c r="AC9" i="3"/>
  <c r="AP9" i="3" s="1"/>
  <c r="D13" i="2" s="1"/>
  <c r="E13" i="2"/>
  <c r="K26" i="2"/>
  <c r="AJ9" i="3"/>
  <c r="AW9" i="3" s="1"/>
  <c r="J26" i="2" s="1"/>
  <c r="AJ14" i="3"/>
  <c r="AW14" i="3" s="1"/>
  <c r="J31" i="2" s="1"/>
  <c r="K31" i="2"/>
  <c r="K28" i="2"/>
  <c r="AJ11" i="3"/>
  <c r="AW11" i="3" s="1"/>
  <c r="J28" i="2" s="1"/>
  <c r="AI7" i="3"/>
  <c r="AV7" i="3" s="1"/>
  <c r="G24" i="2" s="1"/>
  <c r="H24" i="2"/>
  <c r="H29" i="2"/>
  <c r="AI12" i="3"/>
  <c r="AV12" i="3" s="1"/>
  <c r="G29" i="2" s="1"/>
  <c r="AI14" i="3"/>
  <c r="AV14" i="3" s="1"/>
  <c r="G31" i="2" s="1"/>
  <c r="H31" i="2"/>
  <c r="Q17" i="2"/>
  <c r="AG13" i="3"/>
  <c r="AT13" i="3" s="1"/>
  <c r="P17" i="2" s="1"/>
  <c r="AG9" i="3"/>
  <c r="AT9" i="3" s="1"/>
  <c r="P13" i="2" s="1"/>
  <c r="Q13" i="2"/>
  <c r="AG10" i="3"/>
  <c r="AT10" i="3" s="1"/>
  <c r="P14" i="2" s="1"/>
  <c r="Q14" i="2"/>
  <c r="AG14" i="3"/>
  <c r="AT14" i="3" s="1"/>
  <c r="P18" i="2" s="1"/>
  <c r="Q18" i="2"/>
  <c r="K15" i="2"/>
  <c r="AE11" i="3"/>
  <c r="AR11" i="3" s="1"/>
  <c r="J15" i="2" s="1"/>
  <c r="AE7" i="3"/>
  <c r="AR7" i="3" s="1"/>
  <c r="J11" i="2" s="1"/>
  <c r="K11" i="2"/>
  <c r="K16" i="2"/>
  <c r="AE12" i="3"/>
  <c r="AR12" i="3" s="1"/>
  <c r="J16" i="2" s="1"/>
  <c r="AK15" i="3"/>
  <c r="AX15" i="3" s="1"/>
  <c r="M32" i="2" s="1"/>
  <c r="N32" i="2"/>
  <c r="AK10" i="3"/>
  <c r="AX10" i="3" s="1"/>
  <c r="M27" i="2" s="1"/>
  <c r="N27" i="2"/>
  <c r="AK13" i="3"/>
  <c r="AX13" i="3" s="1"/>
  <c r="M30" i="2" s="1"/>
  <c r="N30" i="2"/>
  <c r="AM15" i="3"/>
  <c r="AZ15" i="3" s="1"/>
  <c r="S32" i="2" s="1"/>
  <c r="T32" i="2"/>
  <c r="AM14" i="3"/>
  <c r="AZ14" i="3" s="1"/>
  <c r="S31" i="2" s="1"/>
  <c r="T31" i="2"/>
  <c r="T27" i="2"/>
  <c r="AM10" i="3"/>
  <c r="AZ10" i="3" s="1"/>
  <c r="S27" i="2" s="1"/>
  <c r="T12" i="2"/>
  <c r="AN8" i="3"/>
  <c r="BA8" i="3" s="1"/>
  <c r="S12" i="2" s="1"/>
  <c r="AN11" i="3"/>
  <c r="BA11" i="3" s="1"/>
  <c r="S15" i="2" s="1"/>
  <c r="T15" i="2"/>
  <c r="H15" i="2"/>
  <c r="AD11" i="3"/>
  <c r="AQ11" i="3" s="1"/>
  <c r="G15" i="2" s="1"/>
  <c r="AD14" i="3"/>
  <c r="AQ14" i="3" s="1"/>
  <c r="G18" i="2" s="1"/>
  <c r="H18" i="2"/>
  <c r="H12" i="2"/>
  <c r="AD8" i="3"/>
  <c r="AQ8" i="3" s="1"/>
  <c r="G12" i="2" s="1"/>
  <c r="E28" i="2"/>
  <c r="AH11" i="3"/>
  <c r="AU11" i="3" s="1"/>
  <c r="D28" i="2" s="1"/>
  <c r="E32" i="2"/>
  <c r="AH15" i="3"/>
  <c r="AU15" i="3" s="1"/>
  <c r="D32" i="2" s="1"/>
  <c r="AH14" i="3"/>
  <c r="AU14" i="3" s="1"/>
  <c r="D31" i="2" s="1"/>
  <c r="E31" i="2"/>
  <c r="Q27" i="2"/>
  <c r="AL10" i="3"/>
  <c r="AY10" i="3" s="1"/>
  <c r="P27" i="2" s="1"/>
  <c r="AL9" i="3"/>
  <c r="AY9" i="3" s="1"/>
  <c r="P26" i="2" s="1"/>
  <c r="Q26" i="2"/>
  <c r="AL15" i="3"/>
  <c r="AY15" i="3" s="1"/>
  <c r="P32" i="2" s="1"/>
  <c r="Q32" i="2"/>
  <c r="N11" i="2"/>
  <c r="AF7" i="3"/>
  <c r="AS7" i="3" s="1"/>
  <c r="M11" i="2" s="1"/>
  <c r="AF10" i="3"/>
  <c r="AS10" i="3" s="1"/>
  <c r="M14" i="2" s="1"/>
  <c r="N14" i="2"/>
  <c r="N19" i="2"/>
  <c r="AF15" i="3"/>
  <c r="AS15" i="3" s="1"/>
  <c r="M19" i="2" s="1"/>
  <c r="AC8" i="3"/>
  <c r="AP8" i="3" s="1"/>
  <c r="D12" i="2" s="1"/>
  <c r="E12" i="2"/>
  <c r="E19" i="2"/>
  <c r="AC15" i="3"/>
  <c r="AP15" i="3" s="1"/>
  <c r="D19" i="2" s="1"/>
  <c r="E15" i="2"/>
  <c r="AC11" i="3"/>
  <c r="AP11" i="3" s="1"/>
  <c r="D15" i="2" s="1"/>
  <c r="AC13" i="3"/>
  <c r="AP13" i="3" s="1"/>
  <c r="D17" i="2" s="1"/>
  <c r="E17" i="2"/>
  <c r="AJ8" i="3"/>
  <c r="AW8" i="3" s="1"/>
  <c r="J25" i="2" s="1"/>
  <c r="K25" i="2"/>
  <c r="K29" i="2"/>
  <c r="AJ12" i="3"/>
  <c r="AW12" i="3" s="1"/>
  <c r="J29" i="2" s="1"/>
  <c r="K32" i="2"/>
  <c r="AJ15" i="3"/>
  <c r="AW15" i="3" s="1"/>
  <c r="J32" i="2" s="1"/>
  <c r="AI6" i="3"/>
  <c r="AV6" i="3" s="1"/>
  <c r="G23" i="2" s="1"/>
  <c r="H23" i="2"/>
  <c r="AI8" i="3"/>
  <c r="AV8" i="3" s="1"/>
  <c r="G25" i="2" s="1"/>
  <c r="H25" i="2"/>
  <c r="AG12" i="3"/>
  <c r="AT12" i="3" s="1"/>
  <c r="P16" i="2" s="1"/>
  <c r="Q16" i="2"/>
  <c r="AG8" i="3"/>
  <c r="AT8" i="3" s="1"/>
  <c r="P12" i="2" s="1"/>
  <c r="Q12" i="2"/>
  <c r="Q19" i="2"/>
  <c r="AG15" i="3"/>
  <c r="AT15" i="3" s="1"/>
  <c r="P19" i="2" s="1"/>
  <c r="K19" i="2"/>
  <c r="AE15" i="3"/>
  <c r="AR15" i="3" s="1"/>
  <c r="J19" i="2" s="1"/>
  <c r="AE14" i="3"/>
  <c r="AR14" i="3" s="1"/>
  <c r="J18" i="2" s="1"/>
  <c r="K18" i="2"/>
  <c r="AE10" i="3"/>
  <c r="AR10" i="3" s="1"/>
  <c r="J14" i="2" s="1"/>
  <c r="K14" i="2"/>
  <c r="AK7" i="3"/>
  <c r="AX7" i="3" s="1"/>
  <c r="M24" i="2" s="1"/>
  <c r="N24" i="2"/>
  <c r="T19" i="2"/>
  <c r="AN15" i="3"/>
  <c r="BA15" i="3" s="1"/>
  <c r="S19" i="2" s="1"/>
  <c r="T18" i="2"/>
  <c r="AN14" i="3"/>
  <c r="BA14" i="3" s="1"/>
  <c r="S18" i="2" s="1"/>
  <c r="AN7" i="3"/>
  <c r="BA7" i="3" s="1"/>
  <c r="S11" i="2" s="1"/>
  <c r="T11" i="2"/>
  <c r="H11" i="2"/>
  <c r="AD7" i="3"/>
  <c r="AQ7" i="3" s="1"/>
  <c r="G11" i="2" s="1"/>
  <c r="H16" i="2"/>
  <c r="AD12" i="3"/>
  <c r="AQ12" i="3" s="1"/>
  <c r="G16" i="2" s="1"/>
  <c r="AH9" i="3"/>
  <c r="AU9" i="3" s="1"/>
  <c r="D26" i="2" s="1"/>
  <c r="E26" i="2"/>
  <c r="E25" i="2"/>
  <c r="AH8" i="3"/>
  <c r="AU8" i="3" s="1"/>
  <c r="D25" i="2" s="1"/>
  <c r="AL13" i="3"/>
  <c r="AY13" i="3" s="1"/>
  <c r="P30" i="2" s="1"/>
  <c r="Q30" i="2"/>
  <c r="AL12" i="3"/>
  <c r="AY12" i="3" s="1"/>
  <c r="P29" i="2" s="1"/>
  <c r="Q29" i="2"/>
  <c r="AL14" i="3"/>
  <c r="AY14" i="3" s="1"/>
  <c r="P31" i="2" s="1"/>
  <c r="Q31" i="2"/>
  <c r="AC14" i="3"/>
  <c r="AP14" i="3" s="1"/>
  <c r="D18" i="2" s="1"/>
  <c r="E18" i="2"/>
  <c r="AJ13" i="3"/>
  <c r="AW13" i="3" s="1"/>
  <c r="J30" i="2" s="1"/>
  <c r="K30" i="2"/>
  <c r="K23" i="2"/>
  <c r="AJ6" i="3"/>
  <c r="AW6" i="3" s="1"/>
  <c r="J23" i="2" s="1"/>
  <c r="AI11" i="3"/>
  <c r="AV11" i="3" s="1"/>
  <c r="G28" i="2" s="1"/>
  <c r="H28" i="2"/>
  <c r="AI15" i="3"/>
  <c r="AV15" i="3" s="1"/>
  <c r="G32" i="2" s="1"/>
  <c r="H32" i="2"/>
  <c r="H30" i="2"/>
  <c r="AI13" i="3"/>
  <c r="AV13" i="3" s="1"/>
  <c r="G30" i="2" s="1"/>
  <c r="AY23" i="3" l="1"/>
  <c r="AY372" i="3"/>
  <c r="AY376" i="3"/>
  <c r="AY364" i="3"/>
  <c r="AY368" i="3"/>
  <c r="AY316" i="3"/>
  <c r="AY300" i="3"/>
  <c r="AY284" i="3"/>
  <c r="AY268" i="3"/>
  <c r="AY252" i="3"/>
  <c r="AY236" i="3"/>
  <c r="AY220" i="3"/>
  <c r="AY204" i="3"/>
  <c r="AY188" i="3"/>
  <c r="AY172" i="3"/>
  <c r="AY156" i="3"/>
  <c r="AY140" i="3"/>
  <c r="AY124" i="3"/>
  <c r="AY108" i="3"/>
  <c r="AY92" i="3"/>
  <c r="AY76" i="3"/>
  <c r="AY60" i="3"/>
  <c r="AY44" i="3"/>
  <c r="AY28" i="3"/>
  <c r="AY373" i="3"/>
  <c r="AY357" i="3"/>
  <c r="AY341" i="3"/>
  <c r="AY325" i="3"/>
  <c r="AY309" i="3"/>
  <c r="AY293" i="3"/>
  <c r="AY277" i="3"/>
  <c r="AY261" i="3"/>
  <c r="AY245" i="3"/>
  <c r="AY229" i="3"/>
  <c r="AY213" i="3"/>
  <c r="AY197" i="3"/>
  <c r="AY181" i="3"/>
  <c r="AY165" i="3"/>
  <c r="AY149" i="3"/>
  <c r="AY133" i="3"/>
  <c r="AY117" i="3"/>
  <c r="AY101" i="3"/>
  <c r="AY85" i="3"/>
  <c r="AY69" i="3"/>
  <c r="AY53" i="3"/>
  <c r="AY37" i="3"/>
  <c r="AY21" i="3"/>
  <c r="AY366" i="3"/>
  <c r="AY350" i="3"/>
  <c r="AY334" i="3"/>
  <c r="AY318" i="3"/>
  <c r="AY302" i="3"/>
  <c r="AY286" i="3"/>
  <c r="AY270" i="3"/>
  <c r="AY254" i="3"/>
  <c r="AY238" i="3"/>
  <c r="AY222" i="3"/>
  <c r="AY206" i="3"/>
  <c r="AY190" i="3"/>
  <c r="AY174" i="3"/>
  <c r="AY158" i="3"/>
  <c r="AY142" i="3"/>
  <c r="AY126" i="3"/>
  <c r="AY356" i="3"/>
  <c r="AY360" i="3"/>
  <c r="AY348" i="3"/>
  <c r="AY352" i="3"/>
  <c r="AY312" i="3"/>
  <c r="AY296" i="3"/>
  <c r="AY280" i="3"/>
  <c r="AY264" i="3"/>
  <c r="AY248" i="3"/>
  <c r="AY232" i="3"/>
  <c r="AY216" i="3"/>
  <c r="AY200" i="3"/>
  <c r="AY184" i="3"/>
  <c r="AY168" i="3"/>
  <c r="AY152" i="3"/>
  <c r="AY136" i="3"/>
  <c r="AY120" i="3"/>
  <c r="AY104" i="3"/>
  <c r="AY88" i="3"/>
  <c r="AY72" i="3"/>
  <c r="AY56" i="3"/>
  <c r="AY40" i="3"/>
  <c r="AY24" i="3"/>
  <c r="AY369" i="3"/>
  <c r="AY353" i="3"/>
  <c r="AY337" i="3"/>
  <c r="AY321" i="3"/>
  <c r="AY305" i="3"/>
  <c r="AY289" i="3"/>
  <c r="AY273" i="3"/>
  <c r="AY257" i="3"/>
  <c r="AY241" i="3"/>
  <c r="AY225" i="3"/>
  <c r="AY209" i="3"/>
  <c r="AY193" i="3"/>
  <c r="AY177" i="3"/>
  <c r="AY161" i="3"/>
  <c r="AY145" i="3"/>
  <c r="AY129" i="3"/>
  <c r="AY113" i="3"/>
  <c r="AY97" i="3"/>
  <c r="AY81" i="3"/>
  <c r="AY65" i="3"/>
  <c r="AY49" i="3"/>
  <c r="AY33" i="3"/>
  <c r="AY378" i="3"/>
  <c r="AY362" i="3"/>
  <c r="AY346" i="3"/>
  <c r="AY330" i="3"/>
  <c r="AY314" i="3"/>
  <c r="AY298" i="3"/>
  <c r="AY282" i="3"/>
  <c r="AY266" i="3"/>
  <c r="AY250" i="3"/>
  <c r="AY234" i="3"/>
  <c r="AY218" i="3"/>
  <c r="AY202" i="3"/>
  <c r="AY186" i="3"/>
  <c r="AY170" i="3"/>
  <c r="AY154" i="3"/>
  <c r="AY138" i="3"/>
  <c r="AY122" i="3"/>
  <c r="AY340" i="3"/>
  <c r="AY344" i="3"/>
  <c r="AY332" i="3"/>
  <c r="AY336" i="3"/>
  <c r="AY308" i="3"/>
  <c r="AY292" i="3"/>
  <c r="AY276" i="3"/>
  <c r="AY260" i="3"/>
  <c r="AY244" i="3"/>
  <c r="AY228" i="3"/>
  <c r="AY212" i="3"/>
  <c r="AY196" i="3"/>
  <c r="AY180" i="3"/>
  <c r="AY164" i="3"/>
  <c r="AY148" i="3"/>
  <c r="AY132" i="3"/>
  <c r="AY116" i="3"/>
  <c r="AY100" i="3"/>
  <c r="AY84" i="3"/>
  <c r="AY68" i="3"/>
  <c r="AY52" i="3"/>
  <c r="AY36" i="3"/>
  <c r="AY20" i="3"/>
  <c r="AY365" i="3"/>
  <c r="AY349" i="3"/>
  <c r="AY333" i="3"/>
  <c r="AY317" i="3"/>
  <c r="AY301" i="3"/>
  <c r="AY285" i="3"/>
  <c r="AY269" i="3"/>
  <c r="AY253" i="3"/>
  <c r="AY237" i="3"/>
  <c r="AY221" i="3"/>
  <c r="AY205" i="3"/>
  <c r="AY189" i="3"/>
  <c r="AY173" i="3"/>
  <c r="AY157" i="3"/>
  <c r="AY141" i="3"/>
  <c r="AY125" i="3"/>
  <c r="AY109" i="3"/>
  <c r="AY93" i="3"/>
  <c r="AY77" i="3"/>
  <c r="AY61" i="3"/>
  <c r="AY45" i="3"/>
  <c r="AY29" i="3"/>
  <c r="AY374" i="3"/>
  <c r="AY358" i="3"/>
  <c r="AY342" i="3"/>
  <c r="AY326" i="3"/>
  <c r="AY310" i="3"/>
  <c r="AY294" i="3"/>
  <c r="AY278" i="3"/>
  <c r="AY262" i="3"/>
  <c r="AY246" i="3"/>
  <c r="AY230" i="3"/>
  <c r="AY214" i="3"/>
  <c r="AY198" i="3"/>
  <c r="AY182" i="3"/>
  <c r="AY166" i="3"/>
  <c r="AY150" i="3"/>
  <c r="AY134" i="3"/>
  <c r="AY118" i="3"/>
  <c r="AY102" i="3"/>
  <c r="AY86" i="3"/>
  <c r="AY70" i="3"/>
  <c r="AY54" i="3"/>
  <c r="AY38" i="3"/>
  <c r="AY22" i="3"/>
  <c r="AY363" i="3"/>
  <c r="AY347" i="3"/>
  <c r="AY331" i="3"/>
  <c r="AY315" i="3"/>
  <c r="AY299" i="3"/>
  <c r="AY283" i="3"/>
  <c r="AY267" i="3"/>
  <c r="AY251" i="3"/>
  <c r="AY235" i="3"/>
  <c r="AY219" i="3"/>
  <c r="AY203" i="3"/>
  <c r="AY187" i="3"/>
  <c r="AY171" i="3"/>
  <c r="AY155" i="3"/>
  <c r="AY139" i="3"/>
  <c r="AY123" i="3"/>
  <c r="AY107" i="3"/>
  <c r="AY324" i="3"/>
  <c r="AY304" i="3"/>
  <c r="AY240" i="3"/>
  <c r="AY176" i="3"/>
  <c r="AY112" i="3"/>
  <c r="AY48" i="3"/>
  <c r="AY345" i="3"/>
  <c r="AY281" i="3"/>
  <c r="AY217" i="3"/>
  <c r="AY153" i="3"/>
  <c r="AY89" i="3"/>
  <c r="AY25" i="3"/>
  <c r="AY322" i="3"/>
  <c r="AY258" i="3"/>
  <c r="AY194" i="3"/>
  <c r="AY130" i="3"/>
  <c r="AY98" i="3"/>
  <c r="AY78" i="3"/>
  <c r="AY58" i="3"/>
  <c r="AY34" i="3"/>
  <c r="AY371" i="3"/>
  <c r="AY351" i="3"/>
  <c r="AY327" i="3"/>
  <c r="AY307" i="3"/>
  <c r="AY287" i="3"/>
  <c r="AY263" i="3"/>
  <c r="AY243" i="3"/>
  <c r="AY223" i="3"/>
  <c r="AY199" i="3"/>
  <c r="AY179" i="3"/>
  <c r="AY159" i="3"/>
  <c r="AY135" i="3"/>
  <c r="AY115" i="3"/>
  <c r="AY95" i="3"/>
  <c r="AY79" i="3"/>
  <c r="AY63" i="3"/>
  <c r="AY47" i="3"/>
  <c r="AY31" i="3"/>
  <c r="AY328" i="3"/>
  <c r="AY288" i="3"/>
  <c r="AY224" i="3"/>
  <c r="AY160" i="3"/>
  <c r="AY96" i="3"/>
  <c r="AY32" i="3"/>
  <c r="AY329" i="3"/>
  <c r="AY265" i="3"/>
  <c r="AY201" i="3"/>
  <c r="AY137" i="3"/>
  <c r="AY73" i="3"/>
  <c r="AY370" i="3"/>
  <c r="AY306" i="3"/>
  <c r="AY242" i="3"/>
  <c r="AY178" i="3"/>
  <c r="AY114" i="3"/>
  <c r="AY94" i="3"/>
  <c r="AY74" i="3"/>
  <c r="AY50" i="3"/>
  <c r="AY30" i="3"/>
  <c r="AY367" i="3"/>
  <c r="AY343" i="3"/>
  <c r="AY323" i="3"/>
  <c r="AY303" i="3"/>
  <c r="AY279" i="3"/>
  <c r="AY259" i="3"/>
  <c r="AY239" i="3"/>
  <c r="AY215" i="3"/>
  <c r="AY195" i="3"/>
  <c r="AY175" i="3"/>
  <c r="AY151" i="3"/>
  <c r="AY131" i="3"/>
  <c r="AY111" i="3"/>
  <c r="AY91" i="3"/>
  <c r="AY75" i="3"/>
  <c r="AY59" i="3"/>
  <c r="AY43" i="3"/>
  <c r="AY27" i="3"/>
  <c r="AY379" i="3"/>
  <c r="AY272" i="3"/>
  <c r="AY208" i="3"/>
  <c r="AY144" i="3"/>
  <c r="AY80" i="3"/>
  <c r="AY377" i="3"/>
  <c r="AY313" i="3"/>
  <c r="AY249" i="3"/>
  <c r="AY185" i="3"/>
  <c r="AY121" i="3"/>
  <c r="AY57" i="3"/>
  <c r="AY354" i="3"/>
  <c r="AY290" i="3"/>
  <c r="AY226" i="3"/>
  <c r="AY162" i="3"/>
  <c r="AY110" i="3"/>
  <c r="AY90" i="3"/>
  <c r="AY66" i="3"/>
  <c r="AY46" i="3"/>
  <c r="AY26" i="3"/>
  <c r="AY359" i="3"/>
  <c r="AY339" i="3"/>
  <c r="AY319" i="3"/>
  <c r="AY295" i="3"/>
  <c r="AY275" i="3"/>
  <c r="AY255" i="3"/>
  <c r="AY231" i="3"/>
  <c r="AY211" i="3"/>
  <c r="AY191" i="3"/>
  <c r="AY167" i="3"/>
  <c r="AY147" i="3"/>
  <c r="AY127" i="3"/>
  <c r="AY103" i="3"/>
  <c r="AY87" i="3"/>
  <c r="AY71" i="3"/>
  <c r="AY55" i="3"/>
  <c r="AY39" i="3"/>
  <c r="AY320" i="3"/>
  <c r="AY64" i="3"/>
  <c r="AY169" i="3"/>
  <c r="AY274" i="3"/>
  <c r="AY82" i="3"/>
  <c r="AY355" i="3"/>
  <c r="AY271" i="3"/>
  <c r="AY183" i="3"/>
  <c r="AY99" i="3"/>
  <c r="AY35" i="3"/>
  <c r="AY256" i="3"/>
  <c r="AY361" i="3"/>
  <c r="AY105" i="3"/>
  <c r="AY210" i="3"/>
  <c r="AY62" i="3"/>
  <c r="AY335" i="3"/>
  <c r="AY247" i="3"/>
  <c r="AY163" i="3"/>
  <c r="AY83" i="3"/>
  <c r="AY192" i="3"/>
  <c r="AY297" i="3"/>
  <c r="AY41" i="3"/>
  <c r="AY146" i="3"/>
  <c r="AY42" i="3"/>
  <c r="AY311" i="3"/>
  <c r="AY227" i="3"/>
  <c r="AY143" i="3"/>
  <c r="AY67" i="3"/>
  <c r="AY128" i="3"/>
  <c r="AY375" i="3"/>
  <c r="AY51" i="3"/>
  <c r="AY233" i="3"/>
  <c r="AY291" i="3"/>
  <c r="AY338" i="3"/>
  <c r="AY207" i="3"/>
  <c r="AY106" i="3"/>
  <c r="AY119" i="3"/>
  <c r="BF20" i="3"/>
  <c r="BO20" i="3"/>
  <c r="BQ21" i="3"/>
  <c r="BE23" i="3"/>
  <c r="BG24" i="3"/>
  <c r="BI25" i="3"/>
  <c r="BK26" i="3"/>
  <c r="BM27" i="3"/>
  <c r="BO28" i="3"/>
  <c r="BQ29" i="3"/>
  <c r="BE31" i="3"/>
  <c r="BG32" i="3"/>
  <c r="BI33" i="3"/>
  <c r="BK34" i="3"/>
  <c r="BM35" i="3"/>
  <c r="BO36" i="3"/>
  <c r="BQ37" i="3"/>
  <c r="BE39" i="3"/>
  <c r="BG40" i="3"/>
  <c r="BI41" i="3"/>
  <c r="BK42" i="3"/>
  <c r="BM43" i="3"/>
  <c r="BO44" i="3"/>
  <c r="BQ45" i="3"/>
  <c r="BE47" i="3"/>
  <c r="BG48" i="3"/>
  <c r="BI49" i="3"/>
  <c r="BK50" i="3"/>
  <c r="BM51" i="3"/>
  <c r="BO52" i="3"/>
  <c r="BQ53" i="3"/>
  <c r="BE55" i="3"/>
  <c r="BG56" i="3"/>
  <c r="BI57" i="3"/>
  <c r="BK58" i="3"/>
  <c r="BM59" i="3"/>
  <c r="BO60" i="3"/>
  <c r="BQ61" i="3"/>
  <c r="BE63" i="3"/>
  <c r="BG64" i="3"/>
  <c r="BI65" i="3"/>
  <c r="BK66" i="3"/>
  <c r="BM67" i="3"/>
  <c r="BO68" i="3"/>
  <c r="BQ69" i="3"/>
  <c r="BE71" i="3"/>
  <c r="BG72" i="3"/>
  <c r="BI73" i="3"/>
  <c r="BK74" i="3"/>
  <c r="BM75" i="3"/>
  <c r="BO76" i="3"/>
  <c r="BQ77" i="3"/>
  <c r="BE79" i="3"/>
  <c r="BG80" i="3"/>
  <c r="BI81" i="3"/>
  <c r="BK82" i="3"/>
  <c r="BM83" i="3"/>
  <c r="BO84" i="3"/>
  <c r="BQ85" i="3"/>
  <c r="BE87" i="3"/>
  <c r="BG88" i="3"/>
  <c r="BI89" i="3"/>
  <c r="BK90" i="3"/>
  <c r="BH91" i="3"/>
  <c r="BM91" i="3"/>
  <c r="BE92" i="3"/>
  <c r="BJ92" i="3"/>
  <c r="BO92" i="3"/>
  <c r="BF93" i="3"/>
  <c r="BJ93" i="3"/>
  <c r="BN93" i="3"/>
  <c r="BD94" i="3"/>
  <c r="BH94" i="3"/>
  <c r="BL94" i="3"/>
  <c r="BP94" i="3"/>
  <c r="BF95" i="3"/>
  <c r="BJ95" i="3"/>
  <c r="BN95" i="3"/>
  <c r="BD96" i="3"/>
  <c r="BH96" i="3"/>
  <c r="BL96" i="3"/>
  <c r="BP96" i="3"/>
  <c r="BF97" i="3"/>
  <c r="BJ97" i="3"/>
  <c r="BN97" i="3"/>
  <c r="BD98" i="3"/>
  <c r="BH98" i="3"/>
  <c r="BL98" i="3"/>
  <c r="BP98" i="3"/>
  <c r="BF99" i="3"/>
  <c r="BJ99" i="3"/>
  <c r="BN99" i="3"/>
  <c r="BD100" i="3"/>
  <c r="BH100" i="3"/>
  <c r="BL100" i="3"/>
  <c r="BP100" i="3"/>
  <c r="BF101" i="3"/>
  <c r="BJ101" i="3"/>
  <c r="BN101" i="3"/>
  <c r="BD102" i="3"/>
  <c r="BH102" i="3"/>
  <c r="BL102" i="3"/>
  <c r="BP102" i="3"/>
  <c r="BF103" i="3"/>
  <c r="BJ103" i="3"/>
  <c r="BN103" i="3"/>
  <c r="BD104" i="3"/>
  <c r="BH104" i="3"/>
  <c r="BL104" i="3"/>
  <c r="BP104" i="3"/>
  <c r="BF105" i="3"/>
  <c r="BJ105" i="3"/>
  <c r="BN105" i="3"/>
  <c r="BD106" i="3"/>
  <c r="BH106" i="3"/>
  <c r="BL106" i="3"/>
  <c r="BP106" i="3"/>
  <c r="BF107" i="3"/>
  <c r="BJ107" i="3"/>
  <c r="BN107" i="3"/>
  <c r="BD108" i="3"/>
  <c r="BH108" i="3"/>
  <c r="BL108" i="3"/>
  <c r="BP108" i="3"/>
  <c r="BF109" i="3"/>
  <c r="BJ109" i="3"/>
  <c r="BN109" i="3"/>
  <c r="BD110" i="3"/>
  <c r="BH110" i="3"/>
  <c r="BL110" i="3"/>
  <c r="BP110" i="3"/>
  <c r="BF111" i="3"/>
  <c r="BJ111" i="3"/>
  <c r="BN111" i="3"/>
  <c r="BD112" i="3"/>
  <c r="BH112" i="3"/>
  <c r="BL112" i="3"/>
  <c r="BP112" i="3"/>
  <c r="BF113" i="3"/>
  <c r="BJ113" i="3"/>
  <c r="BN113" i="3"/>
  <c r="BD114" i="3"/>
  <c r="BH114" i="3"/>
  <c r="BL114" i="3"/>
  <c r="BP114" i="3"/>
  <c r="BF115" i="3"/>
  <c r="BJ115" i="3"/>
  <c r="BN115" i="3"/>
  <c r="BD116" i="3"/>
  <c r="BH116" i="3"/>
  <c r="BL116" i="3"/>
  <c r="BP116" i="3"/>
  <c r="BF117" i="3"/>
  <c r="BJ117" i="3"/>
  <c r="BN117" i="3"/>
  <c r="BD118" i="3"/>
  <c r="BH118" i="3"/>
  <c r="BL118" i="3"/>
  <c r="BP118" i="3"/>
  <c r="BF119" i="3"/>
  <c r="BJ119" i="3"/>
  <c r="BN119" i="3"/>
  <c r="BD120" i="3"/>
  <c r="BH120" i="3"/>
  <c r="BL120" i="3"/>
  <c r="BP120" i="3"/>
  <c r="BF121" i="3"/>
  <c r="BJ121" i="3"/>
  <c r="BN121" i="3"/>
  <c r="BD122" i="3"/>
  <c r="BH122" i="3"/>
  <c r="BL122" i="3"/>
  <c r="BP122" i="3"/>
  <c r="BF123" i="3"/>
  <c r="BJ123" i="3"/>
  <c r="BN123" i="3"/>
  <c r="BD124" i="3"/>
  <c r="BH124" i="3"/>
  <c r="BL124" i="3"/>
  <c r="BP124" i="3"/>
  <c r="BF125" i="3"/>
  <c r="BJ125" i="3"/>
  <c r="BN125" i="3"/>
  <c r="BD126" i="3"/>
  <c r="BH126" i="3"/>
  <c r="BL126" i="3"/>
  <c r="BP126" i="3"/>
  <c r="BF127" i="3"/>
  <c r="BJ127" i="3"/>
  <c r="BN127" i="3"/>
  <c r="BD128" i="3"/>
  <c r="BH128" i="3"/>
  <c r="BL128" i="3"/>
  <c r="BP128" i="3"/>
  <c r="BF129" i="3"/>
  <c r="BJ129" i="3"/>
  <c r="BN129" i="3"/>
  <c r="BD130" i="3"/>
  <c r="BH130" i="3"/>
  <c r="BL130" i="3"/>
  <c r="BP130" i="3"/>
  <c r="BF131" i="3"/>
  <c r="BJ131" i="3"/>
  <c r="BN131" i="3"/>
  <c r="BD132" i="3"/>
  <c r="BH132" i="3"/>
  <c r="BL132" i="3"/>
  <c r="BP132" i="3"/>
  <c r="BF133" i="3"/>
  <c r="BJ133" i="3"/>
  <c r="BN133" i="3"/>
  <c r="BD134" i="3"/>
  <c r="BH134" i="3"/>
  <c r="BL134" i="3"/>
  <c r="BP134" i="3"/>
  <c r="BF135" i="3"/>
  <c r="BJ135" i="3"/>
  <c r="BN135" i="3"/>
  <c r="BD136" i="3"/>
  <c r="BH136" i="3"/>
  <c r="BL136" i="3"/>
  <c r="BP136" i="3"/>
  <c r="BF137" i="3"/>
  <c r="BJ137" i="3"/>
  <c r="BN137" i="3"/>
  <c r="BD138" i="3"/>
  <c r="BH138" i="3"/>
  <c r="BL138" i="3"/>
  <c r="BP138" i="3"/>
  <c r="BF139" i="3"/>
  <c r="BJ139" i="3"/>
  <c r="BN139" i="3"/>
  <c r="BD140" i="3"/>
  <c r="BH140" i="3"/>
  <c r="BL140" i="3"/>
  <c r="BP140" i="3"/>
  <c r="BF141" i="3"/>
  <c r="BJ141" i="3"/>
  <c r="BN141" i="3"/>
  <c r="BD142" i="3"/>
  <c r="BH142" i="3"/>
  <c r="BL142" i="3"/>
  <c r="BP142" i="3"/>
  <c r="BF143" i="3"/>
  <c r="BJ143" i="3"/>
  <c r="BN143" i="3"/>
  <c r="BD144" i="3"/>
  <c r="BH144" i="3"/>
  <c r="BL144" i="3"/>
  <c r="BP144" i="3"/>
  <c r="BF145" i="3"/>
  <c r="BJ145" i="3"/>
  <c r="BN145" i="3"/>
  <c r="BD146" i="3"/>
  <c r="BH146" i="3"/>
  <c r="BL146" i="3"/>
  <c r="BP146" i="3"/>
  <c r="BI21" i="3"/>
  <c r="BO22" i="3"/>
  <c r="BK24" i="3"/>
  <c r="BQ25" i="3"/>
  <c r="BI27" i="3"/>
  <c r="BE29" i="3"/>
  <c r="BK30" i="3"/>
  <c r="BQ31" i="3"/>
  <c r="BM33" i="3"/>
  <c r="BE35" i="3"/>
  <c r="BK36" i="3"/>
  <c r="BG38" i="3"/>
  <c r="BM39" i="3"/>
  <c r="BE41" i="3"/>
  <c r="BO42" i="3"/>
  <c r="BG44" i="3"/>
  <c r="BM45" i="3"/>
  <c r="BI47" i="3"/>
  <c r="BO48" i="3"/>
  <c r="BG50" i="3"/>
  <c r="BQ51" i="3"/>
  <c r="BI53" i="3"/>
  <c r="BO54" i="3"/>
  <c r="BK56" i="3"/>
  <c r="BQ57" i="3"/>
  <c r="BI59" i="3"/>
  <c r="BE61" i="3"/>
  <c r="BK62" i="3"/>
  <c r="BQ63" i="3"/>
  <c r="BM65" i="3"/>
  <c r="BE67" i="3"/>
  <c r="BK68" i="3"/>
  <c r="BG20" i="3"/>
  <c r="BM21" i="3"/>
  <c r="BI23" i="3"/>
  <c r="BO24" i="3"/>
  <c r="BG26" i="3"/>
  <c r="BQ27" i="3"/>
  <c r="BI29" i="3"/>
  <c r="BO30" i="3"/>
  <c r="BK32" i="3"/>
  <c r="BQ33" i="3"/>
  <c r="BI35" i="3"/>
  <c r="BE37" i="3"/>
  <c r="BK38" i="3"/>
  <c r="BQ39" i="3"/>
  <c r="BM41" i="3"/>
  <c r="BE43" i="3"/>
  <c r="BK44" i="3"/>
  <c r="BG46" i="3"/>
  <c r="BM47" i="3"/>
  <c r="BE49" i="3"/>
  <c r="BO50" i="3"/>
  <c r="BG52" i="3"/>
  <c r="BM53" i="3"/>
  <c r="BI55" i="3"/>
  <c r="BO56" i="3"/>
  <c r="BG58" i="3"/>
  <c r="BQ59" i="3"/>
  <c r="BI61" i="3"/>
  <c r="BO62" i="3"/>
  <c r="BK64" i="3"/>
  <c r="BQ65" i="3"/>
  <c r="BI67" i="3"/>
  <c r="BE69" i="3"/>
  <c r="BK70" i="3"/>
  <c r="BQ71" i="3"/>
  <c r="BM73" i="3"/>
  <c r="BE75" i="3"/>
  <c r="BK76" i="3"/>
  <c r="BG78" i="3"/>
  <c r="BM79" i="3"/>
  <c r="BE81" i="3"/>
  <c r="BO82" i="3"/>
  <c r="BG84" i="3"/>
  <c r="BM85" i="3"/>
  <c r="BI87" i="3"/>
  <c r="BO88" i="3"/>
  <c r="BG90" i="3"/>
  <c r="BI91" i="3"/>
  <c r="BP91" i="3"/>
  <c r="BI92" i="3"/>
  <c r="BQ92" i="3"/>
  <c r="BH93" i="3"/>
  <c r="BM93" i="3"/>
  <c r="BE94" i="3"/>
  <c r="BJ94" i="3"/>
  <c r="BO94" i="3"/>
  <c r="BG95" i="3"/>
  <c r="BL95" i="3"/>
  <c r="BQ95" i="3"/>
  <c r="BI96" i="3"/>
  <c r="BN96" i="3"/>
  <c r="BE97" i="3"/>
  <c r="BK97" i="3"/>
  <c r="BP97" i="3"/>
  <c r="BG98" i="3"/>
  <c r="BM98" i="3"/>
  <c r="BD99" i="3"/>
  <c r="BI99" i="3"/>
  <c r="BO99" i="3"/>
  <c r="BF100" i="3"/>
  <c r="BK100" i="3"/>
  <c r="BQ100" i="3"/>
  <c r="BH101" i="3"/>
  <c r="BM101" i="3"/>
  <c r="BE102" i="3"/>
  <c r="BJ102" i="3"/>
  <c r="BO102" i="3"/>
  <c r="BG103" i="3"/>
  <c r="BL103" i="3"/>
  <c r="BQ103" i="3"/>
  <c r="BI104" i="3"/>
  <c r="BN104" i="3"/>
  <c r="BE105" i="3"/>
  <c r="BK105" i="3"/>
  <c r="BP105" i="3"/>
  <c r="BG106" i="3"/>
  <c r="BM106" i="3"/>
  <c r="BD107" i="3"/>
  <c r="BI107" i="3"/>
  <c r="BO107" i="3"/>
  <c r="BF108" i="3"/>
  <c r="BK108" i="3"/>
  <c r="BQ108" i="3"/>
  <c r="BH109" i="3"/>
  <c r="BM109" i="3"/>
  <c r="BE110" i="3"/>
  <c r="BJ110" i="3"/>
  <c r="BO110" i="3"/>
  <c r="BG111" i="3"/>
  <c r="BL111" i="3"/>
  <c r="BQ111" i="3"/>
  <c r="BI112" i="3"/>
  <c r="BN112" i="3"/>
  <c r="BE113" i="3"/>
  <c r="BK113" i="3"/>
  <c r="BP113" i="3"/>
  <c r="BG114" i="3"/>
  <c r="BM114" i="3"/>
  <c r="BD115" i="3"/>
  <c r="BI115" i="3"/>
  <c r="BO115" i="3"/>
  <c r="BF116" i="3"/>
  <c r="BK116" i="3"/>
  <c r="BQ116" i="3"/>
  <c r="BH117" i="3"/>
  <c r="BM117" i="3"/>
  <c r="BE118" i="3"/>
  <c r="BJ118" i="3"/>
  <c r="BO118" i="3"/>
  <c r="BG119" i="3"/>
  <c r="BL119" i="3"/>
  <c r="BQ119" i="3"/>
  <c r="BI120" i="3"/>
  <c r="BN120" i="3"/>
  <c r="BE121" i="3"/>
  <c r="BK121" i="3"/>
  <c r="BP121" i="3"/>
  <c r="BG122" i="3"/>
  <c r="BM122" i="3"/>
  <c r="BD123" i="3"/>
  <c r="BI123" i="3"/>
  <c r="BO123" i="3"/>
  <c r="BF124" i="3"/>
  <c r="BK124" i="3"/>
  <c r="BQ124" i="3"/>
  <c r="BH125" i="3"/>
  <c r="BM125" i="3"/>
  <c r="BE126" i="3"/>
  <c r="BJ126" i="3"/>
  <c r="BO126" i="3"/>
  <c r="BG127" i="3"/>
  <c r="BL127" i="3"/>
  <c r="BQ127" i="3"/>
  <c r="BI128" i="3"/>
  <c r="BN128" i="3"/>
  <c r="BE129" i="3"/>
  <c r="BK129" i="3"/>
  <c r="BP129" i="3"/>
  <c r="BG130" i="3"/>
  <c r="BM130" i="3"/>
  <c r="BD131" i="3"/>
  <c r="BI131" i="3"/>
  <c r="BO131" i="3"/>
  <c r="BF132" i="3"/>
  <c r="BK132" i="3"/>
  <c r="BQ132" i="3"/>
  <c r="BH133" i="3"/>
  <c r="BM133" i="3"/>
  <c r="BE134" i="3"/>
  <c r="BJ134" i="3"/>
  <c r="BO134" i="3"/>
  <c r="BG135" i="3"/>
  <c r="BL135" i="3"/>
  <c r="BQ135" i="3"/>
  <c r="BI136" i="3"/>
  <c r="BN136" i="3"/>
  <c r="BE137" i="3"/>
  <c r="BK137" i="3"/>
  <c r="BP137" i="3"/>
  <c r="BG138" i="3"/>
  <c r="BM138" i="3"/>
  <c r="BD139" i="3"/>
  <c r="BI139" i="3"/>
  <c r="BO139" i="3"/>
  <c r="BF140" i="3"/>
  <c r="BK140" i="3"/>
  <c r="BQ140" i="3"/>
  <c r="BH141" i="3"/>
  <c r="BM141" i="3"/>
  <c r="BE142" i="3"/>
  <c r="BJ142" i="3"/>
  <c r="BO142" i="3"/>
  <c r="BG143" i="3"/>
  <c r="BL143" i="3"/>
  <c r="BQ143" i="3"/>
  <c r="BI144" i="3"/>
  <c r="BN144" i="3"/>
  <c r="BE145" i="3"/>
  <c r="BK145" i="3"/>
  <c r="BP145" i="3"/>
  <c r="BG146" i="3"/>
  <c r="BM146" i="3"/>
  <c r="BD147" i="3"/>
  <c r="BH147" i="3"/>
  <c r="BL147" i="3"/>
  <c r="BP147" i="3"/>
  <c r="BF148" i="3"/>
  <c r="BJ148" i="3"/>
  <c r="BN148" i="3"/>
  <c r="BD149" i="3"/>
  <c r="BH149" i="3"/>
  <c r="BL149" i="3"/>
  <c r="BP149" i="3"/>
  <c r="BF150" i="3"/>
  <c r="BJ150" i="3"/>
  <c r="BN150" i="3"/>
  <c r="BD151" i="3"/>
  <c r="BH151" i="3"/>
  <c r="BL151" i="3"/>
  <c r="BP151" i="3"/>
  <c r="BF152" i="3"/>
  <c r="BJ152" i="3"/>
  <c r="BN152" i="3"/>
  <c r="BD153" i="3"/>
  <c r="BH153" i="3"/>
  <c r="BL153" i="3"/>
  <c r="BP153" i="3"/>
  <c r="BF154" i="3"/>
  <c r="BJ154" i="3"/>
  <c r="BN154" i="3"/>
  <c r="BD155" i="3"/>
  <c r="BH155" i="3"/>
  <c r="BL155" i="3"/>
  <c r="BP155" i="3"/>
  <c r="BF156" i="3"/>
  <c r="BJ156" i="3"/>
  <c r="BN156" i="3"/>
  <c r="BD157" i="3"/>
  <c r="BH157" i="3"/>
  <c r="BL157" i="3"/>
  <c r="BP157" i="3"/>
  <c r="BF158" i="3"/>
  <c r="BJ158" i="3"/>
  <c r="BN158" i="3"/>
  <c r="BD159" i="3"/>
  <c r="BH159" i="3"/>
  <c r="BL159" i="3"/>
  <c r="BP159" i="3"/>
  <c r="BF160" i="3"/>
  <c r="BJ160" i="3"/>
  <c r="BN160" i="3"/>
  <c r="BD161" i="3"/>
  <c r="BH161" i="3"/>
  <c r="BL161" i="3"/>
  <c r="BP161" i="3"/>
  <c r="BF162" i="3"/>
  <c r="BJ162" i="3"/>
  <c r="BN162" i="3"/>
  <c r="BD163" i="3"/>
  <c r="BH163" i="3"/>
  <c r="BL163" i="3"/>
  <c r="BP163" i="3"/>
  <c r="BF164" i="3"/>
  <c r="BJ164" i="3"/>
  <c r="BN164" i="3"/>
  <c r="BD165" i="3"/>
  <c r="BK22" i="3"/>
  <c r="BM25" i="3"/>
  <c r="BK28" i="3"/>
  <c r="BM31" i="3"/>
  <c r="BO34" i="3"/>
  <c r="BM37" i="3"/>
  <c r="BO40" i="3"/>
  <c r="BQ43" i="3"/>
  <c r="BO46" i="3"/>
  <c r="BQ49" i="3"/>
  <c r="BE53" i="3"/>
  <c r="BQ55" i="3"/>
  <c r="BE59" i="3"/>
  <c r="BG62" i="3"/>
  <c r="BE65" i="3"/>
  <c r="BG68" i="3"/>
  <c r="BO70" i="3"/>
  <c r="BO72" i="3"/>
  <c r="BO74" i="3"/>
  <c r="BE77" i="3"/>
  <c r="BO78" i="3"/>
  <c r="BO80" i="3"/>
  <c r="BE83" i="3"/>
  <c r="BE85" i="3"/>
  <c r="BO86" i="3"/>
  <c r="BE89" i="3"/>
  <c r="BE91" i="3"/>
  <c r="BO91" i="3"/>
  <c r="BK92" i="3"/>
  <c r="BE93" i="3"/>
  <c r="BL93" i="3"/>
  <c r="BF94" i="3"/>
  <c r="BM94" i="3"/>
  <c r="BE95" i="3"/>
  <c r="BM95" i="3"/>
  <c r="BF96" i="3"/>
  <c r="BM96" i="3"/>
  <c r="BG97" i="3"/>
  <c r="BM97" i="3"/>
  <c r="BF98" i="3"/>
  <c r="BN98" i="3"/>
  <c r="BG99" i="3"/>
  <c r="BM99" i="3"/>
  <c r="BG100" i="3"/>
  <c r="BN100" i="3"/>
  <c r="BG101" i="3"/>
  <c r="BO101" i="3"/>
  <c r="BG102" i="3"/>
  <c r="BN102" i="3"/>
  <c r="BH103" i="3"/>
  <c r="BO103" i="3"/>
  <c r="BG104" i="3"/>
  <c r="BO104" i="3"/>
  <c r="BH105" i="3"/>
  <c r="BO105" i="3"/>
  <c r="BI106" i="3"/>
  <c r="BO106" i="3"/>
  <c r="BH107" i="3"/>
  <c r="BP107" i="3"/>
  <c r="BI108" i="3"/>
  <c r="BO108" i="3"/>
  <c r="BI109" i="3"/>
  <c r="BP109" i="3"/>
  <c r="BI110" i="3"/>
  <c r="BQ110" i="3"/>
  <c r="BI111" i="3"/>
  <c r="BP111" i="3"/>
  <c r="BJ112" i="3"/>
  <c r="BQ112" i="3"/>
  <c r="BI113" i="3"/>
  <c r="BQ113" i="3"/>
  <c r="BJ114" i="3"/>
  <c r="BQ114" i="3"/>
  <c r="BK115" i="3"/>
  <c r="BQ115" i="3"/>
  <c r="BJ116" i="3"/>
  <c r="BD117" i="3"/>
  <c r="BK117" i="3"/>
  <c r="BQ117" i="3"/>
  <c r="BK118" i="3"/>
  <c r="BD119" i="3"/>
  <c r="BK119" i="3"/>
  <c r="BE120" i="3"/>
  <c r="BK120" i="3"/>
  <c r="BD121" i="3"/>
  <c r="BL121" i="3"/>
  <c r="BE122" i="3"/>
  <c r="BK122" i="3"/>
  <c r="BE123" i="3"/>
  <c r="BL123" i="3"/>
  <c r="BE124" i="3"/>
  <c r="BM124" i="3"/>
  <c r="BE125" i="3"/>
  <c r="BL125" i="3"/>
  <c r="BF126" i="3"/>
  <c r="BM126" i="3"/>
  <c r="BE127" i="3"/>
  <c r="BM127" i="3"/>
  <c r="BF128" i="3"/>
  <c r="BM128" i="3"/>
  <c r="BG129" i="3"/>
  <c r="BM129" i="3"/>
  <c r="BF130" i="3"/>
  <c r="BN130" i="3"/>
  <c r="BG131" i="3"/>
  <c r="BM131" i="3"/>
  <c r="BG132" i="3"/>
  <c r="BN132" i="3"/>
  <c r="BG133" i="3"/>
  <c r="BO133" i="3"/>
  <c r="BG134" i="3"/>
  <c r="BN134" i="3"/>
  <c r="BH135" i="3"/>
  <c r="BO135" i="3"/>
  <c r="BG136" i="3"/>
  <c r="BO136" i="3"/>
  <c r="BH137" i="3"/>
  <c r="BO137" i="3"/>
  <c r="BI138" i="3"/>
  <c r="BO138" i="3"/>
  <c r="BH139" i="3"/>
  <c r="BP139" i="3"/>
  <c r="BI140" i="3"/>
  <c r="BO140" i="3"/>
  <c r="BI141" i="3"/>
  <c r="BP141" i="3"/>
  <c r="BI142" i="3"/>
  <c r="BQ142" i="3"/>
  <c r="BI143" i="3"/>
  <c r="BP143" i="3"/>
  <c r="BJ144" i="3"/>
  <c r="BQ144" i="3"/>
  <c r="BI145" i="3"/>
  <c r="BQ145" i="3"/>
  <c r="BJ146" i="3"/>
  <c r="BQ146" i="3"/>
  <c r="BI147" i="3"/>
  <c r="BN147" i="3"/>
  <c r="BE148" i="3"/>
  <c r="BK148" i="3"/>
  <c r="BP148" i="3"/>
  <c r="BG149" i="3"/>
  <c r="BM149" i="3"/>
  <c r="BD150" i="3"/>
  <c r="BI150" i="3"/>
  <c r="BO150" i="3"/>
  <c r="BF151" i="3"/>
  <c r="BK151" i="3"/>
  <c r="BQ151" i="3"/>
  <c r="BH152" i="3"/>
  <c r="BM152" i="3"/>
  <c r="BE153" i="3"/>
  <c r="BJ153" i="3"/>
  <c r="BO153" i="3"/>
  <c r="BG154" i="3"/>
  <c r="BL154" i="3"/>
  <c r="BQ154" i="3"/>
  <c r="BI155" i="3"/>
  <c r="BN155" i="3"/>
  <c r="BK20" i="3"/>
  <c r="BM23" i="3"/>
  <c r="BO26" i="3"/>
  <c r="BM29" i="3"/>
  <c r="BO32" i="3"/>
  <c r="BQ35" i="3"/>
  <c r="BO38" i="3"/>
  <c r="BQ41" i="3"/>
  <c r="BE45" i="3"/>
  <c r="BQ47" i="3"/>
  <c r="BE51" i="3"/>
  <c r="BG54" i="3"/>
  <c r="BE57" i="3"/>
  <c r="BG60" i="3"/>
  <c r="BI63" i="3"/>
  <c r="BG66" i="3"/>
  <c r="BI69" i="3"/>
  <c r="BI71" i="3"/>
  <c r="BE73" i="3"/>
  <c r="BI75" i="3"/>
  <c r="BI77" i="3"/>
  <c r="BI79" i="3"/>
  <c r="BM81" i="3"/>
  <c r="BI83" i="3"/>
  <c r="BI85" i="3"/>
  <c r="BM87" i="3"/>
  <c r="BM89" i="3"/>
  <c r="BG91" i="3"/>
  <c r="BQ91" i="3"/>
  <c r="BM92" i="3"/>
  <c r="BG93" i="3"/>
  <c r="BO93" i="3"/>
  <c r="BG94" i="3"/>
  <c r="BN94" i="3"/>
  <c r="BH95" i="3"/>
  <c r="BO95" i="3"/>
  <c r="BG96" i="3"/>
  <c r="BO96" i="3"/>
  <c r="BH97" i="3"/>
  <c r="BO97" i="3"/>
  <c r="BI98" i="3"/>
  <c r="BO98" i="3"/>
  <c r="BH99" i="3"/>
  <c r="BP99" i="3"/>
  <c r="BI100" i="3"/>
  <c r="BO100" i="3"/>
  <c r="BI101" i="3"/>
  <c r="BP101" i="3"/>
  <c r="BI102" i="3"/>
  <c r="BQ102" i="3"/>
  <c r="BI103" i="3"/>
  <c r="BP103" i="3"/>
  <c r="BJ104" i="3"/>
  <c r="BQ104" i="3"/>
  <c r="BI105" i="3"/>
  <c r="BQ105" i="3"/>
  <c r="BJ106" i="3"/>
  <c r="BQ106" i="3"/>
  <c r="BK107" i="3"/>
  <c r="BQ107" i="3"/>
  <c r="BJ108" i="3"/>
  <c r="BD109" i="3"/>
  <c r="BK109" i="3"/>
  <c r="BQ109" i="3"/>
  <c r="BK110" i="3"/>
  <c r="BD111" i="3"/>
  <c r="BK111" i="3"/>
  <c r="BE112" i="3"/>
  <c r="BK112" i="3"/>
  <c r="BD113" i="3"/>
  <c r="BL113" i="3"/>
  <c r="BE114" i="3"/>
  <c r="BK114" i="3"/>
  <c r="BE115" i="3"/>
  <c r="BL115" i="3"/>
  <c r="BE116" i="3"/>
  <c r="BM116" i="3"/>
  <c r="BE117" i="3"/>
  <c r="BL117" i="3"/>
  <c r="BF118" i="3"/>
  <c r="BM118" i="3"/>
  <c r="BE119" i="3"/>
  <c r="BM119" i="3"/>
  <c r="BF120" i="3"/>
  <c r="BM120" i="3"/>
  <c r="BG121" i="3"/>
  <c r="BM121" i="3"/>
  <c r="BF122" i="3"/>
  <c r="BN122" i="3"/>
  <c r="BG123" i="3"/>
  <c r="BM123" i="3"/>
  <c r="BG124" i="3"/>
  <c r="BN124" i="3"/>
  <c r="BG125" i="3"/>
  <c r="BO125" i="3"/>
  <c r="BG126" i="3"/>
  <c r="BN126" i="3"/>
  <c r="BH127" i="3"/>
  <c r="BO127" i="3"/>
  <c r="BG128" i="3"/>
  <c r="BO128" i="3"/>
  <c r="BH129" i="3"/>
  <c r="BO129" i="3"/>
  <c r="BI130" i="3"/>
  <c r="BO130" i="3"/>
  <c r="BH131" i="3"/>
  <c r="BP131" i="3"/>
  <c r="BI132" i="3"/>
  <c r="BO132" i="3"/>
  <c r="BI133" i="3"/>
  <c r="BP133" i="3"/>
  <c r="BI134" i="3"/>
  <c r="BQ134" i="3"/>
  <c r="BI135" i="3"/>
  <c r="BP135" i="3"/>
  <c r="BJ136" i="3"/>
  <c r="BQ136" i="3"/>
  <c r="BI137" i="3"/>
  <c r="BQ137" i="3"/>
  <c r="BJ138" i="3"/>
  <c r="BQ138" i="3"/>
  <c r="BK139" i="3"/>
  <c r="BQ139" i="3"/>
  <c r="BJ140" i="3"/>
  <c r="BD141" i="3"/>
  <c r="BK141" i="3"/>
  <c r="BQ141" i="3"/>
  <c r="BK142" i="3"/>
  <c r="BD143" i="3"/>
  <c r="BK143" i="3"/>
  <c r="BE144" i="3"/>
  <c r="BK144" i="3"/>
  <c r="BD145" i="3"/>
  <c r="BL145" i="3"/>
  <c r="BE146" i="3"/>
  <c r="BK146" i="3"/>
  <c r="BE147" i="3"/>
  <c r="BJ147" i="3"/>
  <c r="BO147" i="3"/>
  <c r="BG148" i="3"/>
  <c r="BL148" i="3"/>
  <c r="BQ148" i="3"/>
  <c r="BI149" i="3"/>
  <c r="BN149" i="3"/>
  <c r="BE150" i="3"/>
  <c r="BK150" i="3"/>
  <c r="BP150" i="3"/>
  <c r="BG151" i="3"/>
  <c r="BM151" i="3"/>
  <c r="BD152" i="3"/>
  <c r="BI152" i="3"/>
  <c r="BO152" i="3"/>
  <c r="BF153" i="3"/>
  <c r="BK153" i="3"/>
  <c r="BQ153" i="3"/>
  <c r="BH154" i="3"/>
  <c r="BM154" i="3"/>
  <c r="BE155" i="3"/>
  <c r="BJ155" i="3"/>
  <c r="BO155" i="3"/>
  <c r="BG156" i="3"/>
  <c r="BL156" i="3"/>
  <c r="BQ156" i="3"/>
  <c r="BI157" i="3"/>
  <c r="BN157" i="3"/>
  <c r="BE158" i="3"/>
  <c r="BK158" i="3"/>
  <c r="BP158" i="3"/>
  <c r="BG159" i="3"/>
  <c r="BM159" i="3"/>
  <c r="BD160" i="3"/>
  <c r="BI160" i="3"/>
  <c r="BO160" i="3"/>
  <c r="BF161" i="3"/>
  <c r="BK161" i="3"/>
  <c r="BQ161" i="3"/>
  <c r="BH162" i="3"/>
  <c r="BM162" i="3"/>
  <c r="BE163" i="3"/>
  <c r="BJ163" i="3"/>
  <c r="BO163" i="3"/>
  <c r="BG164" i="3"/>
  <c r="BL164" i="3"/>
  <c r="BQ164" i="3"/>
  <c r="BH165" i="3"/>
  <c r="BL165" i="3"/>
  <c r="BP165" i="3"/>
  <c r="BF166" i="3"/>
  <c r="BJ166" i="3"/>
  <c r="BN166" i="3"/>
  <c r="BD167" i="3"/>
  <c r="BH167" i="3"/>
  <c r="BL167" i="3"/>
  <c r="BP167" i="3"/>
  <c r="BF168" i="3"/>
  <c r="BJ168" i="3"/>
  <c r="BN168" i="3"/>
  <c r="BD169" i="3"/>
  <c r="BH169" i="3"/>
  <c r="BL169" i="3"/>
  <c r="BP169" i="3"/>
  <c r="BF170" i="3"/>
  <c r="BJ170" i="3"/>
  <c r="BN170" i="3"/>
  <c r="BD171" i="3"/>
  <c r="BH171" i="3"/>
  <c r="BL171" i="3"/>
  <c r="BP171" i="3"/>
  <c r="BF172" i="3"/>
  <c r="BJ172" i="3"/>
  <c r="BN172" i="3"/>
  <c r="BD173" i="3"/>
  <c r="BH173" i="3"/>
  <c r="BL173" i="3"/>
  <c r="BP173" i="3"/>
  <c r="BF174" i="3"/>
  <c r="BJ174" i="3"/>
  <c r="BN174" i="3"/>
  <c r="BD175" i="3"/>
  <c r="BH175" i="3"/>
  <c r="BL175" i="3"/>
  <c r="BP175" i="3"/>
  <c r="BF176" i="3"/>
  <c r="BJ176" i="3"/>
  <c r="BN176" i="3"/>
  <c r="BD177" i="3"/>
  <c r="BH177" i="3"/>
  <c r="BL177" i="3"/>
  <c r="BP177" i="3"/>
  <c r="BF178" i="3"/>
  <c r="BJ178" i="3"/>
  <c r="BN178" i="3"/>
  <c r="BD179" i="3"/>
  <c r="BH179" i="3"/>
  <c r="BL179" i="3"/>
  <c r="BP179" i="3"/>
  <c r="BF180" i="3"/>
  <c r="BJ180" i="3"/>
  <c r="BN180" i="3"/>
  <c r="BD181" i="3"/>
  <c r="BH181" i="3"/>
  <c r="BL181" i="3"/>
  <c r="BP181" i="3"/>
  <c r="BF182" i="3"/>
  <c r="BJ182" i="3"/>
  <c r="BN182" i="3"/>
  <c r="BD183" i="3"/>
  <c r="BH183" i="3"/>
  <c r="BL183" i="3"/>
  <c r="BP183" i="3"/>
  <c r="BF184" i="3"/>
  <c r="BJ184" i="3"/>
  <c r="BN184" i="3"/>
  <c r="BD185" i="3"/>
  <c r="BH185" i="3"/>
  <c r="BL185" i="3"/>
  <c r="BP185" i="3"/>
  <c r="BF186" i="3"/>
  <c r="BJ186" i="3"/>
  <c r="BN186" i="3"/>
  <c r="BD187" i="3"/>
  <c r="BH187" i="3"/>
  <c r="BL187" i="3"/>
  <c r="BP187" i="3"/>
  <c r="BF188" i="3"/>
  <c r="BJ188" i="3"/>
  <c r="BN188" i="3"/>
  <c r="BD189" i="3"/>
  <c r="BH189" i="3"/>
  <c r="BL189" i="3"/>
  <c r="BP189" i="3"/>
  <c r="BF190" i="3"/>
  <c r="BJ190" i="3"/>
  <c r="BN190" i="3"/>
  <c r="BD191" i="3"/>
  <c r="BH191" i="3"/>
  <c r="BL191" i="3"/>
  <c r="BP191" i="3"/>
  <c r="BF192" i="3"/>
  <c r="BJ192" i="3"/>
  <c r="BN192" i="3"/>
  <c r="BD193" i="3"/>
  <c r="BH193" i="3"/>
  <c r="BL193" i="3"/>
  <c r="BP193" i="3"/>
  <c r="BF194" i="3"/>
  <c r="BJ194" i="3"/>
  <c r="BN194" i="3"/>
  <c r="BD195" i="3"/>
  <c r="BH195" i="3"/>
  <c r="BL195" i="3"/>
  <c r="BP195" i="3"/>
  <c r="BF196" i="3"/>
  <c r="BJ196" i="3"/>
  <c r="BN196" i="3"/>
  <c r="BD197" i="3"/>
  <c r="BH197" i="3"/>
  <c r="BL197" i="3"/>
  <c r="BP197" i="3"/>
  <c r="BF198" i="3"/>
  <c r="BJ198" i="3"/>
  <c r="BN198" i="3"/>
  <c r="BD199" i="3"/>
  <c r="BH199" i="3"/>
  <c r="BL199" i="3"/>
  <c r="BP199" i="3"/>
  <c r="BF200" i="3"/>
  <c r="BJ200" i="3"/>
  <c r="BN200" i="3"/>
  <c r="BD201" i="3"/>
  <c r="BH201" i="3"/>
  <c r="BL201" i="3"/>
  <c r="BP201" i="3"/>
  <c r="BF202" i="3"/>
  <c r="BJ202" i="3"/>
  <c r="BN202" i="3"/>
  <c r="BD203" i="3"/>
  <c r="BH203" i="3"/>
  <c r="BL203" i="3"/>
  <c r="BP203" i="3"/>
  <c r="BF204" i="3"/>
  <c r="BJ204" i="3"/>
  <c r="BN204" i="3"/>
  <c r="BD205" i="3"/>
  <c r="BH205" i="3"/>
  <c r="BL205" i="3"/>
  <c r="BP205" i="3"/>
  <c r="BF206" i="3"/>
  <c r="BJ206" i="3"/>
  <c r="BN206" i="3"/>
  <c r="BD207" i="3"/>
  <c r="BH207" i="3"/>
  <c r="BL207" i="3"/>
  <c r="BP207" i="3"/>
  <c r="BF208" i="3"/>
  <c r="BJ208" i="3"/>
  <c r="BN208" i="3"/>
  <c r="BD209" i="3"/>
  <c r="BH209" i="3"/>
  <c r="BL209" i="3"/>
  <c r="BP209" i="3"/>
  <c r="BF210" i="3"/>
  <c r="BJ210" i="3"/>
  <c r="BN210" i="3"/>
  <c r="BD211" i="3"/>
  <c r="BH211" i="3"/>
  <c r="BL211" i="3"/>
  <c r="BP211" i="3"/>
  <c r="BF212" i="3"/>
  <c r="BJ212" i="3"/>
  <c r="BN212" i="3"/>
  <c r="BD213" i="3"/>
  <c r="BH213" i="3"/>
  <c r="BL213" i="3"/>
  <c r="BP213" i="3"/>
  <c r="BF214" i="3"/>
  <c r="BJ214" i="3"/>
  <c r="BN214" i="3"/>
  <c r="BD215" i="3"/>
  <c r="BH215" i="3"/>
  <c r="BL215" i="3"/>
  <c r="BP215" i="3"/>
  <c r="BF216" i="3"/>
  <c r="BJ216" i="3"/>
  <c r="BN216" i="3"/>
  <c r="BD217" i="3"/>
  <c r="BH217" i="3"/>
  <c r="BL217" i="3"/>
  <c r="BP217" i="3"/>
  <c r="BF218" i="3"/>
  <c r="BJ218" i="3"/>
  <c r="BN218" i="3"/>
  <c r="BD219" i="3"/>
  <c r="BH219" i="3"/>
  <c r="BL219" i="3"/>
  <c r="BP219" i="3"/>
  <c r="BF220" i="3"/>
  <c r="BJ220" i="3"/>
  <c r="BN220" i="3"/>
  <c r="BD221" i="3"/>
  <c r="BH221" i="3"/>
  <c r="BL221" i="3"/>
  <c r="BP221" i="3"/>
  <c r="BF222" i="3"/>
  <c r="BJ222" i="3"/>
  <c r="BN222" i="3"/>
  <c r="BD223" i="3"/>
  <c r="BH223" i="3"/>
  <c r="BL223" i="3"/>
  <c r="BP223" i="3"/>
  <c r="BF224" i="3"/>
  <c r="BJ224" i="3"/>
  <c r="BN224" i="3"/>
  <c r="BD225" i="3"/>
  <c r="BH225" i="3"/>
  <c r="BL225" i="3"/>
  <c r="BP225" i="3"/>
  <c r="BF226" i="3"/>
  <c r="BJ226" i="3"/>
  <c r="BN226" i="3"/>
  <c r="BD227" i="3"/>
  <c r="BH227" i="3"/>
  <c r="BL227" i="3"/>
  <c r="BP227" i="3"/>
  <c r="BF228" i="3"/>
  <c r="BJ228" i="3"/>
  <c r="BN228" i="3"/>
  <c r="BD229" i="3"/>
  <c r="BH229" i="3"/>
  <c r="BL229" i="3"/>
  <c r="BP229" i="3"/>
  <c r="BF230" i="3"/>
  <c r="BJ230" i="3"/>
  <c r="BN230" i="3"/>
  <c r="BD231" i="3"/>
  <c r="BH231" i="3"/>
  <c r="BL231" i="3"/>
  <c r="BP231" i="3"/>
  <c r="BF232" i="3"/>
  <c r="BJ232" i="3"/>
  <c r="BN232" i="3"/>
  <c r="BD233" i="3"/>
  <c r="BH233" i="3"/>
  <c r="BL233" i="3"/>
  <c r="BP233" i="3"/>
  <c r="BF234" i="3"/>
  <c r="BJ234" i="3"/>
  <c r="BN234" i="3"/>
  <c r="BD235" i="3"/>
  <c r="BH235" i="3"/>
  <c r="BL235" i="3"/>
  <c r="BP235" i="3"/>
  <c r="BF236" i="3"/>
  <c r="BJ236" i="3"/>
  <c r="BN236" i="3"/>
  <c r="BD237" i="3"/>
  <c r="BH237" i="3"/>
  <c r="BL237" i="3"/>
  <c r="BP237" i="3"/>
  <c r="BF238" i="3"/>
  <c r="BJ238" i="3"/>
  <c r="BN238" i="3"/>
  <c r="BD239" i="3"/>
  <c r="BH239" i="3"/>
  <c r="BL239" i="3"/>
  <c r="BP239" i="3"/>
  <c r="BF240" i="3"/>
  <c r="BJ240" i="3"/>
  <c r="BN240" i="3"/>
  <c r="BD241" i="3"/>
  <c r="BH241" i="3"/>
  <c r="BL241" i="3"/>
  <c r="BP241" i="3"/>
  <c r="BF242" i="3"/>
  <c r="BJ242" i="3"/>
  <c r="BN242" i="3"/>
  <c r="BD243" i="3"/>
  <c r="BH243" i="3"/>
  <c r="BL243" i="3"/>
  <c r="BP243" i="3"/>
  <c r="BF244" i="3"/>
  <c r="BJ244" i="3"/>
  <c r="BN244" i="3"/>
  <c r="BD245" i="3"/>
  <c r="BH245" i="3"/>
  <c r="BL245" i="3"/>
  <c r="BP245" i="3"/>
  <c r="BF246" i="3"/>
  <c r="BJ246" i="3"/>
  <c r="BN246" i="3"/>
  <c r="BD247" i="3"/>
  <c r="BH247" i="3"/>
  <c r="BL247" i="3"/>
  <c r="BP247" i="3"/>
  <c r="BF248" i="3"/>
  <c r="BJ248" i="3"/>
  <c r="BN248" i="3"/>
  <c r="BD249" i="3"/>
  <c r="BH249" i="3"/>
  <c r="BL249" i="3"/>
  <c r="BP249" i="3"/>
  <c r="BF250" i="3"/>
  <c r="BJ250" i="3"/>
  <c r="BN250" i="3"/>
  <c r="BD251" i="3"/>
  <c r="BH251" i="3"/>
  <c r="BL251" i="3"/>
  <c r="BP251" i="3"/>
  <c r="BF252" i="3"/>
  <c r="BJ252" i="3"/>
  <c r="BN252" i="3"/>
  <c r="BD253" i="3"/>
  <c r="BH253" i="3"/>
  <c r="BL253" i="3"/>
  <c r="BP253" i="3"/>
  <c r="BF254" i="3"/>
  <c r="BJ254" i="3"/>
  <c r="BN254" i="3"/>
  <c r="BD255" i="3"/>
  <c r="BH255" i="3"/>
  <c r="BL255" i="3"/>
  <c r="BP255" i="3"/>
  <c r="BF256" i="3"/>
  <c r="BJ256" i="3"/>
  <c r="BN256" i="3"/>
  <c r="BD257" i="3"/>
  <c r="BH257" i="3"/>
  <c r="BL257" i="3"/>
  <c r="BP257" i="3"/>
  <c r="BF258" i="3"/>
  <c r="BJ258" i="3"/>
  <c r="BN258" i="3"/>
  <c r="BE25" i="3"/>
  <c r="BI31" i="3"/>
  <c r="BI37" i="3"/>
  <c r="BI43" i="3"/>
  <c r="BM49" i="3"/>
  <c r="BM55" i="3"/>
  <c r="BM61" i="3"/>
  <c r="BQ67" i="3"/>
  <c r="BK72" i="3"/>
  <c r="BG76" i="3"/>
  <c r="BQ23" i="3"/>
  <c r="BG30" i="3"/>
  <c r="BG36" i="3"/>
  <c r="BG42" i="3"/>
  <c r="BK48" i="3"/>
  <c r="BK54" i="3"/>
  <c r="BK60" i="3"/>
  <c r="BO66" i="3"/>
  <c r="BM71" i="3"/>
  <c r="BQ75" i="3"/>
  <c r="BQ79" i="3"/>
  <c r="BQ83" i="3"/>
  <c r="BQ87" i="3"/>
  <c r="BK91" i="3"/>
  <c r="BN92" i="3"/>
  <c r="BP93" i="3"/>
  <c r="BQ94" i="3"/>
  <c r="BP95" i="3"/>
  <c r="BQ96" i="3"/>
  <c r="BQ97" i="3"/>
  <c r="BQ98" i="3"/>
  <c r="BQ99" i="3"/>
  <c r="BD101" i="3"/>
  <c r="BQ101" i="3"/>
  <c r="BD103" i="3"/>
  <c r="BE104" i="3"/>
  <c r="BD105" i="3"/>
  <c r="BE106" i="3"/>
  <c r="BE107" i="3"/>
  <c r="BE108" i="3"/>
  <c r="BE109" i="3"/>
  <c r="BF110" i="3"/>
  <c r="BE111" i="3"/>
  <c r="BF112" i="3"/>
  <c r="BG113" i="3"/>
  <c r="BF114" i="3"/>
  <c r="BG115" i="3"/>
  <c r="BG116" i="3"/>
  <c r="BG117" i="3"/>
  <c r="BG118" i="3"/>
  <c r="BH119" i="3"/>
  <c r="BG120" i="3"/>
  <c r="BH121" i="3"/>
  <c r="BI122" i="3"/>
  <c r="BH123" i="3"/>
  <c r="BI124" i="3"/>
  <c r="BI125" i="3"/>
  <c r="BI126" i="3"/>
  <c r="BI127" i="3"/>
  <c r="BJ128" i="3"/>
  <c r="BI129" i="3"/>
  <c r="BJ130" i="3"/>
  <c r="BK131" i="3"/>
  <c r="BJ132" i="3"/>
  <c r="BK133" i="3"/>
  <c r="BK134" i="3"/>
  <c r="BK135" i="3"/>
  <c r="BK136" i="3"/>
  <c r="BL137" i="3"/>
  <c r="BK138" i="3"/>
  <c r="BL139" i="3"/>
  <c r="BM140" i="3"/>
  <c r="BL141" i="3"/>
  <c r="BM142" i="3"/>
  <c r="BM143" i="3"/>
  <c r="BM144" i="3"/>
  <c r="BM145" i="3"/>
  <c r="BN146" i="3"/>
  <c r="BK147" i="3"/>
  <c r="BH148" i="3"/>
  <c r="BE149" i="3"/>
  <c r="BO149" i="3"/>
  <c r="BL150" i="3"/>
  <c r="BI151" i="3"/>
  <c r="BE152" i="3"/>
  <c r="BP152" i="3"/>
  <c r="BM153" i="3"/>
  <c r="BI154" i="3"/>
  <c r="BF155" i="3"/>
  <c r="BQ155" i="3"/>
  <c r="BI156" i="3"/>
  <c r="BP156" i="3"/>
  <c r="BJ157" i="3"/>
  <c r="BQ157" i="3"/>
  <c r="BI158" i="3"/>
  <c r="BQ158" i="3"/>
  <c r="BJ159" i="3"/>
  <c r="BQ159" i="3"/>
  <c r="BK160" i="3"/>
  <c r="BQ160" i="3"/>
  <c r="BJ161" i="3"/>
  <c r="BD162" i="3"/>
  <c r="BK162" i="3"/>
  <c r="BQ162" i="3"/>
  <c r="BK163" i="3"/>
  <c r="BD164" i="3"/>
  <c r="BK164" i="3"/>
  <c r="BE165" i="3"/>
  <c r="BJ165" i="3"/>
  <c r="BO165" i="3"/>
  <c r="BG166" i="3"/>
  <c r="BL166" i="3"/>
  <c r="BQ166" i="3"/>
  <c r="BI167" i="3"/>
  <c r="BN167" i="3"/>
  <c r="BE168" i="3"/>
  <c r="BK168" i="3"/>
  <c r="BP168" i="3"/>
  <c r="BG169" i="3"/>
  <c r="BM169" i="3"/>
  <c r="BD170" i="3"/>
  <c r="BI170" i="3"/>
  <c r="BO170" i="3"/>
  <c r="BF171" i="3"/>
  <c r="BK171" i="3"/>
  <c r="BQ171" i="3"/>
  <c r="BH172" i="3"/>
  <c r="BM172" i="3"/>
  <c r="BE173" i="3"/>
  <c r="BJ173" i="3"/>
  <c r="BO173" i="3"/>
  <c r="BG174" i="3"/>
  <c r="BL174" i="3"/>
  <c r="BQ174" i="3"/>
  <c r="BI175" i="3"/>
  <c r="BN175" i="3"/>
  <c r="BE176" i="3"/>
  <c r="BK176" i="3"/>
  <c r="BP176" i="3"/>
  <c r="BG177" i="3"/>
  <c r="BM177" i="3"/>
  <c r="BD178" i="3"/>
  <c r="BI178" i="3"/>
  <c r="BO178" i="3"/>
  <c r="BF179" i="3"/>
  <c r="BK179" i="3"/>
  <c r="BQ179" i="3"/>
  <c r="BH180" i="3"/>
  <c r="BM180" i="3"/>
  <c r="BE181" i="3"/>
  <c r="BJ181" i="3"/>
  <c r="BO181" i="3"/>
  <c r="BG182" i="3"/>
  <c r="BL182" i="3"/>
  <c r="BQ182" i="3"/>
  <c r="BI183" i="3"/>
  <c r="BN183" i="3"/>
  <c r="BE184" i="3"/>
  <c r="BK184" i="3"/>
  <c r="BP184" i="3"/>
  <c r="BG185" i="3"/>
  <c r="BM185" i="3"/>
  <c r="BD186" i="3"/>
  <c r="BI186" i="3"/>
  <c r="BO186" i="3"/>
  <c r="BF187" i="3"/>
  <c r="BK187" i="3"/>
  <c r="BQ187" i="3"/>
  <c r="BH188" i="3"/>
  <c r="BM188" i="3"/>
  <c r="BE189" i="3"/>
  <c r="BJ189" i="3"/>
  <c r="BO189" i="3"/>
  <c r="BG190" i="3"/>
  <c r="BL190" i="3"/>
  <c r="BQ190" i="3"/>
  <c r="BI191" i="3"/>
  <c r="BN191" i="3"/>
  <c r="BE192" i="3"/>
  <c r="BK192" i="3"/>
  <c r="BP192" i="3"/>
  <c r="BG193" i="3"/>
  <c r="BM193" i="3"/>
  <c r="BD194" i="3"/>
  <c r="BI194" i="3"/>
  <c r="BO194" i="3"/>
  <c r="BF195" i="3"/>
  <c r="BK195" i="3"/>
  <c r="BQ195" i="3"/>
  <c r="BH196" i="3"/>
  <c r="BM196" i="3"/>
  <c r="BE197" i="3"/>
  <c r="BJ197" i="3"/>
  <c r="BO197" i="3"/>
  <c r="BG198" i="3"/>
  <c r="BL198" i="3"/>
  <c r="BQ198" i="3"/>
  <c r="BI199" i="3"/>
  <c r="BN199" i="3"/>
  <c r="BE200" i="3"/>
  <c r="BK200" i="3"/>
  <c r="BP200" i="3"/>
  <c r="BG201" i="3"/>
  <c r="BM201" i="3"/>
  <c r="BD202" i="3"/>
  <c r="BI202" i="3"/>
  <c r="BO202" i="3"/>
  <c r="BF203" i="3"/>
  <c r="BK203" i="3"/>
  <c r="BQ203" i="3"/>
  <c r="BH204" i="3"/>
  <c r="BM204" i="3"/>
  <c r="BE205" i="3"/>
  <c r="BJ205" i="3"/>
  <c r="BO205" i="3"/>
  <c r="BG206" i="3"/>
  <c r="BL206" i="3"/>
  <c r="BQ206" i="3"/>
  <c r="BI207" i="3"/>
  <c r="BN207" i="3"/>
  <c r="BE208" i="3"/>
  <c r="BK208" i="3"/>
  <c r="BP208" i="3"/>
  <c r="BG209" i="3"/>
  <c r="BM209" i="3"/>
  <c r="BD210" i="3"/>
  <c r="BI210" i="3"/>
  <c r="BO210" i="3"/>
  <c r="BF211" i="3"/>
  <c r="BK211" i="3"/>
  <c r="BQ211" i="3"/>
  <c r="BH212" i="3"/>
  <c r="BM212" i="3"/>
  <c r="BE213" i="3"/>
  <c r="BJ213" i="3"/>
  <c r="BO213" i="3"/>
  <c r="BG214" i="3"/>
  <c r="BL214" i="3"/>
  <c r="BQ214" i="3"/>
  <c r="BI215" i="3"/>
  <c r="BN215" i="3"/>
  <c r="BE216" i="3"/>
  <c r="BK216" i="3"/>
  <c r="BP216" i="3"/>
  <c r="BG217" i="3"/>
  <c r="BM217" i="3"/>
  <c r="BD218" i="3"/>
  <c r="BI218" i="3"/>
  <c r="BO218" i="3"/>
  <c r="BF219" i="3"/>
  <c r="BK219" i="3"/>
  <c r="BQ219" i="3"/>
  <c r="BH220" i="3"/>
  <c r="BM220" i="3"/>
  <c r="BE221" i="3"/>
  <c r="BJ221" i="3"/>
  <c r="BO221" i="3"/>
  <c r="BG222" i="3"/>
  <c r="BL222" i="3"/>
  <c r="BQ222" i="3"/>
  <c r="BI223" i="3"/>
  <c r="BN223" i="3"/>
  <c r="BE224" i="3"/>
  <c r="BK224" i="3"/>
  <c r="BP224" i="3"/>
  <c r="BG225" i="3"/>
  <c r="BG28" i="3"/>
  <c r="BK40" i="3"/>
  <c r="BK52" i="3"/>
  <c r="BO64" i="3"/>
  <c r="BG74" i="3"/>
  <c r="BQ81" i="3"/>
  <c r="BK86" i="3"/>
  <c r="BL91" i="3"/>
  <c r="BI93" i="3"/>
  <c r="BK94" i="3"/>
  <c r="BE96" i="3"/>
  <c r="BI97" i="3"/>
  <c r="BK98" i="3"/>
  <c r="BE100" i="3"/>
  <c r="BK101" i="3"/>
  <c r="BM102" i="3"/>
  <c r="BF104" i="3"/>
  <c r="BL105" i="3"/>
  <c r="BN106" i="3"/>
  <c r="BG108" i="3"/>
  <c r="BL109" i="3"/>
  <c r="BN110" i="3"/>
  <c r="BG112" i="3"/>
  <c r="BM113" i="3"/>
  <c r="BO114" i="3"/>
  <c r="BI116" i="3"/>
  <c r="BO117" i="3"/>
  <c r="BQ118" i="3"/>
  <c r="BJ120" i="3"/>
  <c r="BO121" i="3"/>
  <c r="BQ122" i="3"/>
  <c r="BJ124" i="3"/>
  <c r="BP125" i="3"/>
  <c r="BD127" i="3"/>
  <c r="BK128" i="3"/>
  <c r="BQ129" i="3"/>
  <c r="BE131" i="3"/>
  <c r="BM132" i="3"/>
  <c r="BQ133" i="3"/>
  <c r="BE135" i="3"/>
  <c r="BM136" i="3"/>
  <c r="BE138" i="3"/>
  <c r="BG139" i="3"/>
  <c r="BN140" i="3"/>
  <c r="BF142" i="3"/>
  <c r="BH143" i="3"/>
  <c r="BO144" i="3"/>
  <c r="BF146" i="3"/>
  <c r="BG147" i="3"/>
  <c r="BI148" i="3"/>
  <c r="BJ149" i="3"/>
  <c r="BH150" i="3"/>
  <c r="BJ151" i="3"/>
  <c r="BK152" i="3"/>
  <c r="BI153" i="3"/>
  <c r="BK154" i="3"/>
  <c r="BK155" i="3"/>
  <c r="BH156" i="3"/>
  <c r="BE157" i="3"/>
  <c r="BM157" i="3"/>
  <c r="BH158" i="3"/>
  <c r="BE159" i="3"/>
  <c r="BN159" i="3"/>
  <c r="BH160" i="3"/>
  <c r="BE161" i="3"/>
  <c r="BN161" i="3"/>
  <c r="BI162" i="3"/>
  <c r="BF163" i="3"/>
  <c r="BN163" i="3"/>
  <c r="BI164" i="3"/>
  <c r="BF165" i="3"/>
  <c r="BM165" i="3"/>
  <c r="BE166" i="3"/>
  <c r="BM166" i="3"/>
  <c r="BF167" i="3"/>
  <c r="BM167" i="3"/>
  <c r="BG168" i="3"/>
  <c r="BM168" i="3"/>
  <c r="BF169" i="3"/>
  <c r="BN169" i="3"/>
  <c r="BG170" i="3"/>
  <c r="BM170" i="3"/>
  <c r="BG171" i="3"/>
  <c r="BN171" i="3"/>
  <c r="BG172" i="3"/>
  <c r="BO172" i="3"/>
  <c r="BG173" i="3"/>
  <c r="BN173" i="3"/>
  <c r="BH174" i="3"/>
  <c r="BO174" i="3"/>
  <c r="BG175" i="3"/>
  <c r="BO175" i="3"/>
  <c r="BH176" i="3"/>
  <c r="BO176" i="3"/>
  <c r="BI177" i="3"/>
  <c r="BO177" i="3"/>
  <c r="BH178" i="3"/>
  <c r="BP178" i="3"/>
  <c r="BI179" i="3"/>
  <c r="BO179" i="3"/>
  <c r="BI180" i="3"/>
  <c r="BP180" i="3"/>
  <c r="BI181" i="3"/>
  <c r="BQ181" i="3"/>
  <c r="BI182" i="3"/>
  <c r="BP182" i="3"/>
  <c r="BJ183" i="3"/>
  <c r="BQ183" i="3"/>
  <c r="BI184" i="3"/>
  <c r="BQ184" i="3"/>
  <c r="BJ185" i="3"/>
  <c r="BQ185" i="3"/>
  <c r="BK186" i="3"/>
  <c r="BQ186" i="3"/>
  <c r="BJ187" i="3"/>
  <c r="BD188" i="3"/>
  <c r="BK188" i="3"/>
  <c r="BQ188" i="3"/>
  <c r="BK189" i="3"/>
  <c r="BD190" i="3"/>
  <c r="BK190" i="3"/>
  <c r="BE191" i="3"/>
  <c r="BK191" i="3"/>
  <c r="BD192" i="3"/>
  <c r="BL192" i="3"/>
  <c r="BE193" i="3"/>
  <c r="BK193" i="3"/>
  <c r="BE194" i="3"/>
  <c r="BL194" i="3"/>
  <c r="BE195" i="3"/>
  <c r="BM195" i="3"/>
  <c r="BE196" i="3"/>
  <c r="BL196" i="3"/>
  <c r="BF197" i="3"/>
  <c r="BM197" i="3"/>
  <c r="BE198" i="3"/>
  <c r="BM198" i="3"/>
  <c r="BF199" i="3"/>
  <c r="BM199" i="3"/>
  <c r="BG200" i="3"/>
  <c r="BM200" i="3"/>
  <c r="BF201" i="3"/>
  <c r="BN201" i="3"/>
  <c r="BG202" i="3"/>
  <c r="BM202" i="3"/>
  <c r="BG203" i="3"/>
  <c r="BN203" i="3"/>
  <c r="BG204" i="3"/>
  <c r="BO204" i="3"/>
  <c r="BG205" i="3"/>
  <c r="BN205" i="3"/>
  <c r="BH206" i="3"/>
  <c r="BO206" i="3"/>
  <c r="BG207" i="3"/>
  <c r="BO207" i="3"/>
  <c r="BH208" i="3"/>
  <c r="BO208" i="3"/>
  <c r="BI209" i="3"/>
  <c r="BO209" i="3"/>
  <c r="BH210" i="3"/>
  <c r="BP210" i="3"/>
  <c r="BI211" i="3"/>
  <c r="BO211" i="3"/>
  <c r="BI212" i="3"/>
  <c r="BP212" i="3"/>
  <c r="BI213" i="3"/>
  <c r="BQ213" i="3"/>
  <c r="BI214" i="3"/>
  <c r="BP214" i="3"/>
  <c r="BJ215" i="3"/>
  <c r="BQ215" i="3"/>
  <c r="BI216" i="3"/>
  <c r="BQ216" i="3"/>
  <c r="BJ217" i="3"/>
  <c r="BQ217" i="3"/>
  <c r="BK218" i="3"/>
  <c r="BQ218" i="3"/>
  <c r="BJ219" i="3"/>
  <c r="BD220" i="3"/>
  <c r="BK220" i="3"/>
  <c r="BQ220" i="3"/>
  <c r="BK221" i="3"/>
  <c r="BD222" i="3"/>
  <c r="BK222" i="3"/>
  <c r="BE223" i="3"/>
  <c r="BK223" i="3"/>
  <c r="BD224" i="3"/>
  <c r="BL224" i="3"/>
  <c r="BE225" i="3"/>
  <c r="BK225" i="3"/>
  <c r="BQ225" i="3"/>
  <c r="BH226" i="3"/>
  <c r="BM226" i="3"/>
  <c r="BE227" i="3"/>
  <c r="BJ227" i="3"/>
  <c r="BO227" i="3"/>
  <c r="BG228" i="3"/>
  <c r="BL228" i="3"/>
  <c r="BQ228" i="3"/>
  <c r="BI229" i="3"/>
  <c r="BN229" i="3"/>
  <c r="BE230" i="3"/>
  <c r="BK230" i="3"/>
  <c r="BP230" i="3"/>
  <c r="BG231" i="3"/>
  <c r="BM231" i="3"/>
  <c r="BD232" i="3"/>
  <c r="BI232" i="3"/>
  <c r="BO232" i="3"/>
  <c r="BF233" i="3"/>
  <c r="BK233" i="3"/>
  <c r="BQ233" i="3"/>
  <c r="BH234" i="3"/>
  <c r="BM234" i="3"/>
  <c r="BE235" i="3"/>
  <c r="BJ235" i="3"/>
  <c r="BO235" i="3"/>
  <c r="BG236" i="3"/>
  <c r="BL236" i="3"/>
  <c r="BQ236" i="3"/>
  <c r="BI237" i="3"/>
  <c r="BN237" i="3"/>
  <c r="BE238" i="3"/>
  <c r="BK238" i="3"/>
  <c r="BP238" i="3"/>
  <c r="BG239" i="3"/>
  <c r="BM239" i="3"/>
  <c r="BD240" i="3"/>
  <c r="BI240" i="3"/>
  <c r="BO240" i="3"/>
  <c r="BF241" i="3"/>
  <c r="BK241" i="3"/>
  <c r="BQ241" i="3"/>
  <c r="BH242" i="3"/>
  <c r="BM242" i="3"/>
  <c r="BE243" i="3"/>
  <c r="BJ243" i="3"/>
  <c r="BO243" i="3"/>
  <c r="BG244" i="3"/>
  <c r="BL244" i="3"/>
  <c r="BQ244" i="3"/>
  <c r="BI245" i="3"/>
  <c r="BN245" i="3"/>
  <c r="BE246" i="3"/>
  <c r="BK246" i="3"/>
  <c r="BP246" i="3"/>
  <c r="BG247" i="3"/>
  <c r="BM247" i="3"/>
  <c r="BD248" i="3"/>
  <c r="BI248" i="3"/>
  <c r="BO248" i="3"/>
  <c r="BF249" i="3"/>
  <c r="BK249" i="3"/>
  <c r="BQ249" i="3"/>
  <c r="BH250" i="3"/>
  <c r="BM250" i="3"/>
  <c r="BE251" i="3"/>
  <c r="BJ251" i="3"/>
  <c r="BO251" i="3"/>
  <c r="BG252" i="3"/>
  <c r="BL252" i="3"/>
  <c r="BQ252" i="3"/>
  <c r="BI253" i="3"/>
  <c r="BN253" i="3"/>
  <c r="BE254" i="3"/>
  <c r="BK254" i="3"/>
  <c r="BP254" i="3"/>
  <c r="BG255" i="3"/>
  <c r="BM255" i="3"/>
  <c r="BD256" i="3"/>
  <c r="BI256" i="3"/>
  <c r="BO256" i="3"/>
  <c r="BF257" i="3"/>
  <c r="BK257" i="3"/>
  <c r="BQ257" i="3"/>
  <c r="BH258" i="3"/>
  <c r="BM258" i="3"/>
  <c r="BD259" i="3"/>
  <c r="BH259" i="3"/>
  <c r="BL259" i="3"/>
  <c r="BP259" i="3"/>
  <c r="BF260" i="3"/>
  <c r="BJ260" i="3"/>
  <c r="BN260" i="3"/>
  <c r="BD261" i="3"/>
  <c r="BH261" i="3"/>
  <c r="BL261" i="3"/>
  <c r="BP261" i="3"/>
  <c r="BF262" i="3"/>
  <c r="BJ262" i="3"/>
  <c r="BN262" i="3"/>
  <c r="BD263" i="3"/>
  <c r="BH263" i="3"/>
  <c r="BL263" i="3"/>
  <c r="BP263" i="3"/>
  <c r="BF264" i="3"/>
  <c r="BJ264" i="3"/>
  <c r="BN264" i="3"/>
  <c r="BD265" i="3"/>
  <c r="BH265" i="3"/>
  <c r="BL265" i="3"/>
  <c r="BP265" i="3"/>
  <c r="BF266" i="3"/>
  <c r="BJ266" i="3"/>
  <c r="BN266" i="3"/>
  <c r="BD267" i="3"/>
  <c r="BH267" i="3"/>
  <c r="BL267" i="3"/>
  <c r="BP267" i="3"/>
  <c r="BF268" i="3"/>
  <c r="BJ268" i="3"/>
  <c r="BN268" i="3"/>
  <c r="BD269" i="3"/>
  <c r="BH269" i="3"/>
  <c r="BL269" i="3"/>
  <c r="BP269" i="3"/>
  <c r="BF270" i="3"/>
  <c r="BJ270" i="3"/>
  <c r="BN270" i="3"/>
  <c r="BD271" i="3"/>
  <c r="BH271" i="3"/>
  <c r="BL271" i="3"/>
  <c r="BP271" i="3"/>
  <c r="BF272" i="3"/>
  <c r="BJ272" i="3"/>
  <c r="BN272" i="3"/>
  <c r="BD273" i="3"/>
  <c r="BH273" i="3"/>
  <c r="BL273" i="3"/>
  <c r="BP273" i="3"/>
  <c r="BF274" i="3"/>
  <c r="BJ274" i="3"/>
  <c r="BN274" i="3"/>
  <c r="BD275" i="3"/>
  <c r="BH275" i="3"/>
  <c r="BL275" i="3"/>
  <c r="BP275" i="3"/>
  <c r="BF276" i="3"/>
  <c r="BJ276" i="3"/>
  <c r="BN276" i="3"/>
  <c r="BD277" i="3"/>
  <c r="BH277" i="3"/>
  <c r="BL277" i="3"/>
  <c r="BP277" i="3"/>
  <c r="BF278" i="3"/>
  <c r="BJ278" i="3"/>
  <c r="BN278" i="3"/>
  <c r="BD279" i="3"/>
  <c r="BH279" i="3"/>
  <c r="BL279" i="3"/>
  <c r="BP279" i="3"/>
  <c r="BF280" i="3"/>
  <c r="BJ280" i="3"/>
  <c r="BN280" i="3"/>
  <c r="BD281" i="3"/>
  <c r="BH281" i="3"/>
  <c r="BL281" i="3"/>
  <c r="BP281" i="3"/>
  <c r="BF282" i="3"/>
  <c r="BJ282" i="3"/>
  <c r="BN282" i="3"/>
  <c r="BD283" i="3"/>
  <c r="BH283" i="3"/>
  <c r="BL283" i="3"/>
  <c r="BP283" i="3"/>
  <c r="BF284" i="3"/>
  <c r="BJ284" i="3"/>
  <c r="BN284" i="3"/>
  <c r="BD285" i="3"/>
  <c r="BH285" i="3"/>
  <c r="BL285" i="3"/>
  <c r="BP285" i="3"/>
  <c r="BF286" i="3"/>
  <c r="BJ286" i="3"/>
  <c r="BN286" i="3"/>
  <c r="BD287" i="3"/>
  <c r="BH287" i="3"/>
  <c r="BL287" i="3"/>
  <c r="BP287" i="3"/>
  <c r="BF288" i="3"/>
  <c r="BJ288" i="3"/>
  <c r="BN288" i="3"/>
  <c r="BD289" i="3"/>
  <c r="BH289" i="3"/>
  <c r="BL289" i="3"/>
  <c r="BP289" i="3"/>
  <c r="BF290" i="3"/>
  <c r="BJ290" i="3"/>
  <c r="BN290" i="3"/>
  <c r="BD291" i="3"/>
  <c r="BH291" i="3"/>
  <c r="BL291" i="3"/>
  <c r="BP291" i="3"/>
  <c r="BF292" i="3"/>
  <c r="BJ292" i="3"/>
  <c r="BN292" i="3"/>
  <c r="BD293" i="3"/>
  <c r="BH293" i="3"/>
  <c r="BL293" i="3"/>
  <c r="BP293" i="3"/>
  <c r="BF294" i="3"/>
  <c r="BJ294" i="3"/>
  <c r="BN294" i="3"/>
  <c r="BD295" i="3"/>
  <c r="BH295" i="3"/>
  <c r="BL295" i="3"/>
  <c r="BP295" i="3"/>
  <c r="BF296" i="3"/>
  <c r="BJ296" i="3"/>
  <c r="BN296" i="3"/>
  <c r="BD297" i="3"/>
  <c r="BH297" i="3"/>
  <c r="BL297" i="3"/>
  <c r="BP297" i="3"/>
  <c r="BF298" i="3"/>
  <c r="BJ298" i="3"/>
  <c r="BN298" i="3"/>
  <c r="BD299" i="3"/>
  <c r="BH299" i="3"/>
  <c r="BL299" i="3"/>
  <c r="BP299" i="3"/>
  <c r="BF300" i="3"/>
  <c r="BJ300" i="3"/>
  <c r="BN300" i="3"/>
  <c r="BD301" i="3"/>
  <c r="BH301" i="3"/>
  <c r="BL301" i="3"/>
  <c r="BP301" i="3"/>
  <c r="BF302" i="3"/>
  <c r="BJ302" i="3"/>
  <c r="BN302" i="3"/>
  <c r="BD303" i="3"/>
  <c r="BH303" i="3"/>
  <c r="BL303" i="3"/>
  <c r="BP303" i="3"/>
  <c r="BF304" i="3"/>
  <c r="BJ304" i="3"/>
  <c r="BN304" i="3"/>
  <c r="BD305" i="3"/>
  <c r="BH305" i="3"/>
  <c r="BL305" i="3"/>
  <c r="BP305" i="3"/>
  <c r="BF306" i="3"/>
  <c r="BJ306" i="3"/>
  <c r="BN306" i="3"/>
  <c r="BD307" i="3"/>
  <c r="BH307" i="3"/>
  <c r="BL307" i="3"/>
  <c r="BP307" i="3"/>
  <c r="BF308" i="3"/>
  <c r="BJ308" i="3"/>
  <c r="BN308" i="3"/>
  <c r="BD309" i="3"/>
  <c r="BH309" i="3"/>
  <c r="BL309" i="3"/>
  <c r="BP309" i="3"/>
  <c r="BF310" i="3"/>
  <c r="BJ310" i="3"/>
  <c r="BN310" i="3"/>
  <c r="BD311" i="3"/>
  <c r="BH311" i="3"/>
  <c r="BL311" i="3"/>
  <c r="BP311" i="3"/>
  <c r="BF312" i="3"/>
  <c r="BJ312" i="3"/>
  <c r="BN312" i="3"/>
  <c r="BD313" i="3"/>
  <c r="BH313" i="3"/>
  <c r="BL313" i="3"/>
  <c r="BP313" i="3"/>
  <c r="BF314" i="3"/>
  <c r="BJ314" i="3"/>
  <c r="BN314" i="3"/>
  <c r="BD315" i="3"/>
  <c r="BH315" i="3"/>
  <c r="BL315" i="3"/>
  <c r="BP315" i="3"/>
  <c r="BF316" i="3"/>
  <c r="BJ316" i="3"/>
  <c r="BN316" i="3"/>
  <c r="BD317" i="3"/>
  <c r="BH317" i="3"/>
  <c r="BL317" i="3"/>
  <c r="BP317" i="3"/>
  <c r="BF318" i="3"/>
  <c r="BJ318" i="3"/>
  <c r="BN318" i="3"/>
  <c r="BD319" i="3"/>
  <c r="BH319" i="3"/>
  <c r="BL319" i="3"/>
  <c r="BP319" i="3"/>
  <c r="BF320" i="3"/>
  <c r="BJ320" i="3"/>
  <c r="BN320" i="3"/>
  <c r="BD321" i="3"/>
  <c r="BH321" i="3"/>
  <c r="BL321" i="3"/>
  <c r="BP321" i="3"/>
  <c r="BF322" i="3"/>
  <c r="BJ322" i="3"/>
  <c r="BN322" i="3"/>
  <c r="BD323" i="3"/>
  <c r="BH323" i="3"/>
  <c r="BL323" i="3"/>
  <c r="BP323" i="3"/>
  <c r="BF324" i="3"/>
  <c r="BJ324" i="3"/>
  <c r="BN324" i="3"/>
  <c r="BD325" i="3"/>
  <c r="BH325" i="3"/>
  <c r="BL325" i="3"/>
  <c r="BP325" i="3"/>
  <c r="BE21" i="3"/>
  <c r="BE33" i="3"/>
  <c r="BI45" i="3"/>
  <c r="BM57" i="3"/>
  <c r="BM69" i="3"/>
  <c r="BM77" i="3"/>
  <c r="BG82" i="3"/>
  <c r="BK88" i="3"/>
  <c r="BF92" i="3"/>
  <c r="BK93" i="3"/>
  <c r="BD95" i="3"/>
  <c r="BJ96" i="3"/>
  <c r="BL97" i="3"/>
  <c r="BE99" i="3"/>
  <c r="BJ100" i="3"/>
  <c r="BL101" i="3"/>
  <c r="BE103" i="3"/>
  <c r="BK104" i="3"/>
  <c r="BM105" i="3"/>
  <c r="BG107" i="3"/>
  <c r="BM108" i="3"/>
  <c r="BO109" i="3"/>
  <c r="BH111" i="3"/>
  <c r="BM112" i="3"/>
  <c r="BO113" i="3"/>
  <c r="BH115" i="3"/>
  <c r="BN116" i="3"/>
  <c r="BP117" i="3"/>
  <c r="BI119" i="3"/>
  <c r="BO120" i="3"/>
  <c r="BQ121" i="3"/>
  <c r="BK123" i="3"/>
  <c r="BO124" i="3"/>
  <c r="BQ125" i="3"/>
  <c r="BK127" i="3"/>
  <c r="BQ128" i="3"/>
  <c r="BE130" i="3"/>
  <c r="BL131" i="3"/>
  <c r="BD133" i="3"/>
  <c r="BF134" i="3"/>
  <c r="BM135" i="3"/>
  <c r="BD137" i="3"/>
  <c r="BF138" i="3"/>
  <c r="BM139" i="3"/>
  <c r="BE141" i="3"/>
  <c r="BG142" i="3"/>
  <c r="BO143" i="3"/>
  <c r="BG145" i="3"/>
  <c r="BI146" i="3"/>
  <c r="BM147" i="3"/>
  <c r="BM148" i="3"/>
  <c r="BK149" i="3"/>
  <c r="BM150" i="3"/>
  <c r="BN151" i="3"/>
  <c r="BL152" i="3"/>
  <c r="BN153" i="3"/>
  <c r="BO154" i="3"/>
  <c r="BM155" i="3"/>
  <c r="BK156" i="3"/>
  <c r="BF157" i="3"/>
  <c r="BO157" i="3"/>
  <c r="BL158" i="3"/>
  <c r="BF159" i="3"/>
  <c r="BO159" i="3"/>
  <c r="BL160" i="3"/>
  <c r="BG161" i="3"/>
  <c r="BO161" i="3"/>
  <c r="BL162" i="3"/>
  <c r="BG163" i="3"/>
  <c r="BQ163" i="3"/>
  <c r="BM164" i="3"/>
  <c r="BG165" i="3"/>
  <c r="BN165" i="3"/>
  <c r="BH166" i="3"/>
  <c r="BO166" i="3"/>
  <c r="BG167" i="3"/>
  <c r="BO167" i="3"/>
  <c r="BH168" i="3"/>
  <c r="BO168" i="3"/>
  <c r="BI169" i="3"/>
  <c r="BO169" i="3"/>
  <c r="BH170" i="3"/>
  <c r="BP170" i="3"/>
  <c r="BI171" i="3"/>
  <c r="BO171" i="3"/>
  <c r="BI172" i="3"/>
  <c r="BP172" i="3"/>
  <c r="BI173" i="3"/>
  <c r="BQ173" i="3"/>
  <c r="BI174" i="3"/>
  <c r="BP174" i="3"/>
  <c r="BJ175" i="3"/>
  <c r="BQ175" i="3"/>
  <c r="BI176" i="3"/>
  <c r="BQ176" i="3"/>
  <c r="BJ177" i="3"/>
  <c r="BQ177" i="3"/>
  <c r="BK178" i="3"/>
  <c r="BQ178" i="3"/>
  <c r="BJ179" i="3"/>
  <c r="BD180" i="3"/>
  <c r="BK180" i="3"/>
  <c r="BQ180" i="3"/>
  <c r="BK181" i="3"/>
  <c r="BD182" i="3"/>
  <c r="BK182" i="3"/>
  <c r="BE183" i="3"/>
  <c r="BK183" i="3"/>
  <c r="BD184" i="3"/>
  <c r="BL184" i="3"/>
  <c r="BE185" i="3"/>
  <c r="BK185" i="3"/>
  <c r="BE186" i="3"/>
  <c r="BL186" i="3"/>
  <c r="BE187" i="3"/>
  <c r="BM187" i="3"/>
  <c r="BE188" i="3"/>
  <c r="BL188" i="3"/>
  <c r="BF189" i="3"/>
  <c r="BM189" i="3"/>
  <c r="BE190" i="3"/>
  <c r="BM190" i="3"/>
  <c r="BF191" i="3"/>
  <c r="BM191" i="3"/>
  <c r="BG192" i="3"/>
  <c r="BM192" i="3"/>
  <c r="BF193" i="3"/>
  <c r="BN193" i="3"/>
  <c r="BG194" i="3"/>
  <c r="BM194" i="3"/>
  <c r="BG195" i="3"/>
  <c r="BN195" i="3"/>
  <c r="BG196" i="3"/>
  <c r="BO196" i="3"/>
  <c r="BG197" i="3"/>
  <c r="BN197" i="3"/>
  <c r="BH198" i="3"/>
  <c r="BO198" i="3"/>
  <c r="BG199" i="3"/>
  <c r="BO199" i="3"/>
  <c r="BH200" i="3"/>
  <c r="BO200" i="3"/>
  <c r="BI201" i="3"/>
  <c r="BO201" i="3"/>
  <c r="BH202" i="3"/>
  <c r="BP202" i="3"/>
  <c r="BI203" i="3"/>
  <c r="BO203" i="3"/>
  <c r="BI204" i="3"/>
  <c r="BP204" i="3"/>
  <c r="BI205" i="3"/>
  <c r="BQ205" i="3"/>
  <c r="BI206" i="3"/>
  <c r="BP206" i="3"/>
  <c r="BJ207" i="3"/>
  <c r="BQ207" i="3"/>
  <c r="BI208" i="3"/>
  <c r="BQ208" i="3"/>
  <c r="BJ209" i="3"/>
  <c r="BQ209" i="3"/>
  <c r="BK210" i="3"/>
  <c r="BQ210" i="3"/>
  <c r="BJ211" i="3"/>
  <c r="BD212" i="3"/>
  <c r="BK212" i="3"/>
  <c r="BQ212" i="3"/>
  <c r="BK213" i="3"/>
  <c r="BD214" i="3"/>
  <c r="BK214" i="3"/>
  <c r="BE215" i="3"/>
  <c r="BK215" i="3"/>
  <c r="BD216" i="3"/>
  <c r="BL216" i="3"/>
  <c r="BE217" i="3"/>
  <c r="BK217" i="3"/>
  <c r="BE218" i="3"/>
  <c r="BL218" i="3"/>
  <c r="BE219" i="3"/>
  <c r="BM219" i="3"/>
  <c r="BE220" i="3"/>
  <c r="BL220" i="3"/>
  <c r="BF221" i="3"/>
  <c r="BM221" i="3"/>
  <c r="BE222" i="3"/>
  <c r="BM222" i="3"/>
  <c r="BF223" i="3"/>
  <c r="BM223" i="3"/>
  <c r="BG224" i="3"/>
  <c r="BM224" i="3"/>
  <c r="BF225" i="3"/>
  <c r="BM225" i="3"/>
  <c r="BD226" i="3"/>
  <c r="BI226" i="3"/>
  <c r="BO226" i="3"/>
  <c r="BF227" i="3"/>
  <c r="BK227" i="3"/>
  <c r="BQ227" i="3"/>
  <c r="BH228" i="3"/>
  <c r="BM228" i="3"/>
  <c r="BE229" i="3"/>
  <c r="BJ229" i="3"/>
  <c r="BO229" i="3"/>
  <c r="BG230" i="3"/>
  <c r="BL230" i="3"/>
  <c r="BQ230" i="3"/>
  <c r="BI231" i="3"/>
  <c r="BN231" i="3"/>
  <c r="BE232" i="3"/>
  <c r="BK232" i="3"/>
  <c r="BP232" i="3"/>
  <c r="BG233" i="3"/>
  <c r="BM233" i="3"/>
  <c r="BD234" i="3"/>
  <c r="BI234" i="3"/>
  <c r="BO234" i="3"/>
  <c r="BF235" i="3"/>
  <c r="BK235" i="3"/>
  <c r="BQ235" i="3"/>
  <c r="BH236" i="3"/>
  <c r="BM236" i="3"/>
  <c r="BE237" i="3"/>
  <c r="BJ237" i="3"/>
  <c r="BO237" i="3"/>
  <c r="BG238" i="3"/>
  <c r="BL238" i="3"/>
  <c r="BQ238" i="3"/>
  <c r="BI239" i="3"/>
  <c r="BN239" i="3"/>
  <c r="BE240" i="3"/>
  <c r="BK240" i="3"/>
  <c r="BP240" i="3"/>
  <c r="BG241" i="3"/>
  <c r="BM241" i="3"/>
  <c r="BD242" i="3"/>
  <c r="BI242" i="3"/>
  <c r="BO242" i="3"/>
  <c r="BF243" i="3"/>
  <c r="BK243" i="3"/>
  <c r="BQ243" i="3"/>
  <c r="BH244" i="3"/>
  <c r="BM244" i="3"/>
  <c r="BE245" i="3"/>
  <c r="BJ245" i="3"/>
  <c r="BO245" i="3"/>
  <c r="BG246" i="3"/>
  <c r="BL246" i="3"/>
  <c r="BQ246" i="3"/>
  <c r="BI247" i="3"/>
  <c r="BN247" i="3"/>
  <c r="BE248" i="3"/>
  <c r="BK248" i="3"/>
  <c r="BP248" i="3"/>
  <c r="BG249" i="3"/>
  <c r="BM249" i="3"/>
  <c r="BD250" i="3"/>
  <c r="BI250" i="3"/>
  <c r="BO250" i="3"/>
  <c r="BF251" i="3"/>
  <c r="BK251" i="3"/>
  <c r="BQ251" i="3"/>
  <c r="BH252" i="3"/>
  <c r="BM252" i="3"/>
  <c r="BE253" i="3"/>
  <c r="BJ253" i="3"/>
  <c r="BO253" i="3"/>
  <c r="BG254" i="3"/>
  <c r="BL254" i="3"/>
  <c r="BQ254" i="3"/>
  <c r="BI255" i="3"/>
  <c r="BN255" i="3"/>
  <c r="BE256" i="3"/>
  <c r="BK256" i="3"/>
  <c r="BP256" i="3"/>
  <c r="BG257" i="3"/>
  <c r="BM257" i="3"/>
  <c r="BD258" i="3"/>
  <c r="BI258" i="3"/>
  <c r="BO258" i="3"/>
  <c r="BE259" i="3"/>
  <c r="BI259" i="3"/>
  <c r="BM259" i="3"/>
  <c r="BQ259" i="3"/>
  <c r="BG260" i="3"/>
  <c r="BK260" i="3"/>
  <c r="BO260" i="3"/>
  <c r="BE261" i="3"/>
  <c r="BI261" i="3"/>
  <c r="BM261" i="3"/>
  <c r="BQ261" i="3"/>
  <c r="BG262" i="3"/>
  <c r="BK262" i="3"/>
  <c r="BO262" i="3"/>
  <c r="BE263" i="3"/>
  <c r="BI263" i="3"/>
  <c r="BM263" i="3"/>
  <c r="BQ263" i="3"/>
  <c r="BG264" i="3"/>
  <c r="BK264" i="3"/>
  <c r="BO264" i="3"/>
  <c r="BE265" i="3"/>
  <c r="BI265" i="3"/>
  <c r="BM265" i="3"/>
  <c r="BQ265" i="3"/>
  <c r="BG266" i="3"/>
  <c r="BK266" i="3"/>
  <c r="BO266" i="3"/>
  <c r="BE267" i="3"/>
  <c r="BI267" i="3"/>
  <c r="BM267" i="3"/>
  <c r="BQ267" i="3"/>
  <c r="BG268" i="3"/>
  <c r="BK268" i="3"/>
  <c r="BO268" i="3"/>
  <c r="BE269" i="3"/>
  <c r="BI269" i="3"/>
  <c r="BM269" i="3"/>
  <c r="BQ269" i="3"/>
  <c r="BG270" i="3"/>
  <c r="BK270" i="3"/>
  <c r="BO270" i="3"/>
  <c r="BE271" i="3"/>
  <c r="BI271" i="3"/>
  <c r="BM271" i="3"/>
  <c r="BQ271" i="3"/>
  <c r="BG272" i="3"/>
  <c r="BK272" i="3"/>
  <c r="BO272" i="3"/>
  <c r="BE273" i="3"/>
  <c r="BI273" i="3"/>
  <c r="BM273" i="3"/>
  <c r="BQ273" i="3"/>
  <c r="BG274" i="3"/>
  <c r="BK274" i="3"/>
  <c r="BO274" i="3"/>
  <c r="BE275" i="3"/>
  <c r="BI275" i="3"/>
  <c r="BM275" i="3"/>
  <c r="BQ275" i="3"/>
  <c r="BG276" i="3"/>
  <c r="BK276" i="3"/>
  <c r="BO276" i="3"/>
  <c r="BE277" i="3"/>
  <c r="BI277" i="3"/>
  <c r="BM277" i="3"/>
  <c r="BQ277" i="3"/>
  <c r="BG278" i="3"/>
  <c r="BK278" i="3"/>
  <c r="BO278" i="3"/>
  <c r="BE279" i="3"/>
  <c r="BI279" i="3"/>
  <c r="BM279" i="3"/>
  <c r="BQ279" i="3"/>
  <c r="BG280" i="3"/>
  <c r="BK280" i="3"/>
  <c r="BO280" i="3"/>
  <c r="BE281" i="3"/>
  <c r="BI281" i="3"/>
  <c r="BM281" i="3"/>
  <c r="BQ281" i="3"/>
  <c r="BG282" i="3"/>
  <c r="BK282" i="3"/>
  <c r="BO282" i="3"/>
  <c r="BE283" i="3"/>
  <c r="BI283" i="3"/>
  <c r="BM283" i="3"/>
  <c r="BQ283" i="3"/>
  <c r="BG284" i="3"/>
  <c r="BK284" i="3"/>
  <c r="BO284" i="3"/>
  <c r="BE285" i="3"/>
  <c r="BI285" i="3"/>
  <c r="BM285" i="3"/>
  <c r="BQ285" i="3"/>
  <c r="BG286" i="3"/>
  <c r="BK286" i="3"/>
  <c r="BO286" i="3"/>
  <c r="BE287" i="3"/>
  <c r="BI287" i="3"/>
  <c r="BM287" i="3"/>
  <c r="BQ287" i="3"/>
  <c r="BG288" i="3"/>
  <c r="BK288" i="3"/>
  <c r="BO288" i="3"/>
  <c r="BE289" i="3"/>
  <c r="BI289" i="3"/>
  <c r="BM289" i="3"/>
  <c r="BQ289" i="3"/>
  <c r="BG290" i="3"/>
  <c r="BK290" i="3"/>
  <c r="BO290" i="3"/>
  <c r="BE291" i="3"/>
  <c r="BI291" i="3"/>
  <c r="BM291" i="3"/>
  <c r="BQ291" i="3"/>
  <c r="BG292" i="3"/>
  <c r="BK292" i="3"/>
  <c r="BO292" i="3"/>
  <c r="BE293" i="3"/>
  <c r="BI293" i="3"/>
  <c r="BM293" i="3"/>
  <c r="BQ293" i="3"/>
  <c r="BG294" i="3"/>
  <c r="BK294" i="3"/>
  <c r="BO294" i="3"/>
  <c r="BE295" i="3"/>
  <c r="BI295" i="3"/>
  <c r="BM295" i="3"/>
  <c r="BQ295" i="3"/>
  <c r="BG296" i="3"/>
  <c r="BK296" i="3"/>
  <c r="BO296" i="3"/>
  <c r="BE297" i="3"/>
  <c r="BI297" i="3"/>
  <c r="BM297" i="3"/>
  <c r="BQ297" i="3"/>
  <c r="BG298" i="3"/>
  <c r="BK298" i="3"/>
  <c r="BO298" i="3"/>
  <c r="BE299" i="3"/>
  <c r="BI299" i="3"/>
  <c r="BM299" i="3"/>
  <c r="BQ299" i="3"/>
  <c r="BG300" i="3"/>
  <c r="BK300" i="3"/>
  <c r="BO300" i="3"/>
  <c r="BE301" i="3"/>
  <c r="BI301" i="3"/>
  <c r="BM301" i="3"/>
  <c r="BQ301" i="3"/>
  <c r="BG302" i="3"/>
  <c r="BK302" i="3"/>
  <c r="BO302" i="3"/>
  <c r="BE303" i="3"/>
  <c r="BI303" i="3"/>
  <c r="BM303" i="3"/>
  <c r="BQ303" i="3"/>
  <c r="BG304" i="3"/>
  <c r="BK304" i="3"/>
  <c r="BO304" i="3"/>
  <c r="BE305" i="3"/>
  <c r="BI305" i="3"/>
  <c r="BM305" i="3"/>
  <c r="BQ305" i="3"/>
  <c r="BG306" i="3"/>
  <c r="BK306" i="3"/>
  <c r="BO306" i="3"/>
  <c r="BE307" i="3"/>
  <c r="BI307" i="3"/>
  <c r="BM307" i="3"/>
  <c r="BQ307" i="3"/>
  <c r="BG308" i="3"/>
  <c r="BK308" i="3"/>
  <c r="BO308" i="3"/>
  <c r="BE309" i="3"/>
  <c r="BI309" i="3"/>
  <c r="BM309" i="3"/>
  <c r="BQ309" i="3"/>
  <c r="BG310" i="3"/>
  <c r="BK310" i="3"/>
  <c r="BO310" i="3"/>
  <c r="BE311" i="3"/>
  <c r="BI311" i="3"/>
  <c r="BM311" i="3"/>
  <c r="BQ311" i="3"/>
  <c r="BG312" i="3"/>
  <c r="BK312" i="3"/>
  <c r="BO312" i="3"/>
  <c r="BE313" i="3"/>
  <c r="BI313" i="3"/>
  <c r="BM313" i="3"/>
  <c r="BQ313" i="3"/>
  <c r="BG314" i="3"/>
  <c r="BK314" i="3"/>
  <c r="BO314" i="3"/>
  <c r="BE315" i="3"/>
  <c r="BI315" i="3"/>
  <c r="BM315" i="3"/>
  <c r="BQ315" i="3"/>
  <c r="BG316" i="3"/>
  <c r="BK316" i="3"/>
  <c r="BO316" i="3"/>
  <c r="BE317" i="3"/>
  <c r="BI317" i="3"/>
  <c r="BM317" i="3"/>
  <c r="BQ317" i="3"/>
  <c r="BG318" i="3"/>
  <c r="BK318" i="3"/>
  <c r="BO318" i="3"/>
  <c r="BE319" i="3"/>
  <c r="BI319" i="3"/>
  <c r="BM319" i="3"/>
  <c r="BQ319" i="3"/>
  <c r="BG320" i="3"/>
  <c r="BK320" i="3"/>
  <c r="BO320" i="3"/>
  <c r="BE321" i="3"/>
  <c r="BI321" i="3"/>
  <c r="BM321" i="3"/>
  <c r="BQ321" i="3"/>
  <c r="BG322" i="3"/>
  <c r="BK322" i="3"/>
  <c r="BO322" i="3"/>
  <c r="BE323" i="3"/>
  <c r="BI323" i="3"/>
  <c r="BM323" i="3"/>
  <c r="BQ323" i="3"/>
  <c r="BG324" i="3"/>
  <c r="BK324" i="3"/>
  <c r="BO324" i="3"/>
  <c r="BE325" i="3"/>
  <c r="BI325" i="3"/>
  <c r="BM325" i="3"/>
  <c r="BQ325" i="3"/>
  <c r="BG326" i="3"/>
  <c r="BK326" i="3"/>
  <c r="BO326" i="3"/>
  <c r="BE327" i="3"/>
  <c r="BI327" i="3"/>
  <c r="BM327" i="3"/>
  <c r="BQ327" i="3"/>
  <c r="BG328" i="3"/>
  <c r="BK328" i="3"/>
  <c r="BO328" i="3"/>
  <c r="BE329" i="3"/>
  <c r="BI329" i="3"/>
  <c r="BM329" i="3"/>
  <c r="BQ329" i="3"/>
  <c r="BG330" i="3"/>
  <c r="BK330" i="3"/>
  <c r="BO330" i="3"/>
  <c r="BE331" i="3"/>
  <c r="BI331" i="3"/>
  <c r="BM331" i="3"/>
  <c r="BQ331" i="3"/>
  <c r="BG332" i="3"/>
  <c r="BK332" i="3"/>
  <c r="BO332" i="3"/>
  <c r="BE333" i="3"/>
  <c r="BI333" i="3"/>
  <c r="BM333" i="3"/>
  <c r="BQ333" i="3"/>
  <c r="BG334" i="3"/>
  <c r="BK334" i="3"/>
  <c r="BO334" i="3"/>
  <c r="BE335" i="3"/>
  <c r="BI335" i="3"/>
  <c r="BM335" i="3"/>
  <c r="BQ335" i="3"/>
  <c r="BG336" i="3"/>
  <c r="BK336" i="3"/>
  <c r="BO336" i="3"/>
  <c r="BE337" i="3"/>
  <c r="BI337" i="3"/>
  <c r="BM337" i="3"/>
  <c r="BQ337" i="3"/>
  <c r="BG338" i="3"/>
  <c r="BK338" i="3"/>
  <c r="BO338" i="3"/>
  <c r="BE339" i="3"/>
  <c r="BI339" i="3"/>
  <c r="BM339" i="3"/>
  <c r="BQ339" i="3"/>
  <c r="BG340" i="3"/>
  <c r="BK340" i="3"/>
  <c r="BO340" i="3"/>
  <c r="BE341" i="3"/>
  <c r="BI341" i="3"/>
  <c r="BM341" i="3"/>
  <c r="BQ341" i="3"/>
  <c r="BG342" i="3"/>
  <c r="BK342" i="3"/>
  <c r="BO342" i="3"/>
  <c r="BE343" i="3"/>
  <c r="BI343" i="3"/>
  <c r="BM343" i="3"/>
  <c r="BQ343" i="3"/>
  <c r="BG344" i="3"/>
  <c r="BK344" i="3"/>
  <c r="BO344" i="3"/>
  <c r="BE345" i="3"/>
  <c r="BI345" i="3"/>
  <c r="BM345" i="3"/>
  <c r="BQ345" i="3"/>
  <c r="BG346" i="3"/>
  <c r="BK346" i="3"/>
  <c r="BO346" i="3"/>
  <c r="BE347" i="3"/>
  <c r="BI347" i="3"/>
  <c r="BM347" i="3"/>
  <c r="BQ347" i="3"/>
  <c r="BG348" i="3"/>
  <c r="BK348" i="3"/>
  <c r="BO348" i="3"/>
  <c r="BE349" i="3"/>
  <c r="BI349" i="3"/>
  <c r="BM349" i="3"/>
  <c r="BQ349" i="3"/>
  <c r="BG350" i="3"/>
  <c r="BK350" i="3"/>
  <c r="BO350" i="3"/>
  <c r="BE351" i="3"/>
  <c r="BI351" i="3"/>
  <c r="BM351" i="3"/>
  <c r="BQ351" i="3"/>
  <c r="BG352" i="3"/>
  <c r="BK352" i="3"/>
  <c r="BO352" i="3"/>
  <c r="BE353" i="3"/>
  <c r="BI353" i="3"/>
  <c r="BM353" i="3"/>
  <c r="BQ353" i="3"/>
  <c r="BG354" i="3"/>
  <c r="BK354" i="3"/>
  <c r="BO354" i="3"/>
  <c r="BE355" i="3"/>
  <c r="BI355" i="3"/>
  <c r="BM355" i="3"/>
  <c r="BQ355" i="3"/>
  <c r="BG356" i="3"/>
  <c r="BK356" i="3"/>
  <c r="BO356" i="3"/>
  <c r="BE357" i="3"/>
  <c r="BI357" i="3"/>
  <c r="BM357" i="3"/>
  <c r="BQ357" i="3"/>
  <c r="BG358" i="3"/>
  <c r="BK358" i="3"/>
  <c r="BO358" i="3"/>
  <c r="BE359" i="3"/>
  <c r="BI359" i="3"/>
  <c r="BM359" i="3"/>
  <c r="BQ359" i="3"/>
  <c r="BG360" i="3"/>
  <c r="BK360" i="3"/>
  <c r="BO360" i="3"/>
  <c r="BE361" i="3"/>
  <c r="BI361" i="3"/>
  <c r="BM361" i="3"/>
  <c r="BQ361" i="3"/>
  <c r="BG362" i="3"/>
  <c r="BK362" i="3"/>
  <c r="BO362" i="3"/>
  <c r="BE363" i="3"/>
  <c r="BI363" i="3"/>
  <c r="BM363" i="3"/>
  <c r="BQ363" i="3"/>
  <c r="BG364" i="3"/>
  <c r="BK364" i="3"/>
  <c r="BO364" i="3"/>
  <c r="BE365" i="3"/>
  <c r="BI365" i="3"/>
  <c r="BM365" i="3"/>
  <c r="BQ365" i="3"/>
  <c r="BG366" i="3"/>
  <c r="BK366" i="3"/>
  <c r="BO366" i="3"/>
  <c r="BE367" i="3"/>
  <c r="BI367" i="3"/>
  <c r="BM367" i="3"/>
  <c r="BQ367" i="3"/>
  <c r="BG368" i="3"/>
  <c r="BK368" i="3"/>
  <c r="BO368" i="3"/>
  <c r="BE369" i="3"/>
  <c r="BI369" i="3"/>
  <c r="BM369" i="3"/>
  <c r="BQ369" i="3"/>
  <c r="BG370" i="3"/>
  <c r="BK370" i="3"/>
  <c r="BO370" i="3"/>
  <c r="BE371" i="3"/>
  <c r="BI371" i="3"/>
  <c r="BM371" i="3"/>
  <c r="BQ371" i="3"/>
  <c r="BG372" i="3"/>
  <c r="BK372" i="3"/>
  <c r="BO372" i="3"/>
  <c r="BE373" i="3"/>
  <c r="BI373" i="3"/>
  <c r="BM373" i="3"/>
  <c r="BQ373" i="3"/>
  <c r="BG374" i="3"/>
  <c r="BK374" i="3"/>
  <c r="BO374" i="3"/>
  <c r="BE375" i="3"/>
  <c r="BI375" i="3"/>
  <c r="BM375" i="3"/>
  <c r="BQ375" i="3"/>
  <c r="BG376" i="3"/>
  <c r="BK376" i="3"/>
  <c r="BO376" i="3"/>
  <c r="BE377" i="3"/>
  <c r="BI377" i="3"/>
  <c r="BM377" i="3"/>
  <c r="BQ377" i="3"/>
  <c r="BG378" i="3"/>
  <c r="BK378" i="3"/>
  <c r="BO378" i="3"/>
  <c r="BE379" i="3"/>
  <c r="BI379" i="3"/>
  <c r="BM379" i="3"/>
  <c r="BQ379" i="3"/>
  <c r="BI39" i="3"/>
  <c r="BM63" i="3"/>
  <c r="BK80" i="3"/>
  <c r="BO90" i="3"/>
  <c r="BI94" i="3"/>
  <c r="BD97" i="3"/>
  <c r="BL99" i="3"/>
  <c r="BK102" i="3"/>
  <c r="BG105" i="3"/>
  <c r="BM107" i="3"/>
  <c r="BM110" i="3"/>
  <c r="BH113" i="3"/>
  <c r="BP115" i="3"/>
  <c r="BN118" i="3"/>
  <c r="BI121" i="3"/>
  <c r="BQ123" i="3"/>
  <c r="BQ126" i="3"/>
  <c r="BL129" i="3"/>
  <c r="BE132" i="3"/>
  <c r="BD135" i="3"/>
  <c r="BM137" i="3"/>
  <c r="BG140" i="3"/>
  <c r="BE143" i="3"/>
  <c r="BO145" i="3"/>
  <c r="BD148" i="3"/>
  <c r="BG150" i="3"/>
  <c r="BG152" i="3"/>
  <c r="BE154" i="3"/>
  <c r="BE156" i="3"/>
  <c r="BK157" i="3"/>
  <c r="BO158" i="3"/>
  <c r="BG160" i="3"/>
  <c r="BM161" i="3"/>
  <c r="BP162" i="3"/>
  <c r="BH164" i="3"/>
  <c r="BK165" i="3"/>
  <c r="BK166" i="3"/>
  <c r="BK167" i="3"/>
  <c r="BL168" i="3"/>
  <c r="BK169" i="3"/>
  <c r="BL170" i="3"/>
  <c r="BM171" i="3"/>
  <c r="BL172" i="3"/>
  <c r="BM173" i="3"/>
  <c r="BM174" i="3"/>
  <c r="BM175" i="3"/>
  <c r="BM176" i="3"/>
  <c r="BN177" i="3"/>
  <c r="BM178" i="3"/>
  <c r="BN179" i="3"/>
  <c r="BO180" i="3"/>
  <c r="BN181" i="3"/>
  <c r="BO182" i="3"/>
  <c r="BO183" i="3"/>
  <c r="BO184" i="3"/>
  <c r="BO185" i="3"/>
  <c r="BP186" i="3"/>
  <c r="BO187" i="3"/>
  <c r="BP188" i="3"/>
  <c r="BQ189" i="3"/>
  <c r="BP190" i="3"/>
  <c r="BQ191" i="3"/>
  <c r="BQ192" i="3"/>
  <c r="BQ193" i="3"/>
  <c r="BQ194" i="3"/>
  <c r="BD196" i="3"/>
  <c r="BQ196" i="3"/>
  <c r="BD198" i="3"/>
  <c r="BE199" i="3"/>
  <c r="BD200" i="3"/>
  <c r="BE201" i="3"/>
  <c r="BE202" i="3"/>
  <c r="BE203" i="3"/>
  <c r="BE204" i="3"/>
  <c r="BF205" i="3"/>
  <c r="BE206" i="3"/>
  <c r="BF207" i="3"/>
  <c r="BG208" i="3"/>
  <c r="BF209" i="3"/>
  <c r="BG210" i="3"/>
  <c r="BG211" i="3"/>
  <c r="BG212" i="3"/>
  <c r="BG213" i="3"/>
  <c r="BH214" i="3"/>
  <c r="BG215" i="3"/>
  <c r="BH216" i="3"/>
  <c r="BI217" i="3"/>
  <c r="BH218" i="3"/>
  <c r="BI219" i="3"/>
  <c r="BI220" i="3"/>
  <c r="BI221" i="3"/>
  <c r="BI222" i="3"/>
  <c r="BJ223" i="3"/>
  <c r="BI224" i="3"/>
  <c r="BJ225" i="3"/>
  <c r="BG226" i="3"/>
  <c r="BQ226" i="3"/>
  <c r="BN227" i="3"/>
  <c r="BK228" i="3"/>
  <c r="BG229" i="3"/>
  <c r="BD230" i="3"/>
  <c r="BO230" i="3"/>
  <c r="BK231" i="3"/>
  <c r="BH232" i="3"/>
  <c r="BE233" i="3"/>
  <c r="BO233" i="3"/>
  <c r="BL234" i="3"/>
  <c r="BI235" i="3"/>
  <c r="BE236" i="3"/>
  <c r="BP236" i="3"/>
  <c r="BM237" i="3"/>
  <c r="BI238" i="3"/>
  <c r="BF239" i="3"/>
  <c r="BQ239" i="3"/>
  <c r="BM240" i="3"/>
  <c r="BJ241" i="3"/>
  <c r="BG242" i="3"/>
  <c r="BQ242" i="3"/>
  <c r="BN243" i="3"/>
  <c r="BK244" i="3"/>
  <c r="BG245" i="3"/>
  <c r="BD246" i="3"/>
  <c r="BO246" i="3"/>
  <c r="BK247" i="3"/>
  <c r="BH248" i="3"/>
  <c r="BE249" i="3"/>
  <c r="BO249" i="3"/>
  <c r="BL250" i="3"/>
  <c r="BI251" i="3"/>
  <c r="BE252" i="3"/>
  <c r="BP252" i="3"/>
  <c r="BM253" i="3"/>
  <c r="BI254" i="3"/>
  <c r="BF255" i="3"/>
  <c r="BQ255" i="3"/>
  <c r="BM256" i="3"/>
  <c r="BJ257" i="3"/>
  <c r="BG258" i="3"/>
  <c r="BQ258" i="3"/>
  <c r="BK259" i="3"/>
  <c r="BE260" i="3"/>
  <c r="BM260" i="3"/>
  <c r="BG261" i="3"/>
  <c r="BO261" i="3"/>
  <c r="BI262" i="3"/>
  <c r="BQ262" i="3"/>
  <c r="BK263" i="3"/>
  <c r="BE264" i="3"/>
  <c r="BM264" i="3"/>
  <c r="BG265" i="3"/>
  <c r="BO265" i="3"/>
  <c r="BI266" i="3"/>
  <c r="BQ266" i="3"/>
  <c r="BK267" i="3"/>
  <c r="BE268" i="3"/>
  <c r="BM268" i="3"/>
  <c r="BG269" i="3"/>
  <c r="BO269" i="3"/>
  <c r="BI270" i="3"/>
  <c r="BQ270" i="3"/>
  <c r="BK271" i="3"/>
  <c r="BE272" i="3"/>
  <c r="BM272" i="3"/>
  <c r="BG273" i="3"/>
  <c r="BO273" i="3"/>
  <c r="BI274" i="3"/>
  <c r="BQ274" i="3"/>
  <c r="BK275" i="3"/>
  <c r="BE276" i="3"/>
  <c r="BM276" i="3"/>
  <c r="BG277" i="3"/>
  <c r="BO277" i="3"/>
  <c r="BI278" i="3"/>
  <c r="BQ278" i="3"/>
  <c r="BK279" i="3"/>
  <c r="BE280" i="3"/>
  <c r="BM280" i="3"/>
  <c r="BG281" i="3"/>
  <c r="BO281" i="3"/>
  <c r="BI282" i="3"/>
  <c r="BQ282" i="3"/>
  <c r="BK283" i="3"/>
  <c r="BE284" i="3"/>
  <c r="BM284" i="3"/>
  <c r="BG285" i="3"/>
  <c r="BO285" i="3"/>
  <c r="BI286" i="3"/>
  <c r="BQ286" i="3"/>
  <c r="BK287" i="3"/>
  <c r="BE288" i="3"/>
  <c r="BM288" i="3"/>
  <c r="BG289" i="3"/>
  <c r="BO289" i="3"/>
  <c r="BI290" i="3"/>
  <c r="BQ290" i="3"/>
  <c r="BK291" i="3"/>
  <c r="BE292" i="3"/>
  <c r="BM292" i="3"/>
  <c r="BG293" i="3"/>
  <c r="BO293" i="3"/>
  <c r="BI294" i="3"/>
  <c r="BQ294" i="3"/>
  <c r="BK295" i="3"/>
  <c r="BE296" i="3"/>
  <c r="BM296" i="3"/>
  <c r="BG297" i="3"/>
  <c r="BO297" i="3"/>
  <c r="BI298" i="3"/>
  <c r="BQ298" i="3"/>
  <c r="BK299" i="3"/>
  <c r="BE300" i="3"/>
  <c r="BM300" i="3"/>
  <c r="BG301" i="3"/>
  <c r="BO301" i="3"/>
  <c r="BI302" i="3"/>
  <c r="BQ302" i="3"/>
  <c r="BK303" i="3"/>
  <c r="BE304" i="3"/>
  <c r="BM304" i="3"/>
  <c r="BG305" i="3"/>
  <c r="BO305" i="3"/>
  <c r="BI306" i="3"/>
  <c r="BQ306" i="3"/>
  <c r="BK307" i="3"/>
  <c r="BE308" i="3"/>
  <c r="BM308" i="3"/>
  <c r="BG309" i="3"/>
  <c r="BO309" i="3"/>
  <c r="BI310" i="3"/>
  <c r="BQ310" i="3"/>
  <c r="BK311" i="3"/>
  <c r="BE312" i="3"/>
  <c r="BM312" i="3"/>
  <c r="BG313" i="3"/>
  <c r="BO313" i="3"/>
  <c r="BI314" i="3"/>
  <c r="BQ314" i="3"/>
  <c r="BK315" i="3"/>
  <c r="BE316" i="3"/>
  <c r="BM316" i="3"/>
  <c r="BG317" i="3"/>
  <c r="BO317" i="3"/>
  <c r="BI318" i="3"/>
  <c r="BQ318" i="3"/>
  <c r="BK319" i="3"/>
  <c r="BE320" i="3"/>
  <c r="BM320" i="3"/>
  <c r="BG321" i="3"/>
  <c r="BO321" i="3"/>
  <c r="BI322" i="3"/>
  <c r="BQ322" i="3"/>
  <c r="BK323" i="3"/>
  <c r="BE324" i="3"/>
  <c r="BM324" i="3"/>
  <c r="BG325" i="3"/>
  <c r="BO325" i="3"/>
  <c r="BH326" i="3"/>
  <c r="BM326" i="3"/>
  <c r="BD327" i="3"/>
  <c r="BJ327" i="3"/>
  <c r="BO327" i="3"/>
  <c r="BF328" i="3"/>
  <c r="BL328" i="3"/>
  <c r="BQ328" i="3"/>
  <c r="BH329" i="3"/>
  <c r="BN329" i="3"/>
  <c r="BE330" i="3"/>
  <c r="BJ330" i="3"/>
  <c r="BP330" i="3"/>
  <c r="BG331" i="3"/>
  <c r="BL331" i="3"/>
  <c r="BD332" i="3"/>
  <c r="BI332" i="3"/>
  <c r="BN332" i="3"/>
  <c r="BF333" i="3"/>
  <c r="BK333" i="3"/>
  <c r="BP333" i="3"/>
  <c r="BH334" i="3"/>
  <c r="BM334" i="3"/>
  <c r="BD335" i="3"/>
  <c r="BJ335" i="3"/>
  <c r="BO335" i="3"/>
  <c r="BF336" i="3"/>
  <c r="BL336" i="3"/>
  <c r="BQ336" i="3"/>
  <c r="BH337" i="3"/>
  <c r="BN337" i="3"/>
  <c r="BE338" i="3"/>
  <c r="BJ338" i="3"/>
  <c r="BP338" i="3"/>
  <c r="BG339" i="3"/>
  <c r="BL339" i="3"/>
  <c r="BD340" i="3"/>
  <c r="BI340" i="3"/>
  <c r="BN340" i="3"/>
  <c r="BF341" i="3"/>
  <c r="BK341" i="3"/>
  <c r="BP341" i="3"/>
  <c r="BH342" i="3"/>
  <c r="BM342" i="3"/>
  <c r="BD343" i="3"/>
  <c r="BJ343" i="3"/>
  <c r="BO343" i="3"/>
  <c r="BF344" i="3"/>
  <c r="BL344" i="3"/>
  <c r="BQ344" i="3"/>
  <c r="BH345" i="3"/>
  <c r="BN345" i="3"/>
  <c r="BE346" i="3"/>
  <c r="BJ346" i="3"/>
  <c r="BP346" i="3"/>
  <c r="BG347" i="3"/>
  <c r="BL347" i="3"/>
  <c r="BD348" i="3"/>
  <c r="BI348" i="3"/>
  <c r="BN348" i="3"/>
  <c r="BF349" i="3"/>
  <c r="BK349" i="3"/>
  <c r="BP349" i="3"/>
  <c r="BH350" i="3"/>
  <c r="BM350" i="3"/>
  <c r="BD351" i="3"/>
  <c r="BJ351" i="3"/>
  <c r="BO351" i="3"/>
  <c r="BF352" i="3"/>
  <c r="BL352" i="3"/>
  <c r="BQ352" i="3"/>
  <c r="BH353" i="3"/>
  <c r="BN353" i="3"/>
  <c r="BE354" i="3"/>
  <c r="BJ354" i="3"/>
  <c r="BP354" i="3"/>
  <c r="BG355" i="3"/>
  <c r="BL355" i="3"/>
  <c r="BD356" i="3"/>
  <c r="BI356" i="3"/>
  <c r="BN356" i="3"/>
  <c r="BF357" i="3"/>
  <c r="BK357" i="3"/>
  <c r="BP357" i="3"/>
  <c r="BH358" i="3"/>
  <c r="BM358" i="3"/>
  <c r="BD359" i="3"/>
  <c r="BJ359" i="3"/>
  <c r="BO359" i="3"/>
  <c r="BF360" i="3"/>
  <c r="BL360" i="3"/>
  <c r="BQ360" i="3"/>
  <c r="BH361" i="3"/>
  <c r="BN361" i="3"/>
  <c r="BE362" i="3"/>
  <c r="BJ362" i="3"/>
  <c r="BP362" i="3"/>
  <c r="BG363" i="3"/>
  <c r="BL363" i="3"/>
  <c r="BD364" i="3"/>
  <c r="BI364" i="3"/>
  <c r="BN364" i="3"/>
  <c r="BF365" i="3"/>
  <c r="BK365" i="3"/>
  <c r="BP365" i="3"/>
  <c r="BH366" i="3"/>
  <c r="BM366" i="3"/>
  <c r="BD367" i="3"/>
  <c r="BJ367" i="3"/>
  <c r="BO367" i="3"/>
  <c r="BF368" i="3"/>
  <c r="BL368" i="3"/>
  <c r="BQ368" i="3"/>
  <c r="BH369" i="3"/>
  <c r="BN369" i="3"/>
  <c r="BE370" i="3"/>
  <c r="BJ370" i="3"/>
  <c r="BP370" i="3"/>
  <c r="BG371" i="3"/>
  <c r="BL371" i="3"/>
  <c r="BD372" i="3"/>
  <c r="BI372" i="3"/>
  <c r="BN372" i="3"/>
  <c r="BF373" i="3"/>
  <c r="BK373" i="3"/>
  <c r="BP373" i="3"/>
  <c r="BH374" i="3"/>
  <c r="BM374" i="3"/>
  <c r="BD375" i="3"/>
  <c r="BJ375" i="3"/>
  <c r="BO375" i="3"/>
  <c r="BF376" i="3"/>
  <c r="BL376" i="3"/>
  <c r="BQ376" i="3"/>
  <c r="BH377" i="3"/>
  <c r="BN377" i="3"/>
  <c r="BE378" i="3"/>
  <c r="BJ378" i="3"/>
  <c r="BP378" i="3"/>
  <c r="BG379" i="3"/>
  <c r="BL379" i="3"/>
  <c r="BG34" i="3"/>
  <c r="BO58" i="3"/>
  <c r="BK78" i="3"/>
  <c r="BQ89" i="3"/>
  <c r="BQ93" i="3"/>
  <c r="BK96" i="3"/>
  <c r="BK99" i="3"/>
  <c r="BF102" i="3"/>
  <c r="BM104" i="3"/>
  <c r="BL107" i="3"/>
  <c r="BG110" i="3"/>
  <c r="BO112" i="3"/>
  <c r="BM115" i="3"/>
  <c r="BI118" i="3"/>
  <c r="BQ120" i="3"/>
  <c r="BP123" i="3"/>
  <c r="BK126" i="3"/>
  <c r="BD129" i="3"/>
  <c r="BQ131" i="3"/>
  <c r="BM134" i="3"/>
  <c r="BG137" i="3"/>
  <c r="BE140" i="3"/>
  <c r="BN142" i="3"/>
  <c r="BH145" i="3"/>
  <c r="BQ147" i="3"/>
  <c r="BQ149" i="3"/>
  <c r="BO151" i="3"/>
  <c r="BD154" i="3"/>
  <c r="BD156" i="3"/>
  <c r="BG157" i="3"/>
  <c r="BM158" i="3"/>
  <c r="BE160" i="3"/>
  <c r="BI161" i="3"/>
  <c r="BO162" i="3"/>
  <c r="BE164" i="3"/>
  <c r="BI165" i="3"/>
  <c r="BI166" i="3"/>
  <c r="BJ167" i="3"/>
  <c r="BI168" i="3"/>
  <c r="BJ169" i="3"/>
  <c r="BK170" i="3"/>
  <c r="BJ171" i="3"/>
  <c r="BK172" i="3"/>
  <c r="BK173" i="3"/>
  <c r="BK174" i="3"/>
  <c r="BK175" i="3"/>
  <c r="BL176" i="3"/>
  <c r="BK177" i="3"/>
  <c r="BL178" i="3"/>
  <c r="BM179" i="3"/>
  <c r="BL180" i="3"/>
  <c r="BM181" i="3"/>
  <c r="BM182" i="3"/>
  <c r="BM183" i="3"/>
  <c r="BM184" i="3"/>
  <c r="BN185" i="3"/>
  <c r="BM186" i="3"/>
  <c r="BN187" i="3"/>
  <c r="BO188" i="3"/>
  <c r="BN189" i="3"/>
  <c r="BO190" i="3"/>
  <c r="BO191" i="3"/>
  <c r="BO192" i="3"/>
  <c r="BO193" i="3"/>
  <c r="BP194" i="3"/>
  <c r="BO195" i="3"/>
  <c r="BP196" i="3"/>
  <c r="BQ197" i="3"/>
  <c r="BP198" i="3"/>
  <c r="BQ199" i="3"/>
  <c r="BQ200" i="3"/>
  <c r="BQ201" i="3"/>
  <c r="BQ202" i="3"/>
  <c r="BD204" i="3"/>
  <c r="BQ204" i="3"/>
  <c r="BD206" i="3"/>
  <c r="BE207" i="3"/>
  <c r="BD208" i="3"/>
  <c r="BE209" i="3"/>
  <c r="BE210" i="3"/>
  <c r="BE211" i="3"/>
  <c r="BE212" i="3"/>
  <c r="BF213" i="3"/>
  <c r="BE214" i="3"/>
  <c r="BF215" i="3"/>
  <c r="BG216" i="3"/>
  <c r="BF217" i="3"/>
  <c r="BG218" i="3"/>
  <c r="BG219" i="3"/>
  <c r="BG220" i="3"/>
  <c r="BG221" i="3"/>
  <c r="BH222" i="3"/>
  <c r="BG223" i="3"/>
  <c r="BH224" i="3"/>
  <c r="BI225" i="3"/>
  <c r="BE226" i="3"/>
  <c r="BP226" i="3"/>
  <c r="BM227" i="3"/>
  <c r="BI228" i="3"/>
  <c r="BF229" i="3"/>
  <c r="BQ229" i="3"/>
  <c r="BM230" i="3"/>
  <c r="BJ231" i="3"/>
  <c r="BG232" i="3"/>
  <c r="BQ232" i="3"/>
  <c r="BN233" i="3"/>
  <c r="BK234" i="3"/>
  <c r="BG235" i="3"/>
  <c r="BD236" i="3"/>
  <c r="BO236" i="3"/>
  <c r="BK237" i="3"/>
  <c r="BH238" i="3"/>
  <c r="BE239" i="3"/>
  <c r="BO239" i="3"/>
  <c r="BL240" i="3"/>
  <c r="BI241" i="3"/>
  <c r="BE242" i="3"/>
  <c r="BP242" i="3"/>
  <c r="BM243" i="3"/>
  <c r="BI244" i="3"/>
  <c r="BF245" i="3"/>
  <c r="BQ245" i="3"/>
  <c r="BM246" i="3"/>
  <c r="BJ247" i="3"/>
  <c r="BG248" i="3"/>
  <c r="BQ248" i="3"/>
  <c r="BN249" i="3"/>
  <c r="BK250" i="3"/>
  <c r="BG251" i="3"/>
  <c r="BD252" i="3"/>
  <c r="BO252" i="3"/>
  <c r="BK253" i="3"/>
  <c r="BH254" i="3"/>
  <c r="BE255" i="3"/>
  <c r="BO255" i="3"/>
  <c r="BL256" i="3"/>
  <c r="BI257" i="3"/>
  <c r="BE258" i="3"/>
  <c r="BP258" i="3"/>
  <c r="BJ259" i="3"/>
  <c r="BD260" i="3"/>
  <c r="BL260" i="3"/>
  <c r="BF261" i="3"/>
  <c r="BN261" i="3"/>
  <c r="BH262" i="3"/>
  <c r="BP262" i="3"/>
  <c r="BJ263" i="3"/>
  <c r="BD264" i="3"/>
  <c r="BL264" i="3"/>
  <c r="BF265" i="3"/>
  <c r="BN265" i="3"/>
  <c r="BH266" i="3"/>
  <c r="BP266" i="3"/>
  <c r="BJ267" i="3"/>
  <c r="BD268" i="3"/>
  <c r="BL268" i="3"/>
  <c r="BF269" i="3"/>
  <c r="BN269" i="3"/>
  <c r="BH270" i="3"/>
  <c r="BP270" i="3"/>
  <c r="BJ271" i="3"/>
  <c r="BD272" i="3"/>
  <c r="BL272" i="3"/>
  <c r="BF273" i="3"/>
  <c r="BN273" i="3"/>
  <c r="BH274" i="3"/>
  <c r="BP274" i="3"/>
  <c r="BJ275" i="3"/>
  <c r="BD276" i="3"/>
  <c r="BL276" i="3"/>
  <c r="BF277" i="3"/>
  <c r="BN277" i="3"/>
  <c r="BH278" i="3"/>
  <c r="BP278" i="3"/>
  <c r="BJ279" i="3"/>
  <c r="BD280" i="3"/>
  <c r="BL280" i="3"/>
  <c r="BF281" i="3"/>
  <c r="BN281" i="3"/>
  <c r="BH282" i="3"/>
  <c r="BP282" i="3"/>
  <c r="BJ283" i="3"/>
  <c r="BD284" i="3"/>
  <c r="BL284" i="3"/>
  <c r="BF285" i="3"/>
  <c r="BN285" i="3"/>
  <c r="BH286" i="3"/>
  <c r="BP286" i="3"/>
  <c r="BJ287" i="3"/>
  <c r="BD288" i="3"/>
  <c r="BL288" i="3"/>
  <c r="BF289" i="3"/>
  <c r="BN289" i="3"/>
  <c r="BH290" i="3"/>
  <c r="BP290" i="3"/>
  <c r="BJ291" i="3"/>
  <c r="BD292" i="3"/>
  <c r="BL292" i="3"/>
  <c r="BF293" i="3"/>
  <c r="BN293" i="3"/>
  <c r="BH294" i="3"/>
  <c r="BP294" i="3"/>
  <c r="BJ295" i="3"/>
  <c r="BD296" i="3"/>
  <c r="BL296" i="3"/>
  <c r="BF297" i="3"/>
  <c r="BN297" i="3"/>
  <c r="BH298" i="3"/>
  <c r="BP298" i="3"/>
  <c r="BJ299" i="3"/>
  <c r="BD300" i="3"/>
  <c r="BL300" i="3"/>
  <c r="BF301" i="3"/>
  <c r="BN301" i="3"/>
  <c r="BH302" i="3"/>
  <c r="BP302" i="3"/>
  <c r="BJ303" i="3"/>
  <c r="BD304" i="3"/>
  <c r="BL304" i="3"/>
  <c r="BF305" i="3"/>
  <c r="BN305" i="3"/>
  <c r="BH306" i="3"/>
  <c r="BP306" i="3"/>
  <c r="BJ307" i="3"/>
  <c r="BD308" i="3"/>
  <c r="BL308" i="3"/>
  <c r="BF309" i="3"/>
  <c r="BN309" i="3"/>
  <c r="BH310" i="3"/>
  <c r="BP310" i="3"/>
  <c r="BJ311" i="3"/>
  <c r="BD312" i="3"/>
  <c r="BL312" i="3"/>
  <c r="BF313" i="3"/>
  <c r="BN313" i="3"/>
  <c r="BH314" i="3"/>
  <c r="BP314" i="3"/>
  <c r="BJ315" i="3"/>
  <c r="BD316" i="3"/>
  <c r="BL316" i="3"/>
  <c r="BF317" i="3"/>
  <c r="BN317" i="3"/>
  <c r="BH318" i="3"/>
  <c r="BP318" i="3"/>
  <c r="BJ319" i="3"/>
  <c r="BD320" i="3"/>
  <c r="BL320" i="3"/>
  <c r="BF321" i="3"/>
  <c r="BN321" i="3"/>
  <c r="BH322" i="3"/>
  <c r="BP322" i="3"/>
  <c r="BJ323" i="3"/>
  <c r="BD324" i="3"/>
  <c r="BL324" i="3"/>
  <c r="BF325" i="3"/>
  <c r="BN325" i="3"/>
  <c r="BF326" i="3"/>
  <c r="BL326" i="3"/>
  <c r="BQ326" i="3"/>
  <c r="BH327" i="3"/>
  <c r="BN327" i="3"/>
  <c r="BE328" i="3"/>
  <c r="BJ328" i="3"/>
  <c r="BP328" i="3"/>
  <c r="BG329" i="3"/>
  <c r="BL329" i="3"/>
  <c r="BD330" i="3"/>
  <c r="BI330" i="3"/>
  <c r="BN330" i="3"/>
  <c r="BF331" i="3"/>
  <c r="BK331" i="3"/>
  <c r="BP331" i="3"/>
  <c r="BH332" i="3"/>
  <c r="BM332" i="3"/>
  <c r="BD333" i="3"/>
  <c r="BJ333" i="3"/>
  <c r="BO333" i="3"/>
  <c r="BF334" i="3"/>
  <c r="BL334" i="3"/>
  <c r="BQ334" i="3"/>
  <c r="BH335" i="3"/>
  <c r="BN335" i="3"/>
  <c r="BE336" i="3"/>
  <c r="BJ336" i="3"/>
  <c r="BP336" i="3"/>
  <c r="BG337" i="3"/>
  <c r="BL337" i="3"/>
  <c r="BD338" i="3"/>
  <c r="BI338" i="3"/>
  <c r="BN338" i="3"/>
  <c r="BF339" i="3"/>
  <c r="BK339" i="3"/>
  <c r="BP339" i="3"/>
  <c r="BH340" i="3"/>
  <c r="BM340" i="3"/>
  <c r="BD341" i="3"/>
  <c r="BJ341" i="3"/>
  <c r="BO341" i="3"/>
  <c r="BF342" i="3"/>
  <c r="BL342" i="3"/>
  <c r="BQ342" i="3"/>
  <c r="BH343" i="3"/>
  <c r="BN343" i="3"/>
  <c r="BE344" i="3"/>
  <c r="BJ344" i="3"/>
  <c r="BP344" i="3"/>
  <c r="BG345" i="3"/>
  <c r="BL345" i="3"/>
  <c r="BD346" i="3"/>
  <c r="BI346" i="3"/>
  <c r="BN346" i="3"/>
  <c r="BF347" i="3"/>
  <c r="BK347" i="3"/>
  <c r="BP347" i="3"/>
  <c r="BH348" i="3"/>
  <c r="BM348" i="3"/>
  <c r="BD349" i="3"/>
  <c r="BJ349" i="3"/>
  <c r="BO349" i="3"/>
  <c r="BF350" i="3"/>
  <c r="BL350" i="3"/>
  <c r="BQ350" i="3"/>
  <c r="BH351" i="3"/>
  <c r="BN351" i="3"/>
  <c r="BE352" i="3"/>
  <c r="BJ352" i="3"/>
  <c r="BP352" i="3"/>
  <c r="BG353" i="3"/>
  <c r="BL353" i="3"/>
  <c r="BD354" i="3"/>
  <c r="BI354" i="3"/>
  <c r="BN354" i="3"/>
  <c r="BF355" i="3"/>
  <c r="BK355" i="3"/>
  <c r="BP355" i="3"/>
  <c r="BH356" i="3"/>
  <c r="BM356" i="3"/>
  <c r="BD357" i="3"/>
  <c r="BJ357" i="3"/>
  <c r="BO357" i="3"/>
  <c r="BF358" i="3"/>
  <c r="BL358" i="3"/>
  <c r="BQ358" i="3"/>
  <c r="BH359" i="3"/>
  <c r="BN359" i="3"/>
  <c r="BE360" i="3"/>
  <c r="BJ360" i="3"/>
  <c r="BP360" i="3"/>
  <c r="BG361" i="3"/>
  <c r="BL361" i="3"/>
  <c r="BD362" i="3"/>
  <c r="BI362" i="3"/>
  <c r="BN362" i="3"/>
  <c r="BF363" i="3"/>
  <c r="BK363" i="3"/>
  <c r="BP363" i="3"/>
  <c r="BH364" i="3"/>
  <c r="BM364" i="3"/>
  <c r="BD365" i="3"/>
  <c r="BJ365" i="3"/>
  <c r="BO365" i="3"/>
  <c r="BF366" i="3"/>
  <c r="BL366" i="3"/>
  <c r="BQ366" i="3"/>
  <c r="BH367" i="3"/>
  <c r="BN367" i="3"/>
  <c r="BE368" i="3"/>
  <c r="BJ368" i="3"/>
  <c r="BP368" i="3"/>
  <c r="BG369" i="3"/>
  <c r="BL369" i="3"/>
  <c r="BD370" i="3"/>
  <c r="BI370" i="3"/>
  <c r="BN370" i="3"/>
  <c r="BF371" i="3"/>
  <c r="BK371" i="3"/>
  <c r="BP371" i="3"/>
  <c r="BH372" i="3"/>
  <c r="BM372" i="3"/>
  <c r="BD373" i="3"/>
  <c r="BJ373" i="3"/>
  <c r="BO373" i="3"/>
  <c r="BF374" i="3"/>
  <c r="BL374" i="3"/>
  <c r="BQ374" i="3"/>
  <c r="BH375" i="3"/>
  <c r="BN375" i="3"/>
  <c r="BE376" i="3"/>
  <c r="BJ376" i="3"/>
  <c r="BP376" i="3"/>
  <c r="BG377" i="3"/>
  <c r="BL377" i="3"/>
  <c r="BD378" i="3"/>
  <c r="BI378" i="3"/>
  <c r="BN378" i="3"/>
  <c r="BF379" i="3"/>
  <c r="BK379" i="3"/>
  <c r="BP379" i="3"/>
  <c r="BE27" i="3"/>
  <c r="BI51" i="3"/>
  <c r="BQ73" i="3"/>
  <c r="BG86" i="3"/>
  <c r="BD93" i="3"/>
  <c r="BK95" i="3"/>
  <c r="BJ98" i="3"/>
  <c r="BE101" i="3"/>
  <c r="BM103" i="3"/>
  <c r="BK106" i="3"/>
  <c r="BG109" i="3"/>
  <c r="BO111" i="3"/>
  <c r="BN114" i="3"/>
  <c r="BI117" i="3"/>
  <c r="BP119" i="3"/>
  <c r="BO122" i="3"/>
  <c r="BK125" i="3"/>
  <c r="BE128" i="3"/>
  <c r="BQ130" i="3"/>
  <c r="BL133" i="3"/>
  <c r="BF136" i="3"/>
  <c r="BE139" i="3"/>
  <c r="BO141" i="3"/>
  <c r="BG144" i="3"/>
  <c r="BF147" i="3"/>
  <c r="BF149" i="3"/>
  <c r="BE151" i="3"/>
  <c r="BG153" i="3"/>
  <c r="BG155" i="3"/>
  <c r="BO156" i="3"/>
  <c r="BG158" i="3"/>
  <c r="BK159" i="3"/>
  <c r="BP160" i="3"/>
  <c r="BG162" i="3"/>
  <c r="BM163" i="3"/>
  <c r="BP164" i="3"/>
  <c r="BD166" i="3"/>
  <c r="BE167" i="3"/>
  <c r="BD168" i="3"/>
  <c r="BE169" i="3"/>
  <c r="BE170" i="3"/>
  <c r="BE171" i="3"/>
  <c r="BE172" i="3"/>
  <c r="BF173" i="3"/>
  <c r="BE174" i="3"/>
  <c r="BF175" i="3"/>
  <c r="BG176" i="3"/>
  <c r="BF177" i="3"/>
  <c r="BG178" i="3"/>
  <c r="BG179" i="3"/>
  <c r="BG180" i="3"/>
  <c r="BG181" i="3"/>
  <c r="BH182" i="3"/>
  <c r="BG183" i="3"/>
  <c r="BH184" i="3"/>
  <c r="BI185" i="3"/>
  <c r="BH186" i="3"/>
  <c r="BI187" i="3"/>
  <c r="BI188" i="3"/>
  <c r="BI189" i="3"/>
  <c r="BI190" i="3"/>
  <c r="BJ191" i="3"/>
  <c r="BI192" i="3"/>
  <c r="BJ193" i="3"/>
  <c r="BK194" i="3"/>
  <c r="BJ195" i="3"/>
  <c r="BK196" i="3"/>
  <c r="BK197" i="3"/>
  <c r="BK198" i="3"/>
  <c r="BK199" i="3"/>
  <c r="BL200" i="3"/>
  <c r="BK201" i="3"/>
  <c r="BL202" i="3"/>
  <c r="BM203" i="3"/>
  <c r="BL204" i="3"/>
  <c r="BM205" i="3"/>
  <c r="BM206" i="3"/>
  <c r="BM207" i="3"/>
  <c r="BM208" i="3"/>
  <c r="BN209" i="3"/>
  <c r="BM210" i="3"/>
  <c r="BN211" i="3"/>
  <c r="BO212" i="3"/>
  <c r="BN213" i="3"/>
  <c r="BO214" i="3"/>
  <c r="BO215" i="3"/>
  <c r="BO216" i="3"/>
  <c r="BO217" i="3"/>
  <c r="BP218" i="3"/>
  <c r="BO219" i="3"/>
  <c r="BP220" i="3"/>
  <c r="BQ221" i="3"/>
  <c r="BP222" i="3"/>
  <c r="BQ223" i="3"/>
  <c r="BQ224" i="3"/>
  <c r="BO225" i="3"/>
  <c r="BL226" i="3"/>
  <c r="BI227" i="3"/>
  <c r="BE228" i="3"/>
  <c r="BP228" i="3"/>
  <c r="BM229" i="3"/>
  <c r="BI230" i="3"/>
  <c r="BF231" i="3"/>
  <c r="BQ231" i="3"/>
  <c r="BM232" i="3"/>
  <c r="BJ233" i="3"/>
  <c r="BG234" i="3"/>
  <c r="BQ234" i="3"/>
  <c r="BN235" i="3"/>
  <c r="BK236" i="3"/>
  <c r="BG237" i="3"/>
  <c r="BD238" i="3"/>
  <c r="BO238" i="3"/>
  <c r="BK239" i="3"/>
  <c r="BH240" i="3"/>
  <c r="BE241" i="3"/>
  <c r="BO241" i="3"/>
  <c r="BL242" i="3"/>
  <c r="BI243" i="3"/>
  <c r="BE244" i="3"/>
  <c r="BP244" i="3"/>
  <c r="BM245" i="3"/>
  <c r="BI246" i="3"/>
  <c r="BF247" i="3"/>
  <c r="BQ247" i="3"/>
  <c r="BM248" i="3"/>
  <c r="BJ249" i="3"/>
  <c r="BG250" i="3"/>
  <c r="BQ250" i="3"/>
  <c r="BN251" i="3"/>
  <c r="BK252" i="3"/>
  <c r="BG253" i="3"/>
  <c r="BD254" i="3"/>
  <c r="BO254" i="3"/>
  <c r="BK255" i="3"/>
  <c r="BH256" i="3"/>
  <c r="BE257" i="3"/>
  <c r="BO257" i="3"/>
  <c r="BL258" i="3"/>
  <c r="BG259" i="3"/>
  <c r="BO259" i="3"/>
  <c r="BI260" i="3"/>
  <c r="BQ260" i="3"/>
  <c r="BK261" i="3"/>
  <c r="BE262" i="3"/>
  <c r="BM262" i="3"/>
  <c r="BG263" i="3"/>
  <c r="BO263" i="3"/>
  <c r="BI264" i="3"/>
  <c r="BQ264" i="3"/>
  <c r="BK265" i="3"/>
  <c r="BE266" i="3"/>
  <c r="BM266" i="3"/>
  <c r="BG267" i="3"/>
  <c r="BO267" i="3"/>
  <c r="BI268" i="3"/>
  <c r="BQ268" i="3"/>
  <c r="BK269" i="3"/>
  <c r="BE270" i="3"/>
  <c r="BM270" i="3"/>
  <c r="BG271" i="3"/>
  <c r="BO271" i="3"/>
  <c r="BI272" i="3"/>
  <c r="BQ272" i="3"/>
  <c r="BK273" i="3"/>
  <c r="BE274" i="3"/>
  <c r="BM274" i="3"/>
  <c r="BG275" i="3"/>
  <c r="BO275" i="3"/>
  <c r="BI276" i="3"/>
  <c r="BQ276" i="3"/>
  <c r="BK277" i="3"/>
  <c r="BE278" i="3"/>
  <c r="BM278" i="3"/>
  <c r="BG279" i="3"/>
  <c r="BO279" i="3"/>
  <c r="BI280" i="3"/>
  <c r="BQ280" i="3"/>
  <c r="BK281" i="3"/>
  <c r="BE282" i="3"/>
  <c r="BM282" i="3"/>
  <c r="BG283" i="3"/>
  <c r="BO283" i="3"/>
  <c r="BI284" i="3"/>
  <c r="BQ284" i="3"/>
  <c r="BK285" i="3"/>
  <c r="BE286" i="3"/>
  <c r="BM286" i="3"/>
  <c r="BG287" i="3"/>
  <c r="BG22" i="3"/>
  <c r="BK46" i="3"/>
  <c r="BG70" i="3"/>
  <c r="BK84" i="3"/>
  <c r="BG92" i="3"/>
  <c r="BI95" i="3"/>
  <c r="BE98" i="3"/>
  <c r="BM100" i="3"/>
  <c r="BK103" i="3"/>
  <c r="BF106" i="3"/>
  <c r="BN108" i="3"/>
  <c r="BM111" i="3"/>
  <c r="BI114" i="3"/>
  <c r="BO116" i="3"/>
  <c r="BO119" i="3"/>
  <c r="BJ122" i="3"/>
  <c r="BD125" i="3"/>
  <c r="BP127" i="3"/>
  <c r="BK130" i="3"/>
  <c r="BE133" i="3"/>
  <c r="BE136" i="3"/>
  <c r="BN138" i="3"/>
  <c r="BG141" i="3"/>
  <c r="BF144" i="3"/>
  <c r="BO146" i="3"/>
  <c r="BO148" i="3"/>
  <c r="BQ150" i="3"/>
  <c r="BQ152" i="3"/>
  <c r="BP154" i="3"/>
  <c r="BM156" i="3"/>
  <c r="BD158" i="3"/>
  <c r="BI159" i="3"/>
  <c r="BM160" i="3"/>
  <c r="BE162" i="3"/>
  <c r="BI163" i="3"/>
  <c r="BO164" i="3"/>
  <c r="BQ165" i="3"/>
  <c r="BP166" i="3"/>
  <c r="BQ167" i="3"/>
  <c r="BQ168" i="3"/>
  <c r="BQ169" i="3"/>
  <c r="BQ170" i="3"/>
  <c r="BD172" i="3"/>
  <c r="BQ172" i="3"/>
  <c r="BD174" i="3"/>
  <c r="BE175" i="3"/>
  <c r="BD176" i="3"/>
  <c r="BE177" i="3"/>
  <c r="BE178" i="3"/>
  <c r="BE179" i="3"/>
  <c r="BE180" i="3"/>
  <c r="BF181" i="3"/>
  <c r="BE182" i="3"/>
  <c r="BF183" i="3"/>
  <c r="BG184" i="3"/>
  <c r="BF185" i="3"/>
  <c r="BG186" i="3"/>
  <c r="BG187" i="3"/>
  <c r="BG188" i="3"/>
  <c r="BG189" i="3"/>
  <c r="BH190" i="3"/>
  <c r="BG191" i="3"/>
  <c r="BH192" i="3"/>
  <c r="BI193" i="3"/>
  <c r="BH194" i="3"/>
  <c r="BI195" i="3"/>
  <c r="BI196" i="3"/>
  <c r="BI197" i="3"/>
  <c r="BI198" i="3"/>
  <c r="BJ199" i="3"/>
  <c r="BI200" i="3"/>
  <c r="BJ201" i="3"/>
  <c r="BK202" i="3"/>
  <c r="BJ203" i="3"/>
  <c r="BK204" i="3"/>
  <c r="BK205" i="3"/>
  <c r="BK206" i="3"/>
  <c r="BK207" i="3"/>
  <c r="BL208" i="3"/>
  <c r="BK209" i="3"/>
  <c r="BL210" i="3"/>
  <c r="BM211" i="3"/>
  <c r="BL212" i="3"/>
  <c r="BM213" i="3"/>
  <c r="BM214" i="3"/>
  <c r="BM215" i="3"/>
  <c r="BM216" i="3"/>
  <c r="BN217" i="3"/>
  <c r="BM218" i="3"/>
  <c r="BN219" i="3"/>
  <c r="BO220" i="3"/>
  <c r="BN221" i="3"/>
  <c r="BO222" i="3"/>
  <c r="BO223" i="3"/>
  <c r="BO224" i="3"/>
  <c r="BN225" i="3"/>
  <c r="BK226" i="3"/>
  <c r="BG227" i="3"/>
  <c r="BD228" i="3"/>
  <c r="BO228" i="3"/>
  <c r="BK229" i="3"/>
  <c r="BH230" i="3"/>
  <c r="BE231" i="3"/>
  <c r="BO231" i="3"/>
  <c r="BL232" i="3"/>
  <c r="BI233" i="3"/>
  <c r="BE234" i="3"/>
  <c r="BP234" i="3"/>
  <c r="BM235" i="3"/>
  <c r="BI236" i="3"/>
  <c r="BF237" i="3"/>
  <c r="BQ237" i="3"/>
  <c r="BM238" i="3"/>
  <c r="BJ239" i="3"/>
  <c r="BG240" i="3"/>
  <c r="BQ240" i="3"/>
  <c r="BN241" i="3"/>
  <c r="BK242" i="3"/>
  <c r="BG243" i="3"/>
  <c r="BD244" i="3"/>
  <c r="BO244" i="3"/>
  <c r="BK245" i="3"/>
  <c r="BH246" i="3"/>
  <c r="BE247" i="3"/>
  <c r="BO247" i="3"/>
  <c r="BL248" i="3"/>
  <c r="BI249" i="3"/>
  <c r="BE250" i="3"/>
  <c r="BP250" i="3"/>
  <c r="BM251" i="3"/>
  <c r="BI252" i="3"/>
  <c r="BF253" i="3"/>
  <c r="BQ253" i="3"/>
  <c r="BM254" i="3"/>
  <c r="BJ255" i="3"/>
  <c r="BG256" i="3"/>
  <c r="BQ256" i="3"/>
  <c r="BN257" i="3"/>
  <c r="BK258" i="3"/>
  <c r="BF259" i="3"/>
  <c r="BN259" i="3"/>
  <c r="BH260" i="3"/>
  <c r="BP260" i="3"/>
  <c r="BJ261" i="3"/>
  <c r="BD262" i="3"/>
  <c r="BL262" i="3"/>
  <c r="BF263" i="3"/>
  <c r="BN263" i="3"/>
  <c r="BH264" i="3"/>
  <c r="BP264" i="3"/>
  <c r="BJ265" i="3"/>
  <c r="BD266" i="3"/>
  <c r="BL266" i="3"/>
  <c r="BF267" i="3"/>
  <c r="BN267" i="3"/>
  <c r="BH268" i="3"/>
  <c r="BP268" i="3"/>
  <c r="BJ269" i="3"/>
  <c r="BD270" i="3"/>
  <c r="BL270" i="3"/>
  <c r="BF271" i="3"/>
  <c r="BN271" i="3"/>
  <c r="BH272" i="3"/>
  <c r="BP272" i="3"/>
  <c r="BJ273" i="3"/>
  <c r="BD274" i="3"/>
  <c r="BL274" i="3"/>
  <c r="BF275" i="3"/>
  <c r="BN275" i="3"/>
  <c r="BH276" i="3"/>
  <c r="BP276" i="3"/>
  <c r="BJ277" i="3"/>
  <c r="BD278" i="3"/>
  <c r="BL278" i="3"/>
  <c r="BF279" i="3"/>
  <c r="BN279" i="3"/>
  <c r="BH280" i="3"/>
  <c r="BP280" i="3"/>
  <c r="BJ281" i="3"/>
  <c r="BD282" i="3"/>
  <c r="BL282" i="3"/>
  <c r="BF283" i="3"/>
  <c r="BN283" i="3"/>
  <c r="BH284" i="3"/>
  <c r="BP284" i="3"/>
  <c r="BJ285" i="3"/>
  <c r="BD286" i="3"/>
  <c r="BL286" i="3"/>
  <c r="BF287" i="3"/>
  <c r="BN287" i="3"/>
  <c r="BH288" i="3"/>
  <c r="BP288" i="3"/>
  <c r="BJ289" i="3"/>
  <c r="BD290" i="3"/>
  <c r="BL290" i="3"/>
  <c r="BF291" i="3"/>
  <c r="BN291" i="3"/>
  <c r="BH292" i="3"/>
  <c r="BP292" i="3"/>
  <c r="BJ293" i="3"/>
  <c r="BD294" i="3"/>
  <c r="BL294" i="3"/>
  <c r="BF295" i="3"/>
  <c r="BN295" i="3"/>
  <c r="BH296" i="3"/>
  <c r="BP296" i="3"/>
  <c r="BJ297" i="3"/>
  <c r="BD298" i="3"/>
  <c r="BL298" i="3"/>
  <c r="BF299" i="3"/>
  <c r="BN299" i="3"/>
  <c r="BH300" i="3"/>
  <c r="BP300" i="3"/>
  <c r="BJ301" i="3"/>
  <c r="BD302" i="3"/>
  <c r="BL302" i="3"/>
  <c r="BF303" i="3"/>
  <c r="BN303" i="3"/>
  <c r="BH304" i="3"/>
  <c r="BP304" i="3"/>
  <c r="BJ305" i="3"/>
  <c r="BD306" i="3"/>
  <c r="BL306" i="3"/>
  <c r="BF307" i="3"/>
  <c r="BN307" i="3"/>
  <c r="BH308" i="3"/>
  <c r="BP308" i="3"/>
  <c r="BJ309" i="3"/>
  <c r="BD310" i="3"/>
  <c r="BL310" i="3"/>
  <c r="BF311" i="3"/>
  <c r="BN311" i="3"/>
  <c r="BH312" i="3"/>
  <c r="BP312" i="3"/>
  <c r="BJ313" i="3"/>
  <c r="BD314" i="3"/>
  <c r="BL314" i="3"/>
  <c r="BF315" i="3"/>
  <c r="BN315" i="3"/>
  <c r="BH316" i="3"/>
  <c r="BP316" i="3"/>
  <c r="BJ317" i="3"/>
  <c r="BD318" i="3"/>
  <c r="BL318" i="3"/>
  <c r="BF319" i="3"/>
  <c r="BN319" i="3"/>
  <c r="BH320" i="3"/>
  <c r="BP320" i="3"/>
  <c r="BJ321" i="3"/>
  <c r="BD322" i="3"/>
  <c r="BL322" i="3"/>
  <c r="BF323" i="3"/>
  <c r="BN323" i="3"/>
  <c r="BH324" i="3"/>
  <c r="BP324" i="3"/>
  <c r="BJ325" i="3"/>
  <c r="BD326" i="3"/>
  <c r="BI326" i="3"/>
  <c r="BN326" i="3"/>
  <c r="BF327" i="3"/>
  <c r="BK327" i="3"/>
  <c r="BP327" i="3"/>
  <c r="BH328" i="3"/>
  <c r="BM328" i="3"/>
  <c r="BD329" i="3"/>
  <c r="BJ329" i="3"/>
  <c r="BO329" i="3"/>
  <c r="BF330" i="3"/>
  <c r="BL330" i="3"/>
  <c r="BQ330" i="3"/>
  <c r="BH331" i="3"/>
  <c r="BN331" i="3"/>
  <c r="BE332" i="3"/>
  <c r="BJ332" i="3"/>
  <c r="BP332" i="3"/>
  <c r="BG333" i="3"/>
  <c r="BL333" i="3"/>
  <c r="BD334" i="3"/>
  <c r="BI334" i="3"/>
  <c r="BN334" i="3"/>
  <c r="BF335" i="3"/>
  <c r="BK335" i="3"/>
  <c r="BP335" i="3"/>
  <c r="BH336" i="3"/>
  <c r="BM336" i="3"/>
  <c r="BD337" i="3"/>
  <c r="BJ337" i="3"/>
  <c r="BO337" i="3"/>
  <c r="BF338" i="3"/>
  <c r="BL338" i="3"/>
  <c r="BQ338" i="3"/>
  <c r="BH339" i="3"/>
  <c r="BN339" i="3"/>
  <c r="BE340" i="3"/>
  <c r="BJ340" i="3"/>
  <c r="BP340" i="3"/>
  <c r="BG341" i="3"/>
  <c r="BL341" i="3"/>
  <c r="BD342" i="3"/>
  <c r="BI342" i="3"/>
  <c r="BN342" i="3"/>
  <c r="BF343" i="3"/>
  <c r="BK343" i="3"/>
  <c r="BP343" i="3"/>
  <c r="BH344" i="3"/>
  <c r="BM344" i="3"/>
  <c r="BD345" i="3"/>
  <c r="BJ345" i="3"/>
  <c r="BO345" i="3"/>
  <c r="BF346" i="3"/>
  <c r="BL346" i="3"/>
  <c r="BQ346" i="3"/>
  <c r="BH347" i="3"/>
  <c r="BN347" i="3"/>
  <c r="BE348" i="3"/>
  <c r="BJ348" i="3"/>
  <c r="BP348" i="3"/>
  <c r="BG349" i="3"/>
  <c r="BL349" i="3"/>
  <c r="BD350" i="3"/>
  <c r="BI350" i="3"/>
  <c r="BN350" i="3"/>
  <c r="BF351" i="3"/>
  <c r="BK351" i="3"/>
  <c r="BP351" i="3"/>
  <c r="BH352" i="3"/>
  <c r="BM352" i="3"/>
  <c r="BD353" i="3"/>
  <c r="BJ353" i="3"/>
  <c r="BO353" i="3"/>
  <c r="BF354" i="3"/>
  <c r="BL354" i="3"/>
  <c r="BQ354" i="3"/>
  <c r="BH355" i="3"/>
  <c r="BN355" i="3"/>
  <c r="BE356" i="3"/>
  <c r="BJ356" i="3"/>
  <c r="BP356" i="3"/>
  <c r="BG357" i="3"/>
  <c r="BL357" i="3"/>
  <c r="BD358" i="3"/>
  <c r="BI358" i="3"/>
  <c r="BN358" i="3"/>
  <c r="BF359" i="3"/>
  <c r="BK359" i="3"/>
  <c r="BP359" i="3"/>
  <c r="BH360" i="3"/>
  <c r="BM360" i="3"/>
  <c r="BD361" i="3"/>
  <c r="BJ361" i="3"/>
  <c r="BO361" i="3"/>
  <c r="BF362" i="3"/>
  <c r="BL362" i="3"/>
  <c r="BQ362" i="3"/>
  <c r="BH363" i="3"/>
  <c r="BN363" i="3"/>
  <c r="BE364" i="3"/>
  <c r="BJ364" i="3"/>
  <c r="BP364" i="3"/>
  <c r="BG365" i="3"/>
  <c r="BL365" i="3"/>
  <c r="BD366" i="3"/>
  <c r="BI366" i="3"/>
  <c r="BN366" i="3"/>
  <c r="BF367" i="3"/>
  <c r="BK367" i="3"/>
  <c r="BP367" i="3"/>
  <c r="BH368" i="3"/>
  <c r="BM368" i="3"/>
  <c r="BD369" i="3"/>
  <c r="BJ369" i="3"/>
  <c r="BO369" i="3"/>
  <c r="BF370" i="3"/>
  <c r="BL370" i="3"/>
  <c r="BQ370" i="3"/>
  <c r="BH371" i="3"/>
  <c r="BN371" i="3"/>
  <c r="BE372" i="3"/>
  <c r="BJ372" i="3"/>
  <c r="BP372" i="3"/>
  <c r="BG373" i="3"/>
  <c r="BL373" i="3"/>
  <c r="BD374" i="3"/>
  <c r="BI374" i="3"/>
  <c r="BN374" i="3"/>
  <c r="BF375" i="3"/>
  <c r="BK375" i="3"/>
  <c r="BP375" i="3"/>
  <c r="BH376" i="3"/>
  <c r="BM376" i="3"/>
  <c r="BD377" i="3"/>
  <c r="BJ377" i="3"/>
  <c r="BO377" i="3"/>
  <c r="BF378" i="3"/>
  <c r="BL378" i="3"/>
  <c r="BQ378" i="3"/>
  <c r="BH379" i="3"/>
  <c r="BN379" i="3"/>
  <c r="BK289" i="3"/>
  <c r="BO291" i="3"/>
  <c r="BE294" i="3"/>
  <c r="BI296" i="3"/>
  <c r="BM298" i="3"/>
  <c r="BQ300" i="3"/>
  <c r="BG303" i="3"/>
  <c r="BK305" i="3"/>
  <c r="BO307" i="3"/>
  <c r="BE310" i="3"/>
  <c r="BI312" i="3"/>
  <c r="BM314" i="3"/>
  <c r="BG319" i="3"/>
  <c r="BK321" i="3"/>
  <c r="BO323" i="3"/>
  <c r="BE326" i="3"/>
  <c r="BL327" i="3"/>
  <c r="BF329" i="3"/>
  <c r="BM330" i="3"/>
  <c r="BF332" i="3"/>
  <c r="BN333" i="3"/>
  <c r="BG335" i="3"/>
  <c r="BN336" i="3"/>
  <c r="BH338" i="3"/>
  <c r="BO339" i="3"/>
  <c r="BH341" i="3"/>
  <c r="BP342" i="3"/>
  <c r="BI344" i="3"/>
  <c r="BP345" i="3"/>
  <c r="BJ347" i="3"/>
  <c r="BQ348" i="3"/>
  <c r="BJ350" i="3"/>
  <c r="BD352" i="3"/>
  <c r="BK353" i="3"/>
  <c r="BD355" i="3"/>
  <c r="BL356" i="3"/>
  <c r="BE358" i="3"/>
  <c r="BL359" i="3"/>
  <c r="BF361" i="3"/>
  <c r="BM362" i="3"/>
  <c r="BF364" i="3"/>
  <c r="BN365" i="3"/>
  <c r="BG367" i="3"/>
  <c r="BN368" i="3"/>
  <c r="BH370" i="3"/>
  <c r="BO371" i="3"/>
  <c r="BH373" i="3"/>
  <c r="BP374" i="3"/>
  <c r="BI376" i="3"/>
  <c r="BP377" i="3"/>
  <c r="BO287" i="3"/>
  <c r="BE290" i="3"/>
  <c r="BI292" i="3"/>
  <c r="BM294" i="3"/>
  <c r="BQ296" i="3"/>
  <c r="BG299" i="3"/>
  <c r="BK301" i="3"/>
  <c r="BO303" i="3"/>
  <c r="BE306" i="3"/>
  <c r="BI308" i="3"/>
  <c r="BM310" i="3"/>
  <c r="BQ312" i="3"/>
  <c r="BG315" i="3"/>
  <c r="BK317" i="3"/>
  <c r="BO319" i="3"/>
  <c r="BE322" i="3"/>
  <c r="BI324" i="3"/>
  <c r="BJ326" i="3"/>
  <c r="BD328" i="3"/>
  <c r="BK329" i="3"/>
  <c r="BD331" i="3"/>
  <c r="BL332" i="3"/>
  <c r="BE334" i="3"/>
  <c r="BL335" i="3"/>
  <c r="BF337" i="3"/>
  <c r="BM338" i="3"/>
  <c r="BF340" i="3"/>
  <c r="BN341" i="3"/>
  <c r="BG343" i="3"/>
  <c r="BN344" i="3"/>
  <c r="BH346" i="3"/>
  <c r="BO347" i="3"/>
  <c r="BH349" i="3"/>
  <c r="BP350" i="3"/>
  <c r="BI352" i="3"/>
  <c r="BP353" i="3"/>
  <c r="BJ355" i="3"/>
  <c r="BQ356" i="3"/>
  <c r="BJ358" i="3"/>
  <c r="BD360" i="3"/>
  <c r="BK361" i="3"/>
  <c r="BD363" i="3"/>
  <c r="BL364" i="3"/>
  <c r="BE366" i="3"/>
  <c r="BL367" i="3"/>
  <c r="BF369" i="3"/>
  <c r="BM370" i="3"/>
  <c r="BF372" i="3"/>
  <c r="BN373" i="3"/>
  <c r="BG375" i="3"/>
  <c r="BN376" i="3"/>
  <c r="BH378" i="3"/>
  <c r="BO379" i="3"/>
  <c r="BQ316" i="3"/>
  <c r="BJ379" i="3"/>
  <c r="BQ288" i="3"/>
  <c r="BG291" i="3"/>
  <c r="BK293" i="3"/>
  <c r="BO295" i="3"/>
  <c r="BE298" i="3"/>
  <c r="BI300" i="3"/>
  <c r="BM302" i="3"/>
  <c r="BQ304" i="3"/>
  <c r="BG307" i="3"/>
  <c r="BK309" i="3"/>
  <c r="BO311" i="3"/>
  <c r="BE314" i="3"/>
  <c r="BI316" i="3"/>
  <c r="BM318" i="3"/>
  <c r="BQ320" i="3"/>
  <c r="BG323" i="3"/>
  <c r="BK325" i="3"/>
  <c r="BG327" i="3"/>
  <c r="BN328" i="3"/>
  <c r="BH330" i="3"/>
  <c r="BO331" i="3"/>
  <c r="BH333" i="3"/>
  <c r="BP334" i="3"/>
  <c r="BI336" i="3"/>
  <c r="BP337" i="3"/>
  <c r="BJ339" i="3"/>
  <c r="BQ340" i="3"/>
  <c r="BJ342" i="3"/>
  <c r="BD344" i="3"/>
  <c r="BK345" i="3"/>
  <c r="BD347" i="3"/>
  <c r="BL348" i="3"/>
  <c r="BE350" i="3"/>
  <c r="BL351" i="3"/>
  <c r="BF353" i="3"/>
  <c r="BM354" i="3"/>
  <c r="BF356" i="3"/>
  <c r="BN357" i="3"/>
  <c r="BG359" i="3"/>
  <c r="BN360" i="3"/>
  <c r="BH362" i="3"/>
  <c r="BO363" i="3"/>
  <c r="BH365" i="3"/>
  <c r="BP366" i="3"/>
  <c r="BI368" i="3"/>
  <c r="BP369" i="3"/>
  <c r="BJ371" i="3"/>
  <c r="BQ372" i="3"/>
  <c r="BJ374" i="3"/>
  <c r="BD376" i="3"/>
  <c r="BK377" i="3"/>
  <c r="BD379" i="3"/>
  <c r="BI288" i="3"/>
  <c r="BM290" i="3"/>
  <c r="BQ292" i="3"/>
  <c r="BG295" i="3"/>
  <c r="BK297" i="3"/>
  <c r="BO299" i="3"/>
  <c r="BE302" i="3"/>
  <c r="BI304" i="3"/>
  <c r="BM306" i="3"/>
  <c r="BQ308" i="3"/>
  <c r="BG311" i="3"/>
  <c r="BK313" i="3"/>
  <c r="BO315" i="3"/>
  <c r="BE318" i="3"/>
  <c r="BI320" i="3"/>
  <c r="BM322" i="3"/>
  <c r="BQ324" i="3"/>
  <c r="BP326" i="3"/>
  <c r="BI328" i="3"/>
  <c r="BP329" i="3"/>
  <c r="BJ331" i="3"/>
  <c r="BQ332" i="3"/>
  <c r="BJ334" i="3"/>
  <c r="BD336" i="3"/>
  <c r="BK337" i="3"/>
  <c r="BD339" i="3"/>
  <c r="BL340" i="3"/>
  <c r="BE342" i="3"/>
  <c r="BL343" i="3"/>
  <c r="BF345" i="3"/>
  <c r="BM346" i="3"/>
  <c r="BF348" i="3"/>
  <c r="BN349" i="3"/>
  <c r="BG351" i="3"/>
  <c r="BN352" i="3"/>
  <c r="BH354" i="3"/>
  <c r="BO355" i="3"/>
  <c r="BH357" i="3"/>
  <c r="BP358" i="3"/>
  <c r="BI360" i="3"/>
  <c r="BP361" i="3"/>
  <c r="BJ363" i="3"/>
  <c r="BQ364" i="3"/>
  <c r="BJ366" i="3"/>
  <c r="BD368" i="3"/>
  <c r="BK369" i="3"/>
  <c r="BD371" i="3"/>
  <c r="BL372" i="3"/>
  <c r="BE374" i="3"/>
  <c r="BL375" i="3"/>
  <c r="BF377" i="3"/>
  <c r="BM378" i="3"/>
  <c r="BD92" i="3"/>
  <c r="BP90" i="3"/>
  <c r="BN89" i="3"/>
  <c r="BL88" i="3"/>
  <c r="BJ87" i="3"/>
  <c r="BH86" i="3"/>
  <c r="BF85" i="3"/>
  <c r="BD84" i="3"/>
  <c r="BP82" i="3"/>
  <c r="BN81" i="3"/>
  <c r="BL80" i="3"/>
  <c r="BJ79" i="3"/>
  <c r="BH78" i="3"/>
  <c r="BF77" i="3"/>
  <c r="BD76" i="3"/>
  <c r="BP74" i="3"/>
  <c r="BN73" i="3"/>
  <c r="BL72" i="3"/>
  <c r="BJ71" i="3"/>
  <c r="BH70" i="3"/>
  <c r="BF69" i="3"/>
  <c r="BD68" i="3"/>
  <c r="BP66" i="3"/>
  <c r="BN65" i="3"/>
  <c r="BL64" i="3"/>
  <c r="BJ63" i="3"/>
  <c r="BH62" i="3"/>
  <c r="BF61" i="3"/>
  <c r="BD60" i="3"/>
  <c r="BP58" i="3"/>
  <c r="BN57" i="3"/>
  <c r="BL56" i="3"/>
  <c r="BJ55" i="3"/>
  <c r="BH54" i="3"/>
  <c r="BF53" i="3"/>
  <c r="BD52" i="3"/>
  <c r="BP50" i="3"/>
  <c r="BN49" i="3"/>
  <c r="BL48" i="3"/>
  <c r="BJ47" i="3"/>
  <c r="BH46" i="3"/>
  <c r="BF45" i="3"/>
  <c r="BD44" i="3"/>
  <c r="BP42" i="3"/>
  <c r="BN41" i="3"/>
  <c r="BL40" i="3"/>
  <c r="BJ39" i="3"/>
  <c r="BH38" i="3"/>
  <c r="BF37" i="3"/>
  <c r="BD36" i="3"/>
  <c r="BP34" i="3"/>
  <c r="BN33" i="3"/>
  <c r="BL32" i="3"/>
  <c r="BJ31" i="3"/>
  <c r="BH30" i="3"/>
  <c r="BF29" i="3"/>
  <c r="BD28" i="3"/>
  <c r="BP26" i="3"/>
  <c r="BN25" i="3"/>
  <c r="BL24" i="3"/>
  <c r="BJ23" i="3"/>
  <c r="BH22" i="3"/>
  <c r="BF21" i="3"/>
  <c r="BD20" i="3"/>
  <c r="BE90" i="3"/>
  <c r="BQ88" i="3"/>
  <c r="BO87" i="3"/>
  <c r="BM86" i="3"/>
  <c r="BK85" i="3"/>
  <c r="BI84" i="3"/>
  <c r="BG83" i="3"/>
  <c r="BE82" i="3"/>
  <c r="BQ80" i="3"/>
  <c r="BO79" i="3"/>
  <c r="BM78" i="3"/>
  <c r="BK77" i="3"/>
  <c r="BI76" i="3"/>
  <c r="BG75" i="3"/>
  <c r="BE74" i="3"/>
  <c r="BQ72" i="3"/>
  <c r="BO71" i="3"/>
  <c r="BM70" i="3"/>
  <c r="BK69" i="3"/>
  <c r="BI68" i="3"/>
  <c r="BG67" i="3"/>
  <c r="BE66" i="3"/>
  <c r="BQ64" i="3"/>
  <c r="BO63" i="3"/>
  <c r="BM62" i="3"/>
  <c r="BK61" i="3"/>
  <c r="BI60" i="3"/>
  <c r="BG59" i="3"/>
  <c r="BE58" i="3"/>
  <c r="BQ56" i="3"/>
  <c r="BO55" i="3"/>
  <c r="BM54" i="3"/>
  <c r="BK53" i="3"/>
  <c r="BI52" i="3"/>
  <c r="BG51" i="3"/>
  <c r="BE50" i="3"/>
  <c r="BQ48" i="3"/>
  <c r="BO47" i="3"/>
  <c r="BM46" i="3"/>
  <c r="BK45" i="3"/>
  <c r="BI44" i="3"/>
  <c r="BG43" i="3"/>
  <c r="BE42" i="3"/>
  <c r="BQ40" i="3"/>
  <c r="BO39" i="3"/>
  <c r="BM38" i="3"/>
  <c r="BK37" i="3"/>
  <c r="BI36" i="3"/>
  <c r="BG35" i="3"/>
  <c r="BE34" i="3"/>
  <c r="BQ32" i="3"/>
  <c r="BO31" i="3"/>
  <c r="BM30" i="3"/>
  <c r="BK29" i="3"/>
  <c r="BI28" i="3"/>
  <c r="BG27" i="3"/>
  <c r="BE26" i="3"/>
  <c r="BQ24" i="3"/>
  <c r="BO23" i="3"/>
  <c r="BM22" i="3"/>
  <c r="BK21" i="3"/>
  <c r="BI20" i="3"/>
  <c r="BJ90" i="3"/>
  <c r="BH89" i="3"/>
  <c r="BF88" i="3"/>
  <c r="BD87" i="3"/>
  <c r="BP85" i="3"/>
  <c r="BN84" i="3"/>
  <c r="BL83" i="3"/>
  <c r="BJ82" i="3"/>
  <c r="BH81" i="3"/>
  <c r="BF80" i="3"/>
  <c r="BD79" i="3"/>
  <c r="BP77" i="3"/>
  <c r="BN76" i="3"/>
  <c r="BL75" i="3"/>
  <c r="BJ74" i="3"/>
  <c r="BH73" i="3"/>
  <c r="BF72" i="3"/>
  <c r="BD71" i="3"/>
  <c r="BP69" i="3"/>
  <c r="BN68" i="3"/>
  <c r="BL67" i="3"/>
  <c r="BJ66" i="3"/>
  <c r="BH65" i="3"/>
  <c r="BF64" i="3"/>
  <c r="BD63" i="3"/>
  <c r="BP61" i="3"/>
  <c r="BN60" i="3"/>
  <c r="BL59" i="3"/>
  <c r="BJ58" i="3"/>
  <c r="BH57" i="3"/>
  <c r="BF56" i="3"/>
  <c r="BD55" i="3"/>
  <c r="BP53" i="3"/>
  <c r="BN52" i="3"/>
  <c r="BL51" i="3"/>
  <c r="BJ50" i="3"/>
  <c r="BH49" i="3"/>
  <c r="BF48" i="3"/>
  <c r="BD47" i="3"/>
  <c r="BP45" i="3"/>
  <c r="BN44" i="3"/>
  <c r="BL43" i="3"/>
  <c r="BJ42" i="3"/>
  <c r="BH41" i="3"/>
  <c r="BF40" i="3"/>
  <c r="BD39" i="3"/>
  <c r="BP37" i="3"/>
  <c r="BN36" i="3"/>
  <c r="BL35" i="3"/>
  <c r="BJ34" i="3"/>
  <c r="BH33" i="3"/>
  <c r="BF32" i="3"/>
  <c r="BD31" i="3"/>
  <c r="BP29" i="3"/>
  <c r="BN28" i="3"/>
  <c r="BL27" i="3"/>
  <c r="BJ26" i="3"/>
  <c r="BH25" i="3"/>
  <c r="BF24" i="3"/>
  <c r="BD23" i="3"/>
  <c r="BP21" i="3"/>
  <c r="BN20" i="3"/>
  <c r="BF91" i="3"/>
  <c r="BD90" i="3"/>
  <c r="BP88" i="3"/>
  <c r="BN87" i="3"/>
  <c r="BL86" i="3"/>
  <c r="BJ85" i="3"/>
  <c r="BF83" i="3"/>
  <c r="BD82" i="3"/>
  <c r="BN79" i="3"/>
  <c r="BJ77" i="3"/>
  <c r="BD74" i="3"/>
  <c r="BN71" i="3"/>
  <c r="BJ69" i="3"/>
  <c r="BF67" i="3"/>
  <c r="BP64" i="3"/>
  <c r="BL62" i="3"/>
  <c r="BH60" i="3"/>
  <c r="BD58" i="3"/>
  <c r="BN55" i="3"/>
  <c r="BJ53" i="3"/>
  <c r="BF51" i="3"/>
  <c r="BP48" i="3"/>
  <c r="BL46" i="3"/>
  <c r="BH44" i="3"/>
  <c r="BD42" i="3"/>
  <c r="BN39" i="3"/>
  <c r="BJ37" i="3"/>
  <c r="BF35" i="3"/>
  <c r="BP32" i="3"/>
  <c r="BL30" i="3"/>
  <c r="BH28" i="3"/>
  <c r="BD26" i="3"/>
  <c r="BN23" i="3"/>
  <c r="BJ21" i="3"/>
  <c r="BI90" i="3"/>
  <c r="BE88" i="3"/>
  <c r="BO85" i="3"/>
  <c r="BK83" i="3"/>
  <c r="BG81" i="3"/>
  <c r="BQ78" i="3"/>
  <c r="BM76" i="3"/>
  <c r="BI74" i="3"/>
  <c r="BE72" i="3"/>
  <c r="BO69" i="3"/>
  <c r="BK67" i="3"/>
  <c r="BG65" i="3"/>
  <c r="BQ62" i="3"/>
  <c r="BM60" i="3"/>
  <c r="BI58" i="3"/>
  <c r="BE56" i="3"/>
  <c r="BO53" i="3"/>
  <c r="BK51" i="3"/>
  <c r="BG49" i="3"/>
  <c r="BQ46" i="3"/>
  <c r="BM44" i="3"/>
  <c r="BI42" i="3"/>
  <c r="BE40" i="3"/>
  <c r="BO37" i="3"/>
  <c r="BK35" i="3"/>
  <c r="BG33" i="3"/>
  <c r="BO29" i="3"/>
  <c r="BK27" i="3"/>
  <c r="BG25" i="3"/>
  <c r="BQ22" i="3"/>
  <c r="BM20" i="3"/>
  <c r="BL89" i="3"/>
  <c r="BH87" i="3"/>
  <c r="BP83" i="3"/>
  <c r="BL81" i="3"/>
  <c r="BH79" i="3"/>
  <c r="BD77" i="3"/>
  <c r="BN74" i="3"/>
  <c r="BJ72" i="3"/>
  <c r="BF70" i="3"/>
  <c r="BP67" i="3"/>
  <c r="BL65" i="3"/>
  <c r="BH63" i="3"/>
  <c r="BD61" i="3"/>
  <c r="BN58" i="3"/>
  <c r="BJ56" i="3"/>
  <c r="BF54" i="3"/>
  <c r="BN50" i="3"/>
  <c r="BJ48" i="3"/>
  <c r="BF46" i="3"/>
  <c r="BP43" i="3"/>
  <c r="BL41" i="3"/>
  <c r="BH39" i="3"/>
  <c r="BP35" i="3"/>
  <c r="BL33" i="3"/>
  <c r="BH31" i="3"/>
  <c r="BP27" i="3"/>
  <c r="BL25" i="3"/>
  <c r="BH23" i="3"/>
  <c r="BD21" i="3"/>
  <c r="BJ91" i="3"/>
  <c r="BH90" i="3"/>
  <c r="BF89" i="3"/>
  <c r="BD88" i="3"/>
  <c r="BP86" i="3"/>
  <c r="BN85" i="3"/>
  <c r="BL84" i="3"/>
  <c r="BJ83" i="3"/>
  <c r="BF81" i="3"/>
  <c r="BD80" i="3"/>
  <c r="BN77" i="3"/>
  <c r="BL76" i="3"/>
  <c r="BH74" i="3"/>
  <c r="BD72" i="3"/>
  <c r="BL68" i="3"/>
  <c r="BH66" i="3"/>
  <c r="BD64" i="3"/>
  <c r="BN61" i="3"/>
  <c r="BJ59" i="3"/>
  <c r="BF57" i="3"/>
  <c r="BP54" i="3"/>
  <c r="BL52" i="3"/>
  <c r="BH50" i="3"/>
  <c r="BD48" i="3"/>
  <c r="BN45" i="3"/>
  <c r="BJ43" i="3"/>
  <c r="BF41" i="3"/>
  <c r="BP38" i="3"/>
  <c r="BL36" i="3"/>
  <c r="BF33" i="3"/>
  <c r="BP30" i="3"/>
  <c r="BL28" i="3"/>
  <c r="BH26" i="3"/>
  <c r="BD24" i="3"/>
  <c r="BN21" i="3"/>
  <c r="BM90" i="3"/>
  <c r="BI88" i="3"/>
  <c r="BE86" i="3"/>
  <c r="BO83" i="3"/>
  <c r="BK81" i="3"/>
  <c r="BG79" i="3"/>
  <c r="BQ76" i="3"/>
  <c r="BM74" i="3"/>
  <c r="BI72" i="3"/>
  <c r="BE70" i="3"/>
  <c r="BO67" i="3"/>
  <c r="BK65" i="3"/>
  <c r="BG63" i="3"/>
  <c r="BQ60" i="3"/>
  <c r="BM58" i="3"/>
  <c r="BI56" i="3"/>
  <c r="BE54" i="3"/>
  <c r="BM50" i="3"/>
  <c r="BI48" i="3"/>
  <c r="BE46" i="3"/>
  <c r="BO43" i="3"/>
  <c r="BK41" i="3"/>
  <c r="BG39" i="3"/>
  <c r="BQ36" i="3"/>
  <c r="BM34" i="3"/>
  <c r="BI32" i="3"/>
  <c r="BE30" i="3"/>
  <c r="BO27" i="3"/>
  <c r="BK25" i="3"/>
  <c r="BG23" i="3"/>
  <c r="BQ20" i="3"/>
  <c r="BP89" i="3"/>
  <c r="BL87" i="3"/>
  <c r="BF84" i="3"/>
  <c r="BP81" i="3"/>
  <c r="BL79" i="3"/>
  <c r="BH77" i="3"/>
  <c r="BD75" i="3"/>
  <c r="BN72" i="3"/>
  <c r="BJ70" i="3"/>
  <c r="BF68" i="3"/>
  <c r="BP65" i="3"/>
  <c r="BL63" i="3"/>
  <c r="BH61" i="3"/>
  <c r="BP57" i="3"/>
  <c r="BL55" i="3"/>
  <c r="BH53" i="3"/>
  <c r="BD51" i="3"/>
  <c r="BN48" i="3"/>
  <c r="BJ46" i="3"/>
  <c r="BF44" i="3"/>
  <c r="BP41" i="3"/>
  <c r="BL39" i="3"/>
  <c r="BH37" i="3"/>
  <c r="BP33" i="3"/>
  <c r="BL31" i="3"/>
  <c r="BH29" i="3"/>
  <c r="BD27" i="3"/>
  <c r="BN24" i="3"/>
  <c r="BJ22" i="3"/>
  <c r="BP92" i="3"/>
  <c r="BN91" i="3"/>
  <c r="BL90" i="3"/>
  <c r="BJ89" i="3"/>
  <c r="BH88" i="3"/>
  <c r="BF87" i="3"/>
  <c r="BD86" i="3"/>
  <c r="BP84" i="3"/>
  <c r="BN83" i="3"/>
  <c r="BL82" i="3"/>
  <c r="BJ81" i="3"/>
  <c r="BH80" i="3"/>
  <c r="BF79" i="3"/>
  <c r="BD78" i="3"/>
  <c r="BP76" i="3"/>
  <c r="BN75" i="3"/>
  <c r="BL74" i="3"/>
  <c r="BJ73" i="3"/>
  <c r="BH72" i="3"/>
  <c r="BF71" i="3"/>
  <c r="BD70" i="3"/>
  <c r="BP68" i="3"/>
  <c r="BN67" i="3"/>
  <c r="BL66" i="3"/>
  <c r="BJ65" i="3"/>
  <c r="BH64" i="3"/>
  <c r="BF63" i="3"/>
  <c r="BD62" i="3"/>
  <c r="BP60" i="3"/>
  <c r="BN59" i="3"/>
  <c r="BL58" i="3"/>
  <c r="BJ57" i="3"/>
  <c r="BH56" i="3"/>
  <c r="BF55" i="3"/>
  <c r="BD54" i="3"/>
  <c r="BP52" i="3"/>
  <c r="BN51" i="3"/>
  <c r="BL50" i="3"/>
  <c r="BJ49" i="3"/>
  <c r="BH48" i="3"/>
  <c r="BF47" i="3"/>
  <c r="BD46" i="3"/>
  <c r="BP44" i="3"/>
  <c r="BN43" i="3"/>
  <c r="BL42" i="3"/>
  <c r="BJ41" i="3"/>
  <c r="BH40" i="3"/>
  <c r="BF39" i="3"/>
  <c r="BD38" i="3"/>
  <c r="BP36" i="3"/>
  <c r="BN35" i="3"/>
  <c r="BL34" i="3"/>
  <c r="BJ33" i="3"/>
  <c r="BH32" i="3"/>
  <c r="BF31" i="3"/>
  <c r="BD30" i="3"/>
  <c r="BP28" i="3"/>
  <c r="BN27" i="3"/>
  <c r="BL26" i="3"/>
  <c r="BJ25" i="3"/>
  <c r="BH24" i="3"/>
  <c r="BF23" i="3"/>
  <c r="BD22" i="3"/>
  <c r="BP20" i="3"/>
  <c r="BQ90" i="3"/>
  <c r="BO89" i="3"/>
  <c r="BM88" i="3"/>
  <c r="BK87" i="3"/>
  <c r="BI86" i="3"/>
  <c r="BG85" i="3"/>
  <c r="BE84" i="3"/>
  <c r="BQ82" i="3"/>
  <c r="BO81" i="3"/>
  <c r="BM80" i="3"/>
  <c r="BK79" i="3"/>
  <c r="BI78" i="3"/>
  <c r="BG77" i="3"/>
  <c r="BE76" i="3"/>
  <c r="BQ74" i="3"/>
  <c r="BO73" i="3"/>
  <c r="BM72" i="3"/>
  <c r="BK71" i="3"/>
  <c r="BI70" i="3"/>
  <c r="BG69" i="3"/>
  <c r="BE68" i="3"/>
  <c r="BQ66" i="3"/>
  <c r="BO65" i="3"/>
  <c r="BM64" i="3"/>
  <c r="BK63" i="3"/>
  <c r="BI62" i="3"/>
  <c r="BG61" i="3"/>
  <c r="BE60" i="3"/>
  <c r="BQ58" i="3"/>
  <c r="BO57" i="3"/>
  <c r="BM56" i="3"/>
  <c r="BK55" i="3"/>
  <c r="BI54" i="3"/>
  <c r="BG53" i="3"/>
  <c r="BE52" i="3"/>
  <c r="BQ50" i="3"/>
  <c r="BO49" i="3"/>
  <c r="BM48" i="3"/>
  <c r="BK47" i="3"/>
  <c r="BI46" i="3"/>
  <c r="BG45" i="3"/>
  <c r="BE44" i="3"/>
  <c r="BQ42" i="3"/>
  <c r="BO41" i="3"/>
  <c r="BM40" i="3"/>
  <c r="BK39" i="3"/>
  <c r="BI38" i="3"/>
  <c r="BG37" i="3"/>
  <c r="BE36" i="3"/>
  <c r="BQ34" i="3"/>
  <c r="BO33" i="3"/>
  <c r="BM32" i="3"/>
  <c r="BK31" i="3"/>
  <c r="BI30" i="3"/>
  <c r="BG29" i="3"/>
  <c r="BE28" i="3"/>
  <c r="BQ26" i="3"/>
  <c r="BO25" i="3"/>
  <c r="BM24" i="3"/>
  <c r="BK23" i="3"/>
  <c r="BI22" i="3"/>
  <c r="BG21" i="3"/>
  <c r="BE20" i="3"/>
  <c r="BF90" i="3"/>
  <c r="BD89" i="3"/>
  <c r="BP87" i="3"/>
  <c r="BN86" i="3"/>
  <c r="BL85" i="3"/>
  <c r="BJ84" i="3"/>
  <c r="BH83" i="3"/>
  <c r="BF82" i="3"/>
  <c r="BD81" i="3"/>
  <c r="BP79" i="3"/>
  <c r="BN78" i="3"/>
  <c r="BL77" i="3"/>
  <c r="BJ76" i="3"/>
  <c r="BH75" i="3"/>
  <c r="BF74" i="3"/>
  <c r="BD73" i="3"/>
  <c r="BP71" i="3"/>
  <c r="BN70" i="3"/>
  <c r="BL69" i="3"/>
  <c r="BJ68" i="3"/>
  <c r="BH67" i="3"/>
  <c r="BF66" i="3"/>
  <c r="BD65" i="3"/>
  <c r="BP63" i="3"/>
  <c r="BN62" i="3"/>
  <c r="BL61" i="3"/>
  <c r="BJ60" i="3"/>
  <c r="BH59" i="3"/>
  <c r="BF58" i="3"/>
  <c r="BD57" i="3"/>
  <c r="BP55" i="3"/>
  <c r="BN54" i="3"/>
  <c r="BL53" i="3"/>
  <c r="BJ52" i="3"/>
  <c r="BH51" i="3"/>
  <c r="BF50" i="3"/>
  <c r="BD49" i="3"/>
  <c r="BP47" i="3"/>
  <c r="BN46" i="3"/>
  <c r="BL45" i="3"/>
  <c r="BJ44" i="3"/>
  <c r="BH43" i="3"/>
  <c r="BF42" i="3"/>
  <c r="BD41" i="3"/>
  <c r="BP39" i="3"/>
  <c r="BN38" i="3"/>
  <c r="BL37" i="3"/>
  <c r="BJ36" i="3"/>
  <c r="BH35" i="3"/>
  <c r="BF34" i="3"/>
  <c r="BD33" i="3"/>
  <c r="BP31" i="3"/>
  <c r="BN30" i="3"/>
  <c r="BL29" i="3"/>
  <c r="BJ28" i="3"/>
  <c r="BH27" i="3"/>
  <c r="BF26" i="3"/>
  <c r="BD25" i="3"/>
  <c r="BP23" i="3"/>
  <c r="BN22" i="3"/>
  <c r="BL21" i="3"/>
  <c r="BJ20" i="3"/>
  <c r="BH92" i="3"/>
  <c r="BH84" i="3"/>
  <c r="BP80" i="3"/>
  <c r="BL78" i="3"/>
  <c r="BH76" i="3"/>
  <c r="BF75" i="3"/>
  <c r="BP72" i="3"/>
  <c r="BL70" i="3"/>
  <c r="BH68" i="3"/>
  <c r="BD66" i="3"/>
  <c r="BN63" i="3"/>
  <c r="BJ61" i="3"/>
  <c r="BF59" i="3"/>
  <c r="BP56" i="3"/>
  <c r="BL54" i="3"/>
  <c r="BH52" i="3"/>
  <c r="BD50" i="3"/>
  <c r="BN47" i="3"/>
  <c r="BJ45" i="3"/>
  <c r="BF43" i="3"/>
  <c r="BP40" i="3"/>
  <c r="BL38" i="3"/>
  <c r="BH36" i="3"/>
  <c r="BD34" i="3"/>
  <c r="BN31" i="3"/>
  <c r="BJ29" i="3"/>
  <c r="BF27" i="3"/>
  <c r="BP24" i="3"/>
  <c r="BL22" i="3"/>
  <c r="BH20" i="3"/>
  <c r="BG89" i="3"/>
  <c r="BQ86" i="3"/>
  <c r="BM84" i="3"/>
  <c r="BI82" i="3"/>
  <c r="BE80" i="3"/>
  <c r="BO77" i="3"/>
  <c r="BK75" i="3"/>
  <c r="BG73" i="3"/>
  <c r="BQ70" i="3"/>
  <c r="BM68" i="3"/>
  <c r="BI66" i="3"/>
  <c r="BE64" i="3"/>
  <c r="BO61" i="3"/>
  <c r="BK59" i="3"/>
  <c r="BG57" i="3"/>
  <c r="BQ54" i="3"/>
  <c r="BM52" i="3"/>
  <c r="BI50" i="3"/>
  <c r="BE48" i="3"/>
  <c r="BO45" i="3"/>
  <c r="BK43" i="3"/>
  <c r="BG41" i="3"/>
  <c r="BQ38" i="3"/>
  <c r="BM36" i="3"/>
  <c r="BI34" i="3"/>
  <c r="BE32" i="3"/>
  <c r="BQ30" i="3"/>
  <c r="BM28" i="3"/>
  <c r="BI26" i="3"/>
  <c r="BE24" i="3"/>
  <c r="BO21" i="3"/>
  <c r="BN90" i="3"/>
  <c r="BJ88" i="3"/>
  <c r="BF86" i="3"/>
  <c r="BD85" i="3"/>
  <c r="BN82" i="3"/>
  <c r="BJ80" i="3"/>
  <c r="BF78" i="3"/>
  <c r="BP75" i="3"/>
  <c r="BL73" i="3"/>
  <c r="BH71" i="3"/>
  <c r="BD69" i="3"/>
  <c r="BN66" i="3"/>
  <c r="BJ64" i="3"/>
  <c r="BF62" i="3"/>
  <c r="BP59" i="3"/>
  <c r="BL57" i="3"/>
  <c r="BH55" i="3"/>
  <c r="BD53" i="3"/>
  <c r="BP51" i="3"/>
  <c r="BL49" i="3"/>
  <c r="BH47" i="3"/>
  <c r="BD45" i="3"/>
  <c r="BN42" i="3"/>
  <c r="BJ40" i="3"/>
  <c r="BF38" i="3"/>
  <c r="BD37" i="3"/>
  <c r="BN34" i="3"/>
  <c r="BJ32" i="3"/>
  <c r="BF30" i="3"/>
  <c r="BD29" i="3"/>
  <c r="BN26" i="3"/>
  <c r="BJ24" i="3"/>
  <c r="BF22" i="3"/>
  <c r="BL92" i="3"/>
  <c r="BH82" i="3"/>
  <c r="BP78" i="3"/>
  <c r="BJ75" i="3"/>
  <c r="BF73" i="3"/>
  <c r="BP70" i="3"/>
  <c r="BN69" i="3"/>
  <c r="BJ67" i="3"/>
  <c r="BF65" i="3"/>
  <c r="BP62" i="3"/>
  <c r="BL60" i="3"/>
  <c r="BH58" i="3"/>
  <c r="BD56" i="3"/>
  <c r="BN53" i="3"/>
  <c r="BJ51" i="3"/>
  <c r="BF49" i="3"/>
  <c r="BP46" i="3"/>
  <c r="BL44" i="3"/>
  <c r="BH42" i="3"/>
  <c r="BD40" i="3"/>
  <c r="BN37" i="3"/>
  <c r="BJ35" i="3"/>
  <c r="BH34" i="3"/>
  <c r="BD32" i="3"/>
  <c r="BN29" i="3"/>
  <c r="BJ27" i="3"/>
  <c r="BF25" i="3"/>
  <c r="BP22" i="3"/>
  <c r="BL20" i="3"/>
  <c r="BK89" i="3"/>
  <c r="BG87" i="3"/>
  <c r="BQ84" i="3"/>
  <c r="BM82" i="3"/>
  <c r="BI80" i="3"/>
  <c r="BE78" i="3"/>
  <c r="BO75" i="3"/>
  <c r="BK73" i="3"/>
  <c r="BG71" i="3"/>
  <c r="BQ68" i="3"/>
  <c r="BM66" i="3"/>
  <c r="BI64" i="3"/>
  <c r="BE62" i="3"/>
  <c r="BO59" i="3"/>
  <c r="BK57" i="3"/>
  <c r="BG55" i="3"/>
  <c r="BQ52" i="3"/>
  <c r="BO51" i="3"/>
  <c r="BK49" i="3"/>
  <c r="BG47" i="3"/>
  <c r="BQ44" i="3"/>
  <c r="BM42" i="3"/>
  <c r="BI40" i="3"/>
  <c r="BE38" i="3"/>
  <c r="BO35" i="3"/>
  <c r="BK33" i="3"/>
  <c r="BG31" i="3"/>
  <c r="BQ28" i="3"/>
  <c r="BM26" i="3"/>
  <c r="BI24" i="3"/>
  <c r="BE22" i="3"/>
  <c r="BD91" i="3"/>
  <c r="BN88" i="3"/>
  <c r="BJ86" i="3"/>
  <c r="BH85" i="3"/>
  <c r="BD83" i="3"/>
  <c r="BN80" i="3"/>
  <c r="BJ78" i="3"/>
  <c r="BF76" i="3"/>
  <c r="BP73" i="3"/>
  <c r="BL71" i="3"/>
  <c r="BH69" i="3"/>
  <c r="BD67" i="3"/>
  <c r="BN64" i="3"/>
  <c r="BJ62" i="3"/>
  <c r="BF60" i="3"/>
  <c r="BD59" i="3"/>
  <c r="BN56" i="3"/>
  <c r="BJ54" i="3"/>
  <c r="BF52" i="3"/>
  <c r="BP49" i="3"/>
  <c r="BL47" i="3"/>
  <c r="BH45" i="3"/>
  <c r="BD43" i="3"/>
  <c r="BN40" i="3"/>
  <c r="BJ38" i="3"/>
  <c r="BF36" i="3"/>
  <c r="BD35" i="3"/>
  <c r="BN32" i="3"/>
  <c r="BJ30" i="3"/>
  <c r="BF28" i="3"/>
  <c r="BP25" i="3"/>
  <c r="BL23" i="3"/>
  <c r="BH21" i="3"/>
  <c r="AE6" i="3"/>
  <c r="AR6" i="3" s="1"/>
  <c r="J10" i="2" s="1"/>
  <c r="K10" i="2"/>
  <c r="Q10" i="2"/>
  <c r="AG6" i="3"/>
  <c r="AT6" i="3" s="1"/>
  <c r="P10" i="2" s="1"/>
  <c r="AC6" i="3"/>
  <c r="AP6" i="3" s="1"/>
  <c r="D10" i="2" s="1"/>
  <c r="E10" i="2"/>
  <c r="AF6" i="3"/>
  <c r="AS6" i="3" s="1"/>
  <c r="M10" i="2" s="1"/>
  <c r="N10" i="2"/>
  <c r="AX67" i="3"/>
  <c r="AX131" i="3"/>
  <c r="AX195" i="3"/>
  <c r="AX259" i="3"/>
  <c r="AX27" i="3"/>
  <c r="AX91" i="3"/>
  <c r="AX155" i="3"/>
  <c r="AX219" i="3"/>
  <c r="AX283" i="3"/>
  <c r="AX51" i="3"/>
  <c r="AX115" i="3"/>
  <c r="AX179" i="3"/>
  <c r="AX243" i="3"/>
  <c r="AX337" i="3"/>
  <c r="AX75" i="3"/>
  <c r="AX139" i="3"/>
  <c r="AX203" i="3"/>
  <c r="AX267" i="3"/>
  <c r="AX83" i="3"/>
  <c r="AX211" i="3"/>
  <c r="AX43" i="3"/>
  <c r="AX171" i="3"/>
  <c r="AX316" i="3"/>
  <c r="AX66" i="3"/>
  <c r="AX130" i="3"/>
  <c r="AX194" i="3"/>
  <c r="AX258" i="3"/>
  <c r="AX377" i="3"/>
  <c r="AX74" i="3"/>
  <c r="AX138" i="3"/>
  <c r="AX202" i="3"/>
  <c r="AX266" i="3"/>
  <c r="AX23" i="3"/>
  <c r="AX47" i="3"/>
  <c r="AX79" i="3"/>
  <c r="AX111" i="3"/>
  <c r="AX143" i="3"/>
  <c r="AX175" i="3"/>
  <c r="AX207" i="3"/>
  <c r="AX239" i="3"/>
  <c r="AX271" i="3"/>
  <c r="AX325" i="3"/>
  <c r="AX30" i="3"/>
  <c r="AX62" i="3"/>
  <c r="AX94" i="3"/>
  <c r="AX126" i="3"/>
  <c r="AX158" i="3"/>
  <c r="AX190" i="3"/>
  <c r="AX222" i="3"/>
  <c r="AX254" i="3"/>
  <c r="AX286" i="3"/>
  <c r="AX365" i="3"/>
  <c r="AX33" i="3"/>
  <c r="AX49" i="3"/>
  <c r="AX65" i="3"/>
  <c r="AX81" i="3"/>
  <c r="AX97" i="3"/>
  <c r="AX113" i="3"/>
  <c r="AX129" i="3"/>
  <c r="AX145" i="3"/>
  <c r="AX161" i="3"/>
  <c r="AX177" i="3"/>
  <c r="AX193" i="3"/>
  <c r="AX209" i="3"/>
  <c r="AX225" i="3"/>
  <c r="AX241" i="3"/>
  <c r="AX257" i="3"/>
  <c r="AX273" i="3"/>
  <c r="AX289" i="3"/>
  <c r="AX332" i="3"/>
  <c r="AX373" i="3"/>
  <c r="AX36" i="3"/>
  <c r="AX52" i="3"/>
  <c r="AX68" i="3"/>
  <c r="AX84" i="3"/>
  <c r="AX100" i="3"/>
  <c r="AX116" i="3"/>
  <c r="AX132" i="3"/>
  <c r="AX148" i="3"/>
  <c r="AX164" i="3"/>
  <c r="AX180" i="3"/>
  <c r="AX196" i="3"/>
  <c r="AX212" i="3"/>
  <c r="AX228" i="3"/>
  <c r="AX244" i="3"/>
  <c r="AX260" i="3"/>
  <c r="AX276" i="3"/>
  <c r="AX297" i="3"/>
  <c r="AX340" i="3"/>
  <c r="AX296" i="3"/>
  <c r="AX328" i="3"/>
  <c r="AX360" i="3"/>
  <c r="AX295" i="3"/>
  <c r="AX311" i="3"/>
  <c r="AX327" i="3"/>
  <c r="AX343" i="3"/>
  <c r="AX359" i="3"/>
  <c r="AX375" i="3"/>
  <c r="AX298" i="3"/>
  <c r="AX314" i="3"/>
  <c r="AX330" i="3"/>
  <c r="AX346" i="3"/>
  <c r="AX362" i="3"/>
  <c r="AX378" i="3"/>
  <c r="AX35" i="3"/>
  <c r="AX163" i="3"/>
  <c r="AX293" i="3"/>
  <c r="AX123" i="3"/>
  <c r="AX251" i="3"/>
  <c r="AX50" i="3"/>
  <c r="AX114" i="3"/>
  <c r="AX178" i="3"/>
  <c r="AX242" i="3"/>
  <c r="AX333" i="3"/>
  <c r="AX58" i="3"/>
  <c r="AX122" i="3"/>
  <c r="AX186" i="3"/>
  <c r="AX250" i="3"/>
  <c r="AX356" i="3"/>
  <c r="AX39" i="3"/>
  <c r="AX71" i="3"/>
  <c r="AX103" i="3"/>
  <c r="AX135" i="3"/>
  <c r="AX167" i="3"/>
  <c r="AX199" i="3"/>
  <c r="AX231" i="3"/>
  <c r="AX263" i="3"/>
  <c r="AX305" i="3"/>
  <c r="AX21" i="3"/>
  <c r="AX54" i="3"/>
  <c r="AX86" i="3"/>
  <c r="AX118" i="3"/>
  <c r="AX150" i="3"/>
  <c r="AX182" i="3"/>
  <c r="AX214" i="3"/>
  <c r="AX246" i="3"/>
  <c r="AX278" i="3"/>
  <c r="AX345" i="3"/>
  <c r="AX29" i="3"/>
  <c r="AX45" i="3"/>
  <c r="AX61" i="3"/>
  <c r="AX77" i="3"/>
  <c r="AX93" i="3"/>
  <c r="AX109" i="3"/>
  <c r="AX125" i="3"/>
  <c r="AX141" i="3"/>
  <c r="AX157" i="3"/>
  <c r="AX173" i="3"/>
  <c r="AX189" i="3"/>
  <c r="AX205" i="3"/>
  <c r="AX221" i="3"/>
  <c r="AX237" i="3"/>
  <c r="AX253" i="3"/>
  <c r="AX269" i="3"/>
  <c r="AX285" i="3"/>
  <c r="AX321" i="3"/>
  <c r="AX364" i="3"/>
  <c r="AX32" i="3"/>
  <c r="AX48" i="3"/>
  <c r="AX64" i="3"/>
  <c r="AX80" i="3"/>
  <c r="AX96" i="3"/>
  <c r="AX112" i="3"/>
  <c r="AX128" i="3"/>
  <c r="AX144" i="3"/>
  <c r="AX160" i="3"/>
  <c r="AX176" i="3"/>
  <c r="AX192" i="3"/>
  <c r="AX208" i="3"/>
  <c r="AX224" i="3"/>
  <c r="AX240" i="3"/>
  <c r="AX256" i="3"/>
  <c r="AX272" i="3"/>
  <c r="AX288" i="3"/>
  <c r="AX329" i="3"/>
  <c r="AX372" i="3"/>
  <c r="AX320" i="3"/>
  <c r="AX352" i="3"/>
  <c r="AX291" i="3"/>
  <c r="AX307" i="3"/>
  <c r="AX323" i="3"/>
  <c r="AX339" i="3"/>
  <c r="AX355" i="3"/>
  <c r="AX371" i="3"/>
  <c r="AX294" i="3"/>
  <c r="AX310" i="3"/>
  <c r="AX326" i="3"/>
  <c r="AX342" i="3"/>
  <c r="AX358" i="3"/>
  <c r="AX374" i="3"/>
  <c r="AX99" i="3"/>
  <c r="AX59" i="3"/>
  <c r="AX357" i="3"/>
  <c r="AX146" i="3"/>
  <c r="AX274" i="3"/>
  <c r="AX90" i="3"/>
  <c r="AX218" i="3"/>
  <c r="AX22" i="3"/>
  <c r="AX87" i="3"/>
  <c r="AX151" i="3"/>
  <c r="AX215" i="3"/>
  <c r="AX279" i="3"/>
  <c r="AX38" i="3"/>
  <c r="AX102" i="3"/>
  <c r="AX166" i="3"/>
  <c r="AX230" i="3"/>
  <c r="AX301" i="3"/>
  <c r="AX37" i="3"/>
  <c r="AX69" i="3"/>
  <c r="AX101" i="3"/>
  <c r="AX133" i="3"/>
  <c r="AX165" i="3"/>
  <c r="AX197" i="3"/>
  <c r="AX229" i="3"/>
  <c r="AX261" i="3"/>
  <c r="AX300" i="3"/>
  <c r="AX24" i="3"/>
  <c r="AX56" i="3"/>
  <c r="AX88" i="3"/>
  <c r="AX120" i="3"/>
  <c r="AX152" i="3"/>
  <c r="AX184" i="3"/>
  <c r="AX216" i="3"/>
  <c r="AX248" i="3"/>
  <c r="AX280" i="3"/>
  <c r="AX349" i="3"/>
  <c r="AX336" i="3"/>
  <c r="AX299" i="3"/>
  <c r="AX331" i="3"/>
  <c r="AX363" i="3"/>
  <c r="AX302" i="3"/>
  <c r="AX334" i="3"/>
  <c r="AX366" i="3"/>
  <c r="AX275" i="3"/>
  <c r="AX235" i="3"/>
  <c r="AX98" i="3"/>
  <c r="AX226" i="3"/>
  <c r="AX42" i="3"/>
  <c r="AX170" i="3"/>
  <c r="AX313" i="3"/>
  <c r="AX63" i="3"/>
  <c r="AX127" i="3"/>
  <c r="AX191" i="3"/>
  <c r="AX255" i="3"/>
  <c r="AX369" i="3"/>
  <c r="AX78" i="3"/>
  <c r="AX142" i="3"/>
  <c r="AX206" i="3"/>
  <c r="AX270" i="3"/>
  <c r="AX25" i="3"/>
  <c r="AX57" i="3"/>
  <c r="AX89" i="3"/>
  <c r="AX121" i="3"/>
  <c r="AX153" i="3"/>
  <c r="AX185" i="3"/>
  <c r="AX217" i="3"/>
  <c r="AX249" i="3"/>
  <c r="AX281" i="3"/>
  <c r="AX353" i="3"/>
  <c r="AX44" i="3"/>
  <c r="AX76" i="3"/>
  <c r="AX108" i="3"/>
  <c r="AX140" i="3"/>
  <c r="AX172" i="3"/>
  <c r="AX204" i="3"/>
  <c r="AX236" i="3"/>
  <c r="AX268" i="3"/>
  <c r="AX317" i="3"/>
  <c r="AX312" i="3"/>
  <c r="AX376" i="3"/>
  <c r="AX319" i="3"/>
  <c r="AX351" i="3"/>
  <c r="AX290" i="3"/>
  <c r="AX322" i="3"/>
  <c r="AX354" i="3"/>
  <c r="AX227" i="3"/>
  <c r="AX187" i="3"/>
  <c r="AX82" i="3"/>
  <c r="AX210" i="3"/>
  <c r="AX26" i="3"/>
  <c r="AX154" i="3"/>
  <c r="AX282" i="3"/>
  <c r="AX55" i="3"/>
  <c r="AX119" i="3"/>
  <c r="AX183" i="3"/>
  <c r="AX247" i="3"/>
  <c r="AX348" i="3"/>
  <c r="AX70" i="3"/>
  <c r="AX134" i="3"/>
  <c r="AX198" i="3"/>
  <c r="AX262" i="3"/>
  <c r="AX20" i="3"/>
  <c r="AX53" i="3"/>
  <c r="AX85" i="3"/>
  <c r="AX117" i="3"/>
  <c r="AX149" i="3"/>
  <c r="AX181" i="3"/>
  <c r="AX213" i="3"/>
  <c r="AX245" i="3"/>
  <c r="AX277" i="3"/>
  <c r="AX341" i="3"/>
  <c r="AX40" i="3"/>
  <c r="AX72" i="3"/>
  <c r="AX104" i="3"/>
  <c r="AX136" i="3"/>
  <c r="AX168" i="3"/>
  <c r="AX200" i="3"/>
  <c r="AX232" i="3"/>
  <c r="AX264" i="3"/>
  <c r="AX308" i="3"/>
  <c r="AX304" i="3"/>
  <c r="AX368" i="3"/>
  <c r="AX315" i="3"/>
  <c r="AX347" i="3"/>
  <c r="AX379" i="3"/>
  <c r="AX318" i="3"/>
  <c r="AX350" i="3"/>
  <c r="AX147" i="3"/>
  <c r="AX107" i="3"/>
  <c r="AX34" i="3"/>
  <c r="AX162" i="3"/>
  <c r="AX292" i="3"/>
  <c r="AX106" i="3"/>
  <c r="AX234" i="3"/>
  <c r="AX31" i="3"/>
  <c r="AX95" i="3"/>
  <c r="AX159" i="3"/>
  <c r="AX223" i="3"/>
  <c r="AX287" i="3"/>
  <c r="AX46" i="3"/>
  <c r="AX110" i="3"/>
  <c r="AX174" i="3"/>
  <c r="AX238" i="3"/>
  <c r="AX324" i="3"/>
  <c r="AX41" i="3"/>
  <c r="AX73" i="3"/>
  <c r="AX105" i="3"/>
  <c r="AX137" i="3"/>
  <c r="AX169" i="3"/>
  <c r="AX201" i="3"/>
  <c r="AX233" i="3"/>
  <c r="AX265" i="3"/>
  <c r="AX309" i="3"/>
  <c r="AX28" i="3"/>
  <c r="AX60" i="3"/>
  <c r="AX92" i="3"/>
  <c r="AX124" i="3"/>
  <c r="AX156" i="3"/>
  <c r="AX188" i="3"/>
  <c r="AX220" i="3"/>
  <c r="AX252" i="3"/>
  <c r="AX284" i="3"/>
  <c r="AX361" i="3"/>
  <c r="AX344" i="3"/>
  <c r="AX303" i="3"/>
  <c r="AX335" i="3"/>
  <c r="AX367" i="3"/>
  <c r="AX306" i="3"/>
  <c r="AX338" i="3"/>
  <c r="AX370" i="3"/>
  <c r="H10" i="2"/>
  <c r="AD6" i="3"/>
  <c r="AQ6" i="3" s="1"/>
  <c r="G10" i="2" s="1"/>
  <c r="AZ20" i="3" a="1"/>
  <c r="BA27" i="3" l="1"/>
  <c r="AZ29" i="3"/>
  <c r="AZ24" i="3"/>
  <c r="AZ21" i="3"/>
  <c r="BA29" i="3"/>
  <c r="BA24" i="3"/>
  <c r="AZ23" i="3"/>
  <c r="AZ27" i="3"/>
  <c r="BA25" i="3"/>
  <c r="AZ25" i="3"/>
  <c r="BA22" i="3"/>
  <c r="BA23" i="3"/>
  <c r="BA20" i="3"/>
  <c r="AZ20" i="3"/>
  <c r="AZ28" i="3"/>
  <c r="AZ26" i="3"/>
  <c r="BA21" i="3"/>
  <c r="BA26" i="3"/>
  <c r="BA28" i="3"/>
  <c r="AZ2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Rehberg, Jesko</author>
  </authors>
  <commentList>
    <comment ref="AL19" authorId="0" shapeId="0" xr:uid="{00000000-0006-0000-0200-000001000000}">
      <text>
        <r>
          <rPr>
            <b/>
            <sz val="9"/>
            <color indexed="81"/>
            <rFont val="Tahoma"/>
            <family val="2"/>
          </rPr>
          <t>Rehberg, Jesko:</t>
        </r>
        <r>
          <rPr>
            <sz val="9"/>
            <color indexed="81"/>
            <rFont val="Tahoma"/>
            <family val="2"/>
          </rPr>
          <t xml:space="preserve">
Formel oder Array?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B7" authorId="0" shapeId="0" xr:uid="{00000000-0006-0000-0300-000001000000}">
      <text>
        <r>
          <rPr>
            <sz val="8"/>
            <color indexed="81"/>
            <rFont val="Tahoma"/>
            <family val="2"/>
          </rPr>
          <t xml:space="preserve">The </t>
        </r>
        <r>
          <rPr>
            <i/>
            <sz val="8"/>
            <color indexed="81"/>
            <rFont val="Tahoma"/>
            <family val="2"/>
          </rPr>
          <t>k</t>
        </r>
        <r>
          <rPr>
            <sz val="8"/>
            <color indexed="81"/>
            <rFont val="Tahoma"/>
            <family val="2"/>
          </rPr>
          <t>-value is number of standard deviations (typically 3) that the upper and lower control limits are placed away from the center line.</t>
        </r>
      </text>
    </comment>
    <comment ref="B41" authorId="0" shapeId="0" xr:uid="{00000000-0006-0000-0300-000002000000}">
      <text>
        <r>
          <rPr>
            <b/>
            <sz val="8"/>
            <color indexed="81"/>
            <rFont val="Tahoma"/>
            <family val="2"/>
          </rPr>
          <t>R-bar</t>
        </r>
        <r>
          <rPr>
            <sz val="8"/>
            <color indexed="81"/>
            <rFont val="Tahoma"/>
            <family val="2"/>
          </rPr>
          <t xml:space="preserve"> is the mean of the Ranges in the data table and is used as the center line for the R-Chart.</t>
        </r>
      </text>
    </comment>
    <comment ref="B42" authorId="0" shapeId="0" xr:uid="{00000000-0006-0000-0300-000003000000}">
      <text>
        <r>
          <rPr>
            <sz val="8"/>
            <color indexed="81"/>
            <rFont val="Tahoma"/>
            <family val="2"/>
          </rPr>
          <t>The estimated process mean is calculated as the mean of the X-bar values from the data table. It is used as the Center Line for the X-bar Chart.</t>
        </r>
      </text>
    </comment>
    <comment ref="B43" authorId="0" shapeId="0" xr:uid="{00000000-0006-0000-0300-000004000000}">
      <text>
        <r>
          <rPr>
            <sz val="8"/>
            <color indexed="81"/>
            <rFont val="Tahoma"/>
            <family val="2"/>
          </rPr>
          <t>The estimated process standard deviation.</t>
        </r>
      </text>
    </comment>
    <comment ref="G43" authorId="0" shapeId="0" xr:uid="{00000000-0006-0000-0300-000005000000}">
      <text>
        <r>
          <rPr>
            <sz val="8"/>
            <color indexed="81"/>
            <rFont val="Tahoma"/>
            <family val="2"/>
          </rPr>
          <t xml:space="preserve">The </t>
        </r>
        <r>
          <rPr>
            <b/>
            <sz val="8"/>
            <color indexed="81"/>
            <rFont val="Tahoma"/>
            <family val="2"/>
          </rPr>
          <t>Cp index</t>
        </r>
        <r>
          <rPr>
            <sz val="8"/>
            <color indexed="81"/>
            <rFont val="Tahoma"/>
            <family val="2"/>
          </rPr>
          <t xml:space="preserve"> is calculated as (USL-LSL)/(6*</t>
        </r>
        <r>
          <rPr>
            <i/>
            <sz val="8"/>
            <color indexed="81"/>
            <rFont val="Tahoma"/>
            <family val="2"/>
          </rPr>
          <t>sigma</t>
        </r>
        <r>
          <rPr>
            <sz val="8"/>
            <color indexed="81"/>
            <rFont val="Tahoma"/>
            <family val="2"/>
          </rPr>
          <t xml:space="preserve">) where </t>
        </r>
        <r>
          <rPr>
            <i/>
            <sz val="8"/>
            <color indexed="81"/>
            <rFont val="Tahoma"/>
            <family val="2"/>
          </rPr>
          <t>sigma</t>
        </r>
        <r>
          <rPr>
            <sz val="8"/>
            <color indexed="81"/>
            <rFont val="Tahoma"/>
            <family val="2"/>
          </rPr>
          <t xml:space="preserve"> is the process standard deviation. You want Cp to be greater than 1.</t>
        </r>
      </text>
    </comment>
    <comment ref="B44" authorId="0" shapeId="0" xr:uid="{00000000-0006-0000-0300-000006000000}">
      <text>
        <r>
          <rPr>
            <sz val="8"/>
            <color indexed="81"/>
            <rFont val="Tahoma"/>
            <family val="2"/>
          </rPr>
          <t xml:space="preserve">This is the </t>
        </r>
        <r>
          <rPr>
            <b/>
            <sz val="8"/>
            <color indexed="81"/>
            <rFont val="Tahoma"/>
            <family val="2"/>
          </rPr>
          <t>standard deviation of the sample mean</t>
        </r>
        <r>
          <rPr>
            <sz val="8"/>
            <color indexed="81"/>
            <rFont val="Tahoma"/>
            <family val="2"/>
          </rPr>
          <t>, calculated as the process standard deviation divided by the square root of the sample size.</t>
        </r>
      </text>
    </comment>
    <comment ref="G44" authorId="0" shapeId="0" xr:uid="{00000000-0006-0000-0300-000007000000}">
      <text>
        <r>
          <rPr>
            <sz val="8"/>
            <color indexed="81"/>
            <rFont val="Tahoma"/>
            <family val="2"/>
          </rPr>
          <t xml:space="preserve">The </t>
        </r>
        <r>
          <rPr>
            <b/>
            <sz val="8"/>
            <color indexed="81"/>
            <rFont val="Tahoma"/>
            <family val="2"/>
          </rPr>
          <t>CPU index</t>
        </r>
        <r>
          <rPr>
            <sz val="8"/>
            <color indexed="81"/>
            <rFont val="Tahoma"/>
            <family val="2"/>
          </rPr>
          <t xml:space="preserve"> is the </t>
        </r>
        <r>
          <rPr>
            <b/>
            <sz val="8"/>
            <color indexed="81"/>
            <rFont val="Tahoma"/>
            <family val="2"/>
          </rPr>
          <t>upper capability index</t>
        </r>
        <r>
          <rPr>
            <sz val="8"/>
            <color indexed="81"/>
            <rFont val="Tahoma"/>
            <family val="2"/>
          </rPr>
          <t xml:space="preserve"> for when you are only given an upper spec limit, USL. You want CPU &gt; 1</t>
        </r>
      </text>
    </comment>
    <comment ref="G45" authorId="0" shapeId="0" xr:uid="{00000000-0006-0000-0300-000008000000}">
      <text>
        <r>
          <rPr>
            <sz val="8"/>
            <color indexed="81"/>
            <rFont val="Tahoma"/>
            <family val="2"/>
          </rPr>
          <t xml:space="preserve">The </t>
        </r>
        <r>
          <rPr>
            <b/>
            <sz val="8"/>
            <color indexed="81"/>
            <rFont val="Tahoma"/>
            <family val="2"/>
          </rPr>
          <t>CPL index</t>
        </r>
        <r>
          <rPr>
            <sz val="8"/>
            <color indexed="81"/>
            <rFont val="Tahoma"/>
            <family val="2"/>
          </rPr>
          <t xml:space="preserve"> is the </t>
        </r>
        <r>
          <rPr>
            <b/>
            <sz val="8"/>
            <color indexed="81"/>
            <rFont val="Tahoma"/>
            <family val="2"/>
          </rPr>
          <t>lower capability index</t>
        </r>
        <r>
          <rPr>
            <sz val="8"/>
            <color indexed="81"/>
            <rFont val="Tahoma"/>
            <family val="2"/>
          </rPr>
          <t xml:space="preserve"> for when you are only given a lower spec limit, LSL. You want a CPL &gt; 1.</t>
        </r>
      </text>
    </comment>
    <comment ref="G46" authorId="0" shapeId="0" xr:uid="{00000000-0006-0000-0300-000009000000}">
      <text>
        <r>
          <rPr>
            <sz val="8"/>
            <color indexed="81"/>
            <rFont val="Tahoma"/>
            <family val="2"/>
          </rPr>
          <t xml:space="preserve">The </t>
        </r>
        <r>
          <rPr>
            <b/>
            <sz val="8"/>
            <color indexed="81"/>
            <rFont val="Tahoma"/>
            <family val="2"/>
          </rPr>
          <t>Cpk index</t>
        </r>
        <r>
          <rPr>
            <sz val="8"/>
            <color indexed="81"/>
            <rFont val="Tahoma"/>
            <family val="2"/>
          </rPr>
          <t xml:space="preserve"> is used when the process mean is shifted away from the target value, or the point half way between the spec limits. It is the minimum of the CPU and CPL. You want a Cpk&gt;1.</t>
        </r>
      </text>
    </comment>
    <comment ref="G47" authorId="0" shapeId="0" xr:uid="{00000000-0006-0000-0300-00000A000000}">
      <text>
        <r>
          <rPr>
            <b/>
            <sz val="8"/>
            <color indexed="81"/>
            <rFont val="Tahoma"/>
            <family val="2"/>
          </rPr>
          <t>Percent Yield</t>
        </r>
        <r>
          <rPr>
            <sz val="8"/>
            <color indexed="81"/>
            <rFont val="Tahoma"/>
            <family val="2"/>
          </rPr>
          <t xml:space="preserve"> measures the proportion of the output that is within the spec limits, assuming a Normal population distribution.</t>
        </r>
      </text>
    </comment>
    <comment ref="B53" authorId="0" shapeId="0" xr:uid="{00000000-0006-0000-0300-00000B000000}">
      <text>
        <r>
          <rPr>
            <b/>
            <sz val="8"/>
            <color indexed="81"/>
            <rFont val="Tahoma"/>
            <family val="2"/>
          </rPr>
          <t>Probability of a Type I Error (</t>
        </r>
        <r>
          <rPr>
            <b/>
            <sz val="8"/>
            <color indexed="81"/>
            <rFont val="Symbol"/>
            <family val="1"/>
            <charset val="2"/>
          </rPr>
          <t>a</t>
        </r>
        <r>
          <rPr>
            <b/>
            <sz val="8"/>
            <color indexed="81"/>
            <rFont val="Tahoma"/>
            <family val="2"/>
          </rPr>
          <t>):</t>
        </r>
        <r>
          <rPr>
            <sz val="8"/>
            <color indexed="81"/>
            <rFont val="Tahoma"/>
            <family val="2"/>
          </rPr>
          <t xml:space="preserve">
If a sample value falls outside the control limits, we would conclude that the process is out of control. A Type I error is made when the process is concluded to be out of control when it is really in control. This probability is calculated assuming a normal distribution for the process.</t>
        </r>
      </text>
    </comment>
    <comment ref="B54" authorId="0" shapeId="0" xr:uid="{00000000-0006-0000-0300-00000C000000}">
      <text>
        <r>
          <rPr>
            <b/>
            <sz val="8"/>
            <color indexed="81"/>
            <rFont val="Tahoma"/>
            <family val="2"/>
          </rPr>
          <t>In-Control Average Run Length:</t>
        </r>
        <r>
          <rPr>
            <sz val="8"/>
            <color indexed="81"/>
            <rFont val="Tahoma"/>
            <family val="2"/>
          </rPr>
          <t xml:space="preserve">
If the process is </t>
        </r>
        <r>
          <rPr>
            <b/>
            <sz val="8"/>
            <color indexed="81"/>
            <rFont val="Tahoma"/>
            <family val="2"/>
          </rPr>
          <t>in-control</t>
        </r>
        <r>
          <rPr>
            <sz val="8"/>
            <color indexed="81"/>
            <rFont val="Tahoma"/>
            <family val="2"/>
          </rPr>
          <t>, the ARL is the number of samples, on average, you would observe before getting an out-of-control signal. In other words, you expect to get a false alarm (a point outside the control limits) every N samples, where N is the ARL.</t>
        </r>
      </text>
    </comment>
    <comment ref="B57" authorId="0" shapeId="0" xr:uid="{00000000-0006-0000-0300-00000D000000}">
      <text>
        <r>
          <rPr>
            <b/>
            <sz val="8"/>
            <color indexed="81"/>
            <rFont val="Tahoma"/>
            <family val="2"/>
          </rPr>
          <t>X-bar</t>
        </r>
        <r>
          <rPr>
            <sz val="8"/>
            <color indexed="81"/>
            <rFont val="Tahoma"/>
            <family val="2"/>
          </rPr>
          <t xml:space="preserve"> is the </t>
        </r>
        <r>
          <rPr>
            <b/>
            <sz val="8"/>
            <color indexed="81"/>
            <rFont val="Tahoma"/>
            <family val="2"/>
          </rPr>
          <t>sample mean</t>
        </r>
        <r>
          <rPr>
            <sz val="8"/>
            <color indexed="81"/>
            <rFont val="Tahoma"/>
            <family val="2"/>
          </rPr>
          <t xml:space="preserve"> calculated as the sum of the observations divided by the number of observations in the sample (n).</t>
        </r>
      </text>
    </comment>
    <comment ref="C57" authorId="0" shapeId="0" xr:uid="{00000000-0006-0000-0300-00000E000000}">
      <text>
        <r>
          <rPr>
            <sz val="8"/>
            <color indexed="81"/>
            <rFont val="Tahoma"/>
            <family val="2"/>
          </rPr>
          <t xml:space="preserve">The </t>
        </r>
        <r>
          <rPr>
            <b/>
            <sz val="8"/>
            <color indexed="81"/>
            <rFont val="Tahoma"/>
            <family val="2"/>
          </rPr>
          <t>range</t>
        </r>
        <r>
          <rPr>
            <sz val="8"/>
            <color indexed="81"/>
            <rFont val="Tahoma"/>
            <family val="2"/>
          </rPr>
          <t xml:space="preserve"> for each sample is calculated as the Max value minus the Min value.</t>
        </r>
      </text>
    </comment>
  </commentList>
</comments>
</file>

<file path=xl/sharedStrings.xml><?xml version="1.0" encoding="utf-8"?>
<sst xmlns="http://schemas.openxmlformats.org/spreadsheetml/2006/main" count="431" uniqueCount="177">
  <si>
    <t>No.</t>
  </si>
  <si>
    <t>Products</t>
  </si>
  <si>
    <t>Scrollbar Position</t>
  </si>
  <si>
    <t>10 Products from the Scrollbar Position</t>
  </si>
  <si>
    <t>Row Number</t>
  </si>
  <si>
    <t>Original Data</t>
  </si>
  <si>
    <t>Sorted Data</t>
  </si>
  <si>
    <t>Sort Order</t>
  </si>
  <si>
    <t>Select KPI for Sorting:</t>
  </si>
  <si>
    <t>Original Data (Deduplicated)</t>
  </si>
  <si>
    <t>Order</t>
  </si>
  <si>
    <t>Max</t>
  </si>
  <si>
    <t>&gt;= 90%ile</t>
  </si>
  <si>
    <t>&lt;=10%ile</t>
  </si>
  <si>
    <t>%iles</t>
  </si>
  <si>
    <t>%ile Indicators</t>
  </si>
  <si>
    <t>Show Targets</t>
  </si>
  <si>
    <t>Selected KPI1</t>
  </si>
  <si>
    <t>selected KPI2</t>
  </si>
  <si>
    <t>Display 10</t>
  </si>
  <si>
    <t>Searched Product KPIs</t>
  </si>
  <si>
    <t>Top 3 Products by KPI</t>
  </si>
  <si>
    <t>Positions</t>
  </si>
  <si>
    <t>Display Text</t>
  </si>
  <si>
    <t>Control Chart for Mean and Range</t>
  </si>
  <si>
    <t>k</t>
  </si>
  <si>
    <t>Statistics from Data Table</t>
  </si>
  <si>
    <t>Process Capability</t>
  </si>
  <si>
    <t>R-bar</t>
  </si>
  <si>
    <t>Upper Spec Limit, USL</t>
  </si>
  <si>
    <r>
      <t xml:space="preserve">Process Mean, </t>
    </r>
    <r>
      <rPr>
        <sz val="10"/>
        <rFont val="Symbol"/>
        <family val="1"/>
        <charset val="2"/>
      </rPr>
      <t>m</t>
    </r>
    <r>
      <rPr>
        <sz val="10"/>
        <rFont val="Arial"/>
        <family val="2"/>
      </rPr>
      <t>-hat</t>
    </r>
  </si>
  <si>
    <t>Lower Spec Limit, LSL</t>
  </si>
  <si>
    <r>
      <t xml:space="preserve">Process St.Dev., </t>
    </r>
    <r>
      <rPr>
        <sz val="10"/>
        <rFont val="Symbol"/>
        <family val="1"/>
        <charset val="2"/>
      </rPr>
      <t>s</t>
    </r>
    <r>
      <rPr>
        <sz val="10"/>
        <rFont val="Arial"/>
        <family val="2"/>
      </rPr>
      <t>-hat</t>
    </r>
  </si>
  <si>
    <r>
      <t>C</t>
    </r>
    <r>
      <rPr>
        <vertAlign val="subscript"/>
        <sz val="10"/>
        <rFont val="Arial"/>
        <family val="2"/>
      </rPr>
      <t>p</t>
    </r>
  </si>
  <si>
    <r>
      <t>s</t>
    </r>
    <r>
      <rPr>
        <vertAlign val="subscript"/>
        <sz val="10"/>
        <rFont val="Arial"/>
        <family val="2"/>
      </rPr>
      <t>X-bar</t>
    </r>
  </si>
  <si>
    <t>CPU</t>
  </si>
  <si>
    <t>CPL</t>
  </si>
  <si>
    <r>
      <t>C</t>
    </r>
    <r>
      <rPr>
        <vertAlign val="subscript"/>
        <sz val="10"/>
        <rFont val="Arial"/>
        <family val="2"/>
      </rPr>
      <t>pk</t>
    </r>
  </si>
  <si>
    <t>Percent Yield</t>
  </si>
  <si>
    <t>Control Limits for X-bar Chart</t>
  </si>
  <si>
    <t>Control Limits for R Chart</t>
  </si>
  <si>
    <r>
      <t>CL</t>
    </r>
    <r>
      <rPr>
        <vertAlign val="subscript"/>
        <sz val="10"/>
        <rFont val="Arial"/>
        <family val="2"/>
      </rPr>
      <t>X-bar</t>
    </r>
  </si>
  <si>
    <r>
      <t>CL</t>
    </r>
    <r>
      <rPr>
        <vertAlign val="subscript"/>
        <sz val="10"/>
        <rFont val="Arial"/>
        <family val="2"/>
      </rPr>
      <t>R</t>
    </r>
  </si>
  <si>
    <r>
      <t>UCL</t>
    </r>
    <r>
      <rPr>
        <vertAlign val="subscript"/>
        <sz val="10"/>
        <rFont val="Arial"/>
        <family val="2"/>
      </rPr>
      <t>X-bar</t>
    </r>
  </si>
  <si>
    <r>
      <t>CL+k</t>
    </r>
    <r>
      <rPr>
        <sz val="10"/>
        <rFont val="Symbol"/>
        <family val="1"/>
        <charset val="2"/>
      </rPr>
      <t>s</t>
    </r>
    <r>
      <rPr>
        <vertAlign val="subscript"/>
        <sz val="10"/>
        <rFont val="Arial"/>
        <family val="2"/>
      </rPr>
      <t>X-bar</t>
    </r>
  </si>
  <si>
    <r>
      <t>UCL</t>
    </r>
    <r>
      <rPr>
        <vertAlign val="subscript"/>
        <sz val="10"/>
        <rFont val="Arial"/>
        <family val="2"/>
      </rPr>
      <t>R</t>
    </r>
  </si>
  <si>
    <r>
      <t>LCL</t>
    </r>
    <r>
      <rPr>
        <vertAlign val="subscript"/>
        <sz val="10"/>
        <rFont val="Arial"/>
        <family val="2"/>
      </rPr>
      <t>X-bar</t>
    </r>
  </si>
  <si>
    <r>
      <t>CL-k</t>
    </r>
    <r>
      <rPr>
        <sz val="10"/>
        <rFont val="Symbol"/>
        <family val="1"/>
        <charset val="2"/>
      </rPr>
      <t>s</t>
    </r>
    <r>
      <rPr>
        <vertAlign val="subscript"/>
        <sz val="10"/>
        <rFont val="Arial"/>
        <family val="2"/>
      </rPr>
      <t>X-bar</t>
    </r>
  </si>
  <si>
    <r>
      <t>LCL</t>
    </r>
    <r>
      <rPr>
        <vertAlign val="subscript"/>
        <sz val="10"/>
        <rFont val="Arial"/>
        <family val="2"/>
      </rPr>
      <t>R</t>
    </r>
  </si>
  <si>
    <t>a</t>
  </si>
  <si>
    <t>ARL</t>
  </si>
  <si>
    <t>samples</t>
  </si>
  <si>
    <t>Data Table</t>
  </si>
  <si>
    <t>X-bar Chart</t>
  </si>
  <si>
    <t>R Chart</t>
  </si>
  <si>
    <t>Sample</t>
  </si>
  <si>
    <t>X-bar</t>
  </si>
  <si>
    <t>Range</t>
  </si>
  <si>
    <t>CL</t>
  </si>
  <si>
    <t>UCL</t>
  </si>
  <si>
    <t>LCL</t>
  </si>
  <si>
    <t>Labels</t>
  </si>
  <si>
    <t>Jan</t>
  </si>
  <si>
    <t>Feb</t>
  </si>
  <si>
    <t>Mar</t>
  </si>
  <si>
    <t>Apr</t>
  </si>
  <si>
    <t>May</t>
  </si>
  <si>
    <t>Jun</t>
  </si>
  <si>
    <t>Jul</t>
  </si>
  <si>
    <t>Aug</t>
  </si>
  <si>
    <t>Sep</t>
  </si>
  <si>
    <t>Oct</t>
  </si>
  <si>
    <t>Nov</t>
  </si>
  <si>
    <t>Dec</t>
  </si>
  <si>
    <t>Min</t>
  </si>
  <si>
    <r>
      <t>Q</t>
    </r>
    <r>
      <rPr>
        <vertAlign val="subscript"/>
        <sz val="10"/>
        <rFont val="Arial"/>
        <family val="2"/>
      </rPr>
      <t>1</t>
    </r>
  </si>
  <si>
    <t>Median</t>
  </si>
  <si>
    <r>
      <t>Q</t>
    </r>
    <r>
      <rPr>
        <vertAlign val="subscript"/>
        <sz val="10"/>
        <rFont val="Arial"/>
        <family val="2"/>
      </rPr>
      <t>3</t>
    </r>
  </si>
  <si>
    <t>IQR</t>
  </si>
  <si>
    <t>Upper Outliers</t>
  </si>
  <si>
    <t>Lower Outliers</t>
  </si>
  <si>
    <t>For the Box (IQR and Median)</t>
  </si>
  <si>
    <t>Q2-Q1</t>
  </si>
  <si>
    <t>Q3-Q2</t>
  </si>
  <si>
    <t>For the Whiskers</t>
  </si>
  <si>
    <t>Upper Whisker</t>
  </si>
  <si>
    <t>Lower Whisker</t>
  </si>
  <si>
    <r>
      <t>W</t>
    </r>
    <r>
      <rPr>
        <vertAlign val="subscript"/>
        <sz val="10"/>
        <rFont val="Arial"/>
        <family val="2"/>
      </rPr>
      <t>upper</t>
    </r>
    <r>
      <rPr>
        <sz val="10"/>
        <rFont val="Arial"/>
        <family val="2"/>
      </rPr>
      <t>-Q</t>
    </r>
    <r>
      <rPr>
        <vertAlign val="subscript"/>
        <sz val="10"/>
        <rFont val="Arial"/>
        <family val="2"/>
      </rPr>
      <t>3</t>
    </r>
  </si>
  <si>
    <r>
      <t>Q</t>
    </r>
    <r>
      <rPr>
        <vertAlign val="subscript"/>
        <sz val="10"/>
        <rFont val="Arial"/>
        <family val="2"/>
      </rPr>
      <t>1</t>
    </r>
    <r>
      <rPr>
        <sz val="10"/>
        <rFont val="Arial"/>
        <family val="2"/>
      </rPr>
      <t>-W</t>
    </r>
    <r>
      <rPr>
        <vertAlign val="subscript"/>
        <sz val="10"/>
        <rFont val="Arial"/>
        <family val="2"/>
      </rPr>
      <t>lower</t>
    </r>
  </si>
  <si>
    <t>For the Outliers</t>
  </si>
  <si>
    <t>KPI</t>
  </si>
  <si>
    <t>ytd?</t>
  </si>
  <si>
    <t>*</t>
  </si>
  <si>
    <t>Top 3 Products</t>
  </si>
  <si>
    <t>OEE</t>
  </si>
  <si>
    <t>t OEE</t>
  </si>
  <si>
    <t>Production Start Date</t>
  </si>
  <si>
    <r>
      <t xml:space="preserve">Sample Size, </t>
    </r>
    <r>
      <rPr>
        <i/>
        <sz val="10"/>
        <color theme="0"/>
        <rFont val="Arial"/>
        <family val="2"/>
      </rPr>
      <t>n</t>
    </r>
  </si>
  <si>
    <t>in case wanted add a scroll bar to the chart!</t>
  </si>
  <si>
    <r>
      <t>Q</t>
    </r>
    <r>
      <rPr>
        <vertAlign val="subscript"/>
        <sz val="10"/>
        <rFont val="Arial"/>
        <family val="2"/>
      </rPr>
      <t>3-</t>
    </r>
    <r>
      <rPr>
        <sz val="10"/>
        <rFont val="Arial"/>
        <family val="2"/>
      </rPr>
      <t>Max</t>
    </r>
  </si>
  <si>
    <r>
      <t>Q</t>
    </r>
    <r>
      <rPr>
        <vertAlign val="subscript"/>
        <sz val="10"/>
        <rFont val="Arial"/>
        <family val="2"/>
      </rPr>
      <t>1-</t>
    </r>
    <r>
      <rPr>
        <sz val="10"/>
        <rFont val="Arial"/>
        <family val="2"/>
      </rPr>
      <t>Min</t>
    </r>
  </si>
  <si>
    <t>Raw Data</t>
  </si>
  <si>
    <t>Mean</t>
  </si>
  <si>
    <t>KPI/ PI xy</t>
  </si>
  <si>
    <t>Availability</t>
  </si>
  <si>
    <t>Performance</t>
  </si>
  <si>
    <t>t Performance</t>
  </si>
  <si>
    <t>No of Line Workers per Hour</t>
  </si>
  <si>
    <t>Regrind</t>
  </si>
  <si>
    <t>Carry Over</t>
  </si>
  <si>
    <t>Quality</t>
  </si>
  <si>
    <t>Labour Productivity</t>
  </si>
  <si>
    <t>t Availability</t>
  </si>
  <si>
    <t>t Quality</t>
  </si>
  <si>
    <t>t Labour Productivity</t>
  </si>
  <si>
    <t>t Throughput in kg/ hour</t>
  </si>
  <si>
    <t>t No of Line Workers per Hour</t>
  </si>
  <si>
    <t>t Regrind</t>
  </si>
  <si>
    <t>Fat Content</t>
  </si>
  <si>
    <t>Yield</t>
  </si>
  <si>
    <t>Share Of Frozen Meat</t>
  </si>
  <si>
    <t>Carry Over12</t>
  </si>
  <si>
    <t>Fat Content13</t>
  </si>
  <si>
    <t>t Yield</t>
  </si>
  <si>
    <t>t Share Of Frozen Meat</t>
  </si>
  <si>
    <t>Product Name</t>
  </si>
  <si>
    <t>KW</t>
  </si>
  <si>
    <t>Throughput in 100kg/ hour</t>
  </si>
  <si>
    <t>Line Worker Nr/h</t>
  </si>
  <si>
    <t>Nr of Line Workers/h</t>
  </si>
  <si>
    <t>Throughput in 10kg/h</t>
  </si>
  <si>
    <t>Throughput in 10kg/ hour</t>
  </si>
  <si>
    <t>t Throughput in 10 kg/ hour</t>
  </si>
  <si>
    <t>EA</t>
  </si>
  <si>
    <t>EEP</t>
  </si>
  <si>
    <t>EQP</t>
  </si>
  <si>
    <t>Total Down Time: Engineering</t>
  </si>
  <si>
    <t>Total Down Time: Production</t>
  </si>
  <si>
    <t>Total Down Time: Machine Set up</t>
  </si>
  <si>
    <t>Total Down Time: Cleaning</t>
  </si>
  <si>
    <t>Total Down Time: Freezer</t>
  </si>
  <si>
    <t>Total Down Times</t>
  </si>
  <si>
    <t>Datefilter</t>
  </si>
  <si>
    <t>Date Interval</t>
  </si>
  <si>
    <t>Total Down Time</t>
  </si>
  <si>
    <t>Product 1</t>
  </si>
  <si>
    <t>Product 2</t>
  </si>
  <si>
    <t>Product 3</t>
  </si>
  <si>
    <t>Product 4</t>
  </si>
  <si>
    <t>Product 5</t>
  </si>
  <si>
    <t>Product 6</t>
  </si>
  <si>
    <t>Product 7</t>
  </si>
  <si>
    <t>Product 8</t>
  </si>
  <si>
    <t>Product 9</t>
  </si>
  <si>
    <t>Product 10</t>
  </si>
  <si>
    <t>Product 11</t>
  </si>
  <si>
    <t>Product 12</t>
  </si>
  <si>
    <t>Product 13</t>
  </si>
  <si>
    <t>Product 14</t>
  </si>
  <si>
    <t>Product 15</t>
  </si>
  <si>
    <t>Product 16</t>
  </si>
  <si>
    <t>Product 17</t>
  </si>
  <si>
    <t>Product 18</t>
  </si>
  <si>
    <t>Product 19</t>
  </si>
  <si>
    <t>Product 20</t>
  </si>
  <si>
    <t>Product 21</t>
  </si>
  <si>
    <t>Product 22</t>
  </si>
  <si>
    <t>Product 23</t>
  </si>
  <si>
    <t>Product 24</t>
  </si>
  <si>
    <t>Product 25</t>
  </si>
  <si>
    <t>Product 26</t>
  </si>
  <si>
    <t>Product 27</t>
  </si>
  <si>
    <t>Product 28</t>
  </si>
  <si>
    <t>OPS´s Product KPI</t>
  </si>
  <si>
    <t>Target: QP</t>
  </si>
  <si>
    <t>Choose CW</t>
  </si>
  <si>
    <t>CW Single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</si>
</sst>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0.0"/>
    <numFmt numFmtId="165" formatCode=";;;"/>
    <numFmt numFmtId="166" formatCode="0.000"/>
    <numFmt numFmtId="167" formatCode="0.0000"/>
    <numFmt numFmtId="168" formatCode="_-* #,##0.00\ _$_-;_-* #,##0.00\ _$\-;_-* &quot;-&quot;??\ _$_-;_-@_-"/>
    <numFmt numFmtId="169" formatCode="_-&quot;$&quot;* #,##0.00_-;\-&quot;$&quot;* #,##0.00_-;_-&quot;$&quot;* &quot;-&quot;??_-;_-@_-"/>
    <numFmt numFmtId="170" formatCode="#,##0.0\ _€"/>
    <numFmt numFmtId="171" formatCode="d/m;@"/>
  </numFmts>
  <fonts count="63" x14ac:knownFonts="1">
    <font>
      <sz val="11"/>
      <color theme="1"/>
      <name val="Calibri"/>
      <family val="2"/>
      <scheme val="minor"/>
    </font>
    <font>
      <sz val="11"/>
      <color theme="1"/>
      <name val="Calibri"/>
      <family val="2"/>
      <scheme val="minor"/>
    </font>
    <font>
      <b/>
      <sz val="11"/>
      <color theme="1"/>
      <name val="Calibri"/>
      <family val="2"/>
      <scheme val="minor"/>
    </font>
    <font>
      <sz val="8"/>
      <color theme="1"/>
      <name val="Calibri"/>
      <family val="2"/>
      <scheme val="minor"/>
    </font>
    <font>
      <sz val="16"/>
      <color theme="1"/>
      <name val="Calibri"/>
      <family val="2"/>
      <scheme val="minor"/>
    </font>
    <font>
      <sz val="9"/>
      <color theme="1" tint="0.499984740745262"/>
      <name val="Calibri"/>
      <family val="2"/>
      <scheme val="minor"/>
    </font>
    <font>
      <sz val="11"/>
      <color theme="1" tint="0.499984740745262"/>
      <name val="Calibri"/>
      <family val="2"/>
      <scheme val="minor"/>
    </font>
    <font>
      <sz val="11"/>
      <color theme="1" tint="0.14999847407452621"/>
      <name val="Calibri"/>
      <family val="2"/>
      <scheme val="minor"/>
    </font>
    <font>
      <b/>
      <sz val="9"/>
      <color theme="1"/>
      <name val="Calibri"/>
      <family val="2"/>
      <scheme val="minor"/>
    </font>
    <font>
      <sz val="9"/>
      <color theme="1" tint="0.249977111117893"/>
      <name val="Calibri"/>
      <family val="2"/>
      <scheme val="minor"/>
    </font>
    <font>
      <b/>
      <sz val="20"/>
      <color theme="1" tint="0.14999847407452621"/>
      <name val="Bookman Old Style"/>
      <family val="1"/>
    </font>
    <font>
      <u/>
      <sz val="11"/>
      <color theme="10"/>
      <name val="Calibri"/>
      <family val="2"/>
      <scheme val="minor"/>
    </font>
    <font>
      <u/>
      <sz val="9"/>
      <color rgb="FFC00000"/>
      <name val="Calibri"/>
      <family val="2"/>
      <scheme val="minor"/>
    </font>
    <font>
      <sz val="8"/>
      <color rgb="FF000000"/>
      <name val="Tahoma"/>
      <family val="2"/>
    </font>
    <font>
      <sz val="10"/>
      <name val="Arial"/>
      <family val="2"/>
    </font>
    <font>
      <b/>
      <sz val="10"/>
      <name val="Arial"/>
      <family val="2"/>
    </font>
    <font>
      <i/>
      <sz val="10"/>
      <name val="Arial"/>
      <family val="2"/>
    </font>
    <font>
      <b/>
      <sz val="12"/>
      <name val="Arial"/>
      <family val="2"/>
    </font>
    <font>
      <sz val="10"/>
      <name val="Symbol"/>
      <family val="1"/>
      <charset val="2"/>
    </font>
    <font>
      <vertAlign val="subscript"/>
      <sz val="10"/>
      <name val="Arial"/>
      <family val="2"/>
    </font>
    <font>
      <b/>
      <sz val="12"/>
      <color indexed="9"/>
      <name val="Arial"/>
      <family val="2"/>
    </font>
    <font>
      <sz val="10"/>
      <color indexed="9"/>
      <name val="Arial"/>
      <family val="2"/>
    </font>
    <font>
      <sz val="8"/>
      <name val="Arial"/>
      <family val="2"/>
    </font>
    <font>
      <i/>
      <sz val="10"/>
      <color indexed="9"/>
      <name val="Arial"/>
      <family val="2"/>
    </font>
    <font>
      <sz val="10"/>
      <color indexed="55"/>
      <name val="Arial"/>
      <family val="2"/>
    </font>
    <font>
      <sz val="8"/>
      <color indexed="81"/>
      <name val="Tahoma"/>
      <family val="2"/>
    </font>
    <font>
      <i/>
      <sz val="8"/>
      <color indexed="81"/>
      <name val="Tahoma"/>
      <family val="2"/>
    </font>
    <font>
      <b/>
      <sz val="8"/>
      <color indexed="81"/>
      <name val="Tahoma"/>
      <family val="2"/>
    </font>
    <font>
      <b/>
      <sz val="8"/>
      <color indexed="81"/>
      <name val="Symbol"/>
      <family val="1"/>
      <charset val="2"/>
    </font>
    <font>
      <u/>
      <sz val="10"/>
      <color indexed="12"/>
      <name val="Arial"/>
      <family val="2"/>
    </font>
    <font>
      <i/>
      <sz val="8"/>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sz val="8"/>
      <color indexed="23"/>
      <name val="Arial"/>
      <family val="2"/>
    </font>
    <font>
      <b/>
      <sz val="18"/>
      <color rgb="FFFF0000"/>
      <name val="Arial"/>
      <family val="2"/>
    </font>
    <font>
      <sz val="10"/>
      <color theme="0"/>
      <name val="Arial"/>
      <family val="2"/>
    </font>
    <font>
      <i/>
      <sz val="10"/>
      <color theme="0"/>
      <name val="Arial"/>
      <family val="2"/>
    </font>
    <font>
      <sz val="10"/>
      <name val="Helv"/>
    </font>
    <font>
      <b/>
      <sz val="11"/>
      <color indexed="12"/>
      <name val="Arial"/>
      <family val="2"/>
    </font>
    <font>
      <b/>
      <sz val="10"/>
      <name val="Verdana"/>
      <family val="2"/>
    </font>
    <font>
      <sz val="10"/>
      <name val="Verdana"/>
      <family val="2"/>
    </font>
    <font>
      <b/>
      <sz val="12"/>
      <color indexed="9"/>
      <name val="Verdana"/>
      <family val="2"/>
    </font>
    <font>
      <sz val="9"/>
      <color indexed="81"/>
      <name val="Tahoma"/>
      <family val="2"/>
    </font>
    <font>
      <b/>
      <sz val="9"/>
      <color indexed="81"/>
      <name val="Tahoma"/>
      <family val="2"/>
    </font>
    <font>
      <b/>
      <sz val="11"/>
      <color theme="0"/>
      <name val="Calibri"/>
      <family val="2"/>
      <scheme val="minor"/>
    </font>
    <font>
      <b/>
      <sz val="20"/>
      <color theme="3"/>
      <name val="Bookman Old Style"/>
      <family val="1"/>
    </font>
    <font>
      <sz val="16"/>
      <color theme="3"/>
      <name val="Calibri"/>
      <family val="2"/>
      <scheme val="minor"/>
    </font>
    <font>
      <sz val="10"/>
      <color theme="3"/>
      <name val="Arial"/>
      <family val="2"/>
    </font>
    <font>
      <sz val="11"/>
      <name val="Calibri"/>
      <family val="2"/>
      <scheme val="minor"/>
    </font>
  </fonts>
  <fills count="33">
    <fill>
      <patternFill patternType="none"/>
    </fill>
    <fill>
      <patternFill patternType="gray125"/>
    </fill>
    <fill>
      <patternFill patternType="solid">
        <fgColor theme="4"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indexed="47"/>
        <bgColor indexed="64"/>
      </patternFill>
    </fill>
    <fill>
      <patternFill patternType="solid">
        <fgColor indexed="22"/>
        <bgColor indexed="64"/>
      </patternFill>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rgb="FFFF0000"/>
        <bgColor indexed="64"/>
      </patternFill>
    </fill>
    <fill>
      <patternFill patternType="solid">
        <fgColor rgb="FFFFFF00"/>
        <bgColor indexed="64"/>
      </patternFill>
    </fill>
    <fill>
      <patternFill patternType="solid">
        <fgColor indexed="23"/>
        <bgColor indexed="64"/>
      </patternFill>
    </fill>
    <fill>
      <patternFill patternType="solid">
        <fgColor indexed="31"/>
        <bgColor indexed="64"/>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0"/>
        <bgColor indexed="64"/>
      </patternFill>
    </fill>
  </fills>
  <borders count="4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top/>
      <bottom style="thin">
        <color theme="0" tint="-0.14999847407452621"/>
      </bottom>
      <diagonal/>
    </border>
    <border>
      <left style="thin">
        <color indexed="55"/>
      </left>
      <right style="thin">
        <color indexed="55"/>
      </right>
      <top style="thin">
        <color indexed="55"/>
      </top>
      <bottom style="thin">
        <color indexed="55"/>
      </bottom>
      <diagonal/>
    </border>
    <border>
      <left/>
      <right/>
      <top/>
      <bottom style="thin">
        <color indexed="55"/>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0" tint="-0.14999847407452621"/>
      </left>
      <right/>
      <top/>
      <bottom/>
      <diagonal/>
    </border>
    <border>
      <left style="thin">
        <color indexed="55"/>
      </left>
      <right style="thin">
        <color indexed="55"/>
      </right>
      <top/>
      <bottom style="thin">
        <color indexed="55"/>
      </bottom>
      <diagonal/>
    </border>
    <border>
      <left style="thin">
        <color indexed="64"/>
      </left>
      <right/>
      <top style="thin">
        <color indexed="64"/>
      </top>
      <bottom style="thin">
        <color indexed="64"/>
      </bottom>
      <diagonal/>
    </border>
    <border>
      <left/>
      <right style="thin">
        <color theme="0" tint="-0.14999847407452621"/>
      </right>
      <top/>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right style="thin">
        <color theme="0" tint="-0.14996795556505021"/>
      </right>
      <top/>
      <bottom/>
      <diagonal/>
    </border>
    <border>
      <left/>
      <right/>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9847407452621"/>
      </left>
      <right/>
      <top/>
      <bottom style="thin">
        <color theme="0" tint="-0.149998474074526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bottom style="thin">
        <color theme="0" tint="-0.14996795556505021"/>
      </bottom>
      <diagonal/>
    </border>
    <border>
      <left style="thin">
        <color theme="0" tint="-0.14996795556505021"/>
      </left>
      <right/>
      <top/>
      <bottom/>
      <diagonal/>
    </border>
    <border>
      <left style="thin">
        <color theme="0" tint="-0.14999847407452621"/>
      </left>
      <right/>
      <top/>
      <bottom style="thin">
        <color theme="0" tint="-0.14996795556505021"/>
      </bottom>
      <diagonal/>
    </border>
    <border>
      <left/>
      <right style="thin">
        <color theme="0" tint="-0.14999847407452621"/>
      </right>
      <top/>
      <bottom style="thin">
        <color theme="0" tint="-0.14996795556505021"/>
      </bottom>
      <diagonal/>
    </border>
    <border>
      <left style="thin">
        <color theme="0"/>
      </left>
      <right style="thin">
        <color theme="0"/>
      </right>
      <top/>
      <bottom style="thick">
        <color theme="0"/>
      </bottom>
      <diagonal/>
    </border>
    <border>
      <left style="thin">
        <color theme="0"/>
      </left>
      <right style="thin">
        <color theme="0"/>
      </right>
      <top/>
      <bottom style="thin">
        <color theme="0"/>
      </bottom>
      <diagonal/>
    </border>
    <border>
      <left style="thin">
        <color theme="0"/>
      </left>
      <right style="thin">
        <color theme="0"/>
      </right>
      <top/>
      <bottom/>
      <diagonal/>
    </border>
  </borders>
  <cellStyleXfs count="77">
    <xf numFmtId="0" fontId="0" fillId="0" borderId="0"/>
    <xf numFmtId="9" fontId="1" fillId="0" borderId="0" applyFont="0" applyFill="0" applyBorder="0" applyAlignment="0" applyProtection="0"/>
    <xf numFmtId="0" fontId="11" fillId="0" borderId="0" applyNumberFormat="0" applyFill="0" applyBorder="0" applyAlignment="0" applyProtection="0"/>
    <xf numFmtId="0" fontId="14" fillId="0" borderId="0"/>
    <xf numFmtId="0" fontId="29" fillId="0" borderId="0" applyNumberFormat="0" applyFill="0" applyBorder="0" applyAlignment="0" applyProtection="0">
      <alignment vertical="top"/>
      <protection locked="0"/>
    </xf>
    <xf numFmtId="9" fontId="14" fillId="0" borderId="0" applyFont="0" applyFill="0" applyBorder="0" applyAlignment="0" applyProtection="0"/>
    <xf numFmtId="0" fontId="31" fillId="7"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7" borderId="0" applyNumberFormat="0" applyBorder="0" applyAlignment="0" applyProtection="0"/>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1" borderId="0" applyNumberFormat="0" applyBorder="0" applyAlignment="0" applyProtection="0"/>
    <xf numFmtId="0" fontId="31" fillId="9" borderId="0" applyNumberFormat="0" applyBorder="0" applyAlignment="0" applyProtection="0"/>
    <xf numFmtId="0" fontId="31" fillId="10" borderId="0" applyNumberFormat="0" applyBorder="0" applyAlignment="0" applyProtection="0"/>
    <xf numFmtId="0" fontId="32" fillId="13"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3"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32" fillId="15" borderId="0" applyNumberFormat="0" applyBorder="0" applyAlignment="0" applyProtection="0"/>
    <xf numFmtId="0" fontId="32" fillId="17" borderId="0" applyNumberFormat="0" applyBorder="0" applyAlignment="0" applyProtection="0"/>
    <xf numFmtId="0" fontId="32" fillId="14"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20" borderId="0" applyNumberFormat="0" applyBorder="0" applyAlignment="0" applyProtection="0"/>
    <xf numFmtId="0" fontId="33" fillId="21" borderId="0" applyNumberFormat="0" applyBorder="0" applyAlignment="0" applyProtection="0"/>
    <xf numFmtId="0" fontId="34" fillId="22" borderId="8" applyNumberFormat="0" applyAlignment="0" applyProtection="0"/>
    <xf numFmtId="0" fontId="35" fillId="23" borderId="9" applyNumberFormat="0" applyAlignment="0" applyProtection="0"/>
    <xf numFmtId="0" fontId="36" fillId="0" borderId="0" applyNumberFormat="0" applyFill="0" applyBorder="0" applyAlignment="0" applyProtection="0"/>
    <xf numFmtId="0" fontId="37" fillId="24" borderId="0" applyNumberFormat="0" applyBorder="0" applyAlignment="0" applyProtection="0"/>
    <xf numFmtId="0" fontId="38" fillId="0" borderId="10" applyNumberFormat="0" applyFill="0" applyAlignment="0" applyProtection="0"/>
    <xf numFmtId="0" fontId="39" fillId="0" borderId="11" applyNumberFormat="0" applyFill="0" applyAlignment="0" applyProtection="0"/>
    <xf numFmtId="0" fontId="40" fillId="0" borderId="12" applyNumberFormat="0" applyFill="0" applyAlignment="0" applyProtection="0"/>
    <xf numFmtId="0" fontId="40" fillId="0" borderId="0" applyNumberFormat="0" applyFill="0" applyBorder="0" applyAlignment="0" applyProtection="0"/>
    <xf numFmtId="0" fontId="41" fillId="16" borderId="8" applyNumberFormat="0" applyAlignment="0" applyProtection="0"/>
    <xf numFmtId="0" fontId="42" fillId="0" borderId="13" applyNumberFormat="0" applyFill="0" applyAlignment="0" applyProtection="0"/>
    <xf numFmtId="0" fontId="14" fillId="0" borderId="0"/>
    <xf numFmtId="0" fontId="14" fillId="10" borderId="6" applyNumberFormat="0" applyFont="0" applyAlignment="0" applyProtection="0"/>
    <xf numFmtId="0" fontId="43" fillId="22" borderId="14" applyNumberFormat="0" applyAlignment="0" applyProtection="0"/>
    <xf numFmtId="0" fontId="44" fillId="0" borderId="0" applyNumberFormat="0" applyFill="0" applyBorder="0" applyAlignment="0" applyProtection="0"/>
    <xf numFmtId="0" fontId="45" fillId="0" borderId="15" applyNumberFormat="0" applyFill="0" applyAlignment="0" applyProtection="0"/>
    <xf numFmtId="0" fontId="46" fillId="0" borderId="0" applyNumberFormat="0" applyFill="0" applyBorder="0" applyAlignment="0" applyProtection="0"/>
    <xf numFmtId="0" fontId="14" fillId="0" borderId="0"/>
    <xf numFmtId="168" fontId="14" fillId="0" borderId="0" applyFont="0" applyFill="0" applyBorder="0" applyAlignment="0" applyProtection="0"/>
    <xf numFmtId="9" fontId="14" fillId="0" borderId="0" applyFont="0" applyFill="0" applyBorder="0" applyAlignment="0" applyProtection="0"/>
    <xf numFmtId="169" fontId="1" fillId="0" borderId="0" applyFont="0" applyFill="0" applyBorder="0" applyAlignment="0" applyProtection="0"/>
    <xf numFmtId="0" fontId="14" fillId="0" borderId="0"/>
    <xf numFmtId="9" fontId="14" fillId="0" borderId="0" applyFont="0" applyFill="0" applyBorder="0" applyAlignment="0" applyProtection="0"/>
    <xf numFmtId="43" fontId="1" fillId="0" borderId="0" applyFont="0" applyFill="0" applyBorder="0" applyAlignment="0" applyProtection="0"/>
    <xf numFmtId="0" fontId="1" fillId="0" borderId="0"/>
    <xf numFmtId="0" fontId="14" fillId="0" borderId="0"/>
    <xf numFmtId="0" fontId="1" fillId="0" borderId="0"/>
    <xf numFmtId="0" fontId="51" fillId="0" borderId="0"/>
    <xf numFmtId="0" fontId="17" fillId="6" borderId="0"/>
    <xf numFmtId="0" fontId="15" fillId="0" borderId="0"/>
    <xf numFmtId="0" fontId="52" fillId="0" borderId="0">
      <alignment horizontal="left" vertical="center" indent="1"/>
    </xf>
    <xf numFmtId="0" fontId="14" fillId="0" borderId="0" applyFont="0" applyFill="0" applyBorder="0" applyAlignment="0" applyProtection="0"/>
    <xf numFmtId="0" fontId="14" fillId="6" borderId="0" applyNumberFormat="0" applyFont="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53" fillId="5" borderId="20" applyNumberFormat="0" applyBorder="0" applyAlignment="0" applyProtection="0"/>
    <xf numFmtId="0" fontId="54" fillId="5" borderId="17" applyNumberFormat="0" applyFill="0" applyBorder="0" applyAlignment="0" applyProtection="0">
      <alignment horizontal="center"/>
    </xf>
    <xf numFmtId="0" fontId="54" fillId="5" borderId="17" applyNumberFormat="0" applyFill="0" applyBorder="0" applyAlignment="0" applyProtection="0">
      <alignment horizontal="center"/>
    </xf>
    <xf numFmtId="0" fontId="54" fillId="5" borderId="17" applyNumberFormat="0" applyFill="0" applyBorder="0" applyAlignment="0" applyProtection="0">
      <alignment horizontal="center"/>
    </xf>
    <xf numFmtId="0" fontId="54" fillId="5" borderId="17" applyNumberFormat="0" applyFill="0" applyBorder="0" applyAlignment="0" applyProtection="0">
      <alignment horizontal="center"/>
    </xf>
    <xf numFmtId="0" fontId="54" fillId="5" borderId="17" applyNumberFormat="0" applyFill="0" applyBorder="0" applyAlignment="0" applyProtection="0">
      <alignment horizontal="center"/>
    </xf>
    <xf numFmtId="0" fontId="55" fillId="27" borderId="0"/>
    <xf numFmtId="0" fontId="14" fillId="28" borderId="16" applyFont="0" applyFill="0" applyBorder="0" applyAlignment="0" applyProtection="0"/>
    <xf numFmtId="0" fontId="1" fillId="0" borderId="0"/>
    <xf numFmtId="0" fontId="1" fillId="0" borderId="0"/>
  </cellStyleXfs>
  <cellXfs count="219">
    <xf numFmtId="0" fontId="0" fillId="0" borderId="0" xfId="0"/>
    <xf numFmtId="0" fontId="0" fillId="0" borderId="0" xfId="0" applyAlignment="1">
      <alignment horizontal="left"/>
    </xf>
    <xf numFmtId="0" fontId="2" fillId="0" borderId="0" xfId="0" applyFont="1"/>
    <xf numFmtId="0" fontId="0" fillId="0" borderId="0" xfId="0" applyAlignment="1">
      <alignment horizontal="right"/>
    </xf>
    <xf numFmtId="0" fontId="0" fillId="0" borderId="1" xfId="0" applyBorder="1"/>
    <xf numFmtId="0" fontId="0" fillId="0" borderId="1" xfId="0" applyBorder="1" applyAlignment="1">
      <alignment horizontal="right"/>
    </xf>
    <xf numFmtId="0" fontId="2" fillId="0" borderId="1" xfId="0" applyFont="1" applyBorder="1" applyAlignment="1">
      <alignment horizontal="right"/>
    </xf>
    <xf numFmtId="0" fontId="0" fillId="2" borderId="0" xfId="0" applyFill="1"/>
    <xf numFmtId="0" fontId="2" fillId="0" borderId="0" xfId="0" applyFont="1" applyAlignment="1">
      <alignment horizontal="left"/>
    </xf>
    <xf numFmtId="0" fontId="0" fillId="0" borderId="0" xfId="0" applyAlignment="1">
      <alignment horizontal="center"/>
    </xf>
    <xf numFmtId="0" fontId="2" fillId="0" borderId="1" xfId="0" applyFont="1" applyBorder="1"/>
    <xf numFmtId="0" fontId="0" fillId="0" borderId="1" xfId="0" applyBorder="1" applyAlignment="1">
      <alignment horizontal="left"/>
    </xf>
    <xf numFmtId="0" fontId="2" fillId="0" borderId="1" xfId="0" applyFont="1" applyBorder="1" applyAlignment="1">
      <alignment horizontal="left"/>
    </xf>
    <xf numFmtId="0" fontId="2" fillId="0" borderId="1" xfId="0" applyFont="1" applyBorder="1" applyAlignment="1">
      <alignment horizontal="center"/>
    </xf>
    <xf numFmtId="0" fontId="0" fillId="0" borderId="1" xfId="0" applyBorder="1" applyAlignment="1">
      <alignment horizontal="center"/>
    </xf>
    <xf numFmtId="2" fontId="0" fillId="0" borderId="0" xfId="0" applyNumberFormat="1"/>
    <xf numFmtId="164" fontId="0" fillId="0" borderId="0" xfId="0" applyNumberFormat="1"/>
    <xf numFmtId="1" fontId="0" fillId="0" borderId="1" xfId="0" applyNumberFormat="1" applyBorder="1" applyAlignment="1">
      <alignment horizontal="right"/>
    </xf>
    <xf numFmtId="1" fontId="0" fillId="0" borderId="1" xfId="0" applyNumberFormat="1" applyFill="1" applyBorder="1" applyAlignment="1">
      <alignment horizontal="right"/>
    </xf>
    <xf numFmtId="0" fontId="0" fillId="0" borderId="3" xfId="0" applyBorder="1" applyAlignment="1">
      <alignment horizontal="right"/>
    </xf>
    <xf numFmtId="9" fontId="0" fillId="0" borderId="3" xfId="1" applyFont="1" applyBorder="1" applyAlignment="1">
      <alignment horizontal="right"/>
    </xf>
    <xf numFmtId="0" fontId="0" fillId="0" borderId="2" xfId="0" applyBorder="1"/>
    <xf numFmtId="9" fontId="0" fillId="0" borderId="0" xfId="0" applyNumberFormat="1"/>
    <xf numFmtId="9" fontId="0" fillId="0" borderId="1" xfId="1" applyFont="1" applyBorder="1" applyAlignment="1">
      <alignment horizontal="right"/>
    </xf>
    <xf numFmtId="9" fontId="0" fillId="0" borderId="1" xfId="1" applyFont="1" applyFill="1" applyBorder="1" applyAlignment="1">
      <alignment horizontal="right"/>
    </xf>
    <xf numFmtId="1" fontId="0" fillId="0" borderId="1" xfId="1" applyNumberFormat="1" applyFont="1" applyFill="1" applyBorder="1" applyAlignment="1">
      <alignment horizontal="center"/>
    </xf>
    <xf numFmtId="9" fontId="0" fillId="0" borderId="1" xfId="1" applyFont="1" applyBorder="1" applyAlignment="1">
      <alignment horizontal="center"/>
    </xf>
    <xf numFmtId="1" fontId="3" fillId="0" borderId="2" xfId="0" applyNumberFormat="1" applyFont="1" applyBorder="1" applyAlignment="1">
      <alignment horizontal="center" vertical="center"/>
    </xf>
    <xf numFmtId="0" fontId="3" fillId="0" borderId="2" xfId="0" applyFont="1" applyBorder="1" applyAlignment="1">
      <alignment horizontal="center" vertical="center"/>
    </xf>
    <xf numFmtId="0" fontId="0" fillId="0" borderId="4" xfId="0" applyBorder="1"/>
    <xf numFmtId="0" fontId="0" fillId="0" borderId="0" xfId="0" applyAlignment="1">
      <alignment vertical="center"/>
    </xf>
    <xf numFmtId="0" fontId="0" fillId="3" borderId="4" xfId="0" applyFill="1" applyBorder="1"/>
    <xf numFmtId="0" fontId="0" fillId="3" borderId="3" xfId="0" applyFill="1" applyBorder="1"/>
    <xf numFmtId="9" fontId="0" fillId="0" borderId="1" xfId="0" applyNumberFormat="1" applyBorder="1"/>
    <xf numFmtId="0" fontId="0" fillId="0" borderId="0" xfId="0" applyAlignment="1">
      <alignment vertical="top" wrapText="1"/>
    </xf>
    <xf numFmtId="0" fontId="0" fillId="0" borderId="5" xfId="0" applyBorder="1" applyAlignment="1">
      <alignment vertical="top" wrapText="1"/>
    </xf>
    <xf numFmtId="165" fontId="0" fillId="0" borderId="0" xfId="0" applyNumberFormat="1" applyProtection="1">
      <protection locked="0"/>
    </xf>
    <xf numFmtId="0" fontId="7" fillId="4" borderId="0" xfId="0" applyFont="1" applyFill="1" applyAlignment="1">
      <alignment vertical="center"/>
    </xf>
    <xf numFmtId="0" fontId="7" fillId="0" borderId="0" xfId="0" applyFont="1" applyFill="1" applyAlignment="1">
      <alignment vertical="center"/>
    </xf>
    <xf numFmtId="0" fontId="10" fillId="0" borderId="0" xfId="0" applyFont="1" applyFill="1" applyAlignment="1">
      <alignment vertical="center"/>
    </xf>
    <xf numFmtId="0" fontId="0" fillId="0" borderId="0" xfId="0" applyAlignment="1">
      <alignment wrapText="1"/>
    </xf>
    <xf numFmtId="0" fontId="14" fillId="0" borderId="0" xfId="3" applyFont="1" applyFill="1" applyProtection="1"/>
    <xf numFmtId="0" fontId="14" fillId="0" borderId="0" xfId="3" applyFill="1" applyProtection="1"/>
    <xf numFmtId="0" fontId="14" fillId="0" borderId="0" xfId="3" applyFont="1" applyProtection="1"/>
    <xf numFmtId="0" fontId="14" fillId="0" borderId="0" xfId="3" applyFont="1" applyAlignment="1" applyProtection="1">
      <alignment horizontal="left"/>
      <protection locked="0"/>
    </xf>
    <xf numFmtId="0" fontId="14" fillId="0" borderId="0" xfId="3" applyFont="1" applyAlignment="1" applyProtection="1"/>
    <xf numFmtId="14" fontId="14" fillId="0" borderId="0" xfId="3" applyNumberFormat="1" applyFont="1" applyFill="1" applyAlignment="1" applyProtection="1">
      <alignment horizontal="left"/>
      <protection locked="0"/>
    </xf>
    <xf numFmtId="0" fontId="15" fillId="0" borderId="0" xfId="3" applyFont="1" applyFill="1" applyAlignment="1" applyProtection="1">
      <alignment horizontal="right"/>
    </xf>
    <xf numFmtId="0" fontId="14" fillId="0" borderId="0" xfId="3" applyFont="1" applyAlignment="1" applyProtection="1">
      <alignment horizontal="left"/>
    </xf>
    <xf numFmtId="0" fontId="29" fillId="0" borderId="0" xfId="4" applyAlignment="1" applyProtection="1"/>
    <xf numFmtId="0" fontId="14" fillId="0" borderId="0" xfId="3" applyFont="1" applyAlignment="1" applyProtection="1">
      <alignment horizontal="right"/>
    </xf>
    <xf numFmtId="0" fontId="16" fillId="0" borderId="0" xfId="3" applyFont="1" applyAlignment="1">
      <alignment horizontal="right" indent="1"/>
    </xf>
    <xf numFmtId="0" fontId="14" fillId="0" borderId="6" xfId="3" applyFill="1" applyBorder="1"/>
    <xf numFmtId="0" fontId="14" fillId="0" borderId="0" xfId="3" applyFont="1" applyFill="1" applyAlignment="1">
      <alignment horizontal="right" indent="1"/>
    </xf>
    <xf numFmtId="166" fontId="14" fillId="0" borderId="0" xfId="3" applyNumberFormat="1" applyFont="1" applyProtection="1"/>
    <xf numFmtId="0" fontId="14" fillId="0" borderId="0" xfId="3" applyFont="1" applyAlignment="1" applyProtection="1">
      <alignment horizontal="right" indent="1"/>
    </xf>
    <xf numFmtId="166" fontId="14" fillId="0" borderId="0" xfId="3" applyNumberFormat="1" applyFont="1" applyAlignment="1" applyProtection="1">
      <alignment horizontal="right"/>
    </xf>
    <xf numFmtId="0" fontId="18" fillId="0" borderId="0" xfId="3" applyFont="1" applyAlignment="1" applyProtection="1">
      <alignment horizontal="right" indent="1"/>
    </xf>
    <xf numFmtId="10" fontId="14" fillId="0" borderId="0" xfId="5" applyNumberFormat="1" applyFont="1" applyAlignment="1" applyProtection="1">
      <alignment horizontal="right"/>
    </xf>
    <xf numFmtId="166" fontId="14" fillId="0" borderId="0" xfId="3" applyNumberFormat="1" applyFill="1"/>
    <xf numFmtId="166" fontId="14" fillId="0" borderId="0" xfId="3" applyNumberFormat="1" applyFont="1" applyFill="1" applyProtection="1"/>
    <xf numFmtId="0" fontId="18" fillId="0" borderId="0" xfId="3" applyFont="1" applyFill="1" applyAlignment="1" applyProtection="1">
      <alignment horizontal="right" indent="1"/>
    </xf>
    <xf numFmtId="167" fontId="14" fillId="0" borderId="0" xfId="5" applyNumberFormat="1" applyFont="1" applyFill="1" applyProtection="1"/>
    <xf numFmtId="0" fontId="14" fillId="0" borderId="0" xfId="3" applyFont="1" applyFill="1" applyAlignment="1" applyProtection="1">
      <alignment horizontal="right" indent="1"/>
    </xf>
    <xf numFmtId="164" fontId="14" fillId="0" borderId="0" xfId="3" applyNumberFormat="1" applyFont="1" applyFill="1" applyProtection="1"/>
    <xf numFmtId="0" fontId="22" fillId="0" borderId="0" xfId="3" applyFont="1" applyFill="1" applyProtection="1"/>
    <xf numFmtId="0" fontId="17" fillId="0" borderId="0" xfId="3" applyFont="1" applyProtection="1"/>
    <xf numFmtId="166" fontId="24" fillId="0" borderId="0" xfId="3" applyNumberFormat="1" applyFont="1" applyFill="1" applyAlignment="1" applyProtection="1">
      <alignment horizontal="center"/>
    </xf>
    <xf numFmtId="0" fontId="16" fillId="6" borderId="0" xfId="3" applyFont="1" applyFill="1" applyProtection="1"/>
    <xf numFmtId="0" fontId="14" fillId="6" borderId="0" xfId="3" applyFont="1" applyFill="1" applyProtection="1"/>
    <xf numFmtId="0" fontId="30" fillId="0" borderId="0" xfId="3" applyFont="1" applyProtection="1"/>
    <xf numFmtId="0" fontId="16" fillId="6" borderId="0" xfId="3" applyFont="1" applyFill="1" applyAlignment="1" applyProtection="1">
      <alignment horizontal="left"/>
    </xf>
    <xf numFmtId="0" fontId="17" fillId="6" borderId="16" xfId="3" applyFont="1" applyFill="1" applyBorder="1" applyAlignment="1" applyProtection="1">
      <alignment horizontal="right"/>
    </xf>
    <xf numFmtId="0" fontId="48" fillId="0" borderId="0" xfId="3" applyFont="1" applyFill="1" applyAlignment="1" applyProtection="1">
      <alignment horizontal="left"/>
    </xf>
    <xf numFmtId="0" fontId="17" fillId="25" borderId="0" xfId="3" applyFont="1" applyFill="1" applyProtection="1"/>
    <xf numFmtId="0" fontId="20" fillId="25" borderId="0" xfId="3" applyFont="1" applyFill="1" applyProtection="1"/>
    <xf numFmtId="0" fontId="21" fillId="25" borderId="0" xfId="3" applyFont="1" applyFill="1" applyProtection="1"/>
    <xf numFmtId="0" fontId="23" fillId="25" borderId="7" xfId="3" applyFont="1" applyFill="1" applyBorder="1" applyAlignment="1">
      <alignment horizontal="right"/>
    </xf>
    <xf numFmtId="0" fontId="21" fillId="25" borderId="7" xfId="3" applyFont="1" applyFill="1" applyBorder="1" applyAlignment="1">
      <alignment horizontal="center"/>
    </xf>
    <xf numFmtId="0" fontId="0" fillId="0" borderId="0" xfId="0" applyBorder="1"/>
    <xf numFmtId="0" fontId="0" fillId="0" borderId="0" xfId="0" applyFill="1"/>
    <xf numFmtId="0" fontId="6" fillId="0" borderId="0" xfId="0" applyFont="1" applyAlignment="1">
      <alignment horizontal="right" vertical="top"/>
    </xf>
    <xf numFmtId="0" fontId="0" fillId="3" borderId="0" xfId="0" applyFill="1"/>
    <xf numFmtId="0" fontId="0" fillId="0" borderId="0" xfId="0" applyFill="1" applyBorder="1"/>
    <xf numFmtId="0" fontId="5" fillId="0" borderId="0" xfId="0" applyFont="1" applyFill="1" applyBorder="1" applyAlignment="1">
      <alignment vertical="center"/>
    </xf>
    <xf numFmtId="14" fontId="1" fillId="0" borderId="0" xfId="54" applyNumberFormat="1" applyFont="1" applyFill="1"/>
    <xf numFmtId="14" fontId="1" fillId="0" borderId="0" xfId="54" applyNumberFormat="1" applyFill="1"/>
    <xf numFmtId="0" fontId="1" fillId="0" borderId="0" xfId="54" applyFill="1"/>
    <xf numFmtId="2" fontId="1" fillId="0" borderId="0" xfId="54" applyNumberFormat="1" applyFont="1" applyFill="1"/>
    <xf numFmtId="2" fontId="1" fillId="0" borderId="0" xfId="54" applyNumberFormat="1" applyFill="1"/>
    <xf numFmtId="0" fontId="2" fillId="2" borderId="1" xfId="0" applyFont="1" applyFill="1" applyBorder="1" applyAlignment="1">
      <alignment horizontal="center"/>
    </xf>
    <xf numFmtId="164" fontId="1" fillId="0" borderId="0" xfId="54" applyNumberFormat="1" applyFont="1" applyFill="1"/>
    <xf numFmtId="2" fontId="0" fillId="0" borderId="4" xfId="0" applyNumberFormat="1" applyBorder="1" applyAlignment="1">
      <alignment horizontal="right"/>
    </xf>
    <xf numFmtId="0" fontId="1" fillId="0" borderId="0" xfId="54" applyNumberFormat="1" applyFont="1" applyFill="1"/>
    <xf numFmtId="0" fontId="0" fillId="0" borderId="1" xfId="0" applyNumberFormat="1" applyBorder="1"/>
    <xf numFmtId="0" fontId="0" fillId="0" borderId="1" xfId="0" applyNumberFormat="1" applyBorder="1" applyAlignment="1">
      <alignment horizontal="left"/>
    </xf>
    <xf numFmtId="0" fontId="49" fillId="0" borderId="0" xfId="3" applyFont="1" applyFill="1" applyProtection="1"/>
    <xf numFmtId="0" fontId="49" fillId="0" borderId="0" xfId="3" applyFont="1" applyFill="1" applyAlignment="1">
      <alignment horizontal="right" indent="1"/>
    </xf>
    <xf numFmtId="0" fontId="49" fillId="0" borderId="19" xfId="3" applyFont="1" applyFill="1" applyBorder="1" applyProtection="1"/>
    <xf numFmtId="0" fontId="14" fillId="0" borderId="0" xfId="3" applyFont="1" applyBorder="1" applyProtection="1"/>
    <xf numFmtId="0" fontId="15" fillId="0" borderId="0" xfId="3" applyFont="1" applyBorder="1" applyAlignment="1" applyProtection="1">
      <alignment horizontal="right" indent="1"/>
    </xf>
    <xf numFmtId="0" fontId="14" fillId="0" borderId="0" xfId="3" applyFont="1" applyFill="1" applyBorder="1" applyAlignment="1" applyProtection="1">
      <alignment horizontal="left"/>
    </xf>
    <xf numFmtId="0" fontId="14" fillId="0" borderId="0" xfId="3"/>
    <xf numFmtId="0" fontId="14" fillId="5" borderId="0" xfId="3" applyFont="1" applyFill="1" applyBorder="1" applyAlignment="1" applyProtection="1">
      <alignment horizontal="right"/>
    </xf>
    <xf numFmtId="0" fontId="14" fillId="6" borderId="16" xfId="3" applyFont="1" applyFill="1" applyBorder="1" applyAlignment="1" applyProtection="1">
      <alignment horizontal="right"/>
    </xf>
    <xf numFmtId="170" fontId="14" fillId="26" borderId="17" xfId="3" applyNumberFormat="1" applyFont="1" applyFill="1" applyBorder="1" applyAlignment="1">
      <alignment horizontal="center" vertical="center"/>
    </xf>
    <xf numFmtId="170" fontId="14" fillId="26" borderId="17" xfId="3" applyNumberFormat="1" applyFont="1" applyFill="1" applyBorder="1" applyAlignment="1">
      <alignment horizontal="center"/>
    </xf>
    <xf numFmtId="0" fontId="14" fillId="26" borderId="17" xfId="3" applyFont="1" applyFill="1" applyBorder="1" applyAlignment="1">
      <alignment horizontal="center"/>
    </xf>
    <xf numFmtId="0" fontId="14" fillId="26" borderId="17" xfId="3" applyFont="1" applyFill="1" applyBorder="1" applyAlignment="1" applyProtection="1">
      <alignment horizontal="center"/>
    </xf>
    <xf numFmtId="0" fontId="14" fillId="26" borderId="17" xfId="3" applyFont="1" applyFill="1" applyBorder="1" applyProtection="1"/>
    <xf numFmtId="0" fontId="14" fillId="26" borderId="17" xfId="3" applyFill="1" applyBorder="1"/>
    <xf numFmtId="0" fontId="47" fillId="6" borderId="0" xfId="3" applyFont="1" applyFill="1" applyProtection="1"/>
    <xf numFmtId="0" fontId="14" fillId="0" borderId="0" xfId="3" applyFill="1"/>
    <xf numFmtId="0" fontId="0" fillId="0" borderId="0" xfId="0" applyNumberFormat="1"/>
    <xf numFmtId="0" fontId="0" fillId="0" borderId="0" xfId="0" applyNumberFormat="1" applyBorder="1"/>
    <xf numFmtId="2" fontId="0" fillId="0" borderId="0" xfId="54" applyNumberFormat="1" applyFont="1" applyFill="1"/>
    <xf numFmtId="10" fontId="1" fillId="0" borderId="0" xfId="54" applyNumberFormat="1" applyFill="1"/>
    <xf numFmtId="10" fontId="1" fillId="26" borderId="0" xfId="54" applyNumberFormat="1" applyFont="1" applyFill="1"/>
    <xf numFmtId="10" fontId="1" fillId="26" borderId="0" xfId="54" applyNumberFormat="1" applyFill="1"/>
    <xf numFmtId="171" fontId="1" fillId="26" borderId="0" xfId="54" applyNumberFormat="1" applyFont="1" applyFill="1"/>
    <xf numFmtId="171" fontId="1" fillId="26" borderId="0" xfId="54" applyNumberFormat="1" applyFill="1"/>
    <xf numFmtId="2" fontId="1" fillId="26" borderId="0" xfId="54" applyNumberFormat="1" applyFont="1" applyFill="1"/>
    <xf numFmtId="2" fontId="1" fillId="26" borderId="0" xfId="54" applyNumberFormat="1" applyFill="1"/>
    <xf numFmtId="0" fontId="14" fillId="26" borderId="0" xfId="3" applyFont="1" applyFill="1" applyProtection="1"/>
    <xf numFmtId="0" fontId="12" fillId="0" borderId="0" xfId="2" applyFont="1" applyFill="1" applyBorder="1" applyAlignment="1">
      <alignment horizontal="center" vertical="center"/>
    </xf>
    <xf numFmtId="0" fontId="8" fillId="0" borderId="0" xfId="0" applyFont="1" applyAlignment="1">
      <alignment vertical="center"/>
    </xf>
    <xf numFmtId="0" fontId="9" fillId="0" borderId="0" xfId="0" applyFont="1" applyAlignment="1">
      <alignment vertical="center"/>
    </xf>
    <xf numFmtId="0" fontId="5" fillId="0" borderId="0" xfId="0" applyFont="1" applyAlignment="1">
      <alignment vertical="center"/>
    </xf>
    <xf numFmtId="0" fontId="3" fillId="0" borderId="22" xfId="0" applyFont="1" applyBorder="1" applyAlignment="1">
      <alignment horizontal="center" vertical="center"/>
    </xf>
    <xf numFmtId="0" fontId="0" fillId="0" borderId="24" xfId="0" applyBorder="1"/>
    <xf numFmtId="0" fontId="0" fillId="0" borderId="25" xfId="0" applyBorder="1"/>
    <xf numFmtId="0" fontId="0" fillId="0" borderId="26" xfId="0" applyBorder="1"/>
    <xf numFmtId="1" fontId="3" fillId="0" borderId="27" xfId="0" applyNumberFormat="1" applyFont="1" applyBorder="1" applyAlignment="1">
      <alignment horizontal="center" vertical="center"/>
    </xf>
    <xf numFmtId="0" fontId="0" fillId="0" borderId="28" xfId="0" applyBorder="1"/>
    <xf numFmtId="0" fontId="0" fillId="0" borderId="29" xfId="0" applyBorder="1"/>
    <xf numFmtId="1" fontId="3" fillId="0" borderId="18" xfId="0" applyNumberFormat="1" applyFont="1" applyBorder="1" applyAlignment="1">
      <alignment horizontal="center" vertical="center"/>
    </xf>
    <xf numFmtId="1" fontId="3" fillId="0" borderId="5" xfId="0" applyNumberFormat="1" applyFont="1" applyBorder="1" applyAlignment="1">
      <alignment horizontal="center" vertical="center"/>
    </xf>
    <xf numFmtId="14" fontId="0" fillId="0" borderId="1" xfId="0" applyNumberFormat="1" applyBorder="1" applyAlignment="1">
      <alignment horizontal="left"/>
    </xf>
    <xf numFmtId="14" fontId="0" fillId="0" borderId="0" xfId="0" applyNumberFormat="1" applyAlignment="1">
      <alignment horizontal="left"/>
    </xf>
    <xf numFmtId="14" fontId="0" fillId="0" borderId="1" xfId="0" applyNumberFormat="1" applyBorder="1"/>
    <xf numFmtId="0" fontId="0" fillId="26" borderId="0" xfId="0" applyFill="1"/>
    <xf numFmtId="1" fontId="3" fillId="0" borderId="30" xfId="0" applyNumberFormat="1" applyFont="1" applyBorder="1" applyAlignment="1">
      <alignment horizontal="center" vertical="center"/>
    </xf>
    <xf numFmtId="1" fontId="3" fillId="0" borderId="0" xfId="0" applyNumberFormat="1" applyFont="1" applyBorder="1" applyAlignment="1">
      <alignment horizontal="center" vertical="center"/>
    </xf>
    <xf numFmtId="1" fontId="3" fillId="0" borderId="28" xfId="0" applyNumberFormat="1" applyFont="1" applyBorder="1" applyAlignment="1">
      <alignment horizontal="center" vertical="center"/>
    </xf>
    <xf numFmtId="1" fontId="3" fillId="0" borderId="32" xfId="0" applyNumberFormat="1" applyFont="1" applyBorder="1" applyAlignment="1">
      <alignment horizontal="center" vertical="center"/>
    </xf>
    <xf numFmtId="0" fontId="0" fillId="0" borderId="33" xfId="0" applyBorder="1"/>
    <xf numFmtId="0" fontId="0" fillId="0" borderId="34" xfId="0" applyBorder="1"/>
    <xf numFmtId="14" fontId="0" fillId="0" borderId="2" xfId="0" applyNumberFormat="1" applyBorder="1"/>
    <xf numFmtId="1" fontId="3" fillId="0" borderId="33" xfId="0" applyNumberFormat="1" applyFont="1" applyBorder="1" applyAlignment="1">
      <alignment horizontal="center" vertical="center"/>
    </xf>
    <xf numFmtId="0" fontId="3" fillId="0" borderId="35" xfId="0" applyFont="1" applyBorder="1" applyAlignment="1">
      <alignment horizontal="center" vertical="center"/>
    </xf>
    <xf numFmtId="0" fontId="3" fillId="0" borderId="36" xfId="0" applyFont="1" applyBorder="1" applyAlignment="1">
      <alignment horizontal="center" vertical="center"/>
    </xf>
    <xf numFmtId="0" fontId="3" fillId="0" borderId="27" xfId="0" applyFont="1" applyBorder="1" applyAlignment="1">
      <alignment horizontal="center" vertical="center"/>
    </xf>
    <xf numFmtId="1" fontId="3" fillId="0" borderId="31" xfId="0" applyNumberFormat="1" applyFont="1" applyBorder="1" applyAlignment="1">
      <alignment horizontal="center" vertical="center"/>
    </xf>
    <xf numFmtId="0" fontId="0" fillId="0" borderId="1" xfId="0" applyFill="1" applyBorder="1" applyAlignment="1">
      <alignment horizontal="left"/>
    </xf>
    <xf numFmtId="0" fontId="0" fillId="0" borderId="0" xfId="0" applyBorder="1" applyAlignment="1">
      <alignment vertical="top" wrapText="1"/>
    </xf>
    <xf numFmtId="1" fontId="3" fillId="0" borderId="26" xfId="0" applyNumberFormat="1" applyFont="1" applyBorder="1" applyAlignment="1">
      <alignment horizontal="center" vertical="center"/>
    </xf>
    <xf numFmtId="0" fontId="0" fillId="0" borderId="3" xfId="0" applyBorder="1"/>
    <xf numFmtId="2" fontId="1" fillId="0" borderId="0" xfId="75" applyNumberFormat="1" applyFill="1"/>
    <xf numFmtId="0" fontId="1" fillId="0" borderId="0" xfId="54"/>
    <xf numFmtId="10" fontId="0" fillId="0" borderId="1" xfId="0" applyNumberFormat="1" applyBorder="1" applyAlignment="1">
      <alignment horizontal="center"/>
    </xf>
    <xf numFmtId="10" fontId="0" fillId="0" borderId="1" xfId="0" applyNumberFormat="1" applyFill="1" applyBorder="1" applyAlignment="1">
      <alignment horizontal="right"/>
    </xf>
    <xf numFmtId="0" fontId="2" fillId="0" borderId="1" xfId="0" applyNumberFormat="1" applyFont="1" applyBorder="1" applyAlignment="1">
      <alignment horizontal="right"/>
    </xf>
    <xf numFmtId="0" fontId="0" fillId="0" borderId="1" xfId="0" applyNumberFormat="1" applyBorder="1" applyAlignment="1">
      <alignment horizontal="right"/>
    </xf>
    <xf numFmtId="2" fontId="0" fillId="0" borderId="4" xfId="1" applyNumberFormat="1" applyFont="1" applyBorder="1" applyAlignment="1">
      <alignment horizontal="right"/>
    </xf>
    <xf numFmtId="2" fontId="0" fillId="0" borderId="28" xfId="0" applyNumberFormat="1" applyBorder="1"/>
    <xf numFmtId="2" fontId="0" fillId="0" borderId="23" xfId="0" applyNumberFormat="1" applyBorder="1"/>
    <xf numFmtId="2" fontId="0" fillId="0" borderId="0" xfId="0" applyNumberFormat="1" applyBorder="1"/>
    <xf numFmtId="2" fontId="0" fillId="0" borderId="26" xfId="0" applyNumberFormat="1" applyBorder="1"/>
    <xf numFmtId="14" fontId="1" fillId="0" borderId="0" xfId="54" applyNumberFormat="1"/>
    <xf numFmtId="14" fontId="0" fillId="0" borderId="0" xfId="54" applyNumberFormat="1" applyFont="1"/>
    <xf numFmtId="0" fontId="58" fillId="29" borderId="39" xfId="0" applyFont="1" applyFill="1" applyBorder="1"/>
    <xf numFmtId="2" fontId="0" fillId="30" borderId="40" xfId="54" applyNumberFormat="1" applyFont="1" applyFill="1" applyBorder="1"/>
    <xf numFmtId="2" fontId="0" fillId="31" borderId="40" xfId="54" applyNumberFormat="1" applyFont="1" applyFill="1" applyBorder="1"/>
    <xf numFmtId="2" fontId="0" fillId="31" borderId="41" xfId="54" applyNumberFormat="1" applyFont="1" applyFill="1" applyBorder="1"/>
    <xf numFmtId="0" fontId="0" fillId="0" borderId="1" xfId="0" applyNumberFormat="1" applyFont="1" applyBorder="1" applyAlignment="1">
      <alignment horizontal="right"/>
    </xf>
    <xf numFmtId="0" fontId="0" fillId="0" borderId="0" xfId="0" applyNumberFormat="1" applyFont="1"/>
    <xf numFmtId="2" fontId="0" fillId="25" borderId="0" xfId="0" applyNumberFormat="1" applyFill="1"/>
    <xf numFmtId="10" fontId="0" fillId="0" borderId="0" xfId="0" applyNumberFormat="1"/>
    <xf numFmtId="0" fontId="1" fillId="0" borderId="0" xfId="54" applyFont="1"/>
    <xf numFmtId="0" fontId="0" fillId="0" borderId="0" xfId="54" applyFont="1"/>
    <xf numFmtId="14" fontId="0" fillId="26" borderId="0" xfId="0" applyNumberFormat="1" applyFill="1"/>
    <xf numFmtId="14" fontId="0" fillId="0" borderId="0" xfId="54" applyNumberFormat="1" applyFont="1" applyFill="1"/>
    <xf numFmtId="14" fontId="0" fillId="0" borderId="1" xfId="0" applyNumberFormat="1" applyBorder="1" applyAlignment="1">
      <alignment horizontal="center"/>
    </xf>
    <xf numFmtId="2" fontId="0" fillId="0" borderId="1" xfId="0" applyNumberFormat="1" applyBorder="1" applyAlignment="1">
      <alignment horizontal="center"/>
    </xf>
    <xf numFmtId="0" fontId="61" fillId="0" borderId="0" xfId="3" applyFont="1" applyFill="1" applyBorder="1" applyAlignment="1" applyProtection="1">
      <alignment horizontal="left"/>
    </xf>
    <xf numFmtId="1" fontId="62" fillId="32" borderId="0" xfId="0" applyNumberFormat="1" applyFont="1" applyFill="1"/>
    <xf numFmtId="0" fontId="62" fillId="32" borderId="0" xfId="0" applyFont="1" applyFill="1"/>
    <xf numFmtId="0" fontId="0" fillId="0" borderId="0" xfId="0" applyNumberFormat="1" applyFill="1"/>
    <xf numFmtId="0" fontId="0" fillId="0" borderId="0" xfId="0" applyFill="1" applyAlignment="1">
      <alignment wrapText="1"/>
    </xf>
    <xf numFmtId="2" fontId="1" fillId="0" borderId="0" xfId="76" applyNumberFormat="1" applyFill="1"/>
    <xf numFmtId="0" fontId="1" fillId="0" borderId="0" xfId="54" applyNumberFormat="1" applyFill="1"/>
    <xf numFmtId="164" fontId="0" fillId="0" borderId="0" xfId="0" applyNumberFormat="1" applyFill="1"/>
    <xf numFmtId="0" fontId="0" fillId="0" borderId="0" xfId="0" applyNumberFormat="1" applyFill="1" applyAlignment="1">
      <alignment wrapText="1"/>
    </xf>
    <xf numFmtId="2" fontId="0" fillId="0" borderId="0" xfId="0" applyNumberFormat="1" applyFill="1"/>
    <xf numFmtId="164" fontId="0" fillId="0" borderId="0" xfId="0" applyNumberFormat="1" applyFill="1" applyBorder="1"/>
    <xf numFmtId="0" fontId="5" fillId="0" borderId="0" xfId="0" applyFont="1" applyAlignment="1">
      <alignment horizontal="center" vertical="center"/>
    </xf>
    <xf numFmtId="0" fontId="2" fillId="2" borderId="2" xfId="0" applyFont="1" applyFill="1" applyBorder="1" applyAlignment="1">
      <alignment horizontal="center"/>
    </xf>
    <xf numFmtId="0" fontId="2" fillId="2" borderId="4" xfId="0" applyFont="1" applyFill="1" applyBorder="1" applyAlignment="1">
      <alignment horizontal="center"/>
    </xf>
    <xf numFmtId="0" fontId="2" fillId="2" borderId="3" xfId="0" applyFont="1" applyFill="1" applyBorder="1" applyAlignment="1">
      <alignment horizontal="center"/>
    </xf>
    <xf numFmtId="0" fontId="60" fillId="0" borderId="0" xfId="0" applyFont="1" applyAlignment="1">
      <alignment horizontal="center" vertical="center"/>
    </xf>
    <xf numFmtId="0" fontId="8" fillId="0" borderId="0" xfId="0" applyFont="1" applyAlignment="1">
      <alignment horizontal="center" vertical="center"/>
    </xf>
    <xf numFmtId="0" fontId="9" fillId="0" borderId="0" xfId="0" applyFont="1" applyAlignment="1">
      <alignment horizontal="center" vertical="center"/>
    </xf>
    <xf numFmtId="0" fontId="12" fillId="0" borderId="0" xfId="2" applyFont="1" applyFill="1" applyBorder="1" applyAlignment="1">
      <alignment horizontal="center" vertical="center"/>
    </xf>
    <xf numFmtId="0" fontId="60" fillId="0" borderId="0" xfId="0" applyFont="1" applyAlignment="1">
      <alignment horizontal="center" vertical="center" wrapText="1"/>
    </xf>
    <xf numFmtId="0" fontId="4" fillId="0" borderId="0" xfId="0" applyFont="1" applyAlignment="1">
      <alignment horizontal="center" vertical="center"/>
    </xf>
    <xf numFmtId="0" fontId="2" fillId="2" borderId="2" xfId="0" applyFont="1" applyFill="1" applyBorder="1" applyAlignment="1">
      <alignment horizontal="center" wrapText="1"/>
    </xf>
    <xf numFmtId="0" fontId="2" fillId="2" borderId="4" xfId="0" applyFont="1" applyFill="1" applyBorder="1" applyAlignment="1">
      <alignment horizontal="center" wrapText="1"/>
    </xf>
    <xf numFmtId="0" fontId="2" fillId="2" borderId="3" xfId="0" applyFont="1" applyFill="1" applyBorder="1" applyAlignment="1">
      <alignment horizontal="center" wrapText="1"/>
    </xf>
    <xf numFmtId="10" fontId="8" fillId="0" borderId="0" xfId="0" applyNumberFormat="1" applyFont="1" applyAlignment="1">
      <alignment horizontal="center" vertical="center"/>
    </xf>
    <xf numFmtId="0" fontId="59" fillId="4" borderId="0" xfId="0" applyFont="1" applyFill="1" applyAlignment="1">
      <alignment horizontal="center" vertical="center"/>
    </xf>
    <xf numFmtId="0" fontId="2" fillId="2" borderId="18" xfId="0" applyFont="1" applyFill="1" applyBorder="1" applyAlignment="1">
      <alignment horizontal="center"/>
    </xf>
    <xf numFmtId="0" fontId="2" fillId="2" borderId="0" xfId="0" applyFont="1" applyFill="1" applyBorder="1" applyAlignment="1">
      <alignment horizontal="center"/>
    </xf>
    <xf numFmtId="0" fontId="2" fillId="2" borderId="21" xfId="0" applyFont="1" applyFill="1" applyBorder="1" applyAlignment="1">
      <alignment horizontal="center"/>
    </xf>
    <xf numFmtId="0" fontId="2" fillId="2" borderId="37" xfId="0" applyFont="1" applyFill="1" applyBorder="1" applyAlignment="1">
      <alignment horizontal="right"/>
    </xf>
    <xf numFmtId="0" fontId="2" fillId="2" borderId="26" xfId="0" applyFont="1" applyFill="1" applyBorder="1" applyAlignment="1">
      <alignment horizontal="right"/>
    </xf>
    <xf numFmtId="0" fontId="2" fillId="2" borderId="38" xfId="0" applyFont="1" applyFill="1" applyBorder="1" applyAlignment="1">
      <alignment horizontal="right"/>
    </xf>
    <xf numFmtId="0" fontId="60" fillId="0" borderId="0" xfId="0" applyFont="1" applyFill="1" applyAlignment="1">
      <alignment horizontal="center" vertical="center" wrapText="1"/>
    </xf>
    <xf numFmtId="14" fontId="14" fillId="0" borderId="0" xfId="3" applyNumberFormat="1" applyFont="1" applyFill="1" applyAlignment="1" applyProtection="1">
      <alignment horizontal="left"/>
      <protection locked="0"/>
    </xf>
    <xf numFmtId="0" fontId="14" fillId="26" borderId="0" xfId="3" applyFont="1" applyFill="1" applyAlignment="1" applyProtection="1">
      <alignment horizontal="center"/>
    </xf>
  </cellXfs>
  <cellStyles count="77">
    <cellStyle name="20% - Accent1" xfId="6" xr:uid="{00000000-0005-0000-0000-000000000000}"/>
    <cellStyle name="20% - Accent2" xfId="7" xr:uid="{00000000-0005-0000-0000-000001000000}"/>
    <cellStyle name="20% - Accent3" xfId="8" xr:uid="{00000000-0005-0000-0000-000002000000}"/>
    <cellStyle name="20% - Accent4" xfId="9" xr:uid="{00000000-0005-0000-0000-000003000000}"/>
    <cellStyle name="20% - Accent5" xfId="10" xr:uid="{00000000-0005-0000-0000-000004000000}"/>
    <cellStyle name="20% - Accent6" xfId="11" xr:uid="{00000000-0005-0000-0000-000005000000}"/>
    <cellStyle name="40% - Accent1" xfId="12" xr:uid="{00000000-0005-0000-0000-000006000000}"/>
    <cellStyle name="40% - Accent2" xfId="13" xr:uid="{00000000-0005-0000-0000-000007000000}"/>
    <cellStyle name="40% - Accent3" xfId="14" xr:uid="{00000000-0005-0000-0000-000008000000}"/>
    <cellStyle name="40% - Accent4" xfId="15" xr:uid="{00000000-0005-0000-0000-000009000000}"/>
    <cellStyle name="40% - Accent5" xfId="16" xr:uid="{00000000-0005-0000-0000-00000A000000}"/>
    <cellStyle name="40% - Accent6" xfId="17" xr:uid="{00000000-0005-0000-0000-00000B000000}"/>
    <cellStyle name="60% - Accent1" xfId="18" xr:uid="{00000000-0005-0000-0000-00000C000000}"/>
    <cellStyle name="60% - Accent2" xfId="19" xr:uid="{00000000-0005-0000-0000-00000D000000}"/>
    <cellStyle name="60% - Accent3" xfId="20" xr:uid="{00000000-0005-0000-0000-00000E000000}"/>
    <cellStyle name="60% - Accent4" xfId="21" xr:uid="{00000000-0005-0000-0000-00000F000000}"/>
    <cellStyle name="60% - Accent5" xfId="22" xr:uid="{00000000-0005-0000-0000-000010000000}"/>
    <cellStyle name="60% - Accent6" xfId="23" xr:uid="{00000000-0005-0000-0000-000011000000}"/>
    <cellStyle name="Accent1" xfId="24" xr:uid="{00000000-0005-0000-0000-000012000000}"/>
    <cellStyle name="Accent2" xfId="25" xr:uid="{00000000-0005-0000-0000-000013000000}"/>
    <cellStyle name="Accent3" xfId="26" xr:uid="{00000000-0005-0000-0000-000014000000}"/>
    <cellStyle name="Accent4" xfId="27" xr:uid="{00000000-0005-0000-0000-000015000000}"/>
    <cellStyle name="Accent5" xfId="28" xr:uid="{00000000-0005-0000-0000-000016000000}"/>
    <cellStyle name="Accent6" xfId="29" xr:uid="{00000000-0005-0000-0000-000017000000}"/>
    <cellStyle name="Anfangstitel" xfId="58" xr:uid="{00000000-0005-0000-0000-000018000000}"/>
    <cellStyle name="Bad" xfId="30" xr:uid="{00000000-0005-0000-0000-000019000000}"/>
    <cellStyle name="Beschriftung" xfId="59" xr:uid="{00000000-0005-0000-0000-00001A000000}"/>
    <cellStyle name="Calculation" xfId="31" xr:uid="{00000000-0005-0000-0000-00001B000000}"/>
    <cellStyle name="Check Cell" xfId="32" xr:uid="{00000000-0005-0000-0000-00001C000000}"/>
    <cellStyle name="Comma 4" xfId="48" xr:uid="{00000000-0005-0000-0000-00001D000000}"/>
    <cellStyle name="ContentsHyperlink" xfId="60" xr:uid="{00000000-0005-0000-0000-00001E000000}"/>
    <cellStyle name="Dezimal 2" xfId="53" xr:uid="{00000000-0005-0000-0000-00001F000000}"/>
    <cellStyle name="Euro" xfId="61" xr:uid="{00000000-0005-0000-0000-000020000000}"/>
    <cellStyle name="Explanatory Text" xfId="33" xr:uid="{00000000-0005-0000-0000-000021000000}"/>
    <cellStyle name="Good" xfId="34" xr:uid="{00000000-0005-0000-0000-000022000000}"/>
    <cellStyle name="Heading 1" xfId="35" xr:uid="{00000000-0005-0000-0000-000023000000}"/>
    <cellStyle name="Heading 2" xfId="36" xr:uid="{00000000-0005-0000-0000-000024000000}"/>
    <cellStyle name="Heading 3" xfId="37" xr:uid="{00000000-0005-0000-0000-000025000000}"/>
    <cellStyle name="Heading 4" xfId="38" xr:uid="{00000000-0005-0000-0000-000026000000}"/>
    <cellStyle name="Hyperlink 2" xfId="4" xr:uid="{00000000-0005-0000-0000-000028000000}"/>
    <cellStyle name="Input" xfId="39" xr:uid="{00000000-0005-0000-0000-000029000000}"/>
    <cellStyle name="Link" xfId="2" builtinId="8"/>
    <cellStyle name="Linked Cell" xfId="40" xr:uid="{00000000-0005-0000-0000-00002A000000}"/>
    <cellStyle name="Normal 2" xfId="41" xr:uid="{00000000-0005-0000-0000-00002B000000}"/>
    <cellStyle name="Normal 3" xfId="51" xr:uid="{00000000-0005-0000-0000-00002C000000}"/>
    <cellStyle name="Normal 4" xfId="47" xr:uid="{00000000-0005-0000-0000-00002D000000}"/>
    <cellStyle name="Note" xfId="42" xr:uid="{00000000-0005-0000-0000-00002E000000}"/>
    <cellStyle name="Ohne Wert" xfId="62" xr:uid="{00000000-0005-0000-0000-00002F000000}"/>
    <cellStyle name="Output" xfId="43" xr:uid="{00000000-0005-0000-0000-000030000000}"/>
    <cellStyle name="Percent 3" xfId="52" xr:uid="{00000000-0005-0000-0000-000031000000}"/>
    <cellStyle name="Percent 4" xfId="49" xr:uid="{00000000-0005-0000-0000-000032000000}"/>
    <cellStyle name="Prozent" xfId="1" builtinId="5"/>
    <cellStyle name="Prozent 2" xfId="5" xr:uid="{00000000-0005-0000-0000-000034000000}"/>
    <cellStyle name="Prozent 3" xfId="63" xr:uid="{00000000-0005-0000-0000-000035000000}"/>
    <cellStyle name="Prozent 4" xfId="64" xr:uid="{00000000-0005-0000-0000-000036000000}"/>
    <cellStyle name="Standard" xfId="0" builtinId="0"/>
    <cellStyle name="Standard 2" xfId="3" xr:uid="{00000000-0005-0000-0000-000038000000}"/>
    <cellStyle name="Standard 2 2" xfId="54" xr:uid="{00000000-0005-0000-0000-000039000000}"/>
    <cellStyle name="Standard 2 2 2" xfId="76" xr:uid="{00000000-0005-0000-0000-00003A000000}"/>
    <cellStyle name="Standard 3" xfId="55" xr:uid="{00000000-0005-0000-0000-00003B000000}"/>
    <cellStyle name="Standard 3 2" xfId="57" xr:uid="{00000000-0005-0000-0000-00003C000000}"/>
    <cellStyle name="Standard 4" xfId="65" xr:uid="{00000000-0005-0000-0000-00003D000000}"/>
    <cellStyle name="Standard 5" xfId="56" xr:uid="{00000000-0005-0000-0000-00003E000000}"/>
    <cellStyle name="Standard 6" xfId="66" xr:uid="{00000000-0005-0000-0000-00003F000000}"/>
    <cellStyle name="Standard 8" xfId="75" xr:uid="{00000000-0005-0000-0000-000040000000}"/>
    <cellStyle name="Tabellenbeschriftung" xfId="67" xr:uid="{00000000-0005-0000-0000-000041000000}"/>
    <cellStyle name="Tabellendaten" xfId="68" xr:uid="{00000000-0005-0000-0000-000042000000}"/>
    <cellStyle name="Tabellendaten 2" xfId="69" xr:uid="{00000000-0005-0000-0000-000043000000}"/>
    <cellStyle name="Tabellendaten 3" xfId="70" xr:uid="{00000000-0005-0000-0000-000044000000}"/>
    <cellStyle name="Tabellendaten 4" xfId="71" xr:uid="{00000000-0005-0000-0000-000045000000}"/>
    <cellStyle name="Tabellendaten 5" xfId="72" xr:uid="{00000000-0005-0000-0000-000046000000}"/>
    <cellStyle name="Tabellentitel" xfId="73" xr:uid="{00000000-0005-0000-0000-000047000000}"/>
    <cellStyle name="Title" xfId="44" xr:uid="{00000000-0005-0000-0000-000048000000}"/>
    <cellStyle name="Total" xfId="45" xr:uid="{00000000-0005-0000-0000-000049000000}"/>
    <cellStyle name="Währung 2" xfId="50" xr:uid="{00000000-0005-0000-0000-00004A000000}"/>
    <cellStyle name="Warning Text" xfId="46" xr:uid="{00000000-0005-0000-0000-00004B000000}"/>
    <cellStyle name="zeitsumme" xfId="74" xr:uid="{00000000-0005-0000-0000-00004C000000}"/>
  </cellStyles>
  <dxfs count="53">
    <dxf>
      <fill>
        <patternFill>
          <bgColor rgb="FFFFFFFF"/>
        </patternFill>
      </fill>
    </dxf>
    <dxf>
      <fill>
        <patternFill>
          <bgColor rgb="FFFFFFFF"/>
        </patternFill>
      </fill>
      <border>
        <left/>
        <right/>
        <top/>
        <bottom/>
      </border>
    </dxf>
    <dxf>
      <fill>
        <patternFill>
          <bgColor rgb="FF00B0F0"/>
        </patternFill>
      </fill>
    </dxf>
    <dxf>
      <fill>
        <patternFill>
          <bgColor rgb="FFFFFFFF"/>
        </patternFill>
      </fill>
    </dxf>
    <dxf>
      <fill>
        <patternFill>
          <bgColor rgb="FFFFFFFF"/>
        </patternFill>
      </fill>
      <border>
        <left/>
        <right/>
        <top/>
        <bottom/>
      </border>
    </dxf>
    <dxf>
      <fill>
        <patternFill>
          <bgColor rgb="FF00B0F0"/>
        </patternFill>
      </fill>
    </dxf>
    <dxf>
      <fill>
        <patternFill>
          <bgColor rgb="FFFFFFFF"/>
        </patternFill>
      </fill>
    </dxf>
    <dxf>
      <fill>
        <patternFill>
          <bgColor rgb="FFFFFFFF"/>
        </patternFill>
      </fill>
      <border>
        <left/>
        <right/>
        <top/>
        <bottom/>
      </border>
    </dxf>
    <dxf>
      <fill>
        <patternFill>
          <bgColor rgb="FF00B0F0"/>
        </patternFill>
      </fill>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fill>
        <patternFill patternType="none">
          <fgColor indexed="64"/>
          <bgColor auto="1"/>
        </patternFill>
      </fill>
    </dxf>
    <dxf>
      <numFmt numFmtId="164" formatCode="0.0"/>
      <fill>
        <patternFill patternType="none">
          <fgColor indexed="64"/>
          <bgColor auto="1"/>
        </patternFill>
      </fill>
    </dxf>
    <dxf>
      <numFmt numFmtId="164" formatCode="0.0"/>
      <fill>
        <patternFill patternType="none">
          <fgColor indexed="64"/>
          <bgColor auto="1"/>
        </patternFill>
      </fill>
    </dxf>
    <dxf>
      <numFmt numFmtId="164" formatCode="0.0"/>
      <fill>
        <patternFill patternType="none">
          <fgColor indexed="64"/>
          <bgColor auto="1"/>
        </patternFill>
      </fill>
    </dxf>
    <dxf>
      <numFmt numFmtId="2" formatCode="0.00"/>
      <fill>
        <patternFill patternType="none">
          <fgColor indexed="64"/>
          <bgColor auto="1"/>
        </patternFill>
      </fill>
    </dxf>
    <dxf>
      <numFmt numFmtId="0" formatCode="General"/>
      <fill>
        <patternFill patternType="none">
          <fgColor indexed="64"/>
          <bgColor auto="1"/>
        </patternFill>
      </fill>
    </dxf>
    <dxf>
      <numFmt numFmtId="164" formatCode="0.0"/>
      <fill>
        <patternFill patternType="none">
          <fgColor indexed="64"/>
          <bgColor auto="1"/>
        </patternFill>
      </fill>
    </dxf>
    <dxf>
      <numFmt numFmtId="2" formatCode="0.00"/>
      <fill>
        <patternFill patternType="none">
          <fgColor indexed="64"/>
          <bgColor auto="1"/>
        </patternFill>
      </fill>
    </dxf>
    <dxf>
      <numFmt numFmtId="164" formatCode="0.0"/>
      <fill>
        <patternFill patternType="none">
          <fgColor indexed="64"/>
          <bgColor auto="1"/>
        </patternFill>
      </fill>
    </dxf>
    <dxf>
      <numFmt numFmtId="2" formatCode="0.00"/>
      <fill>
        <patternFill patternType="none">
          <fgColor indexed="64"/>
          <bgColor auto="1"/>
        </patternFill>
      </fill>
    </dxf>
    <dxf>
      <numFmt numFmtId="164" formatCode="0.0"/>
      <fill>
        <patternFill patternType="none">
          <fgColor indexed="64"/>
          <bgColor auto="1"/>
        </patternFill>
      </fill>
    </dxf>
    <dxf>
      <numFmt numFmtId="0" formatCode="General"/>
      <fill>
        <patternFill patternType="none">
          <fgColor indexed="64"/>
          <bgColor auto="1"/>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19" formatCode="dd/mm/yyyy"/>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19" formatCode="dd/mm/yyyy"/>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dxf>
    <dxf>
      <alignment horizontal="left" vertical="bottom" textRotation="0" wrapText="0" relativeIndent="0" justifyLastLine="0" shrinkToFit="0" readingOrder="0"/>
    </dxf>
    <dxf>
      <fill>
        <patternFill>
          <bgColor rgb="FF00B0F0"/>
        </patternFill>
      </fill>
    </dxf>
    <dxf>
      <fill>
        <patternFill>
          <bgColor rgb="FFFFFFFF"/>
        </patternFill>
      </fill>
    </dxf>
    <dxf>
      <fill>
        <patternFill>
          <bgColor rgb="FFFFFFFF"/>
        </patternFill>
      </fill>
      <border>
        <left/>
        <right/>
        <top/>
        <bottom/>
      </border>
    </dxf>
    <dxf>
      <fill>
        <patternFill>
          <bgColor rgb="FF00B0F0"/>
        </patternFill>
      </fill>
    </dxf>
    <dxf>
      <fill>
        <patternFill>
          <bgColor rgb="FFFFFFFF"/>
        </patternFill>
      </fill>
    </dxf>
    <dxf>
      <fill>
        <patternFill>
          <bgColor rgb="FFFFFFFF"/>
        </patternFill>
      </fill>
      <border>
        <left/>
        <right/>
        <top/>
        <bottom/>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9" defaultPivotStyle="PivotStyleLight16"/>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2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10095242388311"/>
          <c:y val="6.4390283473959503E-2"/>
          <c:w val="0.86788987008303931"/>
          <c:h val="0.87121943305208283"/>
        </c:manualLayout>
      </c:layout>
      <c:barChart>
        <c:barDir val="bar"/>
        <c:grouping val="clustered"/>
        <c:varyColors val="0"/>
        <c:ser>
          <c:idx val="0"/>
          <c:order val="0"/>
          <c:tx>
            <c:strRef>
              <c:f>calculations!$D$5</c:f>
              <c:strCache>
                <c:ptCount val="1"/>
                <c:pt idx="0">
                  <c:v>OEE</c:v>
                </c:pt>
              </c:strCache>
            </c:strRef>
          </c:tx>
          <c:invertIfNegative val="0"/>
          <c:cat>
            <c:strRef>
              <c:f>calculations!$C$6:$C$15</c:f>
              <c:strCache>
                <c:ptCount val="10"/>
                <c:pt idx="0">
                  <c:v>Product 9</c:v>
                </c:pt>
                <c:pt idx="1">
                  <c:v>Product 9</c:v>
                </c:pt>
                <c:pt idx="2">
                  <c:v>Product 17</c:v>
                </c:pt>
                <c:pt idx="3">
                  <c:v>Product 17</c:v>
                </c:pt>
                <c:pt idx="4">
                  <c:v>Product 17</c:v>
                </c:pt>
                <c:pt idx="5">
                  <c:v>Product 10</c:v>
                </c:pt>
                <c:pt idx="6">
                  <c:v>Product 16</c:v>
                </c:pt>
                <c:pt idx="7">
                  <c:v>Product 7</c:v>
                </c:pt>
                <c:pt idx="8">
                  <c:v>Product 10</c:v>
                </c:pt>
                <c:pt idx="9">
                  <c:v>Product 17</c:v>
                </c:pt>
              </c:strCache>
            </c:strRef>
          </c:cat>
          <c:val>
            <c:numRef>
              <c:f>calculations!$D$6:$D$15</c:f>
              <c:numCache>
                <c:formatCode>General</c:formatCode>
                <c:ptCount val="10"/>
                <c:pt idx="0">
                  <c:v>38.290598290598297</c:v>
                </c:pt>
                <c:pt idx="1">
                  <c:v>19.911111111111111</c:v>
                </c:pt>
                <c:pt idx="2">
                  <c:v>49.981671554252202</c:v>
                </c:pt>
                <c:pt idx="3">
                  <c:v>77.758719268153243</c:v>
                </c:pt>
                <c:pt idx="4">
                  <c:v>93.314685314685306</c:v>
                </c:pt>
                <c:pt idx="5">
                  <c:v>74.963096347323571</c:v>
                </c:pt>
                <c:pt idx="6">
                  <c:v>78.867508518741232</c:v>
                </c:pt>
                <c:pt idx="7">
                  <c:v>108.33333333333333</c:v>
                </c:pt>
                <c:pt idx="8">
                  <c:v>71.15544700904681</c:v>
                </c:pt>
                <c:pt idx="9">
                  <c:v>89.836614997905329</c:v>
                </c:pt>
              </c:numCache>
            </c:numRef>
          </c:val>
          <c:extLst>
            <c:ext xmlns:c16="http://schemas.microsoft.com/office/drawing/2014/chart" uri="{C3380CC4-5D6E-409C-BE32-E72D297353CC}">
              <c16:uniqueId val="{00000000-198D-45C6-89BD-075AA4E0F6F8}"/>
            </c:ext>
          </c:extLst>
        </c:ser>
        <c:dLbls>
          <c:showLegendKey val="0"/>
          <c:showVal val="0"/>
          <c:showCatName val="0"/>
          <c:showSerName val="0"/>
          <c:showPercent val="0"/>
          <c:showBubbleSize val="0"/>
        </c:dLbls>
        <c:gapWidth val="50"/>
        <c:axId val="334718848"/>
        <c:axId val="334733312"/>
      </c:barChart>
      <c:scatterChart>
        <c:scatterStyle val="lineMarker"/>
        <c:varyColors val="0"/>
        <c:ser>
          <c:idx val="1"/>
          <c:order val="1"/>
          <c:tx>
            <c:strRef>
              <c:f>calculations!$Q$5</c:f>
              <c:strCache>
                <c:ptCount val="1"/>
                <c:pt idx="0">
                  <c:v>t OEE</c:v>
                </c:pt>
              </c:strCache>
            </c:strRef>
          </c:tx>
          <c:spPr>
            <a:ln w="28575">
              <a:noFill/>
            </a:ln>
          </c:spPr>
          <c:marker>
            <c:symbol val="diamond"/>
            <c:size val="5"/>
            <c:spPr>
              <a:solidFill>
                <a:schemeClr val="bg1">
                  <a:lumMod val="75000"/>
                </a:schemeClr>
              </a:solidFill>
              <a:ln>
                <a:solidFill>
                  <a:srgbClr val="002060"/>
                </a:solidFill>
              </a:ln>
            </c:spPr>
          </c:marker>
          <c:xVal>
            <c:numRef>
              <c:f>calculations!$Q$6:$Q$15</c:f>
              <c:numCache>
                <c:formatCode>0.00%</c:formatCode>
                <c:ptCount val="10"/>
                <c:pt idx="0">
                  <c:v>87.317999999999998</c:v>
                </c:pt>
                <c:pt idx="1">
                  <c:v>87.317999999999998</c:v>
                </c:pt>
                <c:pt idx="2">
                  <c:v>87.494399999999999</c:v>
                </c:pt>
                <c:pt idx="3">
                  <c:v>87.494399999999999</c:v>
                </c:pt>
                <c:pt idx="4">
                  <c:v>87.494399999999999</c:v>
                </c:pt>
                <c:pt idx="5">
                  <c:v>87.494399999999999</c:v>
                </c:pt>
                <c:pt idx="6">
                  <c:v>86.87700000000001</c:v>
                </c:pt>
                <c:pt idx="7">
                  <c:v>86.87700000000001</c:v>
                </c:pt>
                <c:pt idx="8">
                  <c:v>87.494399999999999</c:v>
                </c:pt>
                <c:pt idx="9">
                  <c:v>87.494399999999999</c:v>
                </c:pt>
              </c:numCache>
            </c:numRef>
          </c:xVal>
          <c:yVal>
            <c:numRef>
              <c:f>calculations!$B$20:$B$29</c:f>
              <c:numCache>
                <c:formatCode>General</c:formatCode>
                <c:ptCount val="10"/>
                <c:pt idx="0">
                  <c:v>1</c:v>
                </c:pt>
                <c:pt idx="1">
                  <c:v>2</c:v>
                </c:pt>
                <c:pt idx="2">
                  <c:v>3</c:v>
                </c:pt>
                <c:pt idx="3">
                  <c:v>4</c:v>
                </c:pt>
                <c:pt idx="4">
                  <c:v>5</c:v>
                </c:pt>
                <c:pt idx="5">
                  <c:v>6</c:v>
                </c:pt>
                <c:pt idx="6">
                  <c:v>7</c:v>
                </c:pt>
                <c:pt idx="7">
                  <c:v>8</c:v>
                </c:pt>
                <c:pt idx="8">
                  <c:v>9</c:v>
                </c:pt>
                <c:pt idx="9">
                  <c:v>10</c:v>
                </c:pt>
              </c:numCache>
            </c:numRef>
          </c:yVal>
          <c:smooth val="0"/>
          <c:extLst>
            <c:ext xmlns:c16="http://schemas.microsoft.com/office/drawing/2014/chart" uri="{C3380CC4-5D6E-409C-BE32-E72D297353CC}">
              <c16:uniqueId val="{00000001-198D-45C6-89BD-075AA4E0F6F8}"/>
            </c:ext>
          </c:extLst>
        </c:ser>
        <c:dLbls>
          <c:showLegendKey val="0"/>
          <c:showVal val="0"/>
          <c:showCatName val="0"/>
          <c:showSerName val="0"/>
          <c:showPercent val="0"/>
          <c:showBubbleSize val="0"/>
        </c:dLbls>
        <c:axId val="334736384"/>
        <c:axId val="334734848"/>
      </c:scatterChart>
      <c:catAx>
        <c:axId val="334718848"/>
        <c:scaling>
          <c:orientation val="maxMin"/>
        </c:scaling>
        <c:delete val="1"/>
        <c:axPos val="l"/>
        <c:numFmt formatCode="General" sourceLinked="1"/>
        <c:majorTickMark val="out"/>
        <c:minorTickMark val="none"/>
        <c:tickLblPos val="none"/>
        <c:crossAx val="334733312"/>
        <c:crosses val="autoZero"/>
        <c:auto val="1"/>
        <c:lblAlgn val="ctr"/>
        <c:lblOffset val="100"/>
        <c:noMultiLvlLbl val="0"/>
      </c:catAx>
      <c:valAx>
        <c:axId val="334733312"/>
        <c:scaling>
          <c:orientation val="minMax"/>
          <c:max val="2100"/>
          <c:min val="0"/>
        </c:scaling>
        <c:delete val="1"/>
        <c:axPos val="t"/>
        <c:numFmt formatCode="General" sourceLinked="1"/>
        <c:majorTickMark val="out"/>
        <c:minorTickMark val="none"/>
        <c:tickLblPos val="none"/>
        <c:crossAx val="334718848"/>
        <c:crosses val="autoZero"/>
        <c:crossBetween val="between"/>
      </c:valAx>
      <c:valAx>
        <c:axId val="334734848"/>
        <c:scaling>
          <c:orientation val="maxMin"/>
          <c:max val="10.5"/>
          <c:min val="0.5"/>
        </c:scaling>
        <c:delete val="1"/>
        <c:axPos val="r"/>
        <c:numFmt formatCode="General" sourceLinked="1"/>
        <c:majorTickMark val="out"/>
        <c:minorTickMark val="none"/>
        <c:tickLblPos val="none"/>
        <c:crossAx val="334736384"/>
        <c:crosses val="max"/>
        <c:crossBetween val="midCat"/>
      </c:valAx>
      <c:valAx>
        <c:axId val="334736384"/>
        <c:scaling>
          <c:orientation val="minMax"/>
        </c:scaling>
        <c:delete val="1"/>
        <c:axPos val="t"/>
        <c:numFmt formatCode="0.00%" sourceLinked="1"/>
        <c:majorTickMark val="out"/>
        <c:minorTickMark val="none"/>
        <c:tickLblPos val="none"/>
        <c:crossAx val="334734848"/>
        <c:crosses val="autoZero"/>
        <c:crossBetween val="midCat"/>
      </c:valAx>
      <c:spPr>
        <a:noFill/>
      </c:spPr>
    </c:plotArea>
    <c:plotVisOnly val="1"/>
    <c:dispBlanksAs val="gap"/>
    <c:showDLblsOverMax val="0"/>
  </c:chart>
  <c:spPr>
    <a:noFill/>
    <a:ln>
      <a:noFill/>
    </a:ln>
  </c:spPr>
  <c:printSettings>
    <c:headerFooter/>
    <c:pageMargins b="0.75000000000000366" l="0.70000000000000062" r="0.70000000000000062" t="0.750000000000003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calculations!$E$5</c:f>
              <c:strCache>
                <c:ptCount val="1"/>
                <c:pt idx="0">
                  <c:v>Availability</c:v>
                </c:pt>
              </c:strCache>
            </c:strRef>
          </c:tx>
          <c:invertIfNegative val="0"/>
          <c:cat>
            <c:strRef>
              <c:f>calculations!$C$6:$C$15</c:f>
              <c:strCache>
                <c:ptCount val="10"/>
                <c:pt idx="0">
                  <c:v>Product 9</c:v>
                </c:pt>
                <c:pt idx="1">
                  <c:v>Product 9</c:v>
                </c:pt>
                <c:pt idx="2">
                  <c:v>Product 17</c:v>
                </c:pt>
                <c:pt idx="3">
                  <c:v>Product 17</c:v>
                </c:pt>
                <c:pt idx="4">
                  <c:v>Product 17</c:v>
                </c:pt>
                <c:pt idx="5">
                  <c:v>Product 10</c:v>
                </c:pt>
                <c:pt idx="6">
                  <c:v>Product 16</c:v>
                </c:pt>
                <c:pt idx="7">
                  <c:v>Product 7</c:v>
                </c:pt>
                <c:pt idx="8">
                  <c:v>Product 10</c:v>
                </c:pt>
                <c:pt idx="9">
                  <c:v>Product 17</c:v>
                </c:pt>
              </c:strCache>
            </c:strRef>
          </c:cat>
          <c:val>
            <c:numRef>
              <c:f>calculations!$E$6:$E$15</c:f>
              <c:numCache>
                <c:formatCode>General</c:formatCode>
                <c:ptCount val="10"/>
                <c:pt idx="0">
                  <c:v>53.846153846153854</c:v>
                </c:pt>
                <c:pt idx="1">
                  <c:v>76.428571428571416</c:v>
                </c:pt>
                <c:pt idx="2">
                  <c:v>62.903225806451616</c:v>
                </c:pt>
                <c:pt idx="3">
                  <c:v>81.132075471698116</c:v>
                </c:pt>
                <c:pt idx="4">
                  <c:v>96.615384615384613</c:v>
                </c:pt>
                <c:pt idx="5">
                  <c:v>73.913043478260875</c:v>
                </c:pt>
                <c:pt idx="6">
                  <c:v>85</c:v>
                </c:pt>
                <c:pt idx="7">
                  <c:v>91.17647058823529</c:v>
                </c:pt>
                <c:pt idx="8">
                  <c:v>77.142857142857153</c:v>
                </c:pt>
                <c:pt idx="9">
                  <c:v>93.824884792626733</c:v>
                </c:pt>
              </c:numCache>
            </c:numRef>
          </c:val>
          <c:extLst>
            <c:ext xmlns:c16="http://schemas.microsoft.com/office/drawing/2014/chart" uri="{C3380CC4-5D6E-409C-BE32-E72D297353CC}">
              <c16:uniqueId val="{00000000-0A83-453A-8361-3ED92A0C0F65}"/>
            </c:ext>
          </c:extLst>
        </c:ser>
        <c:dLbls>
          <c:showLegendKey val="0"/>
          <c:showVal val="0"/>
          <c:showCatName val="0"/>
          <c:showSerName val="0"/>
          <c:showPercent val="0"/>
          <c:showBubbleSize val="0"/>
        </c:dLbls>
        <c:gapWidth val="50"/>
        <c:axId val="334565376"/>
        <c:axId val="334567296"/>
      </c:barChart>
      <c:scatterChart>
        <c:scatterStyle val="lineMarker"/>
        <c:varyColors val="0"/>
        <c:ser>
          <c:idx val="1"/>
          <c:order val="1"/>
          <c:tx>
            <c:strRef>
              <c:f>calculations!$R$5</c:f>
              <c:strCache>
                <c:ptCount val="1"/>
                <c:pt idx="0">
                  <c:v>t Availability</c:v>
                </c:pt>
              </c:strCache>
            </c:strRef>
          </c:tx>
          <c:spPr>
            <a:ln w="28575">
              <a:noFill/>
            </a:ln>
          </c:spPr>
          <c:marker>
            <c:symbol val="diamond"/>
            <c:size val="5"/>
            <c:spPr>
              <a:solidFill>
                <a:schemeClr val="bg1">
                  <a:lumMod val="75000"/>
                </a:schemeClr>
              </a:solidFill>
              <a:ln>
                <a:solidFill>
                  <a:srgbClr val="002060"/>
                </a:solidFill>
              </a:ln>
            </c:spPr>
          </c:marker>
          <c:xVal>
            <c:numRef>
              <c:f>calculations!$R$6:$R$15</c:f>
              <c:numCache>
                <c:formatCode>0.00%</c:formatCode>
                <c:ptCount val="10"/>
                <c:pt idx="0">
                  <c:v>90</c:v>
                </c:pt>
                <c:pt idx="1">
                  <c:v>90</c:v>
                </c:pt>
                <c:pt idx="2">
                  <c:v>90</c:v>
                </c:pt>
                <c:pt idx="3">
                  <c:v>90</c:v>
                </c:pt>
                <c:pt idx="4">
                  <c:v>90</c:v>
                </c:pt>
                <c:pt idx="5">
                  <c:v>90</c:v>
                </c:pt>
                <c:pt idx="6">
                  <c:v>90</c:v>
                </c:pt>
                <c:pt idx="7">
                  <c:v>90</c:v>
                </c:pt>
                <c:pt idx="8">
                  <c:v>90</c:v>
                </c:pt>
                <c:pt idx="9">
                  <c:v>90</c:v>
                </c:pt>
              </c:numCache>
            </c:numRef>
          </c:xVal>
          <c:yVal>
            <c:numRef>
              <c:f>calculations!$B$20:$B$29</c:f>
              <c:numCache>
                <c:formatCode>General</c:formatCode>
                <c:ptCount val="10"/>
                <c:pt idx="0">
                  <c:v>1</c:v>
                </c:pt>
                <c:pt idx="1">
                  <c:v>2</c:v>
                </c:pt>
                <c:pt idx="2">
                  <c:v>3</c:v>
                </c:pt>
                <c:pt idx="3">
                  <c:v>4</c:v>
                </c:pt>
                <c:pt idx="4">
                  <c:v>5</c:v>
                </c:pt>
                <c:pt idx="5">
                  <c:v>6</c:v>
                </c:pt>
                <c:pt idx="6">
                  <c:v>7</c:v>
                </c:pt>
                <c:pt idx="7">
                  <c:v>8</c:v>
                </c:pt>
                <c:pt idx="8">
                  <c:v>9</c:v>
                </c:pt>
                <c:pt idx="9">
                  <c:v>10</c:v>
                </c:pt>
              </c:numCache>
            </c:numRef>
          </c:yVal>
          <c:smooth val="0"/>
          <c:extLst>
            <c:ext xmlns:c16="http://schemas.microsoft.com/office/drawing/2014/chart" uri="{C3380CC4-5D6E-409C-BE32-E72D297353CC}">
              <c16:uniqueId val="{00000001-0A83-453A-8361-3ED92A0C0F65}"/>
            </c:ext>
          </c:extLst>
        </c:ser>
        <c:dLbls>
          <c:showLegendKey val="0"/>
          <c:showVal val="0"/>
          <c:showCatName val="0"/>
          <c:showSerName val="0"/>
          <c:showPercent val="0"/>
          <c:showBubbleSize val="0"/>
        </c:dLbls>
        <c:axId val="334574720"/>
        <c:axId val="334568832"/>
      </c:scatterChart>
      <c:catAx>
        <c:axId val="334565376"/>
        <c:scaling>
          <c:orientation val="maxMin"/>
        </c:scaling>
        <c:delete val="1"/>
        <c:axPos val="l"/>
        <c:numFmt formatCode="General" sourceLinked="1"/>
        <c:majorTickMark val="out"/>
        <c:minorTickMark val="none"/>
        <c:tickLblPos val="none"/>
        <c:crossAx val="334567296"/>
        <c:crosses val="autoZero"/>
        <c:auto val="1"/>
        <c:lblAlgn val="ctr"/>
        <c:lblOffset val="100"/>
        <c:noMultiLvlLbl val="0"/>
      </c:catAx>
      <c:valAx>
        <c:axId val="334567296"/>
        <c:scaling>
          <c:orientation val="minMax"/>
          <c:max val="700"/>
          <c:min val="0"/>
        </c:scaling>
        <c:delete val="1"/>
        <c:axPos val="t"/>
        <c:numFmt formatCode="General" sourceLinked="1"/>
        <c:majorTickMark val="out"/>
        <c:minorTickMark val="none"/>
        <c:tickLblPos val="none"/>
        <c:crossAx val="334565376"/>
        <c:crosses val="autoZero"/>
        <c:crossBetween val="between"/>
      </c:valAx>
      <c:valAx>
        <c:axId val="334568832"/>
        <c:scaling>
          <c:orientation val="maxMin"/>
          <c:max val="10.5"/>
          <c:min val="0.5"/>
        </c:scaling>
        <c:delete val="1"/>
        <c:axPos val="r"/>
        <c:numFmt formatCode="General" sourceLinked="1"/>
        <c:majorTickMark val="out"/>
        <c:minorTickMark val="none"/>
        <c:tickLblPos val="none"/>
        <c:crossAx val="334574720"/>
        <c:crosses val="max"/>
        <c:crossBetween val="midCat"/>
      </c:valAx>
      <c:valAx>
        <c:axId val="334574720"/>
        <c:scaling>
          <c:orientation val="minMax"/>
        </c:scaling>
        <c:delete val="1"/>
        <c:axPos val="t"/>
        <c:numFmt formatCode="0.00%" sourceLinked="1"/>
        <c:majorTickMark val="out"/>
        <c:minorTickMark val="none"/>
        <c:tickLblPos val="none"/>
        <c:crossAx val="334568832"/>
        <c:crosses val="autoZero"/>
        <c:crossBetween val="midCat"/>
      </c:valAx>
      <c:spPr>
        <a:noFill/>
      </c:spPr>
    </c:plotArea>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calculations!$H$5</c:f>
              <c:strCache>
                <c:ptCount val="1"/>
                <c:pt idx="0">
                  <c:v>Labour Productivity</c:v>
                </c:pt>
              </c:strCache>
            </c:strRef>
          </c:tx>
          <c:invertIfNegative val="0"/>
          <c:cat>
            <c:strRef>
              <c:f>calculations!$C$6:$C$15</c:f>
              <c:strCache>
                <c:ptCount val="10"/>
                <c:pt idx="0">
                  <c:v>Product 9</c:v>
                </c:pt>
                <c:pt idx="1">
                  <c:v>Product 9</c:v>
                </c:pt>
                <c:pt idx="2">
                  <c:v>Product 17</c:v>
                </c:pt>
                <c:pt idx="3">
                  <c:v>Product 17</c:v>
                </c:pt>
                <c:pt idx="4">
                  <c:v>Product 17</c:v>
                </c:pt>
                <c:pt idx="5">
                  <c:v>Product 10</c:v>
                </c:pt>
                <c:pt idx="6">
                  <c:v>Product 16</c:v>
                </c:pt>
                <c:pt idx="7">
                  <c:v>Product 7</c:v>
                </c:pt>
                <c:pt idx="8">
                  <c:v>Product 10</c:v>
                </c:pt>
                <c:pt idx="9">
                  <c:v>Product 17</c:v>
                </c:pt>
              </c:strCache>
            </c:strRef>
          </c:cat>
          <c:val>
            <c:numRef>
              <c:f>calculations!$H$6:$H$15</c:f>
              <c:numCache>
                <c:formatCode>General</c:formatCode>
                <c:ptCount val="10"/>
                <c:pt idx="0">
                  <c:v>103.38461538461539</c:v>
                </c:pt>
                <c:pt idx="1">
                  <c:v>53.76</c:v>
                </c:pt>
                <c:pt idx="2">
                  <c:v>175.93548387096774</c:v>
                </c:pt>
                <c:pt idx="3">
                  <c:v>256.6037735849057</c:v>
                </c:pt>
                <c:pt idx="4">
                  <c:v>307.93846153846152</c:v>
                </c:pt>
                <c:pt idx="5">
                  <c:v>259.43478260869563</c:v>
                </c:pt>
                <c:pt idx="6">
                  <c:v>218.59444444444443</c:v>
                </c:pt>
                <c:pt idx="7">
                  <c:v>253.5</c:v>
                </c:pt>
                <c:pt idx="8">
                  <c:v>24.625714285714285</c:v>
                </c:pt>
                <c:pt idx="9">
                  <c:v>296.88018433179724</c:v>
                </c:pt>
              </c:numCache>
            </c:numRef>
          </c:val>
          <c:extLst>
            <c:ext xmlns:c16="http://schemas.microsoft.com/office/drawing/2014/chart" uri="{C3380CC4-5D6E-409C-BE32-E72D297353CC}">
              <c16:uniqueId val="{00000000-20EB-49C4-B6EA-08EC270E8594}"/>
            </c:ext>
          </c:extLst>
        </c:ser>
        <c:dLbls>
          <c:showLegendKey val="0"/>
          <c:showVal val="0"/>
          <c:showCatName val="0"/>
          <c:showSerName val="0"/>
          <c:showPercent val="0"/>
          <c:showBubbleSize val="0"/>
        </c:dLbls>
        <c:gapWidth val="50"/>
        <c:axId val="334591872"/>
        <c:axId val="334602240"/>
      </c:barChart>
      <c:scatterChart>
        <c:scatterStyle val="lineMarker"/>
        <c:varyColors val="0"/>
        <c:ser>
          <c:idx val="1"/>
          <c:order val="1"/>
          <c:tx>
            <c:strRef>
              <c:f>calculations!$U$5</c:f>
              <c:strCache>
                <c:ptCount val="1"/>
                <c:pt idx="0">
                  <c:v>t Labour Productivity</c:v>
                </c:pt>
              </c:strCache>
            </c:strRef>
          </c:tx>
          <c:spPr>
            <a:ln w="28575">
              <a:noFill/>
            </a:ln>
          </c:spPr>
          <c:marker>
            <c:symbol val="diamond"/>
            <c:size val="5"/>
            <c:spPr>
              <a:solidFill>
                <a:schemeClr val="bg1">
                  <a:lumMod val="75000"/>
                </a:schemeClr>
              </a:solidFill>
              <a:ln>
                <a:solidFill>
                  <a:srgbClr val="002060"/>
                </a:solidFill>
              </a:ln>
            </c:spPr>
          </c:marker>
          <c:xVal>
            <c:numRef>
              <c:f>calculations!$U$6:$U$15</c:f>
              <c:numCache>
                <c:formatCode>0</c:formatCode>
                <c:ptCount val="10"/>
                <c:pt idx="0">
                  <c:v>270</c:v>
                </c:pt>
                <c:pt idx="1">
                  <c:v>270</c:v>
                </c:pt>
                <c:pt idx="2">
                  <c:v>352</c:v>
                </c:pt>
                <c:pt idx="3">
                  <c:v>330</c:v>
                </c:pt>
                <c:pt idx="4">
                  <c:v>330</c:v>
                </c:pt>
                <c:pt idx="5">
                  <c:v>346.08333333333331</c:v>
                </c:pt>
                <c:pt idx="6">
                  <c:v>277.16666666666669</c:v>
                </c:pt>
                <c:pt idx="7">
                  <c:v>234</c:v>
                </c:pt>
                <c:pt idx="8">
                  <c:v>346.08333333333331</c:v>
                </c:pt>
                <c:pt idx="9">
                  <c:v>330</c:v>
                </c:pt>
              </c:numCache>
            </c:numRef>
          </c:xVal>
          <c:yVal>
            <c:numRef>
              <c:f>calculations!$B$20:$B$29</c:f>
              <c:numCache>
                <c:formatCode>General</c:formatCode>
                <c:ptCount val="10"/>
                <c:pt idx="0">
                  <c:v>1</c:v>
                </c:pt>
                <c:pt idx="1">
                  <c:v>2</c:v>
                </c:pt>
                <c:pt idx="2">
                  <c:v>3</c:v>
                </c:pt>
                <c:pt idx="3">
                  <c:v>4</c:v>
                </c:pt>
                <c:pt idx="4">
                  <c:v>5</c:v>
                </c:pt>
                <c:pt idx="5">
                  <c:v>6</c:v>
                </c:pt>
                <c:pt idx="6">
                  <c:v>7</c:v>
                </c:pt>
                <c:pt idx="7">
                  <c:v>8</c:v>
                </c:pt>
                <c:pt idx="8">
                  <c:v>9</c:v>
                </c:pt>
                <c:pt idx="9">
                  <c:v>10</c:v>
                </c:pt>
              </c:numCache>
            </c:numRef>
          </c:yVal>
          <c:smooth val="0"/>
          <c:extLst>
            <c:ext xmlns:c16="http://schemas.microsoft.com/office/drawing/2014/chart" uri="{C3380CC4-5D6E-409C-BE32-E72D297353CC}">
              <c16:uniqueId val="{00000001-20EB-49C4-B6EA-08EC270E8594}"/>
            </c:ext>
          </c:extLst>
        </c:ser>
        <c:dLbls>
          <c:showLegendKey val="0"/>
          <c:showVal val="0"/>
          <c:showCatName val="0"/>
          <c:showSerName val="0"/>
          <c:showPercent val="0"/>
          <c:showBubbleSize val="0"/>
        </c:dLbls>
        <c:axId val="334605312"/>
        <c:axId val="334603776"/>
      </c:scatterChart>
      <c:catAx>
        <c:axId val="334591872"/>
        <c:scaling>
          <c:orientation val="maxMin"/>
        </c:scaling>
        <c:delete val="1"/>
        <c:axPos val="l"/>
        <c:numFmt formatCode="General" sourceLinked="1"/>
        <c:majorTickMark val="out"/>
        <c:minorTickMark val="none"/>
        <c:tickLblPos val="none"/>
        <c:crossAx val="334602240"/>
        <c:crosses val="autoZero"/>
        <c:auto val="1"/>
        <c:lblAlgn val="ctr"/>
        <c:lblOffset val="100"/>
        <c:noMultiLvlLbl val="0"/>
      </c:catAx>
      <c:valAx>
        <c:axId val="334602240"/>
        <c:scaling>
          <c:orientation val="minMax"/>
          <c:max val="1500"/>
          <c:min val="0"/>
        </c:scaling>
        <c:delete val="1"/>
        <c:axPos val="t"/>
        <c:numFmt formatCode="General" sourceLinked="1"/>
        <c:majorTickMark val="out"/>
        <c:minorTickMark val="none"/>
        <c:tickLblPos val="none"/>
        <c:crossAx val="334591872"/>
        <c:crosses val="autoZero"/>
        <c:crossBetween val="between"/>
      </c:valAx>
      <c:valAx>
        <c:axId val="334603776"/>
        <c:scaling>
          <c:orientation val="maxMin"/>
          <c:max val="10.5"/>
          <c:min val="0.5"/>
        </c:scaling>
        <c:delete val="1"/>
        <c:axPos val="r"/>
        <c:numFmt formatCode="General" sourceLinked="1"/>
        <c:majorTickMark val="out"/>
        <c:minorTickMark val="none"/>
        <c:tickLblPos val="none"/>
        <c:crossAx val="334605312"/>
        <c:crosses val="max"/>
        <c:crossBetween val="midCat"/>
      </c:valAx>
      <c:valAx>
        <c:axId val="334605312"/>
        <c:scaling>
          <c:orientation val="minMax"/>
        </c:scaling>
        <c:delete val="1"/>
        <c:axPos val="t"/>
        <c:numFmt formatCode="0" sourceLinked="1"/>
        <c:majorTickMark val="out"/>
        <c:minorTickMark val="none"/>
        <c:tickLblPos val="none"/>
        <c:crossAx val="334603776"/>
        <c:crosses val="autoZero"/>
        <c:crossBetween val="midCat"/>
      </c:valAx>
      <c:spPr>
        <a:noFill/>
      </c:spPr>
    </c:plotArea>
    <c:plotVisOnly val="1"/>
    <c:dispBlanksAs val="gap"/>
    <c:showDLblsOverMax val="0"/>
  </c:chart>
  <c:spPr>
    <a:noFill/>
    <a:ln>
      <a:noFill/>
    </a:ln>
  </c:spPr>
  <c:printSettings>
    <c:headerFooter/>
    <c:pageMargins b="0.75000000000000444" l="0.70000000000000062" r="0.70000000000000062" t="0.750000000000004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calculations!$X$19</c:f>
              <c:strCache>
                <c:ptCount val="1"/>
                <c:pt idx="0">
                  <c:v>OEE</c:v>
                </c:pt>
              </c:strCache>
            </c:strRef>
          </c:tx>
          <c:spPr>
            <a:solidFill>
              <a:schemeClr val="bg1">
                <a:lumMod val="75000"/>
              </a:schemeClr>
            </a:solidFill>
          </c:spPr>
          <c:val>
            <c:numRef>
              <c:f>calculations!$X$20:$X$379</c:f>
              <c:numCache>
                <c:formatCode>General</c:formatCode>
                <c:ptCount val="360"/>
                <c:pt idx="0">
                  <c:v>38.290598290598297</c:v>
                </c:pt>
                <c:pt idx="1">
                  <c:v>19.911111111111111</c:v>
                </c:pt>
                <c:pt idx="2">
                  <c:v>49.981671554252202</c:v>
                </c:pt>
                <c:pt idx="3">
                  <c:v>77.758719268153243</c:v>
                </c:pt>
                <c:pt idx="4">
                  <c:v>93.314685314685306</c:v>
                </c:pt>
                <c:pt idx="5">
                  <c:v>74.963096347323571</c:v>
                </c:pt>
                <c:pt idx="6">
                  <c:v>78.867508518741232</c:v>
                </c:pt>
                <c:pt idx="7">
                  <c:v>108.33333333333333</c:v>
                </c:pt>
                <c:pt idx="8">
                  <c:v>71.15544700904681</c:v>
                </c:pt>
                <c:pt idx="9">
                  <c:v>89.836614997905329</c:v>
                </c:pt>
                <c:pt idx="10">
                  <c:v>89.958407605466419</c:v>
                </c:pt>
                <c:pt idx="11">
                  <c:v>92.800000000000011</c:v>
                </c:pt>
                <c:pt idx="12">
                  <c:v>88.52459016393442</c:v>
                </c:pt>
                <c:pt idx="13">
                  <c:v>79.444534151461326</c:v>
                </c:pt>
                <c:pt idx="14">
                  <c:v>89.56228956228955</c:v>
                </c:pt>
                <c:pt idx="15">
                  <c:v>84.056895485466924</c:v>
                </c:pt>
                <c:pt idx="16">
                  <c:v>92.20779220779221</c:v>
                </c:pt>
                <c:pt idx="17">
                  <c:v>82.191242882387584</c:v>
                </c:pt>
                <c:pt idx="18">
                  <c:v>103.82222222222222</c:v>
                </c:pt>
                <c:pt idx="19">
                  <c:v>90.668802563075687</c:v>
                </c:pt>
                <c:pt idx="20">
                  <c:v>86.922234392113893</c:v>
                </c:pt>
                <c:pt idx="21">
                  <c:v>90.590659340659343</c:v>
                </c:pt>
                <c:pt idx="22">
                  <c:v>87.676767676767682</c:v>
                </c:pt>
                <c:pt idx="23">
                  <c:v>95.34545454545453</c:v>
                </c:pt>
                <c:pt idx="24">
                  <c:v>83.722756724916536</c:v>
                </c:pt>
                <c:pt idx="25">
                  <c:v>71.919191919191931</c:v>
                </c:pt>
                <c:pt idx="26">
                  <c:v>102.3474178403756</c:v>
                </c:pt>
                <c:pt idx="27">
                  <c:v>85.248713550600328</c:v>
                </c:pt>
                <c:pt idx="28">
                  <c:v>97.827715355805239</c:v>
                </c:pt>
                <c:pt idx="29">
                  <c:v>96.88650357210345</c:v>
                </c:pt>
                <c:pt idx="30">
                  <c:v>75.160714285714278</c:v>
                </c:pt>
                <c:pt idx="31">
                  <c:v>94.599018003273315</c:v>
                </c:pt>
                <c:pt idx="32">
                  <c:v>75.375110326566627</c:v>
                </c:pt>
                <c:pt idx="33">
                  <c:v>71.204061895551249</c:v>
                </c:pt>
                <c:pt idx="34">
                  <c:v>99.858769416748146</c:v>
                </c:pt>
                <c:pt idx="35">
                  <c:v>97.918644687421448</c:v>
                </c:pt>
                <c:pt idx="36">
                  <c:v>100.55759206322514</c:v>
                </c:pt>
                <c:pt idx="37">
                  <c:v>102.17513444096637</c:v>
                </c:pt>
                <c:pt idx="38">
                  <c:v>78.369639210347174</c:v>
                </c:pt>
                <c:pt idx="39">
                  <c:v>101.50475649683199</c:v>
                </c:pt>
                <c:pt idx="40">
                  <c:v>97.376832151300235</c:v>
                </c:pt>
                <c:pt idx="41">
                  <c:v>104.77272727272728</c:v>
                </c:pt>
                <c:pt idx="42">
                  <c:v>80.778944447014212</c:v>
                </c:pt>
                <c:pt idx="43">
                  <c:v>86.774595267745951</c:v>
                </c:pt>
                <c:pt idx="44">
                  <c:v>87.443669414500093</c:v>
                </c:pt>
                <c:pt idx="45">
                  <c:v>100.55768347689713</c:v>
                </c:pt>
                <c:pt idx="46">
                  <c:v>82.10526315789474</c:v>
                </c:pt>
                <c:pt idx="47">
                  <c:v>90.442318172025281</c:v>
                </c:pt>
                <c:pt idx="48">
                  <c:v>82.307692307692321</c:v>
                </c:pt>
                <c:pt idx="49">
                  <c:v>96.10591016548463</c:v>
                </c:pt>
                <c:pt idx="50">
                  <c:v>99.236860878837845</c:v>
                </c:pt>
                <c:pt idx="51">
                  <c:v>89.958563535911608</c:v>
                </c:pt>
                <c:pt idx="52">
                  <c:v>96.001092815203094</c:v>
                </c:pt>
                <c:pt idx="53">
                  <c:v>79.999999999999986</c:v>
                </c:pt>
                <c:pt idx="54">
                  <c:v>79.66244441449939</c:v>
                </c:pt>
                <c:pt idx="55">
                  <c:v>93.714208134596362</c:v>
                </c:pt>
                <c:pt idx="56">
                  <c:v>88.645206933144678</c:v>
                </c:pt>
                <c:pt idx="57">
                  <c:v>90.263703703703698</c:v>
                </c:pt>
                <c:pt idx="58">
                  <c:v>91.227394820528573</c:v>
                </c:pt>
                <c:pt idx="59">
                  <c:v>89.130075370775614</c:v>
                </c:pt>
                <c:pt idx="60">
                  <c:v>11</c:v>
                </c:pt>
                <c:pt idx="61">
                  <c:v>62.000498143284133</c:v>
                </c:pt>
                <c:pt idx="62">
                  <c:v>95.90034574429157</c:v>
                </c:pt>
                <c:pt idx="63">
                  <c:v>75.336700336700318</c:v>
                </c:pt>
                <c:pt idx="64">
                  <c:v>99.805686478327729</c:v>
                </c:pt>
                <c:pt idx="65">
                  <c:v>100.19918475456642</c:v>
                </c:pt>
                <c:pt idx="66">
                  <c:v>87.657193652121606</c:v>
                </c:pt>
                <c:pt idx="67">
                  <c:v>89.662861308379163</c:v>
                </c:pt>
                <c:pt idx="68">
                  <c:v>93.406593406593402</c:v>
                </c:pt>
                <c:pt idx="69">
                  <c:v>99.810808021739888</c:v>
                </c:pt>
                <c:pt idx="70">
                  <c:v>98.682039881509013</c:v>
                </c:pt>
                <c:pt idx="71">
                  <c:v>96.410870505272257</c:v>
                </c:pt>
                <c:pt idx="72">
                  <c:v>98.369176742411724</c:v>
                </c:pt>
                <c:pt idx="73">
                  <c:v>84.184308841843091</c:v>
                </c:pt>
                <c:pt idx="74">
                  <c:v>101.65729517903854</c:v>
                </c:pt>
                <c:pt idx="75">
                  <c:v>97.749433676439295</c:v>
                </c:pt>
                <c:pt idx="76">
                  <c:v>88.959218559218556</c:v>
                </c:pt>
                <c:pt idx="77">
                  <c:v>90.458715596330279</c:v>
                </c:pt>
                <c:pt idx="78">
                  <c:v>91.116426454052956</c:v>
                </c:pt>
                <c:pt idx="79">
                  <c:v>96.223448787425554</c:v>
                </c:pt>
                <c:pt idx="80">
                  <c:v>94.16268411236311</c:v>
                </c:pt>
                <c:pt idx="81">
                  <c:v>88.841680712737769</c:v>
                </c:pt>
                <c:pt idx="82">
                  <c:v>78.402188782489759</c:v>
                </c:pt>
                <c:pt idx="83">
                  <c:v>86.878453038674024</c:v>
                </c:pt>
                <c:pt idx="84">
                  <c:v>99.804794207760068</c:v>
                </c:pt>
                <c:pt idx="85">
                  <c:v>92.926496974592794</c:v>
                </c:pt>
                <c:pt idx="86">
                  <c:v>96.927830687830692</c:v>
                </c:pt>
                <c:pt idx="87">
                  <c:v>79.411764705882362</c:v>
                </c:pt>
                <c:pt idx="88">
                  <c:v>60.146103896103888</c:v>
                </c:pt>
                <c:pt idx="89">
                  <c:v>79.710144927536248</c:v>
                </c:pt>
                <c:pt idx="90">
                  <c:v>86.207560799422112</c:v>
                </c:pt>
                <c:pt idx="91">
                  <c:v>81.405137814820534</c:v>
                </c:pt>
                <c:pt idx="92">
                  <c:v>93.000906804104702</c:v>
                </c:pt>
                <c:pt idx="93">
                  <c:v>100.34561232843728</c:v>
                </c:pt>
                <c:pt idx="94">
                  <c:v>94.780219780219781</c:v>
                </c:pt>
                <c:pt idx="95">
                  <c:v>82.816377171215876</c:v>
                </c:pt>
                <c:pt idx="96">
                  <c:v>81.317776853534127</c:v>
                </c:pt>
                <c:pt idx="97">
                  <c:v>94.189742354924149</c:v>
                </c:pt>
                <c:pt idx="98">
                  <c:v>86.755555555555546</c:v>
                </c:pt>
                <c:pt idx="99">
                  <c:v>74.628796844181451</c:v>
                </c:pt>
                <c:pt idx="100">
                  <c:v>96.862427864519233</c:v>
                </c:pt>
                <c:pt idx="101">
                  <c:v>87.656964006259784</c:v>
                </c:pt>
                <c:pt idx="102">
                  <c:v>85.913001935642768</c:v>
                </c:pt>
                <c:pt idx="103">
                  <c:v>120.56451612903226</c:v>
                </c:pt>
                <c:pt idx="104">
                  <c:v>88.354182883324924</c:v>
                </c:pt>
                <c:pt idx="105">
                  <c:v>91.67559717257069</c:v>
                </c:pt>
                <c:pt idx="106">
                  <c:v>92.554340620580817</c:v>
                </c:pt>
                <c:pt idx="107">
                  <c:v>82.558361678561823</c:v>
                </c:pt>
                <c:pt idx="108">
                  <c:v>81.991728987584125</c:v>
                </c:pt>
                <c:pt idx="109">
                  <c:v>86.15474285066783</c:v>
                </c:pt>
                <c:pt idx="110">
                  <c:v>92.695962991090369</c:v>
                </c:pt>
                <c:pt idx="111">
                  <c:v>86.885813748073232</c:v>
                </c:pt>
                <c:pt idx="112">
                  <c:v>87.691213266470541</c:v>
                </c:pt>
                <c:pt idx="113">
                  <c:v>100.85312869690846</c:v>
                </c:pt>
                <c:pt idx="114">
                  <c:v>61.005847953216353</c:v>
                </c:pt>
                <c:pt idx="115">
                  <c:v>98.229918462075631</c:v>
                </c:pt>
                <c:pt idx="116">
                  <c:v>76.578947368421041</c:v>
                </c:pt>
                <c:pt idx="117">
                  <c:v>90.677582470503239</c:v>
                </c:pt>
                <c:pt idx="118">
                  <c:v>85.52188663801924</c:v>
                </c:pt>
                <c:pt idx="119">
                  <c:v>91.269064659743535</c:v>
                </c:pt>
                <c:pt idx="120">
                  <c:v>92.295260295260277</c:v>
                </c:pt>
                <c:pt idx="121">
                  <c:v>75.335856531427964</c:v>
                </c:pt>
                <c:pt idx="122">
                  <c:v>96.585270509746678</c:v>
                </c:pt>
                <c:pt idx="123">
                  <c:v>71.924369747899149</c:v>
                </c:pt>
                <c:pt idx="124">
                  <c:v>88.516402116402119</c:v>
                </c:pt>
                <c:pt idx="125">
                  <c:v>59.500000000000007</c:v>
                </c:pt>
                <c:pt idx="126">
                  <c:v>97.482623418285513</c:v>
                </c:pt>
                <c:pt idx="127">
                  <c:v>98.674968181349115</c:v>
                </c:pt>
                <c:pt idx="128">
                  <c:v>63.360323886639677</c:v>
                </c:pt>
                <c:pt idx="129">
                  <c:v>86.117196479925866</c:v>
                </c:pt>
                <c:pt idx="130">
                  <c:v>98.201618880426722</c:v>
                </c:pt>
                <c:pt idx="131">
                  <c:v>90.734989648033121</c:v>
                </c:pt>
                <c:pt idx="132">
                  <c:v>94.248238482384835</c:v>
                </c:pt>
                <c:pt idx="133">
                  <c:v>82.134886097025657</c:v>
                </c:pt>
                <c:pt idx="134">
                  <c:v>96.599564270152513</c:v>
                </c:pt>
                <c:pt idx="135">
                  <c:v>85.560888888888897</c:v>
                </c:pt>
                <c:pt idx="136">
                  <c:v>93.526055349185782</c:v>
                </c:pt>
                <c:pt idx="137">
                  <c:v>97.843807689220654</c:v>
                </c:pt>
                <c:pt idx="138">
                  <c:v>89.374187935690159</c:v>
                </c:pt>
                <c:pt idx="139">
                  <c:v>90.653994562834342</c:v>
                </c:pt>
                <c:pt idx="140">
                  <c:v>95.042689569004963</c:v>
                </c:pt>
                <c:pt idx="141">
                  <c:v>87.241909562658137</c:v>
                </c:pt>
                <c:pt idx="142">
                  <c:v>47.503081664098609</c:v>
                </c:pt>
                <c:pt idx="143">
                  <c:v>97.032711128116659</c:v>
                </c:pt>
                <c:pt idx="144">
                  <c:v>105.36130536130537</c:v>
                </c:pt>
                <c:pt idx="145">
                  <c:v>97.661712234310357</c:v>
                </c:pt>
                <c:pt idx="146">
                  <c:v>95.085304187980483</c:v>
                </c:pt>
                <c:pt idx="147">
                  <c:v>90.267904814748874</c:v>
                </c:pt>
                <c:pt idx="148">
                  <c:v>90.533974312979836</c:v>
                </c:pt>
                <c:pt idx="149">
                  <c:v>93.489085545722745</c:v>
                </c:pt>
                <c:pt idx="150">
                  <c:v>94.892505404756193</c:v>
                </c:pt>
                <c:pt idx="151">
                  <c:v>111.00628930817614</c:v>
                </c:pt>
                <c:pt idx="152">
                  <c:v>89.698082252159963</c:v>
                </c:pt>
                <c:pt idx="153">
                  <c:v>72.432596057927142</c:v>
                </c:pt>
                <c:pt idx="154">
                  <c:v>86.865342163355422</c:v>
                </c:pt>
                <c:pt idx="155">
                  <c:v>89.832625819317201</c:v>
                </c:pt>
                <c:pt idx="156">
                  <c:v>72.65886287625419</c:v>
                </c:pt>
                <c:pt idx="157">
                  <c:v>80.670615708834077</c:v>
                </c:pt>
                <c:pt idx="158">
                  <c:v>66.857142857142847</c:v>
                </c:pt>
                <c:pt idx="159">
                  <c:v>60.519230769230766</c:v>
                </c:pt>
                <c:pt idx="160">
                  <c:v>86.649650854803753</c:v>
                </c:pt>
                <c:pt idx="161">
                  <c:v>92.46026968456539</c:v>
                </c:pt>
                <c:pt idx="162">
                  <c:v>93.162584230191939</c:v>
                </c:pt>
                <c:pt idx="163">
                  <c:v>72.622837370242223</c:v>
                </c:pt>
                <c:pt idx="164">
                  <c:v>87.594600952193488</c:v>
                </c:pt>
                <c:pt idx="165">
                  <c:v>89.530550487731432</c:v>
                </c:pt>
                <c:pt idx="166">
                  <c:v>74.78575225943645</c:v>
                </c:pt>
                <c:pt idx="167">
                  <c:v>95.929181315921639</c:v>
                </c:pt>
                <c:pt idx="168">
                  <c:v>96.035621839634018</c:v>
                </c:pt>
                <c:pt idx="169">
                  <c:v>91.871310116086235</c:v>
                </c:pt>
                <c:pt idx="170">
                  <c:v>51.719934994582886</c:v>
                </c:pt>
                <c:pt idx="171">
                  <c:v>93.554576676123659</c:v>
                </c:pt>
                <c:pt idx="172">
                  <c:v>79.897639835322011</c:v>
                </c:pt>
                <c:pt idx="173">
                  <c:v>92.612198781233204</c:v>
                </c:pt>
                <c:pt idx="174">
                  <c:v>93.023223148234834</c:v>
                </c:pt>
                <c:pt idx="175">
                  <c:v>92.19801980198018</c:v>
                </c:pt>
                <c:pt idx="176">
                  <c:v>90.907132387287987</c:v>
                </c:pt>
                <c:pt idx="177">
                  <c:v>79.31540723578685</c:v>
                </c:pt>
                <c:pt idx="178">
                  <c:v>78.300129996750073</c:v>
                </c:pt>
                <c:pt idx="179">
                  <c:v>88.375116518176839</c:v>
                </c:pt>
                <c:pt idx="180">
                  <c:v>84.089744999436306</c:v>
                </c:pt>
                <c:pt idx="181">
                  <c:v>91.068022886204687</c:v>
                </c:pt>
                <c:pt idx="182">
                  <c:v>87.366490268603343</c:v>
                </c:pt>
                <c:pt idx="183">
                  <c:v>77.637588446253758</c:v>
                </c:pt>
                <c:pt idx="184">
                  <c:v>93.128326427924975</c:v>
                </c:pt>
                <c:pt idx="185">
                  <c:v>80.218832796276402</c:v>
                </c:pt>
                <c:pt idx="186">
                  <c:v>80.978097868981834</c:v>
                </c:pt>
                <c:pt idx="187">
                  <c:v>77.336345849115645</c:v>
                </c:pt>
                <c:pt idx="188">
                  <c:v>77.821790722761591</c:v>
                </c:pt>
                <c:pt idx="189">
                  <c:v>99.580349745915726</c:v>
                </c:pt>
                <c:pt idx="190">
                  <c:v>68</c:v>
                </c:pt>
                <c:pt idx="191">
                  <c:v>89.715223680149762</c:v>
                </c:pt>
                <c:pt idx="192">
                  <c:v>82.003394794648202</c:v>
                </c:pt>
                <c:pt idx="193">
                  <c:v>83.873949579831915</c:v>
                </c:pt>
                <c:pt idx="194">
                  <c:v>78.715071507150711</c:v>
                </c:pt>
                <c:pt idx="195">
                  <c:v>62.155622369212274</c:v>
                </c:pt>
                <c:pt idx="196">
                  <c:v>50.167224080267545</c:v>
                </c:pt>
                <c:pt idx="197">
                  <c:v>70.502024736313402</c:v>
                </c:pt>
                <c:pt idx="198">
                  <c:v>64.705882352941188</c:v>
                </c:pt>
                <c:pt idx="199">
                  <c:v>96.321296982594518</c:v>
                </c:pt>
                <c:pt idx="200">
                  <c:v>68.356544009806711</c:v>
                </c:pt>
                <c:pt idx="201">
                  <c:v>89.217032967032964</c:v>
                </c:pt>
                <c:pt idx="202">
                  <c:v>68.571428571428569</c:v>
                </c:pt>
                <c:pt idx="203">
                  <c:v>86.911524394988717</c:v>
                </c:pt>
                <c:pt idx="204">
                  <c:v>80.512166392253064</c:v>
                </c:pt>
                <c:pt idx="205">
                  <c:v>91.10410384868338</c:v>
                </c:pt>
                <c:pt idx="206">
                  <c:v>66.674684305472056</c:v>
                </c:pt>
                <c:pt idx="207">
                  <c:v>80.127762430939228</c:v>
                </c:pt>
                <c:pt idx="208">
                  <c:v>89.479624404459059</c:v>
                </c:pt>
                <c:pt idx="209">
                  <c:v>93.561515538527047</c:v>
                </c:pt>
                <c:pt idx="210">
                  <c:v>73.467492260061931</c:v>
                </c:pt>
                <c:pt idx="211">
                  <c:v>77.560810560272913</c:v>
                </c:pt>
                <c:pt idx="212">
                  <c:v>66.246392896781344</c:v>
                </c:pt>
                <c:pt idx="213">
                  <c:v>72.615525742460733</c:v>
                </c:pt>
                <c:pt idx="214">
                  <c:v>66.953116856040864</c:v>
                </c:pt>
                <c:pt idx="215">
                  <c:v>80.620866978325537</c:v>
                </c:pt>
                <c:pt idx="216">
                  <c:v>66.493506493506487</c:v>
                </c:pt>
                <c:pt idx="217">
                  <c:v>79.899888318259116</c:v>
                </c:pt>
                <c:pt idx="218">
                  <c:v>74.470691163604556</c:v>
                </c:pt>
                <c:pt idx="219">
                  <c:v>89.411406447122289</c:v>
                </c:pt>
                <c:pt idx="220">
                  <c:v>98.180871152115785</c:v>
                </c:pt>
                <c:pt idx="221">
                  <c:v>77.995753715498921</c:v>
                </c:pt>
                <c:pt idx="222">
                  <c:v>64.770053475935825</c:v>
                </c:pt>
                <c:pt idx="223">
                  <c:v>89.208405947569446</c:v>
                </c:pt>
                <c:pt idx="224">
                  <c:v>92.092932346502636</c:v>
                </c:pt>
                <c:pt idx="225">
                  <c:v>99.669402125457978</c:v>
                </c:pt>
                <c:pt idx="226">
                  <c:v>52.133623284372746</c:v>
                </c:pt>
                <c:pt idx="227">
                  <c:v>87.127989577802168</c:v>
                </c:pt>
                <c:pt idx="228">
                  <c:v>82.969529085872566</c:v>
                </c:pt>
                <c:pt idx="229">
                  <c:v>60.043102261025027</c:v>
                </c:pt>
                <c:pt idx="230">
                  <c:v>66.705998033431669</c:v>
                </c:pt>
                <c:pt idx="231">
                  <c:v>73.819088287733052</c:v>
                </c:pt>
                <c:pt idx="232">
                  <c:v>46.666666666666671</c:v>
                </c:pt>
                <c:pt idx="233">
                  <c:v>82.815277444150823</c:v>
                </c:pt>
                <c:pt idx="234">
                  <c:v>74.093426438719007</c:v>
                </c:pt>
                <c:pt idx="235">
                  <c:v>60.977777777777774</c:v>
                </c:pt>
                <c:pt idx="236">
                  <c:v>74.155301232703465</c:v>
                </c:pt>
                <c:pt idx="237">
                  <c:v>81.363636363636388</c:v>
                </c:pt>
                <c:pt idx="238">
                  <c:v>79.401900013475284</c:v>
                </c:pt>
                <c:pt idx="239">
                  <c:v>42.207885304659484</c:v>
                </c:pt>
                <c:pt idx="240">
                  <c:v>53.767403314917125</c:v>
                </c:pt>
                <c:pt idx="241">
                  <c:v>75.46789834292845</c:v>
                </c:pt>
                <c:pt idx="242">
                  <c:v>68.404858299595134</c:v>
                </c:pt>
                <c:pt idx="243">
                  <c:v>69.882352941176478</c:v>
                </c:pt>
                <c:pt idx="244">
                  <c:v>85.893416927899679</c:v>
                </c:pt>
                <c:pt idx="245">
                  <c:v>45.014245014245013</c:v>
                </c:pt>
                <c:pt idx="246">
                  <c:v>55.940740740740736</c:v>
                </c:pt>
                <c:pt idx="247">
                  <c:v>50.041152263374478</c:v>
                </c:pt>
                <c:pt idx="248">
                  <c:v>48.888888888888879</c:v>
                </c:pt>
                <c:pt idx="249">
                  <c:v>54.732478865557674</c:v>
                </c:pt>
                <c:pt idx="250">
                  <c:v>27.089947089947092</c:v>
                </c:pt>
                <c:pt idx="251">
                  <c:v>37.878787878787882</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numCache>
            </c:numRef>
          </c:val>
          <c:extLst>
            <c:ext xmlns:c16="http://schemas.microsoft.com/office/drawing/2014/chart" uri="{C3380CC4-5D6E-409C-BE32-E72D297353CC}">
              <c16:uniqueId val="{00000000-211E-4D24-82B2-F4B2FCE5974F}"/>
            </c:ext>
          </c:extLst>
        </c:ser>
        <c:dLbls>
          <c:showLegendKey val="0"/>
          <c:showVal val="0"/>
          <c:showCatName val="0"/>
          <c:showSerName val="0"/>
          <c:showPercent val="0"/>
          <c:showBubbleSize val="0"/>
        </c:dLbls>
        <c:axId val="56779136"/>
        <c:axId val="56780672"/>
      </c:areaChart>
      <c:lineChart>
        <c:grouping val="standard"/>
        <c:varyColors val="0"/>
        <c:ser>
          <c:idx val="1"/>
          <c:order val="1"/>
          <c:tx>
            <c:strRef>
              <c:f>calculations!$BD$19</c:f>
              <c:strCache>
                <c:ptCount val="1"/>
                <c:pt idx="0">
                  <c:v>OEE</c:v>
                </c:pt>
              </c:strCache>
            </c:strRef>
          </c:tx>
          <c:spPr>
            <a:ln>
              <a:noFill/>
            </a:ln>
          </c:spPr>
          <c:marker>
            <c:symbol val="none"/>
          </c:marker>
          <c:errBars>
            <c:errDir val="y"/>
            <c:errBarType val="minus"/>
            <c:errValType val="percentage"/>
            <c:noEndCap val="1"/>
            <c:val val="100"/>
            <c:spPr>
              <a:ln w="3175">
                <a:solidFill>
                  <a:srgbClr val="C00000"/>
                </a:solidFill>
              </a:ln>
            </c:spPr>
          </c:errBars>
          <c:val>
            <c:numRef>
              <c:f>calculations!$BD$20:$BD$379</c:f>
              <c:numCache>
                <c:formatCode>0.00%</c:formatCode>
                <c:ptCount val="3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86.922234392113893</c:v>
                </c:pt>
                <c:pt idx="21">
                  <c:v>#N/A</c:v>
                </c:pt>
                <c:pt idx="22">
                  <c:v>87.676767676767682</c:v>
                </c:pt>
                <c:pt idx="23">
                  <c:v>95.34545454545453</c:v>
                </c:pt>
                <c:pt idx="24">
                  <c:v>#N/A</c:v>
                </c:pt>
                <c:pt idx="25">
                  <c:v>#N/A</c:v>
                </c:pt>
                <c:pt idx="26">
                  <c:v>#N/A</c:v>
                </c:pt>
                <c:pt idx="27">
                  <c:v>#N/A</c:v>
                </c:pt>
                <c:pt idx="28">
                  <c:v>#N/A</c:v>
                </c:pt>
                <c:pt idx="29">
                  <c:v>#N/A</c:v>
                </c:pt>
                <c:pt idx="30">
                  <c:v>75.160714285714278</c:v>
                </c:pt>
                <c:pt idx="31">
                  <c:v>#N/A</c:v>
                </c:pt>
                <c:pt idx="32">
                  <c:v>#N/A</c:v>
                </c:pt>
                <c:pt idx="33">
                  <c:v>71.204061895551249</c:v>
                </c:pt>
                <c:pt idx="34">
                  <c:v>#N/A</c:v>
                </c:pt>
                <c:pt idx="35">
                  <c:v>#N/A</c:v>
                </c:pt>
                <c:pt idx="36">
                  <c:v>100.55759206322514</c:v>
                </c:pt>
                <c:pt idx="37">
                  <c:v>#N/A</c:v>
                </c:pt>
                <c:pt idx="38">
                  <c:v>#N/A</c:v>
                </c:pt>
                <c:pt idx="39">
                  <c:v>#N/A</c:v>
                </c:pt>
                <c:pt idx="40">
                  <c:v>97.376832151300235</c:v>
                </c:pt>
                <c:pt idx="41">
                  <c:v>#N/A</c:v>
                </c:pt>
                <c:pt idx="42">
                  <c:v>#N/A</c:v>
                </c:pt>
                <c:pt idx="43">
                  <c:v>86.774595267745951</c:v>
                </c:pt>
                <c:pt idx="44">
                  <c:v>87.443669414500093</c:v>
                </c:pt>
                <c:pt idx="45">
                  <c:v>#N/A</c:v>
                </c:pt>
                <c:pt idx="46">
                  <c:v>#N/A</c:v>
                </c:pt>
                <c:pt idx="47">
                  <c:v>#N/A</c:v>
                </c:pt>
                <c:pt idx="48">
                  <c:v>#N/A</c:v>
                </c:pt>
                <c:pt idx="49">
                  <c:v>96.10591016548463</c:v>
                </c:pt>
                <c:pt idx="50">
                  <c:v>#N/A</c:v>
                </c:pt>
                <c:pt idx="51">
                  <c:v>#N/A</c:v>
                </c:pt>
                <c:pt idx="52">
                  <c:v>#N/A</c:v>
                </c:pt>
                <c:pt idx="53">
                  <c:v>#N/A</c:v>
                </c:pt>
                <c:pt idx="54">
                  <c:v>#N/A</c:v>
                </c:pt>
                <c:pt idx="55">
                  <c:v>#N/A</c:v>
                </c:pt>
                <c:pt idx="56">
                  <c:v>#N/A</c:v>
                </c:pt>
                <c:pt idx="57">
                  <c:v>90.263703703703698</c:v>
                </c:pt>
                <c:pt idx="58">
                  <c:v>#N/A</c:v>
                </c:pt>
                <c:pt idx="59">
                  <c:v>89.130075370775614</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88.959218559218556</c:v>
                </c:pt>
                <c:pt idx="77">
                  <c:v>#N/A</c:v>
                </c:pt>
                <c:pt idx="78">
                  <c:v>91.116426454052956</c:v>
                </c:pt>
                <c:pt idx="79">
                  <c:v>#N/A</c:v>
                </c:pt>
                <c:pt idx="80">
                  <c:v>#N/A</c:v>
                </c:pt>
                <c:pt idx="81">
                  <c:v>#N/A</c:v>
                </c:pt>
                <c:pt idx="82">
                  <c:v>#N/A</c:v>
                </c:pt>
                <c:pt idx="83">
                  <c:v>#N/A</c:v>
                </c:pt>
                <c:pt idx="84">
                  <c:v>#N/A</c:v>
                </c:pt>
                <c:pt idx="85">
                  <c:v>#N/A</c:v>
                </c:pt>
                <c:pt idx="86">
                  <c:v>96.927830687830692</c:v>
                </c:pt>
                <c:pt idx="87">
                  <c:v>#N/A</c:v>
                </c:pt>
                <c:pt idx="88">
                  <c:v>#N/A</c:v>
                </c:pt>
                <c:pt idx="89">
                  <c:v>79.710144927536248</c:v>
                </c:pt>
                <c:pt idx="90">
                  <c:v>#N/A</c:v>
                </c:pt>
                <c:pt idx="91">
                  <c:v>#N/A</c:v>
                </c:pt>
                <c:pt idx="92">
                  <c:v>#N/A</c:v>
                </c:pt>
                <c:pt idx="93">
                  <c:v>#N/A</c:v>
                </c:pt>
                <c:pt idx="94">
                  <c:v>#N/A</c:v>
                </c:pt>
                <c:pt idx="95">
                  <c:v>#N/A</c:v>
                </c:pt>
                <c:pt idx="96">
                  <c:v>#N/A</c:v>
                </c:pt>
                <c:pt idx="97">
                  <c:v>#N/A</c:v>
                </c:pt>
                <c:pt idx="98">
                  <c:v>86.755555555555546</c:v>
                </c:pt>
                <c:pt idx="99">
                  <c:v>74.628796844181451</c:v>
                </c:pt>
                <c:pt idx="100">
                  <c:v>#N/A</c:v>
                </c:pt>
                <c:pt idx="101">
                  <c:v>87.656964006259784</c:v>
                </c:pt>
                <c:pt idx="102">
                  <c:v>#N/A</c:v>
                </c:pt>
                <c:pt idx="103">
                  <c:v>120.56451612903226</c:v>
                </c:pt>
                <c:pt idx="104">
                  <c:v>#N/A</c:v>
                </c:pt>
                <c:pt idx="105">
                  <c:v>#N/A</c:v>
                </c:pt>
                <c:pt idx="106">
                  <c:v>#N/A</c:v>
                </c:pt>
                <c:pt idx="107">
                  <c:v>#N/A</c:v>
                </c:pt>
                <c:pt idx="108">
                  <c:v>#N/A</c:v>
                </c:pt>
                <c:pt idx="109">
                  <c:v>#N/A</c:v>
                </c:pt>
                <c:pt idx="110">
                  <c:v>#N/A</c:v>
                </c:pt>
                <c:pt idx="111">
                  <c:v>#N/A</c:v>
                </c:pt>
                <c:pt idx="112">
                  <c:v>#N/A</c:v>
                </c:pt>
                <c:pt idx="113">
                  <c:v>#N/A</c:v>
                </c:pt>
                <c:pt idx="114">
                  <c:v>61.005847953216353</c:v>
                </c:pt>
                <c:pt idx="115">
                  <c:v>#N/A</c:v>
                </c:pt>
                <c:pt idx="116">
                  <c:v>76.578947368421041</c:v>
                </c:pt>
                <c:pt idx="117">
                  <c:v>#N/A</c:v>
                </c:pt>
                <c:pt idx="118">
                  <c:v>85.52188663801924</c:v>
                </c:pt>
                <c:pt idx="119">
                  <c:v>#N/A</c:v>
                </c:pt>
                <c:pt idx="120">
                  <c:v>92.295260295260277</c:v>
                </c:pt>
                <c:pt idx="121">
                  <c:v>#N/A</c:v>
                </c:pt>
                <c:pt idx="122">
                  <c:v>#N/A</c:v>
                </c:pt>
                <c:pt idx="123">
                  <c:v>#N/A</c:v>
                </c:pt>
                <c:pt idx="124">
                  <c:v>88.516402116402119</c:v>
                </c:pt>
                <c:pt idx="125">
                  <c:v>#N/A</c:v>
                </c:pt>
                <c:pt idx="126">
                  <c:v>#N/A</c:v>
                </c:pt>
                <c:pt idx="127">
                  <c:v>#N/A</c:v>
                </c:pt>
                <c:pt idx="128">
                  <c:v>#N/A</c:v>
                </c:pt>
                <c:pt idx="129">
                  <c:v>#N/A</c:v>
                </c:pt>
                <c:pt idx="130">
                  <c:v>#N/A</c:v>
                </c:pt>
                <c:pt idx="131">
                  <c:v>#N/A</c:v>
                </c:pt>
                <c:pt idx="132">
                  <c:v>94.248238482384835</c:v>
                </c:pt>
                <c:pt idx="133">
                  <c:v>#N/A</c:v>
                </c:pt>
                <c:pt idx="134">
                  <c:v>96.599564270152513</c:v>
                </c:pt>
                <c:pt idx="135">
                  <c:v>85.560888888888897</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93.489085545722745</c:v>
                </c:pt>
                <c:pt idx="150">
                  <c:v>#N/A</c:v>
                </c:pt>
                <c:pt idx="151">
                  <c:v>111.00628930817614</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74.78575225943645</c:v>
                </c:pt>
                <c:pt idx="167">
                  <c:v>#N/A</c:v>
                </c:pt>
                <c:pt idx="168">
                  <c:v>#N/A</c:v>
                </c:pt>
                <c:pt idx="169">
                  <c:v>91.871310116086235</c:v>
                </c:pt>
                <c:pt idx="170">
                  <c:v>#N/A</c:v>
                </c:pt>
                <c:pt idx="171">
                  <c:v>#N/A</c:v>
                </c:pt>
                <c:pt idx="172">
                  <c:v>#N/A</c:v>
                </c:pt>
                <c:pt idx="173">
                  <c:v>#N/A</c:v>
                </c:pt>
                <c:pt idx="174">
                  <c:v>#N/A</c:v>
                </c:pt>
                <c:pt idx="175">
                  <c:v>92.19801980198018</c:v>
                </c:pt>
                <c:pt idx="176">
                  <c:v>#N/A</c:v>
                </c:pt>
                <c:pt idx="177">
                  <c:v>#N/A</c:v>
                </c:pt>
                <c:pt idx="178">
                  <c:v>#N/A</c:v>
                </c:pt>
                <c:pt idx="179">
                  <c:v>#N/A</c:v>
                </c:pt>
                <c:pt idx="180">
                  <c:v>#N/A</c:v>
                </c:pt>
                <c:pt idx="181">
                  <c:v>#N/A</c:v>
                </c:pt>
                <c:pt idx="182">
                  <c:v>#N/A</c:v>
                </c:pt>
                <c:pt idx="183">
                  <c:v>#N/A</c:v>
                </c:pt>
                <c:pt idx="184">
                  <c:v>#N/A</c:v>
                </c:pt>
                <c:pt idx="185">
                  <c:v>80.218832796276402</c:v>
                </c:pt>
                <c:pt idx="186">
                  <c:v>#N/A</c:v>
                </c:pt>
                <c:pt idx="187">
                  <c:v>#N/A</c:v>
                </c:pt>
                <c:pt idx="188">
                  <c:v>77.821790722761591</c:v>
                </c:pt>
                <c:pt idx="189">
                  <c:v>#N/A</c:v>
                </c:pt>
                <c:pt idx="190">
                  <c:v>#N/A</c:v>
                </c:pt>
                <c:pt idx="191">
                  <c:v>#N/A</c:v>
                </c:pt>
                <c:pt idx="192">
                  <c:v>#N/A</c:v>
                </c:pt>
                <c:pt idx="193">
                  <c:v>#N/A</c:v>
                </c:pt>
                <c:pt idx="194">
                  <c:v>78.715071507150711</c:v>
                </c:pt>
                <c:pt idx="195">
                  <c:v>#N/A</c:v>
                </c:pt>
                <c:pt idx="196">
                  <c:v>#N/A</c:v>
                </c:pt>
                <c:pt idx="197">
                  <c:v>#N/A</c:v>
                </c:pt>
                <c:pt idx="198">
                  <c:v>64.705882352941188</c:v>
                </c:pt>
                <c:pt idx="199">
                  <c:v>#N/A</c:v>
                </c:pt>
                <c:pt idx="200">
                  <c:v>#N/A</c:v>
                </c:pt>
                <c:pt idx="201">
                  <c:v>#N/A</c:v>
                </c:pt>
                <c:pt idx="202">
                  <c:v>68.571428571428569</c:v>
                </c:pt>
                <c:pt idx="203">
                  <c:v>#N/A</c:v>
                </c:pt>
                <c:pt idx="204">
                  <c:v>#N/A</c:v>
                </c:pt>
                <c:pt idx="205">
                  <c:v>#N/A</c:v>
                </c:pt>
                <c:pt idx="206">
                  <c:v>#N/A</c:v>
                </c:pt>
                <c:pt idx="207">
                  <c:v>#N/A</c:v>
                </c:pt>
                <c:pt idx="208">
                  <c:v>#N/A</c:v>
                </c:pt>
                <c:pt idx="209">
                  <c:v>93.561515538527047</c:v>
                </c:pt>
                <c:pt idx="210">
                  <c:v>#N/A</c:v>
                </c:pt>
                <c:pt idx="211">
                  <c:v>#N/A</c:v>
                </c:pt>
                <c:pt idx="212">
                  <c:v>#N/A</c:v>
                </c:pt>
                <c:pt idx="213">
                  <c:v>#N/A</c:v>
                </c:pt>
                <c:pt idx="214">
                  <c:v>#N/A</c:v>
                </c:pt>
                <c:pt idx="215">
                  <c:v>#N/A</c:v>
                </c:pt>
                <c:pt idx="216">
                  <c:v>66.493506493506487</c:v>
                </c:pt>
                <c:pt idx="217">
                  <c:v>#N/A</c:v>
                </c:pt>
                <c:pt idx="218">
                  <c:v>#N/A</c:v>
                </c:pt>
                <c:pt idx="219">
                  <c:v>#N/A</c:v>
                </c:pt>
                <c:pt idx="220">
                  <c:v>#N/A</c:v>
                </c:pt>
                <c:pt idx="221">
                  <c:v>77.995753715498921</c:v>
                </c:pt>
                <c:pt idx="222">
                  <c:v>#N/A</c:v>
                </c:pt>
                <c:pt idx="223">
                  <c:v>#N/A</c:v>
                </c:pt>
                <c:pt idx="224">
                  <c:v>#N/A</c:v>
                </c:pt>
                <c:pt idx="225">
                  <c:v>#N/A</c:v>
                </c:pt>
                <c:pt idx="226">
                  <c:v>#N/A</c:v>
                </c:pt>
                <c:pt idx="227">
                  <c:v>#N/A</c:v>
                </c:pt>
                <c:pt idx="228">
                  <c:v>82.969529085872566</c:v>
                </c:pt>
                <c:pt idx="229">
                  <c:v>#N/A</c:v>
                </c:pt>
                <c:pt idx="230">
                  <c:v>66.705998033431669</c:v>
                </c:pt>
                <c:pt idx="231">
                  <c:v>#N/A</c:v>
                </c:pt>
                <c:pt idx="232">
                  <c:v>46.666666666666671</c:v>
                </c:pt>
                <c:pt idx="233">
                  <c:v>#N/A</c:v>
                </c:pt>
                <c:pt idx="234">
                  <c:v>#N/A</c:v>
                </c:pt>
                <c:pt idx="235">
                  <c:v>60.977777777777774</c:v>
                </c:pt>
                <c:pt idx="236">
                  <c:v>#N/A</c:v>
                </c:pt>
                <c:pt idx="237">
                  <c:v>81.363636363636388</c:v>
                </c:pt>
                <c:pt idx="238">
                  <c:v>#N/A</c:v>
                </c:pt>
                <c:pt idx="239">
                  <c:v>#N/A</c:v>
                </c:pt>
                <c:pt idx="240">
                  <c:v>#N/A</c:v>
                </c:pt>
                <c:pt idx="241">
                  <c:v>#N/A</c:v>
                </c:pt>
                <c:pt idx="242">
                  <c:v>#N/A</c:v>
                </c:pt>
                <c:pt idx="243">
                  <c:v>#N/A</c:v>
                </c:pt>
                <c:pt idx="244">
                  <c:v>#N/A</c:v>
                </c:pt>
                <c:pt idx="245">
                  <c:v>45.014245014245013</c:v>
                </c:pt>
                <c:pt idx="246">
                  <c:v>#N/A</c:v>
                </c:pt>
                <c:pt idx="247">
                  <c:v>#N/A</c:v>
                </c:pt>
                <c:pt idx="248">
                  <c:v>#N/A</c:v>
                </c:pt>
                <c:pt idx="249">
                  <c:v>54.732478865557674</c:v>
                </c:pt>
                <c:pt idx="250">
                  <c:v>#N/A</c:v>
                </c:pt>
                <c:pt idx="251">
                  <c:v>37.878787878787882</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numCache>
            </c:numRef>
          </c:val>
          <c:smooth val="0"/>
          <c:extLst>
            <c:ext xmlns:c16="http://schemas.microsoft.com/office/drawing/2014/chart" uri="{C3380CC4-5D6E-409C-BE32-E72D297353CC}">
              <c16:uniqueId val="{00000001-211E-4D24-82B2-F4B2FCE5974F}"/>
            </c:ext>
          </c:extLst>
        </c:ser>
        <c:dLbls>
          <c:showLegendKey val="0"/>
          <c:showVal val="0"/>
          <c:showCatName val="0"/>
          <c:showSerName val="0"/>
          <c:showPercent val="0"/>
          <c:showBubbleSize val="0"/>
        </c:dLbls>
        <c:marker val="1"/>
        <c:smooth val="0"/>
        <c:axId val="56779136"/>
        <c:axId val="56780672"/>
      </c:lineChart>
      <c:catAx>
        <c:axId val="56779136"/>
        <c:scaling>
          <c:orientation val="minMax"/>
        </c:scaling>
        <c:delete val="1"/>
        <c:axPos val="b"/>
        <c:majorTickMark val="out"/>
        <c:minorTickMark val="none"/>
        <c:tickLblPos val="none"/>
        <c:crossAx val="56780672"/>
        <c:crosses val="autoZero"/>
        <c:auto val="1"/>
        <c:lblAlgn val="ctr"/>
        <c:lblOffset val="100"/>
        <c:noMultiLvlLbl val="0"/>
      </c:catAx>
      <c:valAx>
        <c:axId val="56780672"/>
        <c:scaling>
          <c:orientation val="minMax"/>
        </c:scaling>
        <c:delete val="1"/>
        <c:axPos val="l"/>
        <c:numFmt formatCode="General" sourceLinked="1"/>
        <c:majorTickMark val="out"/>
        <c:minorTickMark val="none"/>
        <c:tickLblPos val="none"/>
        <c:crossAx val="56779136"/>
        <c:crosses val="autoZero"/>
        <c:crossBetween val="midCat"/>
      </c:valAx>
    </c:plotArea>
    <c:plotVisOnly val="1"/>
    <c:dispBlanksAs val="gap"/>
    <c:showDLblsOverMax val="0"/>
  </c:chart>
  <c:spPr>
    <a:noFill/>
    <a:ln>
      <a:noFill/>
    </a:ln>
  </c:spPr>
  <c:printSettings>
    <c:headerFooter/>
    <c:pageMargins b="0.75000000000000377" l="0.70000000000000062" r="0.70000000000000062" t="0.75000000000000377"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181107703277275E-3"/>
          <c:y val="5.8608081146810993E-2"/>
          <c:w val="0.9673637775508046"/>
          <c:h val="0.9413919188531914"/>
        </c:manualLayout>
      </c:layout>
      <c:areaChart>
        <c:grouping val="standard"/>
        <c:varyColors val="0"/>
        <c:ser>
          <c:idx val="0"/>
          <c:order val="0"/>
          <c:tx>
            <c:strRef>
              <c:f>calculations!$Y$19</c:f>
              <c:strCache>
                <c:ptCount val="1"/>
                <c:pt idx="0">
                  <c:v>Availability</c:v>
                </c:pt>
              </c:strCache>
            </c:strRef>
          </c:tx>
          <c:spPr>
            <a:solidFill>
              <a:schemeClr val="bg1">
                <a:lumMod val="75000"/>
              </a:schemeClr>
            </a:solidFill>
          </c:spPr>
          <c:val>
            <c:numRef>
              <c:f>calculations!$Y$20:$Y$379</c:f>
              <c:numCache>
                <c:formatCode>General</c:formatCode>
                <c:ptCount val="360"/>
                <c:pt idx="0">
                  <c:v>53.846153846153854</c:v>
                </c:pt>
                <c:pt idx="1">
                  <c:v>76.428571428571416</c:v>
                </c:pt>
                <c:pt idx="2">
                  <c:v>62.903225806451616</c:v>
                </c:pt>
                <c:pt idx="3">
                  <c:v>81.132075471698116</c:v>
                </c:pt>
                <c:pt idx="4">
                  <c:v>96.615384615384613</c:v>
                </c:pt>
                <c:pt idx="5">
                  <c:v>73.913043478260875</c:v>
                </c:pt>
                <c:pt idx="6">
                  <c:v>85</c:v>
                </c:pt>
                <c:pt idx="7">
                  <c:v>91.17647058823529</c:v>
                </c:pt>
                <c:pt idx="8">
                  <c:v>77.142857142857153</c:v>
                </c:pt>
                <c:pt idx="9">
                  <c:v>93.824884792626733</c:v>
                </c:pt>
                <c:pt idx="10">
                  <c:v>94.008714596949886</c:v>
                </c:pt>
                <c:pt idx="11">
                  <c:v>100</c:v>
                </c:pt>
                <c:pt idx="12">
                  <c:v>96.174863387978121</c:v>
                </c:pt>
                <c:pt idx="13">
                  <c:v>82.770870337477803</c:v>
                </c:pt>
                <c:pt idx="14">
                  <c:v>98.271604938271594</c:v>
                </c:pt>
                <c:pt idx="15">
                  <c:v>91.972789115646265</c:v>
                </c:pt>
                <c:pt idx="16">
                  <c:v>97.959183673469397</c:v>
                </c:pt>
                <c:pt idx="17">
                  <c:v>83.801295896328298</c:v>
                </c:pt>
                <c:pt idx="18">
                  <c:v>96</c:v>
                </c:pt>
                <c:pt idx="19">
                  <c:v>93.392070484581495</c:v>
                </c:pt>
                <c:pt idx="20">
                  <c:v>96.385542168674689</c:v>
                </c:pt>
                <c:pt idx="21">
                  <c:v>94.523809523809533</c:v>
                </c:pt>
                <c:pt idx="22">
                  <c:v>90.277777777777786</c:v>
                </c:pt>
                <c:pt idx="23">
                  <c:v>99.066666666666663</c:v>
                </c:pt>
                <c:pt idx="24">
                  <c:v>87.904967602591782</c:v>
                </c:pt>
                <c:pt idx="25">
                  <c:v>79.259259259259252</c:v>
                </c:pt>
                <c:pt idx="26">
                  <c:v>96.056338028169009</c:v>
                </c:pt>
                <c:pt idx="27">
                  <c:v>92.138364779874209</c:v>
                </c:pt>
                <c:pt idx="28">
                  <c:v>89.325842696629209</c:v>
                </c:pt>
                <c:pt idx="29">
                  <c:v>97.09794437726724</c:v>
                </c:pt>
                <c:pt idx="30">
                  <c:v>81.919642857142847</c:v>
                </c:pt>
                <c:pt idx="31">
                  <c:v>98.014184397163135</c:v>
                </c:pt>
                <c:pt idx="32">
                  <c:v>78.155339805825236</c:v>
                </c:pt>
                <c:pt idx="33">
                  <c:v>76.832151300236404</c:v>
                </c:pt>
                <c:pt idx="34">
                  <c:v>95.238095238095227</c:v>
                </c:pt>
                <c:pt idx="35">
                  <c:v>96.642335766423358</c:v>
                </c:pt>
                <c:pt idx="36">
                  <c:v>98.083067092651746</c:v>
                </c:pt>
                <c:pt idx="37">
                  <c:v>96.296296296296291</c:v>
                </c:pt>
                <c:pt idx="38">
                  <c:v>86.194690265486742</c:v>
                </c:pt>
                <c:pt idx="39">
                  <c:v>100</c:v>
                </c:pt>
                <c:pt idx="40">
                  <c:v>100</c:v>
                </c:pt>
                <c:pt idx="41">
                  <c:v>100</c:v>
                </c:pt>
                <c:pt idx="42">
                  <c:v>94.065934065934059</c:v>
                </c:pt>
                <c:pt idx="43">
                  <c:v>94.520547945205479</c:v>
                </c:pt>
                <c:pt idx="44">
                  <c:v>89.759036144578303</c:v>
                </c:pt>
                <c:pt idx="45">
                  <c:v>98.587360594795541</c:v>
                </c:pt>
                <c:pt idx="46">
                  <c:v>83.552631578947384</c:v>
                </c:pt>
                <c:pt idx="47">
                  <c:v>90</c:v>
                </c:pt>
                <c:pt idx="48">
                  <c:v>86.666666666666657</c:v>
                </c:pt>
                <c:pt idx="49">
                  <c:v>98.723404255319153</c:v>
                </c:pt>
                <c:pt idx="50">
                  <c:v>99.627329192546583</c:v>
                </c:pt>
                <c:pt idx="51">
                  <c:v>96.235294117647058</c:v>
                </c:pt>
                <c:pt idx="52">
                  <c:v>96.538461538461533</c:v>
                </c:pt>
                <c:pt idx="53">
                  <c:v>87.027027027027003</c:v>
                </c:pt>
                <c:pt idx="54">
                  <c:v>86.016260162601625</c:v>
                </c:pt>
                <c:pt idx="55">
                  <c:v>93.971631205673759</c:v>
                </c:pt>
                <c:pt idx="56">
                  <c:v>94.163424124513611</c:v>
                </c:pt>
                <c:pt idx="57">
                  <c:v>98.000000000000014</c:v>
                </c:pt>
                <c:pt idx="58">
                  <c:v>93.390804597701162</c:v>
                </c:pt>
                <c:pt idx="59">
                  <c:v>87.199124726477038</c:v>
                </c:pt>
                <c:pt idx="60">
                  <c:v>83.023255813953497</c:v>
                </c:pt>
                <c:pt idx="61">
                  <c:v>66.885245901639351</c:v>
                </c:pt>
                <c:pt idx="62">
                  <c:v>96.066746126340902</c:v>
                </c:pt>
                <c:pt idx="63">
                  <c:v>98.271604938271594</c:v>
                </c:pt>
                <c:pt idx="64">
                  <c:v>98.969072164948457</c:v>
                </c:pt>
                <c:pt idx="65">
                  <c:v>98.285714285714292</c:v>
                </c:pt>
                <c:pt idx="66">
                  <c:v>90.434782608695642</c:v>
                </c:pt>
                <c:pt idx="67">
                  <c:v>91.552511415525132</c:v>
                </c:pt>
                <c:pt idx="68">
                  <c:v>98.095238095238102</c:v>
                </c:pt>
                <c:pt idx="69">
                  <c:v>98.067226890756302</c:v>
                </c:pt>
                <c:pt idx="70">
                  <c:v>98.837209302325576</c:v>
                </c:pt>
                <c:pt idx="71">
                  <c:v>92.206366630076843</c:v>
                </c:pt>
                <c:pt idx="72">
                  <c:v>96.292134831460672</c:v>
                </c:pt>
                <c:pt idx="73">
                  <c:v>88.219178082191775</c:v>
                </c:pt>
                <c:pt idx="74">
                  <c:v>99.432463110102148</c:v>
                </c:pt>
                <c:pt idx="75">
                  <c:v>95.145631067961162</c:v>
                </c:pt>
                <c:pt idx="76">
                  <c:v>89.010989010989022</c:v>
                </c:pt>
                <c:pt idx="77">
                  <c:v>88.073394495412842</c:v>
                </c:pt>
                <c:pt idx="78">
                  <c:v>93.836246550137986</c:v>
                </c:pt>
                <c:pt idx="79">
                  <c:v>96.670247046186887</c:v>
                </c:pt>
                <c:pt idx="80">
                  <c:v>94.915254237288138</c:v>
                </c:pt>
                <c:pt idx="81">
                  <c:v>90.416666666666657</c:v>
                </c:pt>
                <c:pt idx="82">
                  <c:v>100</c:v>
                </c:pt>
                <c:pt idx="83">
                  <c:v>89.743589743589737</c:v>
                </c:pt>
                <c:pt idx="84">
                  <c:v>99.080459770114942</c:v>
                </c:pt>
                <c:pt idx="85">
                  <c:v>94.3010752688172</c:v>
                </c:pt>
                <c:pt idx="86">
                  <c:v>96.190476190476176</c:v>
                </c:pt>
                <c:pt idx="87">
                  <c:v>89.243697478991606</c:v>
                </c:pt>
                <c:pt idx="88">
                  <c:v>57.142857142857139</c:v>
                </c:pt>
                <c:pt idx="89">
                  <c:v>87.318840579710155</c:v>
                </c:pt>
                <c:pt idx="90">
                  <c:v>100</c:v>
                </c:pt>
                <c:pt idx="91">
                  <c:v>100</c:v>
                </c:pt>
                <c:pt idx="92">
                  <c:v>92.695035460992912</c:v>
                </c:pt>
                <c:pt idx="93">
                  <c:v>99.04</c:v>
                </c:pt>
                <c:pt idx="94">
                  <c:v>98.660714285714306</c:v>
                </c:pt>
                <c:pt idx="95">
                  <c:v>91.505376344086017</c:v>
                </c:pt>
                <c:pt idx="96">
                  <c:v>83.07692307692308</c:v>
                </c:pt>
                <c:pt idx="97">
                  <c:v>95.833333333333343</c:v>
                </c:pt>
                <c:pt idx="98">
                  <c:v>89</c:v>
                </c:pt>
                <c:pt idx="99">
                  <c:v>81.65680473372781</c:v>
                </c:pt>
                <c:pt idx="100">
                  <c:v>98.12734082397003</c:v>
                </c:pt>
                <c:pt idx="101">
                  <c:v>97.183098591549282</c:v>
                </c:pt>
                <c:pt idx="102">
                  <c:v>88.610478359908868</c:v>
                </c:pt>
                <c:pt idx="103">
                  <c:v>84.3010752688172</c:v>
                </c:pt>
                <c:pt idx="104">
                  <c:v>94.355828220858911</c:v>
                </c:pt>
                <c:pt idx="105">
                  <c:v>94.85294117647058</c:v>
                </c:pt>
                <c:pt idx="106">
                  <c:v>92.390524048815507</c:v>
                </c:pt>
                <c:pt idx="107">
                  <c:v>85.765124555160142</c:v>
                </c:pt>
                <c:pt idx="108">
                  <c:v>81.229773462783172</c:v>
                </c:pt>
                <c:pt idx="109">
                  <c:v>90.14705882352942</c:v>
                </c:pt>
                <c:pt idx="110">
                  <c:v>98.007968127490031</c:v>
                </c:pt>
                <c:pt idx="111">
                  <c:v>89.864158829676072</c:v>
                </c:pt>
                <c:pt idx="112">
                  <c:v>93.369565217391298</c:v>
                </c:pt>
                <c:pt idx="113">
                  <c:v>97.101449275362313</c:v>
                </c:pt>
                <c:pt idx="114">
                  <c:v>69.473684210526315</c:v>
                </c:pt>
                <c:pt idx="115">
                  <c:v>97.695167286245351</c:v>
                </c:pt>
                <c:pt idx="116">
                  <c:v>84.1796875</c:v>
                </c:pt>
                <c:pt idx="117">
                  <c:v>94.733333333333334</c:v>
                </c:pt>
                <c:pt idx="118">
                  <c:v>86.408839779005518</c:v>
                </c:pt>
                <c:pt idx="119">
                  <c:v>92.907801418439703</c:v>
                </c:pt>
                <c:pt idx="120">
                  <c:v>91.328671328671334</c:v>
                </c:pt>
                <c:pt idx="121">
                  <c:v>82.35294117647058</c:v>
                </c:pt>
                <c:pt idx="122">
                  <c:v>96.226415094339629</c:v>
                </c:pt>
                <c:pt idx="123">
                  <c:v>88.214285714285694</c:v>
                </c:pt>
                <c:pt idx="124">
                  <c:v>92.5</c:v>
                </c:pt>
                <c:pt idx="125">
                  <c:v>87.500000000000014</c:v>
                </c:pt>
                <c:pt idx="126">
                  <c:v>96.451612903225808</c:v>
                </c:pt>
                <c:pt idx="127">
                  <c:v>98.888888888888886</c:v>
                </c:pt>
                <c:pt idx="128">
                  <c:v>78.596491228070178</c:v>
                </c:pt>
                <c:pt idx="129">
                  <c:v>86.037735849056602</c:v>
                </c:pt>
                <c:pt idx="130">
                  <c:v>93.709327548806925</c:v>
                </c:pt>
                <c:pt idx="131">
                  <c:v>79.347826086956545</c:v>
                </c:pt>
                <c:pt idx="132">
                  <c:v>95.609756097560989</c:v>
                </c:pt>
                <c:pt idx="133">
                  <c:v>85.06849315068493</c:v>
                </c:pt>
                <c:pt idx="134">
                  <c:v>98.039215686274517</c:v>
                </c:pt>
                <c:pt idx="135">
                  <c:v>92.533333333333331</c:v>
                </c:pt>
                <c:pt idx="136">
                  <c:v>91.460674157303373</c:v>
                </c:pt>
                <c:pt idx="137">
                  <c:v>98.592592592592595</c:v>
                </c:pt>
                <c:pt idx="138">
                  <c:v>91.206543967280169</c:v>
                </c:pt>
                <c:pt idx="139">
                  <c:v>91.216931216931215</c:v>
                </c:pt>
                <c:pt idx="140">
                  <c:v>94.049159120310492</c:v>
                </c:pt>
                <c:pt idx="141">
                  <c:v>88.668224299065429</c:v>
                </c:pt>
                <c:pt idx="142">
                  <c:v>73.559322033898283</c:v>
                </c:pt>
                <c:pt idx="143">
                  <c:v>98.493150684931507</c:v>
                </c:pt>
                <c:pt idx="144">
                  <c:v>97.115384615384613</c:v>
                </c:pt>
                <c:pt idx="145">
                  <c:v>97.902097902097907</c:v>
                </c:pt>
                <c:pt idx="146">
                  <c:v>97.073170731707322</c:v>
                </c:pt>
                <c:pt idx="147">
                  <c:v>92.282608695652158</c:v>
                </c:pt>
                <c:pt idx="148">
                  <c:v>95.194805194805184</c:v>
                </c:pt>
                <c:pt idx="149">
                  <c:v>90.619469026548686</c:v>
                </c:pt>
                <c:pt idx="150">
                  <c:v>95.797101449275374</c:v>
                </c:pt>
                <c:pt idx="151">
                  <c:v>88.836477987421375</c:v>
                </c:pt>
                <c:pt idx="152">
                  <c:v>89.152542372881371</c:v>
                </c:pt>
                <c:pt idx="153">
                  <c:v>79.809523809523824</c:v>
                </c:pt>
                <c:pt idx="154">
                  <c:v>79.47019867549669</c:v>
                </c:pt>
                <c:pt idx="155">
                  <c:v>93.812154696132609</c:v>
                </c:pt>
                <c:pt idx="156">
                  <c:v>80.724637681159422</c:v>
                </c:pt>
                <c:pt idx="157">
                  <c:v>81.030927835051529</c:v>
                </c:pt>
                <c:pt idx="158">
                  <c:v>100</c:v>
                </c:pt>
                <c:pt idx="159">
                  <c:v>78.199999999999974</c:v>
                </c:pt>
                <c:pt idx="160">
                  <c:v>88.92307692307692</c:v>
                </c:pt>
                <c:pt idx="161">
                  <c:v>94.444444444444457</c:v>
                </c:pt>
                <c:pt idx="162">
                  <c:v>98.728323699421978</c:v>
                </c:pt>
                <c:pt idx="163">
                  <c:v>97.941176470588232</c:v>
                </c:pt>
                <c:pt idx="164">
                  <c:v>93.704092339979013</c:v>
                </c:pt>
                <c:pt idx="165">
                  <c:v>89.864158829676072</c:v>
                </c:pt>
                <c:pt idx="166">
                  <c:v>83.014354066985646</c:v>
                </c:pt>
                <c:pt idx="167">
                  <c:v>99.300699300699307</c:v>
                </c:pt>
                <c:pt idx="168">
                  <c:v>94.791666666666657</c:v>
                </c:pt>
                <c:pt idx="169">
                  <c:v>94.626865671641795</c:v>
                </c:pt>
                <c:pt idx="170">
                  <c:v>60.281690140845065</c:v>
                </c:pt>
                <c:pt idx="171">
                  <c:v>96.972972972972983</c:v>
                </c:pt>
                <c:pt idx="172">
                  <c:v>84.667571234735433</c:v>
                </c:pt>
                <c:pt idx="173">
                  <c:v>97.633136094674555</c:v>
                </c:pt>
                <c:pt idx="174">
                  <c:v>99.322033898305094</c:v>
                </c:pt>
                <c:pt idx="175">
                  <c:v>93.193069306930695</c:v>
                </c:pt>
                <c:pt idx="176">
                  <c:v>97.813411078717209</c:v>
                </c:pt>
                <c:pt idx="177">
                  <c:v>81.774193548387089</c:v>
                </c:pt>
                <c:pt idx="178">
                  <c:v>84.537815126050418</c:v>
                </c:pt>
                <c:pt idx="179">
                  <c:v>93.700217233888495</c:v>
                </c:pt>
                <c:pt idx="180">
                  <c:v>83.815028901734095</c:v>
                </c:pt>
                <c:pt idx="181">
                  <c:v>98.181818181818187</c:v>
                </c:pt>
                <c:pt idx="182">
                  <c:v>91.062394603709947</c:v>
                </c:pt>
                <c:pt idx="183">
                  <c:v>78.94736842105263</c:v>
                </c:pt>
                <c:pt idx="184">
                  <c:v>90.732758620689651</c:v>
                </c:pt>
                <c:pt idx="185">
                  <c:v>86.802721088435376</c:v>
                </c:pt>
                <c:pt idx="186">
                  <c:v>88.571428571428584</c:v>
                </c:pt>
                <c:pt idx="187">
                  <c:v>82.43512974051896</c:v>
                </c:pt>
                <c:pt idx="188">
                  <c:v>82.330097087378633</c:v>
                </c:pt>
                <c:pt idx="189">
                  <c:v>99.374565670604582</c:v>
                </c:pt>
                <c:pt idx="190">
                  <c:v>86.054421768707485</c:v>
                </c:pt>
                <c:pt idx="191">
                  <c:v>93.943661971830977</c:v>
                </c:pt>
                <c:pt idx="192">
                  <c:v>86.626506024096358</c:v>
                </c:pt>
                <c:pt idx="193">
                  <c:v>99.285714285714263</c:v>
                </c:pt>
                <c:pt idx="194">
                  <c:v>84.777227722772281</c:v>
                </c:pt>
                <c:pt idx="195">
                  <c:v>82.666666666666671</c:v>
                </c:pt>
                <c:pt idx="196">
                  <c:v>74.637681159420296</c:v>
                </c:pt>
                <c:pt idx="197">
                  <c:v>76.704545454545453</c:v>
                </c:pt>
                <c:pt idx="198">
                  <c:v>70.588235294117652</c:v>
                </c:pt>
                <c:pt idx="199">
                  <c:v>95.754189944134069</c:v>
                </c:pt>
                <c:pt idx="200">
                  <c:v>67.272727272727266</c:v>
                </c:pt>
                <c:pt idx="201">
                  <c:v>97.61904761904762</c:v>
                </c:pt>
                <c:pt idx="202">
                  <c:v>76.428571428571416</c:v>
                </c:pt>
                <c:pt idx="203">
                  <c:v>91.874322860238351</c:v>
                </c:pt>
                <c:pt idx="204">
                  <c:v>86.35135135135134</c:v>
                </c:pt>
                <c:pt idx="205">
                  <c:v>92.686567164179095</c:v>
                </c:pt>
                <c:pt idx="206">
                  <c:v>77.307692307692307</c:v>
                </c:pt>
                <c:pt idx="207">
                  <c:v>85.18518518518519</c:v>
                </c:pt>
                <c:pt idx="208">
                  <c:v>95.604395604395606</c:v>
                </c:pt>
                <c:pt idx="209">
                  <c:v>96.168582375478934</c:v>
                </c:pt>
                <c:pt idx="210">
                  <c:v>90.789473684210535</c:v>
                </c:pt>
                <c:pt idx="211">
                  <c:v>78.523489932885909</c:v>
                </c:pt>
                <c:pt idx="212">
                  <c:v>81.132075471698101</c:v>
                </c:pt>
                <c:pt idx="213">
                  <c:v>100</c:v>
                </c:pt>
                <c:pt idx="214">
                  <c:v>74.056603773584911</c:v>
                </c:pt>
                <c:pt idx="215">
                  <c:v>85.999999999999986</c:v>
                </c:pt>
                <c:pt idx="216">
                  <c:v>72.38095238095238</c:v>
                </c:pt>
                <c:pt idx="217">
                  <c:v>83.460949464012259</c:v>
                </c:pt>
                <c:pt idx="218">
                  <c:v>81.102362204724415</c:v>
                </c:pt>
                <c:pt idx="219">
                  <c:v>93.228346456692918</c:v>
                </c:pt>
                <c:pt idx="220">
                  <c:v>98.947368421052644</c:v>
                </c:pt>
                <c:pt idx="221">
                  <c:v>88.535031847133752</c:v>
                </c:pt>
                <c:pt idx="222">
                  <c:v>77.171717171717177</c:v>
                </c:pt>
                <c:pt idx="223">
                  <c:v>93.557046979865802</c:v>
                </c:pt>
                <c:pt idx="224">
                  <c:v>100</c:v>
                </c:pt>
                <c:pt idx="225">
                  <c:v>95.49549549549549</c:v>
                </c:pt>
                <c:pt idx="226">
                  <c:v>52.604166666666664</c:v>
                </c:pt>
                <c:pt idx="227">
                  <c:v>86.102062975027167</c:v>
                </c:pt>
                <c:pt idx="228">
                  <c:v>89.999999999999986</c:v>
                </c:pt>
                <c:pt idx="229">
                  <c:v>65.867158671586722</c:v>
                </c:pt>
                <c:pt idx="230">
                  <c:v>95.575221238938042</c:v>
                </c:pt>
                <c:pt idx="231">
                  <c:v>79.681274900398407</c:v>
                </c:pt>
                <c:pt idx="232">
                  <c:v>68.749999999999986</c:v>
                </c:pt>
                <c:pt idx="233">
                  <c:v>85.652173913043455</c:v>
                </c:pt>
                <c:pt idx="234">
                  <c:v>78.82352941176471</c:v>
                </c:pt>
                <c:pt idx="235">
                  <c:v>73.333333333333343</c:v>
                </c:pt>
                <c:pt idx="236">
                  <c:v>97.815533980582529</c:v>
                </c:pt>
                <c:pt idx="237">
                  <c:v>87</c:v>
                </c:pt>
                <c:pt idx="238">
                  <c:v>81.463414634146332</c:v>
                </c:pt>
                <c:pt idx="239">
                  <c:v>41.935483870967737</c:v>
                </c:pt>
                <c:pt idx="240">
                  <c:v>78.285714285714278</c:v>
                </c:pt>
                <c:pt idx="241">
                  <c:v>76.969696969696969</c:v>
                </c:pt>
                <c:pt idx="242">
                  <c:v>84.615384615384613</c:v>
                </c:pt>
                <c:pt idx="243">
                  <c:v>89.999999999999986</c:v>
                </c:pt>
                <c:pt idx="244">
                  <c:v>96.551724137931032</c:v>
                </c:pt>
                <c:pt idx="245">
                  <c:v>50.555555555555557</c:v>
                </c:pt>
                <c:pt idx="246">
                  <c:v>64.166666666666657</c:v>
                </c:pt>
                <c:pt idx="247">
                  <c:v>60.185185185185183</c:v>
                </c:pt>
                <c:pt idx="248">
                  <c:v>55.999999999999993</c:v>
                </c:pt>
                <c:pt idx="249">
                  <c:v>64.766839378238345</c:v>
                </c:pt>
                <c:pt idx="250">
                  <c:v>54.285714285714285</c:v>
                </c:pt>
                <c:pt idx="251">
                  <c:v>42.222222222222221</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numCache>
            </c:numRef>
          </c:val>
          <c:extLst>
            <c:ext xmlns:c16="http://schemas.microsoft.com/office/drawing/2014/chart" uri="{C3380CC4-5D6E-409C-BE32-E72D297353CC}">
              <c16:uniqueId val="{00000000-3C98-444B-849F-0F6621C97563}"/>
            </c:ext>
          </c:extLst>
        </c:ser>
        <c:dLbls>
          <c:showLegendKey val="0"/>
          <c:showVal val="0"/>
          <c:showCatName val="0"/>
          <c:showSerName val="0"/>
          <c:showPercent val="0"/>
          <c:showBubbleSize val="0"/>
        </c:dLbls>
        <c:axId val="334281344"/>
        <c:axId val="54919552"/>
      </c:areaChart>
      <c:lineChart>
        <c:grouping val="standard"/>
        <c:varyColors val="0"/>
        <c:ser>
          <c:idx val="1"/>
          <c:order val="1"/>
          <c:tx>
            <c:strRef>
              <c:f>calculations!$BE$19</c:f>
              <c:strCache>
                <c:ptCount val="1"/>
                <c:pt idx="0">
                  <c:v>Availability</c:v>
                </c:pt>
              </c:strCache>
            </c:strRef>
          </c:tx>
          <c:spPr>
            <a:ln>
              <a:noFill/>
            </a:ln>
          </c:spPr>
          <c:marker>
            <c:symbol val="none"/>
          </c:marker>
          <c:errBars>
            <c:errDir val="y"/>
            <c:errBarType val="minus"/>
            <c:errValType val="percentage"/>
            <c:noEndCap val="1"/>
            <c:val val="100"/>
            <c:spPr>
              <a:ln w="3175">
                <a:solidFill>
                  <a:srgbClr val="C00000"/>
                </a:solidFill>
              </a:ln>
            </c:spPr>
          </c:errBars>
          <c:val>
            <c:numRef>
              <c:f>calculations!$BE$20:$BE$379</c:f>
              <c:numCache>
                <c:formatCode>0.00%</c:formatCode>
                <c:ptCount val="3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96.385542168674689</c:v>
                </c:pt>
                <c:pt idx="21">
                  <c:v>#N/A</c:v>
                </c:pt>
                <c:pt idx="22">
                  <c:v>90.277777777777786</c:v>
                </c:pt>
                <c:pt idx="23">
                  <c:v>99.066666666666663</c:v>
                </c:pt>
                <c:pt idx="24">
                  <c:v>#N/A</c:v>
                </c:pt>
                <c:pt idx="25">
                  <c:v>#N/A</c:v>
                </c:pt>
                <c:pt idx="26">
                  <c:v>#N/A</c:v>
                </c:pt>
                <c:pt idx="27">
                  <c:v>#N/A</c:v>
                </c:pt>
                <c:pt idx="28">
                  <c:v>#N/A</c:v>
                </c:pt>
                <c:pt idx="29">
                  <c:v>#N/A</c:v>
                </c:pt>
                <c:pt idx="30">
                  <c:v>81.919642857142847</c:v>
                </c:pt>
                <c:pt idx="31">
                  <c:v>#N/A</c:v>
                </c:pt>
                <c:pt idx="32">
                  <c:v>#N/A</c:v>
                </c:pt>
                <c:pt idx="33">
                  <c:v>76.832151300236404</c:v>
                </c:pt>
                <c:pt idx="34">
                  <c:v>#N/A</c:v>
                </c:pt>
                <c:pt idx="35">
                  <c:v>#N/A</c:v>
                </c:pt>
                <c:pt idx="36">
                  <c:v>98.083067092651746</c:v>
                </c:pt>
                <c:pt idx="37">
                  <c:v>#N/A</c:v>
                </c:pt>
                <c:pt idx="38">
                  <c:v>#N/A</c:v>
                </c:pt>
                <c:pt idx="39">
                  <c:v>#N/A</c:v>
                </c:pt>
                <c:pt idx="40">
                  <c:v>100</c:v>
                </c:pt>
                <c:pt idx="41">
                  <c:v>#N/A</c:v>
                </c:pt>
                <c:pt idx="42">
                  <c:v>#N/A</c:v>
                </c:pt>
                <c:pt idx="43">
                  <c:v>94.520547945205479</c:v>
                </c:pt>
                <c:pt idx="44">
                  <c:v>89.759036144578303</c:v>
                </c:pt>
                <c:pt idx="45">
                  <c:v>#N/A</c:v>
                </c:pt>
                <c:pt idx="46">
                  <c:v>#N/A</c:v>
                </c:pt>
                <c:pt idx="47">
                  <c:v>#N/A</c:v>
                </c:pt>
                <c:pt idx="48">
                  <c:v>#N/A</c:v>
                </c:pt>
                <c:pt idx="49">
                  <c:v>98.723404255319153</c:v>
                </c:pt>
                <c:pt idx="50">
                  <c:v>#N/A</c:v>
                </c:pt>
                <c:pt idx="51">
                  <c:v>#N/A</c:v>
                </c:pt>
                <c:pt idx="52">
                  <c:v>#N/A</c:v>
                </c:pt>
                <c:pt idx="53">
                  <c:v>#N/A</c:v>
                </c:pt>
                <c:pt idx="54">
                  <c:v>#N/A</c:v>
                </c:pt>
                <c:pt idx="55">
                  <c:v>#N/A</c:v>
                </c:pt>
                <c:pt idx="56">
                  <c:v>#N/A</c:v>
                </c:pt>
                <c:pt idx="57">
                  <c:v>98.000000000000014</c:v>
                </c:pt>
                <c:pt idx="58">
                  <c:v>#N/A</c:v>
                </c:pt>
                <c:pt idx="59">
                  <c:v>87.199124726477038</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89.010989010989022</c:v>
                </c:pt>
                <c:pt idx="77">
                  <c:v>#N/A</c:v>
                </c:pt>
                <c:pt idx="78">
                  <c:v>93.836246550137986</c:v>
                </c:pt>
                <c:pt idx="79">
                  <c:v>#N/A</c:v>
                </c:pt>
                <c:pt idx="80">
                  <c:v>#N/A</c:v>
                </c:pt>
                <c:pt idx="81">
                  <c:v>#N/A</c:v>
                </c:pt>
                <c:pt idx="82">
                  <c:v>#N/A</c:v>
                </c:pt>
                <c:pt idx="83">
                  <c:v>#N/A</c:v>
                </c:pt>
                <c:pt idx="84">
                  <c:v>#N/A</c:v>
                </c:pt>
                <c:pt idx="85">
                  <c:v>#N/A</c:v>
                </c:pt>
                <c:pt idx="86">
                  <c:v>96.190476190476176</c:v>
                </c:pt>
                <c:pt idx="87">
                  <c:v>#N/A</c:v>
                </c:pt>
                <c:pt idx="88">
                  <c:v>#N/A</c:v>
                </c:pt>
                <c:pt idx="89">
                  <c:v>87.318840579710155</c:v>
                </c:pt>
                <c:pt idx="90">
                  <c:v>#N/A</c:v>
                </c:pt>
                <c:pt idx="91">
                  <c:v>#N/A</c:v>
                </c:pt>
                <c:pt idx="92">
                  <c:v>#N/A</c:v>
                </c:pt>
                <c:pt idx="93">
                  <c:v>#N/A</c:v>
                </c:pt>
                <c:pt idx="94">
                  <c:v>#N/A</c:v>
                </c:pt>
                <c:pt idx="95">
                  <c:v>#N/A</c:v>
                </c:pt>
                <c:pt idx="96">
                  <c:v>#N/A</c:v>
                </c:pt>
                <c:pt idx="97">
                  <c:v>#N/A</c:v>
                </c:pt>
                <c:pt idx="98">
                  <c:v>89</c:v>
                </c:pt>
                <c:pt idx="99">
                  <c:v>81.65680473372781</c:v>
                </c:pt>
                <c:pt idx="100">
                  <c:v>#N/A</c:v>
                </c:pt>
                <c:pt idx="101">
                  <c:v>97.183098591549282</c:v>
                </c:pt>
                <c:pt idx="102">
                  <c:v>#N/A</c:v>
                </c:pt>
                <c:pt idx="103">
                  <c:v>84.3010752688172</c:v>
                </c:pt>
                <c:pt idx="104">
                  <c:v>#N/A</c:v>
                </c:pt>
                <c:pt idx="105">
                  <c:v>#N/A</c:v>
                </c:pt>
                <c:pt idx="106">
                  <c:v>#N/A</c:v>
                </c:pt>
                <c:pt idx="107">
                  <c:v>#N/A</c:v>
                </c:pt>
                <c:pt idx="108">
                  <c:v>#N/A</c:v>
                </c:pt>
                <c:pt idx="109">
                  <c:v>#N/A</c:v>
                </c:pt>
                <c:pt idx="110">
                  <c:v>#N/A</c:v>
                </c:pt>
                <c:pt idx="111">
                  <c:v>#N/A</c:v>
                </c:pt>
                <c:pt idx="112">
                  <c:v>#N/A</c:v>
                </c:pt>
                <c:pt idx="113">
                  <c:v>#N/A</c:v>
                </c:pt>
                <c:pt idx="114">
                  <c:v>69.473684210526315</c:v>
                </c:pt>
                <c:pt idx="115">
                  <c:v>#N/A</c:v>
                </c:pt>
                <c:pt idx="116">
                  <c:v>84.1796875</c:v>
                </c:pt>
                <c:pt idx="117">
                  <c:v>#N/A</c:v>
                </c:pt>
                <c:pt idx="118">
                  <c:v>86.408839779005518</c:v>
                </c:pt>
                <c:pt idx="119">
                  <c:v>#N/A</c:v>
                </c:pt>
                <c:pt idx="120">
                  <c:v>91.328671328671334</c:v>
                </c:pt>
                <c:pt idx="121">
                  <c:v>#N/A</c:v>
                </c:pt>
                <c:pt idx="122">
                  <c:v>#N/A</c:v>
                </c:pt>
                <c:pt idx="123">
                  <c:v>#N/A</c:v>
                </c:pt>
                <c:pt idx="124">
                  <c:v>92.5</c:v>
                </c:pt>
                <c:pt idx="125">
                  <c:v>#N/A</c:v>
                </c:pt>
                <c:pt idx="126">
                  <c:v>#N/A</c:v>
                </c:pt>
                <c:pt idx="127">
                  <c:v>#N/A</c:v>
                </c:pt>
                <c:pt idx="128">
                  <c:v>#N/A</c:v>
                </c:pt>
                <c:pt idx="129">
                  <c:v>#N/A</c:v>
                </c:pt>
                <c:pt idx="130">
                  <c:v>#N/A</c:v>
                </c:pt>
                <c:pt idx="131">
                  <c:v>#N/A</c:v>
                </c:pt>
                <c:pt idx="132">
                  <c:v>95.609756097560989</c:v>
                </c:pt>
                <c:pt idx="133">
                  <c:v>#N/A</c:v>
                </c:pt>
                <c:pt idx="134">
                  <c:v>98.039215686274517</c:v>
                </c:pt>
                <c:pt idx="135">
                  <c:v>92.533333333333331</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90.619469026548686</c:v>
                </c:pt>
                <c:pt idx="150">
                  <c:v>#N/A</c:v>
                </c:pt>
                <c:pt idx="151">
                  <c:v>88.836477987421375</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83.014354066985646</c:v>
                </c:pt>
                <c:pt idx="167">
                  <c:v>#N/A</c:v>
                </c:pt>
                <c:pt idx="168">
                  <c:v>#N/A</c:v>
                </c:pt>
                <c:pt idx="169">
                  <c:v>94.626865671641795</c:v>
                </c:pt>
                <c:pt idx="170">
                  <c:v>#N/A</c:v>
                </c:pt>
                <c:pt idx="171">
                  <c:v>#N/A</c:v>
                </c:pt>
                <c:pt idx="172">
                  <c:v>#N/A</c:v>
                </c:pt>
                <c:pt idx="173">
                  <c:v>#N/A</c:v>
                </c:pt>
                <c:pt idx="174">
                  <c:v>#N/A</c:v>
                </c:pt>
                <c:pt idx="175">
                  <c:v>93.193069306930695</c:v>
                </c:pt>
                <c:pt idx="176">
                  <c:v>#N/A</c:v>
                </c:pt>
                <c:pt idx="177">
                  <c:v>#N/A</c:v>
                </c:pt>
                <c:pt idx="178">
                  <c:v>#N/A</c:v>
                </c:pt>
                <c:pt idx="179">
                  <c:v>#N/A</c:v>
                </c:pt>
                <c:pt idx="180">
                  <c:v>#N/A</c:v>
                </c:pt>
                <c:pt idx="181">
                  <c:v>#N/A</c:v>
                </c:pt>
                <c:pt idx="182">
                  <c:v>#N/A</c:v>
                </c:pt>
                <c:pt idx="183">
                  <c:v>#N/A</c:v>
                </c:pt>
                <c:pt idx="184">
                  <c:v>#N/A</c:v>
                </c:pt>
                <c:pt idx="185">
                  <c:v>86.802721088435376</c:v>
                </c:pt>
                <c:pt idx="186">
                  <c:v>#N/A</c:v>
                </c:pt>
                <c:pt idx="187">
                  <c:v>#N/A</c:v>
                </c:pt>
                <c:pt idx="188">
                  <c:v>82.330097087378633</c:v>
                </c:pt>
                <c:pt idx="189">
                  <c:v>#N/A</c:v>
                </c:pt>
                <c:pt idx="190">
                  <c:v>#N/A</c:v>
                </c:pt>
                <c:pt idx="191">
                  <c:v>#N/A</c:v>
                </c:pt>
                <c:pt idx="192">
                  <c:v>#N/A</c:v>
                </c:pt>
                <c:pt idx="193">
                  <c:v>#N/A</c:v>
                </c:pt>
                <c:pt idx="194">
                  <c:v>84.777227722772281</c:v>
                </c:pt>
                <c:pt idx="195">
                  <c:v>#N/A</c:v>
                </c:pt>
                <c:pt idx="196">
                  <c:v>#N/A</c:v>
                </c:pt>
                <c:pt idx="197">
                  <c:v>#N/A</c:v>
                </c:pt>
                <c:pt idx="198">
                  <c:v>70.588235294117652</c:v>
                </c:pt>
                <c:pt idx="199">
                  <c:v>#N/A</c:v>
                </c:pt>
                <c:pt idx="200">
                  <c:v>#N/A</c:v>
                </c:pt>
                <c:pt idx="201">
                  <c:v>#N/A</c:v>
                </c:pt>
                <c:pt idx="202">
                  <c:v>76.428571428571416</c:v>
                </c:pt>
                <c:pt idx="203">
                  <c:v>#N/A</c:v>
                </c:pt>
                <c:pt idx="204">
                  <c:v>#N/A</c:v>
                </c:pt>
                <c:pt idx="205">
                  <c:v>#N/A</c:v>
                </c:pt>
                <c:pt idx="206">
                  <c:v>#N/A</c:v>
                </c:pt>
                <c:pt idx="207">
                  <c:v>#N/A</c:v>
                </c:pt>
                <c:pt idx="208">
                  <c:v>#N/A</c:v>
                </c:pt>
                <c:pt idx="209">
                  <c:v>96.168582375478934</c:v>
                </c:pt>
                <c:pt idx="210">
                  <c:v>#N/A</c:v>
                </c:pt>
                <c:pt idx="211">
                  <c:v>#N/A</c:v>
                </c:pt>
                <c:pt idx="212">
                  <c:v>#N/A</c:v>
                </c:pt>
                <c:pt idx="213">
                  <c:v>#N/A</c:v>
                </c:pt>
                <c:pt idx="214">
                  <c:v>#N/A</c:v>
                </c:pt>
                <c:pt idx="215">
                  <c:v>#N/A</c:v>
                </c:pt>
                <c:pt idx="216">
                  <c:v>72.38095238095238</c:v>
                </c:pt>
                <c:pt idx="217">
                  <c:v>#N/A</c:v>
                </c:pt>
                <c:pt idx="218">
                  <c:v>#N/A</c:v>
                </c:pt>
                <c:pt idx="219">
                  <c:v>#N/A</c:v>
                </c:pt>
                <c:pt idx="220">
                  <c:v>#N/A</c:v>
                </c:pt>
                <c:pt idx="221">
                  <c:v>88.535031847133752</c:v>
                </c:pt>
                <c:pt idx="222">
                  <c:v>#N/A</c:v>
                </c:pt>
                <c:pt idx="223">
                  <c:v>#N/A</c:v>
                </c:pt>
                <c:pt idx="224">
                  <c:v>#N/A</c:v>
                </c:pt>
                <c:pt idx="225">
                  <c:v>#N/A</c:v>
                </c:pt>
                <c:pt idx="226">
                  <c:v>#N/A</c:v>
                </c:pt>
                <c:pt idx="227">
                  <c:v>#N/A</c:v>
                </c:pt>
                <c:pt idx="228">
                  <c:v>89.999999999999986</c:v>
                </c:pt>
                <c:pt idx="229">
                  <c:v>#N/A</c:v>
                </c:pt>
                <c:pt idx="230">
                  <c:v>95.575221238938042</c:v>
                </c:pt>
                <c:pt idx="231">
                  <c:v>#N/A</c:v>
                </c:pt>
                <c:pt idx="232">
                  <c:v>68.749999999999986</c:v>
                </c:pt>
                <c:pt idx="233">
                  <c:v>#N/A</c:v>
                </c:pt>
                <c:pt idx="234">
                  <c:v>#N/A</c:v>
                </c:pt>
                <c:pt idx="235">
                  <c:v>73.333333333333343</c:v>
                </c:pt>
                <c:pt idx="236">
                  <c:v>#N/A</c:v>
                </c:pt>
                <c:pt idx="237">
                  <c:v>87</c:v>
                </c:pt>
                <c:pt idx="238">
                  <c:v>#N/A</c:v>
                </c:pt>
                <c:pt idx="239">
                  <c:v>#N/A</c:v>
                </c:pt>
                <c:pt idx="240">
                  <c:v>#N/A</c:v>
                </c:pt>
                <c:pt idx="241">
                  <c:v>#N/A</c:v>
                </c:pt>
                <c:pt idx="242">
                  <c:v>#N/A</c:v>
                </c:pt>
                <c:pt idx="243">
                  <c:v>#N/A</c:v>
                </c:pt>
                <c:pt idx="244">
                  <c:v>#N/A</c:v>
                </c:pt>
                <c:pt idx="245">
                  <c:v>50.555555555555557</c:v>
                </c:pt>
                <c:pt idx="246">
                  <c:v>#N/A</c:v>
                </c:pt>
                <c:pt idx="247">
                  <c:v>#N/A</c:v>
                </c:pt>
                <c:pt idx="248">
                  <c:v>#N/A</c:v>
                </c:pt>
                <c:pt idx="249">
                  <c:v>64.766839378238345</c:v>
                </c:pt>
                <c:pt idx="250">
                  <c:v>#N/A</c:v>
                </c:pt>
                <c:pt idx="251">
                  <c:v>42.222222222222221</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numCache>
            </c:numRef>
          </c:val>
          <c:smooth val="0"/>
          <c:extLst>
            <c:ext xmlns:c16="http://schemas.microsoft.com/office/drawing/2014/chart" uri="{C3380CC4-5D6E-409C-BE32-E72D297353CC}">
              <c16:uniqueId val="{00000001-3C98-444B-849F-0F6621C97563}"/>
            </c:ext>
          </c:extLst>
        </c:ser>
        <c:dLbls>
          <c:showLegendKey val="0"/>
          <c:showVal val="0"/>
          <c:showCatName val="0"/>
          <c:showSerName val="0"/>
          <c:showPercent val="0"/>
          <c:showBubbleSize val="0"/>
        </c:dLbls>
        <c:marker val="1"/>
        <c:smooth val="0"/>
        <c:axId val="334281344"/>
        <c:axId val="54919552"/>
      </c:lineChart>
      <c:catAx>
        <c:axId val="334281344"/>
        <c:scaling>
          <c:orientation val="minMax"/>
        </c:scaling>
        <c:delete val="1"/>
        <c:axPos val="b"/>
        <c:majorTickMark val="out"/>
        <c:minorTickMark val="none"/>
        <c:tickLblPos val="none"/>
        <c:crossAx val="54919552"/>
        <c:crosses val="autoZero"/>
        <c:auto val="1"/>
        <c:lblAlgn val="ctr"/>
        <c:lblOffset val="100"/>
        <c:noMultiLvlLbl val="0"/>
      </c:catAx>
      <c:valAx>
        <c:axId val="54919552"/>
        <c:scaling>
          <c:orientation val="minMax"/>
        </c:scaling>
        <c:delete val="1"/>
        <c:axPos val="l"/>
        <c:numFmt formatCode="General" sourceLinked="1"/>
        <c:majorTickMark val="out"/>
        <c:minorTickMark val="none"/>
        <c:tickLblPos val="none"/>
        <c:crossAx val="334281344"/>
        <c:crosses val="autoZero"/>
        <c:crossBetween val="midCat"/>
      </c:valAx>
    </c:plotArea>
    <c:plotVisOnly val="1"/>
    <c:dispBlanksAs val="gap"/>
    <c:showDLblsOverMax val="0"/>
  </c:chart>
  <c:spPr>
    <a:noFill/>
    <a:ln>
      <a:noFill/>
    </a:ln>
  </c:spPr>
  <c:printSettings>
    <c:headerFooter/>
    <c:pageMargins b="0.75000000000000389" l="0.70000000000000062" r="0.70000000000000062" t="0.750000000000003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26983267005267E-3"/>
          <c:y val="0"/>
          <c:w val="0.96714848042461865"/>
          <c:h val="0.95584175353440159"/>
        </c:manualLayout>
      </c:layout>
      <c:areaChart>
        <c:grouping val="standard"/>
        <c:varyColors val="0"/>
        <c:ser>
          <c:idx val="0"/>
          <c:order val="0"/>
          <c:tx>
            <c:strRef>
              <c:f>calculations!$Z$19</c:f>
              <c:strCache>
                <c:ptCount val="1"/>
                <c:pt idx="0">
                  <c:v>Performance</c:v>
                </c:pt>
              </c:strCache>
            </c:strRef>
          </c:tx>
          <c:spPr>
            <a:solidFill>
              <a:schemeClr val="bg1">
                <a:lumMod val="75000"/>
              </a:schemeClr>
            </a:solidFill>
          </c:spPr>
          <c:val>
            <c:numRef>
              <c:f>calculations!$Z$20:$Z$379</c:f>
              <c:numCache>
                <c:formatCode>General</c:formatCode>
                <c:ptCount val="360"/>
                <c:pt idx="0">
                  <c:v>71.111111111111114</c:v>
                </c:pt>
                <c:pt idx="1">
                  <c:v>26.051921079958461</c:v>
                </c:pt>
                <c:pt idx="2">
                  <c:v>79.45804195804196</c:v>
                </c:pt>
                <c:pt idx="3">
                  <c:v>95.842142353770271</c:v>
                </c:pt>
                <c:pt idx="4">
                  <c:v>96.5836711059641</c:v>
                </c:pt>
                <c:pt idx="5">
                  <c:v>101.42065976402601</c:v>
                </c:pt>
                <c:pt idx="6">
                  <c:v>92.785304139695569</c:v>
                </c:pt>
                <c:pt idx="7">
                  <c:v>118.81720430107525</c:v>
                </c:pt>
                <c:pt idx="8">
                  <c:v>92.238542419134745</c:v>
                </c:pt>
                <c:pt idx="9">
                  <c:v>95.884681788414611</c:v>
                </c:pt>
                <c:pt idx="10">
                  <c:v>95.868008005899085</c:v>
                </c:pt>
                <c:pt idx="11">
                  <c:v>93.008080808080805</c:v>
                </c:pt>
                <c:pt idx="12">
                  <c:v>92.259129759129763</c:v>
                </c:pt>
                <c:pt idx="13">
                  <c:v>96.213746911171796</c:v>
                </c:pt>
                <c:pt idx="14">
                  <c:v>91.360210141617188</c:v>
                </c:pt>
                <c:pt idx="15">
                  <c:v>91.624081047157972</c:v>
                </c:pt>
                <c:pt idx="16">
                  <c:v>94.367108585858588</c:v>
                </c:pt>
                <c:pt idx="17">
                  <c:v>98.328647297719456</c:v>
                </c:pt>
                <c:pt idx="18">
                  <c:v>108.4567901234568</c:v>
                </c:pt>
                <c:pt idx="19">
                  <c:v>97.369925671812467</c:v>
                </c:pt>
                <c:pt idx="20">
                  <c:v>90.47727272727272</c:v>
                </c:pt>
                <c:pt idx="21">
                  <c:v>96.178066266227475</c:v>
                </c:pt>
                <c:pt idx="22">
                  <c:v>97.496503496503493</c:v>
                </c:pt>
                <c:pt idx="23">
                  <c:v>96.637301684408001</c:v>
                </c:pt>
                <c:pt idx="24">
                  <c:v>95.642543369816096</c:v>
                </c:pt>
                <c:pt idx="25">
                  <c:v>91.133295572547922</c:v>
                </c:pt>
                <c:pt idx="26">
                  <c:v>107.01619169361105</c:v>
                </c:pt>
                <c:pt idx="27">
                  <c:v>92.985313889750756</c:v>
                </c:pt>
                <c:pt idx="28">
                  <c:v>110.08493253776273</c:v>
                </c:pt>
                <c:pt idx="29">
                  <c:v>100.30400085880693</c:v>
                </c:pt>
                <c:pt idx="30">
                  <c:v>92.242259103294529</c:v>
                </c:pt>
                <c:pt idx="31">
                  <c:v>97.052766336413214</c:v>
                </c:pt>
                <c:pt idx="32">
                  <c:v>96.993224167137214</c:v>
                </c:pt>
                <c:pt idx="33">
                  <c:v>93.210227272727266</c:v>
                </c:pt>
                <c:pt idx="34">
                  <c:v>105.47088163461868</c:v>
                </c:pt>
                <c:pt idx="35">
                  <c:v>101.92517257207871</c:v>
                </c:pt>
                <c:pt idx="36">
                  <c:v>103.15149437110693</c:v>
                </c:pt>
                <c:pt idx="37">
                  <c:v>106.78841986330549</c:v>
                </c:pt>
                <c:pt idx="38">
                  <c:v>91.508055599431358</c:v>
                </c:pt>
                <c:pt idx="39">
                  <c:v>102.16459240038671</c:v>
                </c:pt>
                <c:pt idx="40">
                  <c:v>98.024980299448387</c:v>
                </c:pt>
                <c:pt idx="41">
                  <c:v>105.53740530303031</c:v>
                </c:pt>
                <c:pt idx="42">
                  <c:v>86.507044469796185</c:v>
                </c:pt>
                <c:pt idx="43">
                  <c:v>92.48792270531402</c:v>
                </c:pt>
                <c:pt idx="44">
                  <c:v>98.154401664115525</c:v>
                </c:pt>
                <c:pt idx="45">
                  <c:v>102.78139446706463</c:v>
                </c:pt>
                <c:pt idx="46">
                  <c:v>99.042359288422261</c:v>
                </c:pt>
                <c:pt idx="47">
                  <c:v>101.29916652937423</c:v>
                </c:pt>
                <c:pt idx="48">
                  <c:v>95.741494082840248</c:v>
                </c:pt>
                <c:pt idx="49">
                  <c:v>98.146871008939968</c:v>
                </c:pt>
                <c:pt idx="50">
                  <c:v>100.43131996639751</c:v>
                </c:pt>
                <c:pt idx="51">
                  <c:v>94.25782463629119</c:v>
                </c:pt>
                <c:pt idx="52">
                  <c:v>100.27797310637057</c:v>
                </c:pt>
                <c:pt idx="53">
                  <c:v>92.697157914549223</c:v>
                </c:pt>
                <c:pt idx="54">
                  <c:v>93.396536778452003</c:v>
                </c:pt>
                <c:pt idx="55">
                  <c:v>100.57109886465344</c:v>
                </c:pt>
                <c:pt idx="56">
                  <c:v>94.950538442273995</c:v>
                </c:pt>
                <c:pt idx="57">
                  <c:v>92.902620307382193</c:v>
                </c:pt>
                <c:pt idx="58">
                  <c:v>98.530326548000502</c:v>
                </c:pt>
                <c:pt idx="59">
                  <c:v>103.10200288117477</c:v>
                </c:pt>
                <c:pt idx="60">
                  <c:v>105.76351752822339</c:v>
                </c:pt>
                <c:pt idx="61">
                  <c:v>93.519458888527794</c:v>
                </c:pt>
                <c:pt idx="62">
                  <c:v>100.73198901329361</c:v>
                </c:pt>
                <c:pt idx="63">
                  <c:v>77.368375970762898</c:v>
                </c:pt>
                <c:pt idx="64">
                  <c:v>101.77693010474218</c:v>
                </c:pt>
                <c:pt idx="65">
                  <c:v>102.90230444229165</c:v>
                </c:pt>
                <c:pt idx="66">
                  <c:v>97.850435793911444</c:v>
                </c:pt>
                <c:pt idx="67">
                  <c:v>98.867327227320573</c:v>
                </c:pt>
                <c:pt idx="68">
                  <c:v>96.132841672890208</c:v>
                </c:pt>
                <c:pt idx="69">
                  <c:v>102.75472186303207</c:v>
                </c:pt>
                <c:pt idx="70">
                  <c:v>100.80219826914632</c:v>
                </c:pt>
                <c:pt idx="71">
                  <c:v>105.5762987012987</c:v>
                </c:pt>
                <c:pt idx="72">
                  <c:v>103.15502057951949</c:v>
                </c:pt>
                <c:pt idx="73">
                  <c:v>96.367400715226808</c:v>
                </c:pt>
                <c:pt idx="74">
                  <c:v>103.25346588866277</c:v>
                </c:pt>
                <c:pt idx="75">
                  <c:v>103.76532987382288</c:v>
                </c:pt>
                <c:pt idx="76">
                  <c:v>100.94549611339734</c:v>
                </c:pt>
                <c:pt idx="77">
                  <c:v>103.74109686609687</c:v>
                </c:pt>
                <c:pt idx="78">
                  <c:v>98.08645606390705</c:v>
                </c:pt>
                <c:pt idx="79">
                  <c:v>100.54752387832092</c:v>
                </c:pt>
                <c:pt idx="80">
                  <c:v>100.21585084792403</c:v>
                </c:pt>
                <c:pt idx="81">
                  <c:v>99.25874471954647</c:v>
                </c:pt>
                <c:pt idx="82">
                  <c:v>79.20398236814107</c:v>
                </c:pt>
                <c:pt idx="83">
                  <c:v>97.801894238358329</c:v>
                </c:pt>
                <c:pt idx="84">
                  <c:v>101.77103404968759</c:v>
                </c:pt>
                <c:pt idx="85">
                  <c:v>99.576072688315051</c:v>
                </c:pt>
                <c:pt idx="86">
                  <c:v>101.83916391639166</c:v>
                </c:pt>
                <c:pt idx="87">
                  <c:v>89.968129798638273</c:v>
                </c:pt>
                <c:pt idx="88">
                  <c:v>106.42755681818181</c:v>
                </c:pt>
                <c:pt idx="89">
                  <c:v>92.314221048660897</c:v>
                </c:pt>
                <c:pt idx="90">
                  <c:v>87.182759450999285</c:v>
                </c:pt>
                <c:pt idx="91">
                  <c:v>82.340684389377572</c:v>
                </c:pt>
                <c:pt idx="92">
                  <c:v>101.48952527565088</c:v>
                </c:pt>
                <c:pt idx="93">
                  <c:v>102.49226380135894</c:v>
                </c:pt>
                <c:pt idx="94">
                  <c:v>97.183547975403172</c:v>
                </c:pt>
                <c:pt idx="95">
                  <c:v>91.561963301093726</c:v>
                </c:pt>
                <c:pt idx="96">
                  <c:v>99.02808484556617</c:v>
                </c:pt>
                <c:pt idx="97">
                  <c:v>99.438047478960783</c:v>
                </c:pt>
                <c:pt idx="98">
                  <c:v>98.627756970453589</c:v>
                </c:pt>
                <c:pt idx="99">
                  <c:v>92.482877079978536</c:v>
                </c:pt>
                <c:pt idx="100">
                  <c:v>99.892655543771369</c:v>
                </c:pt>
                <c:pt idx="101">
                  <c:v>91.284702093397755</c:v>
                </c:pt>
                <c:pt idx="102">
                  <c:v>98.144278271290261</c:v>
                </c:pt>
                <c:pt idx="103">
                  <c:v>144.77765538033395</c:v>
                </c:pt>
                <c:pt idx="104">
                  <c:v>94.812280124205643</c:v>
                </c:pt>
                <c:pt idx="105">
                  <c:v>97.877275258041038</c:v>
                </c:pt>
                <c:pt idx="106">
                  <c:v>101.45759209086924</c:v>
                </c:pt>
                <c:pt idx="107">
                  <c:v>97.50370616599038</c:v>
                </c:pt>
                <c:pt idx="108">
                  <c:v>102.24462132207984</c:v>
                </c:pt>
                <c:pt idx="109">
                  <c:v>96.811024008666863</c:v>
                </c:pt>
                <c:pt idx="110">
                  <c:v>95.808339322118428</c:v>
                </c:pt>
                <c:pt idx="111">
                  <c:v>97.94809199537454</c:v>
                </c:pt>
                <c:pt idx="112">
                  <c:v>95.147869879327601</c:v>
                </c:pt>
                <c:pt idx="113">
                  <c:v>105.22646818879355</c:v>
                </c:pt>
                <c:pt idx="114">
                  <c:v>88.968855218855197</c:v>
                </c:pt>
                <c:pt idx="115">
                  <c:v>101.89599678767544</c:v>
                </c:pt>
                <c:pt idx="116">
                  <c:v>92.20417633410672</c:v>
                </c:pt>
                <c:pt idx="117">
                  <c:v>97.022757092242145</c:v>
                </c:pt>
                <c:pt idx="118">
                  <c:v>100.3221701240883</c:v>
                </c:pt>
                <c:pt idx="119">
                  <c:v>99.575585018096007</c:v>
                </c:pt>
                <c:pt idx="120">
                  <c:v>102.44228914979297</c:v>
                </c:pt>
                <c:pt idx="121">
                  <c:v>92.735589725968566</c:v>
                </c:pt>
                <c:pt idx="122">
                  <c:v>101.75504640161772</c:v>
                </c:pt>
                <c:pt idx="123">
                  <c:v>82.674843216638877</c:v>
                </c:pt>
                <c:pt idx="124">
                  <c:v>97.032842366175714</c:v>
                </c:pt>
                <c:pt idx="125">
                  <c:v>68.955687830687822</c:v>
                </c:pt>
                <c:pt idx="126">
                  <c:v>102.51174880048288</c:v>
                </c:pt>
                <c:pt idx="127">
                  <c:v>101.21334091389582</c:v>
                </c:pt>
                <c:pt idx="128">
                  <c:v>81.77584134615384</c:v>
                </c:pt>
                <c:pt idx="129">
                  <c:v>101.5339260141686</c:v>
                </c:pt>
                <c:pt idx="130">
                  <c:v>106.30882628354337</c:v>
                </c:pt>
                <c:pt idx="131">
                  <c:v>116.00682422600228</c:v>
                </c:pt>
                <c:pt idx="132">
                  <c:v>100.005007558579</c:v>
                </c:pt>
                <c:pt idx="133">
                  <c:v>97.951597405717038</c:v>
                </c:pt>
                <c:pt idx="134">
                  <c:v>99.972296296296292</c:v>
                </c:pt>
                <c:pt idx="135">
                  <c:v>93.82047176859858</c:v>
                </c:pt>
                <c:pt idx="136">
                  <c:v>103.75975213442106</c:v>
                </c:pt>
                <c:pt idx="137">
                  <c:v>100.70480311409402</c:v>
                </c:pt>
                <c:pt idx="138">
                  <c:v>99.446522805539729</c:v>
                </c:pt>
                <c:pt idx="139">
                  <c:v>100.86502224045326</c:v>
                </c:pt>
                <c:pt idx="140">
                  <c:v>102.58658578956033</c:v>
                </c:pt>
                <c:pt idx="141">
                  <c:v>99.891813887129771</c:v>
                </c:pt>
                <c:pt idx="142">
                  <c:v>65.563076036866377</c:v>
                </c:pt>
                <c:pt idx="143">
                  <c:v>100.02424642674983</c:v>
                </c:pt>
                <c:pt idx="144">
                  <c:v>110.17101710171018</c:v>
                </c:pt>
                <c:pt idx="145">
                  <c:v>101.30858931581301</c:v>
                </c:pt>
                <c:pt idx="146">
                  <c:v>99.484056448870888</c:v>
                </c:pt>
                <c:pt idx="147">
                  <c:v>99.346634345813271</c:v>
                </c:pt>
                <c:pt idx="148">
                  <c:v>96.595350975707191</c:v>
                </c:pt>
                <c:pt idx="149">
                  <c:v>104.79788773148148</c:v>
                </c:pt>
                <c:pt idx="150">
                  <c:v>100.62290519136417</c:v>
                </c:pt>
                <c:pt idx="151">
                  <c:v>126.94501172377282</c:v>
                </c:pt>
                <c:pt idx="152">
                  <c:v>102.22420184593297</c:v>
                </c:pt>
                <c:pt idx="153">
                  <c:v>92.211915704034269</c:v>
                </c:pt>
                <c:pt idx="154">
                  <c:v>111.05947293447294</c:v>
                </c:pt>
                <c:pt idx="155">
                  <c:v>97.303120312363063</c:v>
                </c:pt>
                <c:pt idx="156">
                  <c:v>91.48598259908853</c:v>
                </c:pt>
                <c:pt idx="157">
                  <c:v>101.19311711863695</c:v>
                </c:pt>
                <c:pt idx="158">
                  <c:v>67.960084033613441</c:v>
                </c:pt>
                <c:pt idx="159">
                  <c:v>78.671552232933323</c:v>
                </c:pt>
                <c:pt idx="160">
                  <c:v>99.064335865930914</c:v>
                </c:pt>
                <c:pt idx="161">
                  <c:v>99.539843628277225</c:v>
                </c:pt>
                <c:pt idx="162">
                  <c:v>95.957276126644842</c:v>
                </c:pt>
                <c:pt idx="163">
                  <c:v>75.408055113937479</c:v>
                </c:pt>
                <c:pt idx="164">
                  <c:v>95.067934808253924</c:v>
                </c:pt>
                <c:pt idx="165">
                  <c:v>101.33053158546079</c:v>
                </c:pt>
                <c:pt idx="166">
                  <c:v>91.630056569537828</c:v>
                </c:pt>
                <c:pt idx="167">
                  <c:v>98.264142868259256</c:v>
                </c:pt>
                <c:pt idx="168">
                  <c:v>103.05273825620564</c:v>
                </c:pt>
                <c:pt idx="169">
                  <c:v>98.815691085407181</c:v>
                </c:pt>
                <c:pt idx="170">
                  <c:v>87.324766355140198</c:v>
                </c:pt>
                <c:pt idx="171">
                  <c:v>98.196412843302113</c:v>
                </c:pt>
                <c:pt idx="172">
                  <c:v>96.052969123339935</c:v>
                </c:pt>
                <c:pt idx="173">
                  <c:v>96.55688111551342</c:v>
                </c:pt>
                <c:pt idx="174">
                  <c:v>95.337965669174523</c:v>
                </c:pt>
                <c:pt idx="175">
                  <c:v>100.70788451133734</c:v>
                </c:pt>
                <c:pt idx="176">
                  <c:v>94.612847979843735</c:v>
                </c:pt>
                <c:pt idx="177">
                  <c:v>98.746281342966441</c:v>
                </c:pt>
                <c:pt idx="178">
                  <c:v>94.301950726579747</c:v>
                </c:pt>
                <c:pt idx="179">
                  <c:v>96.046062575251696</c:v>
                </c:pt>
                <c:pt idx="180">
                  <c:v>102.18724312296055</c:v>
                </c:pt>
                <c:pt idx="181">
                  <c:v>94.489769489769486</c:v>
                </c:pt>
                <c:pt idx="182">
                  <c:v>97.779133415183153</c:v>
                </c:pt>
                <c:pt idx="183">
                  <c:v>100.24855739717617</c:v>
                </c:pt>
                <c:pt idx="184">
                  <c:v>104.63748553688401</c:v>
                </c:pt>
                <c:pt idx="185">
                  <c:v>94.239619424737384</c:v>
                </c:pt>
                <c:pt idx="186">
                  <c:v>93.235831402602017</c:v>
                </c:pt>
                <c:pt idx="187">
                  <c:v>95.675811820155104</c:v>
                </c:pt>
                <c:pt idx="188">
                  <c:v>96.419636617749831</c:v>
                </c:pt>
                <c:pt idx="189">
                  <c:v>102.25598143729616</c:v>
                </c:pt>
                <c:pt idx="190">
                  <c:v>80.648367735324257</c:v>
                </c:pt>
                <c:pt idx="191">
                  <c:v>97.486291768635297</c:v>
                </c:pt>
                <c:pt idx="192">
                  <c:v>96.649505528703941</c:v>
                </c:pt>
                <c:pt idx="193">
                  <c:v>86.275920440118497</c:v>
                </c:pt>
                <c:pt idx="194">
                  <c:v>94.830927277642601</c:v>
                </c:pt>
                <c:pt idx="195">
                  <c:v>76.814734351056202</c:v>
                </c:pt>
                <c:pt idx="196">
                  <c:v>68.698655713218798</c:v>
                </c:pt>
                <c:pt idx="197">
                  <c:v>93.945927972171063</c:v>
                </c:pt>
                <c:pt idx="198">
                  <c:v>93.697390572390589</c:v>
                </c:pt>
                <c:pt idx="199">
                  <c:v>102.83522251702036</c:v>
                </c:pt>
                <c:pt idx="200">
                  <c:v>103.88231236292877</c:v>
                </c:pt>
                <c:pt idx="201">
                  <c:v>93.447467166979365</c:v>
                </c:pt>
                <c:pt idx="202">
                  <c:v>91.758708581138492</c:v>
                </c:pt>
                <c:pt idx="203">
                  <c:v>96.756423954967161</c:v>
                </c:pt>
                <c:pt idx="204">
                  <c:v>95.365418290302046</c:v>
                </c:pt>
                <c:pt idx="205">
                  <c:v>100.59936882830758</c:v>
                </c:pt>
                <c:pt idx="206">
                  <c:v>88.278690731549716</c:v>
                </c:pt>
                <c:pt idx="207">
                  <c:v>96.289484746576974</c:v>
                </c:pt>
                <c:pt idx="208">
                  <c:v>95.846517510937872</c:v>
                </c:pt>
                <c:pt idx="209">
                  <c:v>99.638925778368005</c:v>
                </c:pt>
                <c:pt idx="210">
                  <c:v>82.921758075210761</c:v>
                </c:pt>
                <c:pt idx="211">
                  <c:v>101.25312839401236</c:v>
                </c:pt>
                <c:pt idx="212">
                  <c:v>83.746314029487763</c:v>
                </c:pt>
                <c:pt idx="213">
                  <c:v>74.478844169246656</c:v>
                </c:pt>
                <c:pt idx="214">
                  <c:v>92.743780131611359</c:v>
                </c:pt>
                <c:pt idx="215">
                  <c:v>96.171586989395024</c:v>
                </c:pt>
                <c:pt idx="216">
                  <c:v>94.268341307814993</c:v>
                </c:pt>
                <c:pt idx="217">
                  <c:v>98.247326270971655</c:v>
                </c:pt>
                <c:pt idx="218">
                  <c:v>94.317691477885646</c:v>
                </c:pt>
                <c:pt idx="219">
                  <c:v>98.542257727340612</c:v>
                </c:pt>
                <c:pt idx="220">
                  <c:v>101.96881516053506</c:v>
                </c:pt>
                <c:pt idx="221">
                  <c:v>90.553956834532386</c:v>
                </c:pt>
                <c:pt idx="222">
                  <c:v>86.278102864182316</c:v>
                </c:pt>
                <c:pt idx="223">
                  <c:v>98.050900861624797</c:v>
                </c:pt>
                <c:pt idx="224">
                  <c:v>94.725059939539236</c:v>
                </c:pt>
                <c:pt idx="225">
                  <c:v>107.48515508225469</c:v>
                </c:pt>
                <c:pt idx="226">
                  <c:v>102.20239216312675</c:v>
                </c:pt>
                <c:pt idx="227">
                  <c:v>104.49092088886349</c:v>
                </c:pt>
                <c:pt idx="228">
                  <c:v>95.227762388427209</c:v>
                </c:pt>
                <c:pt idx="229">
                  <c:v>94.172806131843529</c:v>
                </c:pt>
                <c:pt idx="230">
                  <c:v>72.162637174211255</c:v>
                </c:pt>
                <c:pt idx="231">
                  <c:v>95.946362799263355</c:v>
                </c:pt>
                <c:pt idx="232">
                  <c:v>70.384615384615401</c:v>
                </c:pt>
                <c:pt idx="233">
                  <c:v>100.31971281936225</c:v>
                </c:pt>
                <c:pt idx="234">
                  <c:v>97.578625054357403</c:v>
                </c:pt>
                <c:pt idx="235">
                  <c:v>86.327505827505817</c:v>
                </c:pt>
                <c:pt idx="236">
                  <c:v>78.772551636862701</c:v>
                </c:pt>
                <c:pt idx="237">
                  <c:v>97.233106931382807</c:v>
                </c:pt>
                <c:pt idx="238">
                  <c:v>101.43935885135807</c:v>
                </c:pt>
                <c:pt idx="239">
                  <c:v>104.79843304843304</c:v>
                </c:pt>
                <c:pt idx="240">
                  <c:v>71.529116425374056</c:v>
                </c:pt>
                <c:pt idx="241">
                  <c:v>102.63333023656176</c:v>
                </c:pt>
                <c:pt idx="242">
                  <c:v>84.624287992709043</c:v>
                </c:pt>
                <c:pt idx="243">
                  <c:v>81.777414669571542</c:v>
                </c:pt>
                <c:pt idx="244">
                  <c:v>94.128787878787875</c:v>
                </c:pt>
                <c:pt idx="245">
                  <c:v>94.733258194796662</c:v>
                </c:pt>
                <c:pt idx="246">
                  <c:v>92.832130832130829</c:v>
                </c:pt>
                <c:pt idx="247">
                  <c:v>88.789886039886028</c:v>
                </c:pt>
                <c:pt idx="248">
                  <c:v>94.144281644281662</c:v>
                </c:pt>
                <c:pt idx="249">
                  <c:v>93.805192982456134</c:v>
                </c:pt>
                <c:pt idx="250">
                  <c:v>56.725146198830409</c:v>
                </c:pt>
                <c:pt idx="251">
                  <c:v>102.37240829346095</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numCache>
            </c:numRef>
          </c:val>
          <c:extLst>
            <c:ext xmlns:c16="http://schemas.microsoft.com/office/drawing/2014/chart" uri="{C3380CC4-5D6E-409C-BE32-E72D297353CC}">
              <c16:uniqueId val="{00000000-810A-4B84-8675-D125DE7C6B23}"/>
            </c:ext>
          </c:extLst>
        </c:ser>
        <c:dLbls>
          <c:showLegendKey val="0"/>
          <c:showVal val="0"/>
          <c:showCatName val="0"/>
          <c:showSerName val="0"/>
          <c:showPercent val="0"/>
          <c:showBubbleSize val="0"/>
        </c:dLbls>
        <c:axId val="54949376"/>
        <c:axId val="54950912"/>
      </c:areaChart>
      <c:lineChart>
        <c:grouping val="standard"/>
        <c:varyColors val="0"/>
        <c:ser>
          <c:idx val="1"/>
          <c:order val="1"/>
          <c:tx>
            <c:strRef>
              <c:f>calculations!$BF$19</c:f>
              <c:strCache>
                <c:ptCount val="1"/>
                <c:pt idx="0">
                  <c:v>Performance</c:v>
                </c:pt>
              </c:strCache>
            </c:strRef>
          </c:tx>
          <c:spPr>
            <a:ln>
              <a:noFill/>
            </a:ln>
          </c:spPr>
          <c:marker>
            <c:symbol val="none"/>
          </c:marker>
          <c:errBars>
            <c:errDir val="y"/>
            <c:errBarType val="minus"/>
            <c:errValType val="percentage"/>
            <c:noEndCap val="1"/>
            <c:val val="100"/>
            <c:spPr>
              <a:ln w="3175">
                <a:solidFill>
                  <a:srgbClr val="C00000"/>
                </a:solidFill>
              </a:ln>
            </c:spPr>
          </c:errBars>
          <c:val>
            <c:numRef>
              <c:f>calculations!$BF$20:$BF$379</c:f>
              <c:numCache>
                <c:formatCode>0.00%</c:formatCode>
                <c:ptCount val="3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90.47727272727272</c:v>
                </c:pt>
                <c:pt idx="21">
                  <c:v>#N/A</c:v>
                </c:pt>
                <c:pt idx="22">
                  <c:v>97.496503496503493</c:v>
                </c:pt>
                <c:pt idx="23">
                  <c:v>96.637301684408001</c:v>
                </c:pt>
                <c:pt idx="24">
                  <c:v>#N/A</c:v>
                </c:pt>
                <c:pt idx="25">
                  <c:v>#N/A</c:v>
                </c:pt>
                <c:pt idx="26">
                  <c:v>#N/A</c:v>
                </c:pt>
                <c:pt idx="27">
                  <c:v>#N/A</c:v>
                </c:pt>
                <c:pt idx="28">
                  <c:v>#N/A</c:v>
                </c:pt>
                <c:pt idx="29">
                  <c:v>#N/A</c:v>
                </c:pt>
                <c:pt idx="30">
                  <c:v>92.242259103294529</c:v>
                </c:pt>
                <c:pt idx="31">
                  <c:v>#N/A</c:v>
                </c:pt>
                <c:pt idx="32">
                  <c:v>#N/A</c:v>
                </c:pt>
                <c:pt idx="33">
                  <c:v>93.210227272727266</c:v>
                </c:pt>
                <c:pt idx="34">
                  <c:v>#N/A</c:v>
                </c:pt>
                <c:pt idx="35">
                  <c:v>#N/A</c:v>
                </c:pt>
                <c:pt idx="36">
                  <c:v>103.15149437110693</c:v>
                </c:pt>
                <c:pt idx="37">
                  <c:v>#N/A</c:v>
                </c:pt>
                <c:pt idx="38">
                  <c:v>#N/A</c:v>
                </c:pt>
                <c:pt idx="39">
                  <c:v>#N/A</c:v>
                </c:pt>
                <c:pt idx="40">
                  <c:v>98.024980299448387</c:v>
                </c:pt>
                <c:pt idx="41">
                  <c:v>#N/A</c:v>
                </c:pt>
                <c:pt idx="42">
                  <c:v>#N/A</c:v>
                </c:pt>
                <c:pt idx="43">
                  <c:v>92.48792270531402</c:v>
                </c:pt>
                <c:pt idx="44">
                  <c:v>98.154401664115525</c:v>
                </c:pt>
                <c:pt idx="45">
                  <c:v>#N/A</c:v>
                </c:pt>
                <c:pt idx="46">
                  <c:v>#N/A</c:v>
                </c:pt>
                <c:pt idx="47">
                  <c:v>#N/A</c:v>
                </c:pt>
                <c:pt idx="48">
                  <c:v>#N/A</c:v>
                </c:pt>
                <c:pt idx="49">
                  <c:v>98.146871008939968</c:v>
                </c:pt>
                <c:pt idx="50">
                  <c:v>#N/A</c:v>
                </c:pt>
                <c:pt idx="51">
                  <c:v>#N/A</c:v>
                </c:pt>
                <c:pt idx="52">
                  <c:v>#N/A</c:v>
                </c:pt>
                <c:pt idx="53">
                  <c:v>#N/A</c:v>
                </c:pt>
                <c:pt idx="54">
                  <c:v>#N/A</c:v>
                </c:pt>
                <c:pt idx="55">
                  <c:v>#N/A</c:v>
                </c:pt>
                <c:pt idx="56">
                  <c:v>#N/A</c:v>
                </c:pt>
                <c:pt idx="57">
                  <c:v>92.902620307382193</c:v>
                </c:pt>
                <c:pt idx="58">
                  <c:v>#N/A</c:v>
                </c:pt>
                <c:pt idx="59">
                  <c:v>103.10200288117477</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100.94549611339734</c:v>
                </c:pt>
                <c:pt idx="77">
                  <c:v>#N/A</c:v>
                </c:pt>
                <c:pt idx="78">
                  <c:v>98.08645606390705</c:v>
                </c:pt>
                <c:pt idx="79">
                  <c:v>#N/A</c:v>
                </c:pt>
                <c:pt idx="80">
                  <c:v>#N/A</c:v>
                </c:pt>
                <c:pt idx="81">
                  <c:v>#N/A</c:v>
                </c:pt>
                <c:pt idx="82">
                  <c:v>#N/A</c:v>
                </c:pt>
                <c:pt idx="83">
                  <c:v>#N/A</c:v>
                </c:pt>
                <c:pt idx="84">
                  <c:v>#N/A</c:v>
                </c:pt>
                <c:pt idx="85">
                  <c:v>#N/A</c:v>
                </c:pt>
                <c:pt idx="86">
                  <c:v>101.83916391639166</c:v>
                </c:pt>
                <c:pt idx="87">
                  <c:v>#N/A</c:v>
                </c:pt>
                <c:pt idx="88">
                  <c:v>#N/A</c:v>
                </c:pt>
                <c:pt idx="89">
                  <c:v>92.314221048660897</c:v>
                </c:pt>
                <c:pt idx="90">
                  <c:v>#N/A</c:v>
                </c:pt>
                <c:pt idx="91">
                  <c:v>#N/A</c:v>
                </c:pt>
                <c:pt idx="92">
                  <c:v>#N/A</c:v>
                </c:pt>
                <c:pt idx="93">
                  <c:v>#N/A</c:v>
                </c:pt>
                <c:pt idx="94">
                  <c:v>#N/A</c:v>
                </c:pt>
                <c:pt idx="95">
                  <c:v>#N/A</c:v>
                </c:pt>
                <c:pt idx="96">
                  <c:v>#N/A</c:v>
                </c:pt>
                <c:pt idx="97">
                  <c:v>#N/A</c:v>
                </c:pt>
                <c:pt idx="98">
                  <c:v>98.627756970453589</c:v>
                </c:pt>
                <c:pt idx="99">
                  <c:v>92.482877079978536</c:v>
                </c:pt>
                <c:pt idx="100">
                  <c:v>#N/A</c:v>
                </c:pt>
                <c:pt idx="101">
                  <c:v>91.284702093397755</c:v>
                </c:pt>
                <c:pt idx="102">
                  <c:v>#N/A</c:v>
                </c:pt>
                <c:pt idx="103">
                  <c:v>144.77765538033395</c:v>
                </c:pt>
                <c:pt idx="104">
                  <c:v>#N/A</c:v>
                </c:pt>
                <c:pt idx="105">
                  <c:v>#N/A</c:v>
                </c:pt>
                <c:pt idx="106">
                  <c:v>#N/A</c:v>
                </c:pt>
                <c:pt idx="107">
                  <c:v>#N/A</c:v>
                </c:pt>
                <c:pt idx="108">
                  <c:v>#N/A</c:v>
                </c:pt>
                <c:pt idx="109">
                  <c:v>#N/A</c:v>
                </c:pt>
                <c:pt idx="110">
                  <c:v>#N/A</c:v>
                </c:pt>
                <c:pt idx="111">
                  <c:v>#N/A</c:v>
                </c:pt>
                <c:pt idx="112">
                  <c:v>#N/A</c:v>
                </c:pt>
                <c:pt idx="113">
                  <c:v>#N/A</c:v>
                </c:pt>
                <c:pt idx="114">
                  <c:v>88.968855218855197</c:v>
                </c:pt>
                <c:pt idx="115">
                  <c:v>#N/A</c:v>
                </c:pt>
                <c:pt idx="116">
                  <c:v>92.20417633410672</c:v>
                </c:pt>
                <c:pt idx="117">
                  <c:v>#N/A</c:v>
                </c:pt>
                <c:pt idx="118">
                  <c:v>100.3221701240883</c:v>
                </c:pt>
                <c:pt idx="119">
                  <c:v>#N/A</c:v>
                </c:pt>
                <c:pt idx="120">
                  <c:v>102.44228914979297</c:v>
                </c:pt>
                <c:pt idx="121">
                  <c:v>#N/A</c:v>
                </c:pt>
                <c:pt idx="122">
                  <c:v>#N/A</c:v>
                </c:pt>
                <c:pt idx="123">
                  <c:v>#N/A</c:v>
                </c:pt>
                <c:pt idx="124">
                  <c:v>97.032842366175714</c:v>
                </c:pt>
                <c:pt idx="125">
                  <c:v>#N/A</c:v>
                </c:pt>
                <c:pt idx="126">
                  <c:v>#N/A</c:v>
                </c:pt>
                <c:pt idx="127">
                  <c:v>#N/A</c:v>
                </c:pt>
                <c:pt idx="128">
                  <c:v>#N/A</c:v>
                </c:pt>
                <c:pt idx="129">
                  <c:v>#N/A</c:v>
                </c:pt>
                <c:pt idx="130">
                  <c:v>#N/A</c:v>
                </c:pt>
                <c:pt idx="131">
                  <c:v>#N/A</c:v>
                </c:pt>
                <c:pt idx="132">
                  <c:v>100.005007558579</c:v>
                </c:pt>
                <c:pt idx="133">
                  <c:v>#N/A</c:v>
                </c:pt>
                <c:pt idx="134">
                  <c:v>99.972296296296292</c:v>
                </c:pt>
                <c:pt idx="135">
                  <c:v>93.82047176859858</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104.79788773148148</c:v>
                </c:pt>
                <c:pt idx="150">
                  <c:v>#N/A</c:v>
                </c:pt>
                <c:pt idx="151">
                  <c:v>126.94501172377282</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91.630056569537828</c:v>
                </c:pt>
                <c:pt idx="167">
                  <c:v>#N/A</c:v>
                </c:pt>
                <c:pt idx="168">
                  <c:v>#N/A</c:v>
                </c:pt>
                <c:pt idx="169">
                  <c:v>98.815691085407181</c:v>
                </c:pt>
                <c:pt idx="170">
                  <c:v>#N/A</c:v>
                </c:pt>
                <c:pt idx="171">
                  <c:v>#N/A</c:v>
                </c:pt>
                <c:pt idx="172">
                  <c:v>#N/A</c:v>
                </c:pt>
                <c:pt idx="173">
                  <c:v>#N/A</c:v>
                </c:pt>
                <c:pt idx="174">
                  <c:v>#N/A</c:v>
                </c:pt>
                <c:pt idx="175">
                  <c:v>100.70788451133734</c:v>
                </c:pt>
                <c:pt idx="176">
                  <c:v>#N/A</c:v>
                </c:pt>
                <c:pt idx="177">
                  <c:v>#N/A</c:v>
                </c:pt>
                <c:pt idx="178">
                  <c:v>#N/A</c:v>
                </c:pt>
                <c:pt idx="179">
                  <c:v>#N/A</c:v>
                </c:pt>
                <c:pt idx="180">
                  <c:v>#N/A</c:v>
                </c:pt>
                <c:pt idx="181">
                  <c:v>#N/A</c:v>
                </c:pt>
                <c:pt idx="182">
                  <c:v>#N/A</c:v>
                </c:pt>
                <c:pt idx="183">
                  <c:v>#N/A</c:v>
                </c:pt>
                <c:pt idx="184">
                  <c:v>#N/A</c:v>
                </c:pt>
                <c:pt idx="185">
                  <c:v>94.239619424737384</c:v>
                </c:pt>
                <c:pt idx="186">
                  <c:v>#N/A</c:v>
                </c:pt>
                <c:pt idx="187">
                  <c:v>#N/A</c:v>
                </c:pt>
                <c:pt idx="188">
                  <c:v>96.419636617749831</c:v>
                </c:pt>
                <c:pt idx="189">
                  <c:v>#N/A</c:v>
                </c:pt>
                <c:pt idx="190">
                  <c:v>#N/A</c:v>
                </c:pt>
                <c:pt idx="191">
                  <c:v>#N/A</c:v>
                </c:pt>
                <c:pt idx="192">
                  <c:v>#N/A</c:v>
                </c:pt>
                <c:pt idx="193">
                  <c:v>#N/A</c:v>
                </c:pt>
                <c:pt idx="194">
                  <c:v>94.830927277642601</c:v>
                </c:pt>
                <c:pt idx="195">
                  <c:v>#N/A</c:v>
                </c:pt>
                <c:pt idx="196">
                  <c:v>#N/A</c:v>
                </c:pt>
                <c:pt idx="197">
                  <c:v>#N/A</c:v>
                </c:pt>
                <c:pt idx="198">
                  <c:v>93.697390572390589</c:v>
                </c:pt>
                <c:pt idx="199">
                  <c:v>#N/A</c:v>
                </c:pt>
                <c:pt idx="200">
                  <c:v>#N/A</c:v>
                </c:pt>
                <c:pt idx="201">
                  <c:v>#N/A</c:v>
                </c:pt>
                <c:pt idx="202">
                  <c:v>91.758708581138492</c:v>
                </c:pt>
                <c:pt idx="203">
                  <c:v>#N/A</c:v>
                </c:pt>
                <c:pt idx="204">
                  <c:v>#N/A</c:v>
                </c:pt>
                <c:pt idx="205">
                  <c:v>#N/A</c:v>
                </c:pt>
                <c:pt idx="206">
                  <c:v>#N/A</c:v>
                </c:pt>
                <c:pt idx="207">
                  <c:v>#N/A</c:v>
                </c:pt>
                <c:pt idx="208">
                  <c:v>#N/A</c:v>
                </c:pt>
                <c:pt idx="209">
                  <c:v>99.638925778368005</c:v>
                </c:pt>
                <c:pt idx="210">
                  <c:v>#N/A</c:v>
                </c:pt>
                <c:pt idx="211">
                  <c:v>#N/A</c:v>
                </c:pt>
                <c:pt idx="212">
                  <c:v>#N/A</c:v>
                </c:pt>
                <c:pt idx="213">
                  <c:v>#N/A</c:v>
                </c:pt>
                <c:pt idx="214">
                  <c:v>#N/A</c:v>
                </c:pt>
                <c:pt idx="215">
                  <c:v>#N/A</c:v>
                </c:pt>
                <c:pt idx="216">
                  <c:v>94.268341307814993</c:v>
                </c:pt>
                <c:pt idx="217">
                  <c:v>#N/A</c:v>
                </c:pt>
                <c:pt idx="218">
                  <c:v>#N/A</c:v>
                </c:pt>
                <c:pt idx="219">
                  <c:v>#N/A</c:v>
                </c:pt>
                <c:pt idx="220">
                  <c:v>#N/A</c:v>
                </c:pt>
                <c:pt idx="221">
                  <c:v>90.553956834532386</c:v>
                </c:pt>
                <c:pt idx="222">
                  <c:v>#N/A</c:v>
                </c:pt>
                <c:pt idx="223">
                  <c:v>#N/A</c:v>
                </c:pt>
                <c:pt idx="224">
                  <c:v>#N/A</c:v>
                </c:pt>
                <c:pt idx="225">
                  <c:v>#N/A</c:v>
                </c:pt>
                <c:pt idx="226">
                  <c:v>#N/A</c:v>
                </c:pt>
                <c:pt idx="227">
                  <c:v>#N/A</c:v>
                </c:pt>
                <c:pt idx="228">
                  <c:v>95.227762388427209</c:v>
                </c:pt>
                <c:pt idx="229">
                  <c:v>#N/A</c:v>
                </c:pt>
                <c:pt idx="230">
                  <c:v>72.162637174211255</c:v>
                </c:pt>
                <c:pt idx="231">
                  <c:v>#N/A</c:v>
                </c:pt>
                <c:pt idx="232">
                  <c:v>70.384615384615401</c:v>
                </c:pt>
                <c:pt idx="233">
                  <c:v>#N/A</c:v>
                </c:pt>
                <c:pt idx="234">
                  <c:v>#N/A</c:v>
                </c:pt>
                <c:pt idx="235">
                  <c:v>86.327505827505817</c:v>
                </c:pt>
                <c:pt idx="236">
                  <c:v>#N/A</c:v>
                </c:pt>
                <c:pt idx="237">
                  <c:v>97.233106931382807</c:v>
                </c:pt>
                <c:pt idx="238">
                  <c:v>#N/A</c:v>
                </c:pt>
                <c:pt idx="239">
                  <c:v>#N/A</c:v>
                </c:pt>
                <c:pt idx="240">
                  <c:v>#N/A</c:v>
                </c:pt>
                <c:pt idx="241">
                  <c:v>#N/A</c:v>
                </c:pt>
                <c:pt idx="242">
                  <c:v>#N/A</c:v>
                </c:pt>
                <c:pt idx="243">
                  <c:v>#N/A</c:v>
                </c:pt>
                <c:pt idx="244">
                  <c:v>#N/A</c:v>
                </c:pt>
                <c:pt idx="245">
                  <c:v>94.733258194796662</c:v>
                </c:pt>
                <c:pt idx="246">
                  <c:v>#N/A</c:v>
                </c:pt>
                <c:pt idx="247">
                  <c:v>#N/A</c:v>
                </c:pt>
                <c:pt idx="248">
                  <c:v>#N/A</c:v>
                </c:pt>
                <c:pt idx="249">
                  <c:v>93.805192982456134</c:v>
                </c:pt>
                <c:pt idx="250">
                  <c:v>#N/A</c:v>
                </c:pt>
                <c:pt idx="251">
                  <c:v>102.37240829346095</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numCache>
            </c:numRef>
          </c:val>
          <c:smooth val="0"/>
          <c:extLst>
            <c:ext xmlns:c16="http://schemas.microsoft.com/office/drawing/2014/chart" uri="{C3380CC4-5D6E-409C-BE32-E72D297353CC}">
              <c16:uniqueId val="{00000001-810A-4B84-8675-D125DE7C6B23}"/>
            </c:ext>
          </c:extLst>
        </c:ser>
        <c:dLbls>
          <c:showLegendKey val="0"/>
          <c:showVal val="0"/>
          <c:showCatName val="0"/>
          <c:showSerName val="0"/>
          <c:showPercent val="0"/>
          <c:showBubbleSize val="0"/>
        </c:dLbls>
        <c:marker val="1"/>
        <c:smooth val="0"/>
        <c:axId val="54949376"/>
        <c:axId val="54950912"/>
      </c:lineChart>
      <c:catAx>
        <c:axId val="54949376"/>
        <c:scaling>
          <c:orientation val="minMax"/>
        </c:scaling>
        <c:delete val="1"/>
        <c:axPos val="b"/>
        <c:majorTickMark val="out"/>
        <c:minorTickMark val="none"/>
        <c:tickLblPos val="none"/>
        <c:crossAx val="54950912"/>
        <c:crosses val="autoZero"/>
        <c:auto val="1"/>
        <c:lblAlgn val="ctr"/>
        <c:lblOffset val="100"/>
        <c:noMultiLvlLbl val="0"/>
      </c:catAx>
      <c:valAx>
        <c:axId val="54950912"/>
        <c:scaling>
          <c:orientation val="minMax"/>
        </c:scaling>
        <c:delete val="1"/>
        <c:axPos val="l"/>
        <c:numFmt formatCode="General" sourceLinked="1"/>
        <c:majorTickMark val="out"/>
        <c:minorTickMark val="none"/>
        <c:tickLblPos val="none"/>
        <c:crossAx val="54949376"/>
        <c:crosses val="autoZero"/>
        <c:crossBetween val="midCat"/>
      </c:valAx>
    </c:plotArea>
    <c:plotVisOnly val="1"/>
    <c:dispBlanksAs val="gap"/>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747720981009332E-3"/>
          <c:y val="2.7777777777777821E-2"/>
          <c:w val="0.97545720216782894"/>
          <c:h val="0.91666666666666652"/>
        </c:manualLayout>
      </c:layout>
      <c:areaChart>
        <c:grouping val="standard"/>
        <c:varyColors val="0"/>
        <c:ser>
          <c:idx val="0"/>
          <c:order val="0"/>
          <c:tx>
            <c:strRef>
              <c:f>calculations!$AA$19</c:f>
              <c:strCache>
                <c:ptCount val="1"/>
                <c:pt idx="0">
                  <c:v>Quality</c:v>
                </c:pt>
              </c:strCache>
            </c:strRef>
          </c:tx>
          <c:spPr>
            <a:solidFill>
              <a:schemeClr val="bg1">
                <a:lumMod val="75000"/>
              </a:schemeClr>
            </a:solidFill>
          </c:spPr>
          <c:val>
            <c:numRef>
              <c:f>calculations!$AA$20:$AA$379</c:f>
              <c:numCache>
                <c:formatCode>General</c:formatCode>
                <c:ptCount val="360"/>
                <c:pt idx="0">
                  <c:v>100</c:v>
                </c:pt>
                <c:pt idx="1">
                  <c:v>100</c:v>
                </c:pt>
                <c:pt idx="2">
                  <c:v>100</c:v>
                </c:pt>
                <c:pt idx="3">
                  <c:v>100</c:v>
                </c:pt>
                <c:pt idx="4">
                  <c:v>100</c:v>
                </c:pt>
                <c:pt idx="5">
                  <c:v>100</c:v>
                </c:pt>
                <c:pt idx="6">
                  <c:v>100</c:v>
                </c:pt>
                <c:pt idx="7">
                  <c:v>100</c:v>
                </c:pt>
                <c:pt idx="8">
                  <c:v>100</c:v>
                </c:pt>
                <c:pt idx="9">
                  <c:v>99.858746099995344</c:v>
                </c:pt>
                <c:pt idx="10">
                  <c:v>99.815949234953166</c:v>
                </c:pt>
                <c:pt idx="11">
                  <c:v>99.776276635026832</c:v>
                </c:pt>
                <c:pt idx="12">
                  <c:v>99.768396673334038</c:v>
                </c:pt>
                <c:pt idx="13">
                  <c:v>99.758376560836723</c:v>
                </c:pt>
                <c:pt idx="14">
                  <c:v>99.756234764672797</c:v>
                </c:pt>
                <c:pt idx="15">
                  <c:v>99.748036889356399</c:v>
                </c:pt>
                <c:pt idx="16">
                  <c:v>99.747453630145003</c:v>
                </c:pt>
                <c:pt idx="17">
                  <c:v>99.745830023828432</c:v>
                </c:pt>
                <c:pt idx="18">
                  <c:v>99.715424018212858</c:v>
                </c:pt>
                <c:pt idx="19">
                  <c:v>99.706400469759245</c:v>
                </c:pt>
                <c:pt idx="20">
                  <c:v>99.673448882190414</c:v>
                </c:pt>
                <c:pt idx="21">
                  <c:v>99.647443968773615</c:v>
                </c:pt>
                <c:pt idx="22">
                  <c:v>99.612681107445127</c:v>
                </c:pt>
                <c:pt idx="23">
                  <c:v>99.592732490662399</c:v>
                </c:pt>
                <c:pt idx="24">
                  <c:v>99.581573672226227</c:v>
                </c:pt>
                <c:pt idx="25">
                  <c:v>99.567525572963874</c:v>
                </c:pt>
                <c:pt idx="26">
                  <c:v>99.563779020405775</c:v>
                </c:pt>
                <c:pt idx="27">
                  <c:v>99.502266218057443</c:v>
                </c:pt>
                <c:pt idx="28">
                  <c:v>99.484840642411044</c:v>
                </c:pt>
                <c:pt idx="29">
                  <c:v>99.479820161273693</c:v>
                </c:pt>
                <c:pt idx="30">
                  <c:v>99.465602526437905</c:v>
                </c:pt>
                <c:pt idx="31">
                  <c:v>99.446563243770242</c:v>
                </c:pt>
                <c:pt idx="32">
                  <c:v>99.432397030999851</c:v>
                </c:pt>
                <c:pt idx="33">
                  <c:v>99.425597261622869</c:v>
                </c:pt>
                <c:pt idx="34">
                  <c:v>99.412943423400861</c:v>
                </c:pt>
                <c:pt idx="35">
                  <c:v>99.406897651839287</c:v>
                </c:pt>
                <c:pt idx="36">
                  <c:v>99.390597923157713</c:v>
                </c:pt>
                <c:pt idx="37">
                  <c:v>99.359975023415544</c:v>
                </c:pt>
                <c:pt idx="38">
                  <c:v>99.359181824066283</c:v>
                </c:pt>
                <c:pt idx="39">
                  <c:v>99.354144241119485</c:v>
                </c:pt>
                <c:pt idx="40">
                  <c:v>99.338792880989956</c:v>
                </c:pt>
                <c:pt idx="41">
                  <c:v>99.275443594517597</c:v>
                </c:pt>
                <c:pt idx="42">
                  <c:v>99.269155436021876</c:v>
                </c:pt>
                <c:pt idx="43">
                  <c:v>99.261615897813343</c:v>
                </c:pt>
                <c:pt idx="44">
                  <c:v>99.252262007392616</c:v>
                </c:pt>
                <c:pt idx="45">
                  <c:v>99.238345412740458</c:v>
                </c:pt>
                <c:pt idx="46">
                  <c:v>99.217867225140139</c:v>
                </c:pt>
                <c:pt idx="47">
                  <c:v>99.202656920620996</c:v>
                </c:pt>
                <c:pt idx="48">
                  <c:v>99.194623095196704</c:v>
                </c:pt>
                <c:pt idx="49">
                  <c:v>99.186716808286377</c:v>
                </c:pt>
                <c:pt idx="50">
                  <c:v>99.180286702349008</c:v>
                </c:pt>
                <c:pt idx="51">
                  <c:v>99.172376729813251</c:v>
                </c:pt>
                <c:pt idx="52">
                  <c:v>99.167703529491902</c:v>
                </c:pt>
                <c:pt idx="53">
                  <c:v>99.167512690355323</c:v>
                </c:pt>
                <c:pt idx="54">
                  <c:v>99.161320082190628</c:v>
                </c:pt>
                <c:pt idx="55">
                  <c:v>99.159762716991267</c:v>
                </c:pt>
                <c:pt idx="56">
                  <c:v>99.146088160627741</c:v>
                </c:pt>
                <c:pt idx="57">
                  <c:v>99.142327526472585</c:v>
                </c:pt>
                <c:pt idx="58">
                  <c:v>99.140529418087667</c:v>
                </c:pt>
                <c:pt idx="59">
                  <c:v>99.139116905219922</c:v>
                </c:pt>
                <c:pt idx="60">
                  <c:v>99.133226324237555</c:v>
                </c:pt>
                <c:pt idx="61">
                  <c:v>99.120358806728717</c:v>
                </c:pt>
                <c:pt idx="62">
                  <c:v>99.101375518266096</c:v>
                </c:pt>
                <c:pt idx="63">
                  <c:v>99.086631608081916</c:v>
                </c:pt>
                <c:pt idx="64">
                  <c:v>99.084663825119193</c:v>
                </c:pt>
                <c:pt idx="65">
                  <c:v>99.071488735168685</c:v>
                </c:pt>
                <c:pt idx="66">
                  <c:v>99.057941653160455</c:v>
                </c:pt>
                <c:pt idx="67">
                  <c:v>99.057996100796245</c:v>
                </c:pt>
                <c:pt idx="68">
                  <c:v>99.050763516302112</c:v>
                </c:pt>
                <c:pt idx="69">
                  <c:v>99.049409043264532</c:v>
                </c:pt>
                <c:pt idx="70">
                  <c:v>99.048440183814606</c:v>
                </c:pt>
                <c:pt idx="71">
                  <c:v>99.037270529543918</c:v>
                </c:pt>
                <c:pt idx="72">
                  <c:v>99.032524816065319</c:v>
                </c:pt>
                <c:pt idx="73">
                  <c:v>99.0234375</c:v>
                </c:pt>
                <c:pt idx="74">
                  <c:v>99.016076605464292</c:v>
                </c:pt>
                <c:pt idx="75">
                  <c:v>99.008647498413509</c:v>
                </c:pt>
                <c:pt idx="76">
                  <c:v>99.00574268530103</c:v>
                </c:pt>
                <c:pt idx="77">
                  <c:v>99.004479840716769</c:v>
                </c:pt>
                <c:pt idx="78">
                  <c:v>98.995854219874062</c:v>
                </c:pt>
                <c:pt idx="79">
                  <c:v>98.995786454069275</c:v>
                </c:pt>
                <c:pt idx="80">
                  <c:v>98.993435448577685</c:v>
                </c:pt>
                <c:pt idx="81">
                  <c:v>98.991862458648257</c:v>
                </c:pt>
                <c:pt idx="82">
                  <c:v>98.987685263192233</c:v>
                </c:pt>
                <c:pt idx="83">
                  <c:v>98.983173949885</c:v>
                </c:pt>
                <c:pt idx="84">
                  <c:v>98.97812058177135</c:v>
                </c:pt>
                <c:pt idx="85">
                  <c:v>98.961877838085371</c:v>
                </c:pt>
                <c:pt idx="86">
                  <c:v>98.946763485208237</c:v>
                </c:pt>
                <c:pt idx="87">
                  <c:v>98.90508010627164</c:v>
                </c:pt>
                <c:pt idx="88">
                  <c:v>98.898898898898906</c:v>
                </c:pt>
                <c:pt idx="89">
                  <c:v>98.886505261007258</c:v>
                </c:pt>
                <c:pt idx="90">
                  <c:v>98.881431767337816</c:v>
                </c:pt>
                <c:pt idx="91">
                  <c:v>98.863810057573758</c:v>
                </c:pt>
                <c:pt idx="92">
                  <c:v>98.857468983387008</c:v>
                </c:pt>
                <c:pt idx="93">
                  <c:v>98.854551495425142</c:v>
                </c:pt>
                <c:pt idx="94">
                  <c:v>98.850917773466648</c:v>
                </c:pt>
                <c:pt idx="95">
                  <c:v>98.844957796534871</c:v>
                </c:pt>
                <c:pt idx="96">
                  <c:v>98.843181031116217</c:v>
                </c:pt>
                <c:pt idx="97">
                  <c:v>98.840384577205114</c:v>
                </c:pt>
                <c:pt idx="98">
                  <c:v>98.834400481007592</c:v>
                </c:pt>
                <c:pt idx="99">
                  <c:v>98.821792315067825</c:v>
                </c:pt>
                <c:pt idx="100">
                  <c:v>98.817022075262344</c:v>
                </c:pt>
                <c:pt idx="101">
                  <c:v>98.809267602552936</c:v>
                </c:pt>
                <c:pt idx="102">
                  <c:v>98.789054185094955</c:v>
                </c:pt>
                <c:pt idx="103">
                  <c:v>98.783601141312502</c:v>
                </c:pt>
                <c:pt idx="104">
                  <c:v>98.762890679123544</c:v>
                </c:pt>
                <c:pt idx="105">
                  <c:v>98.74635529603627</c:v>
                </c:pt>
                <c:pt idx="106">
                  <c:v>98.738109964228926</c:v>
                </c:pt>
                <c:pt idx="107">
                  <c:v>98.725472197366258</c:v>
                </c:pt>
                <c:pt idx="108">
                  <c:v>98.722087894456848</c:v>
                </c:pt>
                <c:pt idx="109">
                  <c:v>98.719469948199389</c:v>
                </c:pt>
                <c:pt idx="110">
                  <c:v>98.71794871794873</c:v>
                </c:pt>
                <c:pt idx="111">
                  <c:v>98.711188068159458</c:v>
                </c:pt>
                <c:pt idx="112">
                  <c:v>98.707845446295337</c:v>
                </c:pt>
                <c:pt idx="113">
                  <c:v>98.704890166694156</c:v>
                </c:pt>
                <c:pt idx="114">
                  <c:v>98.699086995600553</c:v>
                </c:pt>
                <c:pt idx="115">
                  <c:v>98.676464474521836</c:v>
                </c:pt>
                <c:pt idx="116">
                  <c:v>98.66235795830795</c:v>
                </c:pt>
                <c:pt idx="117">
                  <c:v>98.655999839041897</c:v>
                </c:pt>
                <c:pt idx="118">
                  <c:v>98.655699694028272</c:v>
                </c:pt>
                <c:pt idx="119">
                  <c:v>98.654874901704531</c:v>
                </c:pt>
                <c:pt idx="120">
                  <c:v>98.649067635203963</c:v>
                </c:pt>
                <c:pt idx="121">
                  <c:v>98.645250038210889</c:v>
                </c:pt>
                <c:pt idx="122">
                  <c:v>98.641720215656861</c:v>
                </c:pt>
                <c:pt idx="123">
                  <c:v>98.619719527007888</c:v>
                </c:pt>
                <c:pt idx="124">
                  <c:v>98.619606887621259</c:v>
                </c:pt>
                <c:pt idx="125">
                  <c:v>98.61405511169086</c:v>
                </c:pt>
                <c:pt idx="126">
                  <c:v>98.592543635653556</c:v>
                </c:pt>
                <c:pt idx="127">
                  <c:v>98.58747353660884</c:v>
                </c:pt>
                <c:pt idx="128">
                  <c:v>98.580089761423579</c:v>
                </c:pt>
                <c:pt idx="129">
                  <c:v>98.580208100926924</c:v>
                </c:pt>
                <c:pt idx="130">
                  <c:v>98.574935730545192</c:v>
                </c:pt>
                <c:pt idx="131">
                  <c:v>98.572602621220639</c:v>
                </c:pt>
                <c:pt idx="132">
                  <c:v>98.571027716866027</c:v>
                </c:pt>
                <c:pt idx="133">
                  <c:v>98.570599119925035</c:v>
                </c:pt>
                <c:pt idx="134">
                  <c:v>98.558860010106514</c:v>
                </c:pt>
                <c:pt idx="135">
                  <c:v>98.555182911568096</c:v>
                </c:pt>
                <c:pt idx="136">
                  <c:v>98.552873982008421</c:v>
                </c:pt>
                <c:pt idx="137">
                  <c:v>98.545971132838304</c:v>
                </c:pt>
                <c:pt idx="138">
                  <c:v>98.536358110195422</c:v>
                </c:pt>
                <c:pt idx="139">
                  <c:v>98.530548311997151</c:v>
                </c:pt>
                <c:pt idx="140">
                  <c:v>98.508390786116792</c:v>
                </c:pt>
                <c:pt idx="141">
                  <c:v>98.497963734340885</c:v>
                </c:pt>
                <c:pt idx="142">
                  <c:v>98.49739515212751</c:v>
                </c:pt>
                <c:pt idx="143">
                  <c:v>98.493336025239628</c:v>
                </c:pt>
                <c:pt idx="144">
                  <c:v>98.474945533769059</c:v>
                </c:pt>
                <c:pt idx="145">
                  <c:v>98.465948331184023</c:v>
                </c:pt>
                <c:pt idx="146">
                  <c:v>98.460196817496836</c:v>
                </c:pt>
                <c:pt idx="147">
                  <c:v>98.460115448519218</c:v>
                </c:pt>
                <c:pt idx="148">
                  <c:v>98.455982730415556</c:v>
                </c:pt>
                <c:pt idx="149">
                  <c:v>98.443459977939241</c:v>
                </c:pt>
                <c:pt idx="150">
                  <c:v>98.442513160763795</c:v>
                </c:pt>
                <c:pt idx="151">
                  <c:v>98.432975440018112</c:v>
                </c:pt>
                <c:pt idx="152">
                  <c:v>98.422795715951324</c:v>
                </c:pt>
                <c:pt idx="153">
                  <c:v>98.422022876929006</c:v>
                </c:pt>
                <c:pt idx="154">
                  <c:v>98.420740408202533</c:v>
                </c:pt>
                <c:pt idx="155">
                  <c:v>98.4120357893555</c:v>
                </c:pt>
                <c:pt idx="156">
                  <c:v>98.384783757264699</c:v>
                </c:pt>
                <c:pt idx="157">
                  <c:v>98.381533084103324</c:v>
                </c:pt>
                <c:pt idx="158">
                  <c:v>98.377075025503103</c:v>
                </c:pt>
                <c:pt idx="159">
                  <c:v>98.371416961020287</c:v>
                </c:pt>
                <c:pt idx="160">
                  <c:v>98.363733161085861</c:v>
                </c:pt>
                <c:pt idx="161">
                  <c:v>98.351680602765171</c:v>
                </c:pt>
                <c:pt idx="162">
                  <c:v>98.338108882521496</c:v>
                </c:pt>
                <c:pt idx="163">
                  <c:v>98.330932218278932</c:v>
                </c:pt>
                <c:pt idx="164">
                  <c:v>98.329701447960787</c:v>
                </c:pt>
                <c:pt idx="165">
                  <c:v>98.320577403062245</c:v>
                </c:pt>
                <c:pt idx="166">
                  <c:v>98.316796391770595</c:v>
                </c:pt>
                <c:pt idx="167">
                  <c:v>98.311282336567558</c:v>
                </c:pt>
                <c:pt idx="168">
                  <c:v>98.311123093514098</c:v>
                </c:pt>
                <c:pt idx="169">
                  <c:v>98.251579785602004</c:v>
                </c:pt>
                <c:pt idx="170">
                  <c:v>98.250578852585548</c:v>
                </c:pt>
                <c:pt idx="171">
                  <c:v>98.246865762919171</c:v>
                </c:pt>
                <c:pt idx="172">
                  <c:v>98.24400412375806</c:v>
                </c:pt>
                <c:pt idx="173">
                  <c:v>98.23985810046139</c:v>
                </c:pt>
                <c:pt idx="174">
                  <c:v>98.238087311097075</c:v>
                </c:pt>
                <c:pt idx="175">
                  <c:v>98.236867347955453</c:v>
                </c:pt>
                <c:pt idx="176">
                  <c:v>98.231197498874096</c:v>
                </c:pt>
                <c:pt idx="177">
                  <c:v>98.224661071659142</c:v>
                </c:pt>
                <c:pt idx="178">
                  <c:v>98.217932318117718</c:v>
                </c:pt>
                <c:pt idx="179">
                  <c:v>98.19962652252417</c:v>
                </c:pt>
                <c:pt idx="180">
                  <c:v>98.180322374234436</c:v>
                </c:pt>
                <c:pt idx="181">
                  <c:v>98.163503049407254</c:v>
                </c:pt>
                <c:pt idx="182">
                  <c:v>98.120474325836256</c:v>
                </c:pt>
                <c:pt idx="183">
                  <c:v>98.097117722738275</c:v>
                </c:pt>
                <c:pt idx="184">
                  <c:v>98.091276971781411</c:v>
                </c:pt>
                <c:pt idx="185">
                  <c:v>98.063970951685931</c:v>
                </c:pt>
                <c:pt idx="186">
                  <c:v>98.059815969243786</c:v>
                </c:pt>
                <c:pt idx="187">
                  <c:v>98.0548694989278</c:v>
                </c:pt>
                <c:pt idx="188">
                  <c:v>98.034085514562264</c:v>
                </c:pt>
                <c:pt idx="189">
                  <c:v>97.996300863131935</c:v>
                </c:pt>
                <c:pt idx="190">
                  <c:v>97.980610227823476</c:v>
                </c:pt>
                <c:pt idx="191">
                  <c:v>97.961428222276538</c:v>
                </c:pt>
                <c:pt idx="192">
                  <c:v>97.944803054889263</c:v>
                </c:pt>
                <c:pt idx="193">
                  <c:v>97.915338205719323</c:v>
                </c:pt>
                <c:pt idx="194">
                  <c:v>97.910368789975237</c:v>
                </c:pt>
                <c:pt idx="195">
                  <c:v>97.882591798546983</c:v>
                </c:pt>
                <c:pt idx="196">
                  <c:v>97.839380350591114</c:v>
                </c:pt>
                <c:pt idx="197">
                  <c:v>97.836865047060769</c:v>
                </c:pt>
                <c:pt idx="198">
                  <c:v>97.832678270634474</c:v>
                </c:pt>
                <c:pt idx="199">
                  <c:v>97.818870337128388</c:v>
                </c:pt>
                <c:pt idx="200">
                  <c:v>97.813647600086711</c:v>
                </c:pt>
                <c:pt idx="201">
                  <c:v>97.801535913266065</c:v>
                </c:pt>
                <c:pt idx="202">
                  <c:v>97.777777777777771</c:v>
                </c:pt>
                <c:pt idx="203">
                  <c:v>97.769502961090026</c:v>
                </c:pt>
                <c:pt idx="204">
                  <c:v>97.769063718005853</c:v>
                </c:pt>
                <c:pt idx="205">
                  <c:v>97.707046847472711</c:v>
                </c:pt>
                <c:pt idx="206">
                  <c:v>97.697258059596791</c:v>
                </c:pt>
                <c:pt idx="207">
                  <c:v>97.687744108269086</c:v>
                </c:pt>
                <c:pt idx="208">
                  <c:v>97.649484357659134</c:v>
                </c:pt>
                <c:pt idx="209">
                  <c:v>97.641624694744038</c:v>
                </c:pt>
                <c:pt idx="210">
                  <c:v>97.586831238112651</c:v>
                </c:pt>
                <c:pt idx="211">
                  <c:v>97.551577192358579</c:v>
                </c:pt>
                <c:pt idx="212">
                  <c:v>97.499850263264406</c:v>
                </c:pt>
                <c:pt idx="213">
                  <c:v>97.4981909996459</c:v>
                </c:pt>
                <c:pt idx="214">
                  <c:v>97.481502561183845</c:v>
                </c:pt>
                <c:pt idx="215">
                  <c:v>97.477016960509417</c:v>
                </c:pt>
                <c:pt idx="216">
                  <c:v>97.451623136301151</c:v>
                </c:pt>
                <c:pt idx="217">
                  <c:v>97.441084979968494</c:v>
                </c:pt>
                <c:pt idx="218">
                  <c:v>97.355102507648766</c:v>
                </c:pt>
                <c:pt idx="219">
                  <c:v>97.32455724973957</c:v>
                </c:pt>
                <c:pt idx="220">
                  <c:v>97.309504232820572</c:v>
                </c:pt>
                <c:pt idx="221">
                  <c:v>97.28555917480999</c:v>
                </c:pt>
                <c:pt idx="222">
                  <c:v>97.278195220332336</c:v>
                </c:pt>
                <c:pt idx="223">
                  <c:v>97.247329839207282</c:v>
                </c:pt>
                <c:pt idx="224">
                  <c:v>97.221297516500258</c:v>
                </c:pt>
                <c:pt idx="225">
                  <c:v>97.102515168998821</c:v>
                </c:pt>
                <c:pt idx="226">
                  <c:v>96.969845413129747</c:v>
                </c:pt>
                <c:pt idx="227">
                  <c:v>96.842407908940004</c:v>
                </c:pt>
                <c:pt idx="228">
                  <c:v>96.808287141033304</c:v>
                </c:pt>
                <c:pt idx="229">
                  <c:v>96.798512103128303</c:v>
                </c:pt>
                <c:pt idx="230">
                  <c:v>96.717971260714862</c:v>
                </c:pt>
                <c:pt idx="231">
                  <c:v>96.55702738302891</c:v>
                </c:pt>
                <c:pt idx="232">
                  <c:v>96.439807915217756</c:v>
                </c:pt>
                <c:pt idx="233">
                  <c:v>96.37974895865365</c:v>
                </c:pt>
                <c:pt idx="234">
                  <c:v>96.331674115651708</c:v>
                </c:pt>
                <c:pt idx="235">
                  <c:v>96.320997988362194</c:v>
                </c:pt>
                <c:pt idx="236">
                  <c:v>96.240852152396585</c:v>
                </c:pt>
                <c:pt idx="237">
                  <c:v>96.182693384081503</c:v>
                </c:pt>
                <c:pt idx="238">
                  <c:v>96.086370540806527</c:v>
                </c:pt>
                <c:pt idx="239">
                  <c:v>96.041104548821849</c:v>
                </c:pt>
                <c:pt idx="240">
                  <c:v>96.018227357103697</c:v>
                </c:pt>
                <c:pt idx="241">
                  <c:v>95.533141210374637</c:v>
                </c:pt>
                <c:pt idx="242">
                  <c:v>95.530617959377082</c:v>
                </c:pt>
                <c:pt idx="243">
                  <c:v>94.949270696889641</c:v>
                </c:pt>
                <c:pt idx="244">
                  <c:v>94.509916642713421</c:v>
                </c:pt>
                <c:pt idx="245">
                  <c:v>93.989341925889207</c:v>
                </c:pt>
                <c:pt idx="246">
                  <c:v>93.911854008849843</c:v>
                </c:pt>
                <c:pt idx="247">
                  <c:v>93.642759162849643</c:v>
                </c:pt>
                <c:pt idx="248">
                  <c:v>92.731694136719796</c:v>
                </c:pt>
                <c:pt idx="249">
                  <c:v>90.087706961197682</c:v>
                </c:pt>
                <c:pt idx="250">
                  <c:v>87.972508591065292</c:v>
                </c:pt>
                <c:pt idx="251">
                  <c:v>87.633885102239532</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numCache>
            </c:numRef>
          </c:val>
          <c:extLst>
            <c:ext xmlns:c16="http://schemas.microsoft.com/office/drawing/2014/chart" uri="{C3380CC4-5D6E-409C-BE32-E72D297353CC}">
              <c16:uniqueId val="{00000000-5D5E-48AC-802D-F743DB6FFE3F}"/>
            </c:ext>
          </c:extLst>
        </c:ser>
        <c:dLbls>
          <c:showLegendKey val="0"/>
          <c:showVal val="0"/>
          <c:showCatName val="0"/>
          <c:showSerName val="0"/>
          <c:showPercent val="0"/>
          <c:showBubbleSize val="0"/>
        </c:dLbls>
        <c:axId val="331353472"/>
        <c:axId val="60032128"/>
      </c:areaChart>
      <c:lineChart>
        <c:grouping val="standard"/>
        <c:varyColors val="0"/>
        <c:ser>
          <c:idx val="1"/>
          <c:order val="1"/>
          <c:tx>
            <c:strRef>
              <c:f>calculations!$BG$19</c:f>
              <c:strCache>
                <c:ptCount val="1"/>
                <c:pt idx="0">
                  <c:v>Quality</c:v>
                </c:pt>
              </c:strCache>
            </c:strRef>
          </c:tx>
          <c:spPr>
            <a:ln>
              <a:noFill/>
            </a:ln>
          </c:spPr>
          <c:marker>
            <c:symbol val="none"/>
          </c:marker>
          <c:errBars>
            <c:errDir val="y"/>
            <c:errBarType val="minus"/>
            <c:errValType val="percentage"/>
            <c:noEndCap val="1"/>
            <c:val val="100"/>
            <c:spPr>
              <a:ln w="3175">
                <a:solidFill>
                  <a:srgbClr val="C00000"/>
                </a:solidFill>
              </a:ln>
            </c:spPr>
          </c:errBars>
          <c:val>
            <c:numRef>
              <c:f>calculations!$BG$20:$BG$379</c:f>
              <c:numCache>
                <c:formatCode>0.00%</c:formatCode>
                <c:ptCount val="3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99.673448882190414</c:v>
                </c:pt>
                <c:pt idx="21">
                  <c:v>#N/A</c:v>
                </c:pt>
                <c:pt idx="22">
                  <c:v>99.612681107445127</c:v>
                </c:pt>
                <c:pt idx="23">
                  <c:v>99.592732490662399</c:v>
                </c:pt>
                <c:pt idx="24">
                  <c:v>#N/A</c:v>
                </c:pt>
                <c:pt idx="25">
                  <c:v>#N/A</c:v>
                </c:pt>
                <c:pt idx="26">
                  <c:v>#N/A</c:v>
                </c:pt>
                <c:pt idx="27">
                  <c:v>#N/A</c:v>
                </c:pt>
                <c:pt idx="28">
                  <c:v>#N/A</c:v>
                </c:pt>
                <c:pt idx="29">
                  <c:v>#N/A</c:v>
                </c:pt>
                <c:pt idx="30">
                  <c:v>99.465602526437905</c:v>
                </c:pt>
                <c:pt idx="31">
                  <c:v>#N/A</c:v>
                </c:pt>
                <c:pt idx="32">
                  <c:v>#N/A</c:v>
                </c:pt>
                <c:pt idx="33">
                  <c:v>99.425597261622869</c:v>
                </c:pt>
                <c:pt idx="34">
                  <c:v>#N/A</c:v>
                </c:pt>
                <c:pt idx="35">
                  <c:v>#N/A</c:v>
                </c:pt>
                <c:pt idx="36">
                  <c:v>99.390597923157713</c:v>
                </c:pt>
                <c:pt idx="37">
                  <c:v>#N/A</c:v>
                </c:pt>
                <c:pt idx="38">
                  <c:v>#N/A</c:v>
                </c:pt>
                <c:pt idx="39">
                  <c:v>#N/A</c:v>
                </c:pt>
                <c:pt idx="40">
                  <c:v>99.338792880989956</c:v>
                </c:pt>
                <c:pt idx="41">
                  <c:v>#N/A</c:v>
                </c:pt>
                <c:pt idx="42">
                  <c:v>#N/A</c:v>
                </c:pt>
                <c:pt idx="43">
                  <c:v>99.261615897813343</c:v>
                </c:pt>
                <c:pt idx="44">
                  <c:v>99.252262007392616</c:v>
                </c:pt>
                <c:pt idx="45">
                  <c:v>#N/A</c:v>
                </c:pt>
                <c:pt idx="46">
                  <c:v>#N/A</c:v>
                </c:pt>
                <c:pt idx="47">
                  <c:v>#N/A</c:v>
                </c:pt>
                <c:pt idx="48">
                  <c:v>#N/A</c:v>
                </c:pt>
                <c:pt idx="49">
                  <c:v>99.186716808286377</c:v>
                </c:pt>
                <c:pt idx="50">
                  <c:v>#N/A</c:v>
                </c:pt>
                <c:pt idx="51">
                  <c:v>#N/A</c:v>
                </c:pt>
                <c:pt idx="52">
                  <c:v>#N/A</c:v>
                </c:pt>
                <c:pt idx="53">
                  <c:v>#N/A</c:v>
                </c:pt>
                <c:pt idx="54">
                  <c:v>#N/A</c:v>
                </c:pt>
                <c:pt idx="55">
                  <c:v>#N/A</c:v>
                </c:pt>
                <c:pt idx="56">
                  <c:v>#N/A</c:v>
                </c:pt>
                <c:pt idx="57">
                  <c:v>99.142327526472585</c:v>
                </c:pt>
                <c:pt idx="58">
                  <c:v>#N/A</c:v>
                </c:pt>
                <c:pt idx="59">
                  <c:v>99.139116905219922</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99.00574268530103</c:v>
                </c:pt>
                <c:pt idx="77">
                  <c:v>#N/A</c:v>
                </c:pt>
                <c:pt idx="78">
                  <c:v>98.995854219874062</c:v>
                </c:pt>
                <c:pt idx="79">
                  <c:v>#N/A</c:v>
                </c:pt>
                <c:pt idx="80">
                  <c:v>#N/A</c:v>
                </c:pt>
                <c:pt idx="81">
                  <c:v>#N/A</c:v>
                </c:pt>
                <c:pt idx="82">
                  <c:v>#N/A</c:v>
                </c:pt>
                <c:pt idx="83">
                  <c:v>#N/A</c:v>
                </c:pt>
                <c:pt idx="84">
                  <c:v>#N/A</c:v>
                </c:pt>
                <c:pt idx="85">
                  <c:v>#N/A</c:v>
                </c:pt>
                <c:pt idx="86">
                  <c:v>98.946763485208237</c:v>
                </c:pt>
                <c:pt idx="87">
                  <c:v>#N/A</c:v>
                </c:pt>
                <c:pt idx="88">
                  <c:v>#N/A</c:v>
                </c:pt>
                <c:pt idx="89">
                  <c:v>98.886505261007258</c:v>
                </c:pt>
                <c:pt idx="90">
                  <c:v>#N/A</c:v>
                </c:pt>
                <c:pt idx="91">
                  <c:v>#N/A</c:v>
                </c:pt>
                <c:pt idx="92">
                  <c:v>#N/A</c:v>
                </c:pt>
                <c:pt idx="93">
                  <c:v>#N/A</c:v>
                </c:pt>
                <c:pt idx="94">
                  <c:v>#N/A</c:v>
                </c:pt>
                <c:pt idx="95">
                  <c:v>#N/A</c:v>
                </c:pt>
                <c:pt idx="96">
                  <c:v>#N/A</c:v>
                </c:pt>
                <c:pt idx="97">
                  <c:v>#N/A</c:v>
                </c:pt>
                <c:pt idx="98">
                  <c:v>98.834400481007592</c:v>
                </c:pt>
                <c:pt idx="99">
                  <c:v>98.821792315067825</c:v>
                </c:pt>
                <c:pt idx="100">
                  <c:v>#N/A</c:v>
                </c:pt>
                <c:pt idx="101">
                  <c:v>98.809267602552936</c:v>
                </c:pt>
                <c:pt idx="102">
                  <c:v>#N/A</c:v>
                </c:pt>
                <c:pt idx="103">
                  <c:v>98.783601141312502</c:v>
                </c:pt>
                <c:pt idx="104">
                  <c:v>#N/A</c:v>
                </c:pt>
                <c:pt idx="105">
                  <c:v>#N/A</c:v>
                </c:pt>
                <c:pt idx="106">
                  <c:v>#N/A</c:v>
                </c:pt>
                <c:pt idx="107">
                  <c:v>#N/A</c:v>
                </c:pt>
                <c:pt idx="108">
                  <c:v>#N/A</c:v>
                </c:pt>
                <c:pt idx="109">
                  <c:v>#N/A</c:v>
                </c:pt>
                <c:pt idx="110">
                  <c:v>#N/A</c:v>
                </c:pt>
                <c:pt idx="111">
                  <c:v>#N/A</c:v>
                </c:pt>
                <c:pt idx="112">
                  <c:v>#N/A</c:v>
                </c:pt>
                <c:pt idx="113">
                  <c:v>#N/A</c:v>
                </c:pt>
                <c:pt idx="114">
                  <c:v>98.699086995600553</c:v>
                </c:pt>
                <c:pt idx="115">
                  <c:v>#N/A</c:v>
                </c:pt>
                <c:pt idx="116">
                  <c:v>98.66235795830795</c:v>
                </c:pt>
                <c:pt idx="117">
                  <c:v>#N/A</c:v>
                </c:pt>
                <c:pt idx="118">
                  <c:v>98.655699694028272</c:v>
                </c:pt>
                <c:pt idx="119">
                  <c:v>#N/A</c:v>
                </c:pt>
                <c:pt idx="120">
                  <c:v>98.649067635203963</c:v>
                </c:pt>
                <c:pt idx="121">
                  <c:v>#N/A</c:v>
                </c:pt>
                <c:pt idx="122">
                  <c:v>#N/A</c:v>
                </c:pt>
                <c:pt idx="123">
                  <c:v>#N/A</c:v>
                </c:pt>
                <c:pt idx="124">
                  <c:v>98.619606887621259</c:v>
                </c:pt>
                <c:pt idx="125">
                  <c:v>#N/A</c:v>
                </c:pt>
                <c:pt idx="126">
                  <c:v>#N/A</c:v>
                </c:pt>
                <c:pt idx="127">
                  <c:v>#N/A</c:v>
                </c:pt>
                <c:pt idx="128">
                  <c:v>#N/A</c:v>
                </c:pt>
                <c:pt idx="129">
                  <c:v>#N/A</c:v>
                </c:pt>
                <c:pt idx="130">
                  <c:v>#N/A</c:v>
                </c:pt>
                <c:pt idx="131">
                  <c:v>#N/A</c:v>
                </c:pt>
                <c:pt idx="132">
                  <c:v>98.571027716866027</c:v>
                </c:pt>
                <c:pt idx="133">
                  <c:v>#N/A</c:v>
                </c:pt>
                <c:pt idx="134">
                  <c:v>98.558860010106514</c:v>
                </c:pt>
                <c:pt idx="135">
                  <c:v>98.555182911568096</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98.443459977939241</c:v>
                </c:pt>
                <c:pt idx="150">
                  <c:v>#N/A</c:v>
                </c:pt>
                <c:pt idx="151">
                  <c:v>98.432975440018112</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98.316796391770595</c:v>
                </c:pt>
                <c:pt idx="167">
                  <c:v>#N/A</c:v>
                </c:pt>
                <c:pt idx="168">
                  <c:v>#N/A</c:v>
                </c:pt>
                <c:pt idx="169">
                  <c:v>98.251579785602004</c:v>
                </c:pt>
                <c:pt idx="170">
                  <c:v>#N/A</c:v>
                </c:pt>
                <c:pt idx="171">
                  <c:v>#N/A</c:v>
                </c:pt>
                <c:pt idx="172">
                  <c:v>#N/A</c:v>
                </c:pt>
                <c:pt idx="173">
                  <c:v>#N/A</c:v>
                </c:pt>
                <c:pt idx="174">
                  <c:v>#N/A</c:v>
                </c:pt>
                <c:pt idx="175">
                  <c:v>98.236867347955453</c:v>
                </c:pt>
                <c:pt idx="176">
                  <c:v>#N/A</c:v>
                </c:pt>
                <c:pt idx="177">
                  <c:v>#N/A</c:v>
                </c:pt>
                <c:pt idx="178">
                  <c:v>#N/A</c:v>
                </c:pt>
                <c:pt idx="179">
                  <c:v>#N/A</c:v>
                </c:pt>
                <c:pt idx="180">
                  <c:v>#N/A</c:v>
                </c:pt>
                <c:pt idx="181">
                  <c:v>#N/A</c:v>
                </c:pt>
                <c:pt idx="182">
                  <c:v>#N/A</c:v>
                </c:pt>
                <c:pt idx="183">
                  <c:v>#N/A</c:v>
                </c:pt>
                <c:pt idx="184">
                  <c:v>#N/A</c:v>
                </c:pt>
                <c:pt idx="185">
                  <c:v>98.063970951685931</c:v>
                </c:pt>
                <c:pt idx="186">
                  <c:v>#N/A</c:v>
                </c:pt>
                <c:pt idx="187">
                  <c:v>#N/A</c:v>
                </c:pt>
                <c:pt idx="188">
                  <c:v>98.034085514562264</c:v>
                </c:pt>
                <c:pt idx="189">
                  <c:v>#N/A</c:v>
                </c:pt>
                <c:pt idx="190">
                  <c:v>#N/A</c:v>
                </c:pt>
                <c:pt idx="191">
                  <c:v>#N/A</c:v>
                </c:pt>
                <c:pt idx="192">
                  <c:v>#N/A</c:v>
                </c:pt>
                <c:pt idx="193">
                  <c:v>#N/A</c:v>
                </c:pt>
                <c:pt idx="194">
                  <c:v>97.910368789975237</c:v>
                </c:pt>
                <c:pt idx="195">
                  <c:v>#N/A</c:v>
                </c:pt>
                <c:pt idx="196">
                  <c:v>#N/A</c:v>
                </c:pt>
                <c:pt idx="197">
                  <c:v>#N/A</c:v>
                </c:pt>
                <c:pt idx="198">
                  <c:v>97.832678270634474</c:v>
                </c:pt>
                <c:pt idx="199">
                  <c:v>#N/A</c:v>
                </c:pt>
                <c:pt idx="200">
                  <c:v>#N/A</c:v>
                </c:pt>
                <c:pt idx="201">
                  <c:v>#N/A</c:v>
                </c:pt>
                <c:pt idx="202">
                  <c:v>97.777777777777771</c:v>
                </c:pt>
                <c:pt idx="203">
                  <c:v>#N/A</c:v>
                </c:pt>
                <c:pt idx="204">
                  <c:v>#N/A</c:v>
                </c:pt>
                <c:pt idx="205">
                  <c:v>#N/A</c:v>
                </c:pt>
                <c:pt idx="206">
                  <c:v>#N/A</c:v>
                </c:pt>
                <c:pt idx="207">
                  <c:v>#N/A</c:v>
                </c:pt>
                <c:pt idx="208">
                  <c:v>#N/A</c:v>
                </c:pt>
                <c:pt idx="209">
                  <c:v>97.641624694744038</c:v>
                </c:pt>
                <c:pt idx="210">
                  <c:v>#N/A</c:v>
                </c:pt>
                <c:pt idx="211">
                  <c:v>#N/A</c:v>
                </c:pt>
                <c:pt idx="212">
                  <c:v>#N/A</c:v>
                </c:pt>
                <c:pt idx="213">
                  <c:v>#N/A</c:v>
                </c:pt>
                <c:pt idx="214">
                  <c:v>#N/A</c:v>
                </c:pt>
                <c:pt idx="215">
                  <c:v>#N/A</c:v>
                </c:pt>
                <c:pt idx="216">
                  <c:v>97.451623136301151</c:v>
                </c:pt>
                <c:pt idx="217">
                  <c:v>#N/A</c:v>
                </c:pt>
                <c:pt idx="218">
                  <c:v>#N/A</c:v>
                </c:pt>
                <c:pt idx="219">
                  <c:v>#N/A</c:v>
                </c:pt>
                <c:pt idx="220">
                  <c:v>#N/A</c:v>
                </c:pt>
                <c:pt idx="221">
                  <c:v>97.28555917480999</c:v>
                </c:pt>
                <c:pt idx="222">
                  <c:v>#N/A</c:v>
                </c:pt>
                <c:pt idx="223">
                  <c:v>#N/A</c:v>
                </c:pt>
                <c:pt idx="224">
                  <c:v>#N/A</c:v>
                </c:pt>
                <c:pt idx="225">
                  <c:v>#N/A</c:v>
                </c:pt>
                <c:pt idx="226">
                  <c:v>#N/A</c:v>
                </c:pt>
                <c:pt idx="227">
                  <c:v>#N/A</c:v>
                </c:pt>
                <c:pt idx="228">
                  <c:v>96.808287141033304</c:v>
                </c:pt>
                <c:pt idx="229">
                  <c:v>#N/A</c:v>
                </c:pt>
                <c:pt idx="230">
                  <c:v>96.717971260714862</c:v>
                </c:pt>
                <c:pt idx="231">
                  <c:v>#N/A</c:v>
                </c:pt>
                <c:pt idx="232">
                  <c:v>96.439807915217756</c:v>
                </c:pt>
                <c:pt idx="233">
                  <c:v>#N/A</c:v>
                </c:pt>
                <c:pt idx="234">
                  <c:v>#N/A</c:v>
                </c:pt>
                <c:pt idx="235">
                  <c:v>96.320997988362194</c:v>
                </c:pt>
                <c:pt idx="236">
                  <c:v>#N/A</c:v>
                </c:pt>
                <c:pt idx="237">
                  <c:v>96.182693384081503</c:v>
                </c:pt>
                <c:pt idx="238">
                  <c:v>#N/A</c:v>
                </c:pt>
                <c:pt idx="239">
                  <c:v>#N/A</c:v>
                </c:pt>
                <c:pt idx="240">
                  <c:v>#N/A</c:v>
                </c:pt>
                <c:pt idx="241">
                  <c:v>#N/A</c:v>
                </c:pt>
                <c:pt idx="242">
                  <c:v>#N/A</c:v>
                </c:pt>
                <c:pt idx="243">
                  <c:v>#N/A</c:v>
                </c:pt>
                <c:pt idx="244">
                  <c:v>#N/A</c:v>
                </c:pt>
                <c:pt idx="245">
                  <c:v>93.989341925889207</c:v>
                </c:pt>
                <c:pt idx="246">
                  <c:v>#N/A</c:v>
                </c:pt>
                <c:pt idx="247">
                  <c:v>#N/A</c:v>
                </c:pt>
                <c:pt idx="248">
                  <c:v>#N/A</c:v>
                </c:pt>
                <c:pt idx="249">
                  <c:v>90.087706961197682</c:v>
                </c:pt>
                <c:pt idx="250">
                  <c:v>#N/A</c:v>
                </c:pt>
                <c:pt idx="251">
                  <c:v>87.633885102239532</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numCache>
            </c:numRef>
          </c:val>
          <c:smooth val="0"/>
          <c:extLst>
            <c:ext xmlns:c16="http://schemas.microsoft.com/office/drawing/2014/chart" uri="{C3380CC4-5D6E-409C-BE32-E72D297353CC}">
              <c16:uniqueId val="{00000001-5D5E-48AC-802D-F743DB6FFE3F}"/>
            </c:ext>
          </c:extLst>
        </c:ser>
        <c:dLbls>
          <c:showLegendKey val="0"/>
          <c:showVal val="0"/>
          <c:showCatName val="0"/>
          <c:showSerName val="0"/>
          <c:showPercent val="0"/>
          <c:showBubbleSize val="0"/>
        </c:dLbls>
        <c:marker val="1"/>
        <c:smooth val="0"/>
        <c:axId val="331353472"/>
        <c:axId val="60032128"/>
      </c:lineChart>
      <c:catAx>
        <c:axId val="331353472"/>
        <c:scaling>
          <c:orientation val="minMax"/>
        </c:scaling>
        <c:delete val="1"/>
        <c:axPos val="b"/>
        <c:majorTickMark val="out"/>
        <c:minorTickMark val="none"/>
        <c:tickLblPos val="none"/>
        <c:crossAx val="60032128"/>
        <c:crosses val="autoZero"/>
        <c:auto val="1"/>
        <c:lblAlgn val="ctr"/>
        <c:lblOffset val="100"/>
        <c:noMultiLvlLbl val="0"/>
      </c:catAx>
      <c:valAx>
        <c:axId val="60032128"/>
        <c:scaling>
          <c:orientation val="minMax"/>
        </c:scaling>
        <c:delete val="1"/>
        <c:axPos val="l"/>
        <c:numFmt formatCode="General" sourceLinked="1"/>
        <c:majorTickMark val="out"/>
        <c:minorTickMark val="none"/>
        <c:tickLblPos val="none"/>
        <c:crossAx val="331353472"/>
        <c:crosses val="autoZero"/>
        <c:crossBetween val="midCat"/>
      </c:valAx>
    </c:plotArea>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54075022610523E-3"/>
          <c:y val="5.5555555555555455E-2"/>
          <c:w val="0.9712218438147292"/>
          <c:h val="0.8333333333333337"/>
        </c:manualLayout>
      </c:layout>
      <c:areaChart>
        <c:grouping val="standard"/>
        <c:varyColors val="0"/>
        <c:ser>
          <c:idx val="0"/>
          <c:order val="0"/>
          <c:tx>
            <c:strRef>
              <c:f>calculations!$AB$19</c:f>
              <c:strCache>
                <c:ptCount val="1"/>
                <c:pt idx="0">
                  <c:v>Labour Productivity</c:v>
                </c:pt>
              </c:strCache>
            </c:strRef>
          </c:tx>
          <c:spPr>
            <a:solidFill>
              <a:schemeClr val="bg1">
                <a:lumMod val="75000"/>
              </a:schemeClr>
            </a:solidFill>
          </c:spPr>
          <c:val>
            <c:numRef>
              <c:f>calculations!$AB$20:$AB$379</c:f>
              <c:numCache>
                <c:formatCode>General</c:formatCode>
                <c:ptCount val="360"/>
                <c:pt idx="0">
                  <c:v>103.38461538461539</c:v>
                </c:pt>
                <c:pt idx="1">
                  <c:v>53.76</c:v>
                </c:pt>
                <c:pt idx="2">
                  <c:v>175.93548387096774</c:v>
                </c:pt>
                <c:pt idx="3">
                  <c:v>256.6037735849057</c:v>
                </c:pt>
                <c:pt idx="4">
                  <c:v>307.93846153846152</c:v>
                </c:pt>
                <c:pt idx="5">
                  <c:v>259.43478260869563</c:v>
                </c:pt>
                <c:pt idx="6">
                  <c:v>218.59444444444443</c:v>
                </c:pt>
                <c:pt idx="7">
                  <c:v>253.5</c:v>
                </c:pt>
                <c:pt idx="8">
                  <c:v>24.625714285714285</c:v>
                </c:pt>
                <c:pt idx="9">
                  <c:v>296.88018433179724</c:v>
                </c:pt>
                <c:pt idx="10">
                  <c:v>297.41013071895424</c:v>
                </c:pt>
                <c:pt idx="11">
                  <c:v>306.92666666666668</c:v>
                </c:pt>
                <c:pt idx="12">
                  <c:v>207.62841530054644</c:v>
                </c:pt>
                <c:pt idx="13">
                  <c:v>262.80195381882771</c:v>
                </c:pt>
                <c:pt idx="14">
                  <c:v>296.27777777777777</c:v>
                </c:pt>
                <c:pt idx="15">
                  <c:v>278.08843537414964</c:v>
                </c:pt>
                <c:pt idx="16">
                  <c:v>305.05612244897958</c:v>
                </c:pt>
                <c:pt idx="17">
                  <c:v>271.92224622030238</c:v>
                </c:pt>
                <c:pt idx="18">
                  <c:v>243.63733333333332</c:v>
                </c:pt>
                <c:pt idx="19">
                  <c:v>300.08810572687224</c:v>
                </c:pt>
                <c:pt idx="20">
                  <c:v>287.78313253012044</c:v>
                </c:pt>
                <c:pt idx="21">
                  <c:v>236.36904761904762</c:v>
                </c:pt>
                <c:pt idx="22">
                  <c:v>290.45833333333331</c:v>
                </c:pt>
                <c:pt idx="23">
                  <c:v>315.92666666666668</c:v>
                </c:pt>
                <c:pt idx="24">
                  <c:v>277.44600431965443</c:v>
                </c:pt>
                <c:pt idx="25">
                  <c:v>238.3641975308642</c:v>
                </c:pt>
                <c:pt idx="26">
                  <c:v>240.54225352112675</c:v>
                </c:pt>
                <c:pt idx="27">
                  <c:v>282.72798742138366</c:v>
                </c:pt>
                <c:pt idx="28">
                  <c:v>230.10224719101123</c:v>
                </c:pt>
                <c:pt idx="29">
                  <c:v>337.06136638452239</c:v>
                </c:pt>
                <c:pt idx="30">
                  <c:v>207.80245535714286</c:v>
                </c:pt>
                <c:pt idx="31">
                  <c:v>247.32624113475177</c:v>
                </c:pt>
                <c:pt idx="32">
                  <c:v>250.15776699029124</c:v>
                </c:pt>
                <c:pt idx="33">
                  <c:v>252.08628841607563</c:v>
                </c:pt>
                <c:pt idx="34">
                  <c:v>347.63537414965981</c:v>
                </c:pt>
                <c:pt idx="35">
                  <c:v>340.90200729927005</c:v>
                </c:pt>
                <c:pt idx="36">
                  <c:v>288.34632587859426</c:v>
                </c:pt>
                <c:pt idx="37">
                  <c:v>355.88888888888891</c:v>
                </c:pt>
                <c:pt idx="38">
                  <c:v>205.07522123893804</c:v>
                </c:pt>
                <c:pt idx="39">
                  <c:v>353.57462686567163</c:v>
                </c:pt>
                <c:pt idx="40">
                  <c:v>264.66744680851065</c:v>
                </c:pt>
                <c:pt idx="41">
                  <c:v>348.2734375</c:v>
                </c:pt>
                <c:pt idx="42">
                  <c:v>225.54065934065935</c:v>
                </c:pt>
                <c:pt idx="43">
                  <c:v>288.48630136986299</c:v>
                </c:pt>
                <c:pt idx="44">
                  <c:v>251.09196787148591</c:v>
                </c:pt>
                <c:pt idx="45">
                  <c:v>350.68438661710042</c:v>
                </c:pt>
                <c:pt idx="46">
                  <c:v>178.74539473684212</c:v>
                </c:pt>
                <c:pt idx="47">
                  <c:v>315.52157894736843</c:v>
                </c:pt>
                <c:pt idx="48">
                  <c:v>215.73750000000001</c:v>
                </c:pt>
                <c:pt idx="49">
                  <c:v>261.61361702127658</c:v>
                </c:pt>
                <c:pt idx="50">
                  <c:v>346.28074534161487</c:v>
                </c:pt>
                <c:pt idx="51">
                  <c:v>328.36764705882354</c:v>
                </c:pt>
                <c:pt idx="52">
                  <c:v>335.03224358974359</c:v>
                </c:pt>
                <c:pt idx="53">
                  <c:v>266.21621621621614</c:v>
                </c:pt>
                <c:pt idx="54">
                  <c:v>290.8170731707317</c:v>
                </c:pt>
                <c:pt idx="55">
                  <c:v>327.07748226950355</c:v>
                </c:pt>
                <c:pt idx="56">
                  <c:v>295.04863813229571</c:v>
                </c:pt>
                <c:pt idx="57">
                  <c:v>245.82033333333331</c:v>
                </c:pt>
                <c:pt idx="58">
                  <c:v>318.45987787356324</c:v>
                </c:pt>
                <c:pt idx="59">
                  <c:v>242.74091903719915</c:v>
                </c:pt>
                <c:pt idx="60">
                  <c:v>289.76744186046511</c:v>
                </c:pt>
                <c:pt idx="61">
                  <c:v>226.43360655737706</c:v>
                </c:pt>
                <c:pt idx="62">
                  <c:v>334.9046483909417</c:v>
                </c:pt>
                <c:pt idx="63">
                  <c:v>267.62962962962962</c:v>
                </c:pt>
                <c:pt idx="64">
                  <c:v>364.63421391752581</c:v>
                </c:pt>
                <c:pt idx="65">
                  <c:v>350.02267857142857</c:v>
                </c:pt>
                <c:pt idx="66">
                  <c:v>245.26708074534162</c:v>
                </c:pt>
                <c:pt idx="67">
                  <c:v>313.25913242009136</c:v>
                </c:pt>
                <c:pt idx="68">
                  <c:v>245.1845238095238</c:v>
                </c:pt>
                <c:pt idx="69">
                  <c:v>348.74369747899158</c:v>
                </c:pt>
                <c:pt idx="70">
                  <c:v>344.8031007751938</c:v>
                </c:pt>
                <c:pt idx="71">
                  <c:v>321.24862788144895</c:v>
                </c:pt>
                <c:pt idx="72">
                  <c:v>343.76516853932583</c:v>
                </c:pt>
                <c:pt idx="73">
                  <c:v>280.54794520547944</c:v>
                </c:pt>
                <c:pt idx="74">
                  <c:v>355.31498297389334</c:v>
                </c:pt>
                <c:pt idx="75">
                  <c:v>341.6817691477886</c:v>
                </c:pt>
                <c:pt idx="76">
                  <c:v>242.601978021978</c:v>
                </c:pt>
                <c:pt idx="77">
                  <c:v>213.80183486238533</c:v>
                </c:pt>
                <c:pt idx="78">
                  <c:v>248.50975160993559</c:v>
                </c:pt>
                <c:pt idx="79">
                  <c:v>336.39140708915141</c:v>
                </c:pt>
                <c:pt idx="80">
                  <c:v>329.19491525423729</c:v>
                </c:pt>
                <c:pt idx="81">
                  <c:v>310.59749999999997</c:v>
                </c:pt>
                <c:pt idx="82">
                  <c:v>242.36418604651163</c:v>
                </c:pt>
                <c:pt idx="83">
                  <c:v>317.73076923076923</c:v>
                </c:pt>
                <c:pt idx="84">
                  <c:v>348.97385057471263</c:v>
                </c:pt>
                <c:pt idx="85">
                  <c:v>324.97677419354841</c:v>
                </c:pt>
                <c:pt idx="86">
                  <c:v>264.49085714285712</c:v>
                </c:pt>
                <c:pt idx="87">
                  <c:v>208.75630252100839</c:v>
                </c:pt>
                <c:pt idx="88">
                  <c:v>214.07142857142858</c:v>
                </c:pt>
                <c:pt idx="89">
                  <c:v>266.00543478260869</c:v>
                </c:pt>
                <c:pt idx="90">
                  <c:v>301.72500000000002</c:v>
                </c:pt>
                <c:pt idx="91">
                  <c:v>228.22093023255815</c:v>
                </c:pt>
                <c:pt idx="92">
                  <c:v>325.58049645390071</c:v>
                </c:pt>
                <c:pt idx="93">
                  <c:v>351.30344000000002</c:v>
                </c:pt>
                <c:pt idx="94">
                  <c:v>249.29315476190482</c:v>
                </c:pt>
                <c:pt idx="95">
                  <c:v>217.83870967741936</c:v>
                </c:pt>
                <c:pt idx="96">
                  <c:v>284.72097902097903</c:v>
                </c:pt>
                <c:pt idx="97">
                  <c:v>329.79940476190478</c:v>
                </c:pt>
                <c:pt idx="98">
                  <c:v>237.0025</c:v>
                </c:pt>
                <c:pt idx="99">
                  <c:v>203.90011834319529</c:v>
                </c:pt>
                <c:pt idx="100">
                  <c:v>339.23782771535582</c:v>
                </c:pt>
                <c:pt idx="101">
                  <c:v>239.52591549295775</c:v>
                </c:pt>
                <c:pt idx="102">
                  <c:v>300.97522779043283</c:v>
                </c:pt>
                <c:pt idx="103">
                  <c:v>214.80645161290323</c:v>
                </c:pt>
                <c:pt idx="104">
                  <c:v>247.9558282208589</c:v>
                </c:pt>
                <c:pt idx="105">
                  <c:v>336.07889705882354</c:v>
                </c:pt>
                <c:pt idx="106">
                  <c:v>324.40882986360378</c:v>
                </c:pt>
                <c:pt idx="107">
                  <c:v>302.71951364175561</c:v>
                </c:pt>
                <c:pt idx="108">
                  <c:v>287.43284789644008</c:v>
                </c:pt>
                <c:pt idx="109">
                  <c:v>302.03485294117644</c:v>
                </c:pt>
                <c:pt idx="110">
                  <c:v>260.25896414342628</c:v>
                </c:pt>
                <c:pt idx="111">
                  <c:v>318.63322884012541</c:v>
                </c:pt>
                <c:pt idx="112">
                  <c:v>307.45749999999998</c:v>
                </c:pt>
                <c:pt idx="113">
                  <c:v>353.61557971014491</c:v>
                </c:pt>
                <c:pt idx="114">
                  <c:v>133.50947368421052</c:v>
                </c:pt>
                <c:pt idx="115">
                  <c:v>360.36182156133827</c:v>
                </c:pt>
                <c:pt idx="116">
                  <c:v>221.20898437499997</c:v>
                </c:pt>
                <c:pt idx="117">
                  <c:v>318.09519999999998</c:v>
                </c:pt>
                <c:pt idx="118">
                  <c:v>234.05550276243096</c:v>
                </c:pt>
                <c:pt idx="119">
                  <c:v>320.1737588652482</c:v>
                </c:pt>
                <c:pt idx="120">
                  <c:v>252.60979020979019</c:v>
                </c:pt>
                <c:pt idx="121">
                  <c:v>211.67352941176469</c:v>
                </c:pt>
                <c:pt idx="122">
                  <c:v>354.45314465408808</c:v>
                </c:pt>
                <c:pt idx="123">
                  <c:v>223.16892857142855</c:v>
                </c:pt>
                <c:pt idx="124">
                  <c:v>242.33952380952383</c:v>
                </c:pt>
                <c:pt idx="125">
                  <c:v>162.90781250000001</c:v>
                </c:pt>
                <c:pt idx="126">
                  <c:v>357.92473118279571</c:v>
                </c:pt>
                <c:pt idx="127">
                  <c:v>346.39047619047619</c:v>
                </c:pt>
                <c:pt idx="128">
                  <c:v>167.10964912280701</c:v>
                </c:pt>
                <c:pt idx="129">
                  <c:v>302.32971698113209</c:v>
                </c:pt>
                <c:pt idx="130">
                  <c:v>344.77266811279827</c:v>
                </c:pt>
                <c:pt idx="131">
                  <c:v>215.39440993788821</c:v>
                </c:pt>
                <c:pt idx="132">
                  <c:v>258.15926829268295</c:v>
                </c:pt>
                <c:pt idx="133">
                  <c:v>301.63993150684934</c:v>
                </c:pt>
                <c:pt idx="134">
                  <c:v>264.63254901960784</c:v>
                </c:pt>
                <c:pt idx="135">
                  <c:v>234.40106666666668</c:v>
                </c:pt>
                <c:pt idx="136">
                  <c:v>328.43089887640446</c:v>
                </c:pt>
                <c:pt idx="137">
                  <c:v>343.61740740740737</c:v>
                </c:pt>
                <c:pt idx="138">
                  <c:v>328.34028629856846</c:v>
                </c:pt>
                <c:pt idx="139">
                  <c:v>333.06164021164022</c:v>
                </c:pt>
                <c:pt idx="140">
                  <c:v>333.90750323415267</c:v>
                </c:pt>
                <c:pt idx="141">
                  <c:v>320.63171728971963</c:v>
                </c:pt>
                <c:pt idx="142">
                  <c:v>169.76169491525425</c:v>
                </c:pt>
                <c:pt idx="143">
                  <c:v>340.95102739726025</c:v>
                </c:pt>
                <c:pt idx="144">
                  <c:v>353.07692307692309</c:v>
                </c:pt>
                <c:pt idx="145">
                  <c:v>343.25664335664334</c:v>
                </c:pt>
                <c:pt idx="146">
                  <c:v>334.22073170731704</c:v>
                </c:pt>
                <c:pt idx="147">
                  <c:v>317.28804347826082</c:v>
                </c:pt>
                <c:pt idx="148">
                  <c:v>332.87259740259736</c:v>
                </c:pt>
                <c:pt idx="149">
                  <c:v>256.41168141592919</c:v>
                </c:pt>
                <c:pt idx="150">
                  <c:v>348.94565217391306</c:v>
                </c:pt>
                <c:pt idx="151">
                  <c:v>263.8899371069183</c:v>
                </c:pt>
                <c:pt idx="152">
                  <c:v>315.40468926553672</c:v>
                </c:pt>
                <c:pt idx="153">
                  <c:v>254.69619047619045</c:v>
                </c:pt>
                <c:pt idx="154">
                  <c:v>206.52649006622519</c:v>
                </c:pt>
                <c:pt idx="155">
                  <c:v>315.91232044198892</c:v>
                </c:pt>
                <c:pt idx="156">
                  <c:v>192.01449275362319</c:v>
                </c:pt>
                <c:pt idx="157">
                  <c:v>296.83175257731961</c:v>
                </c:pt>
                <c:pt idx="158">
                  <c:v>207.95785714285714</c:v>
                </c:pt>
                <c:pt idx="159">
                  <c:v>159.95500000000001</c:v>
                </c:pt>
                <c:pt idx="160">
                  <c:v>304.86846153846153</c:v>
                </c:pt>
                <c:pt idx="161">
                  <c:v>325.35243055555554</c:v>
                </c:pt>
                <c:pt idx="162">
                  <c:v>342.94797687861274</c:v>
                </c:pt>
                <c:pt idx="163">
                  <c:v>225.99794117647059</c:v>
                </c:pt>
                <c:pt idx="164">
                  <c:v>308.2998426023085</c:v>
                </c:pt>
                <c:pt idx="165">
                  <c:v>315.14289446186001</c:v>
                </c:pt>
                <c:pt idx="166">
                  <c:v>205.37846889952155</c:v>
                </c:pt>
                <c:pt idx="167">
                  <c:v>353.22867132867128</c:v>
                </c:pt>
                <c:pt idx="168">
                  <c:v>338.07291666666663</c:v>
                </c:pt>
                <c:pt idx="169">
                  <c:v>252.46671641791045</c:v>
                </c:pt>
                <c:pt idx="170">
                  <c:v>136.86619718309859</c:v>
                </c:pt>
                <c:pt idx="171">
                  <c:v>344.71081081081087</c:v>
                </c:pt>
                <c:pt idx="172">
                  <c:v>281.45474898236097</c:v>
                </c:pt>
                <c:pt idx="173">
                  <c:v>326.25798816568044</c:v>
                </c:pt>
                <c:pt idx="174">
                  <c:v>342.78361581920905</c:v>
                </c:pt>
                <c:pt idx="175">
                  <c:v>253.40247524752473</c:v>
                </c:pt>
                <c:pt idx="176">
                  <c:v>335.00947521865896</c:v>
                </c:pt>
                <c:pt idx="177">
                  <c:v>292.31129032258065</c:v>
                </c:pt>
                <c:pt idx="178">
                  <c:v>288.5893277310924</c:v>
                </c:pt>
                <c:pt idx="179">
                  <c:v>325.78323678493848</c:v>
                </c:pt>
                <c:pt idx="180">
                  <c:v>296.41437861271675</c:v>
                </c:pt>
                <c:pt idx="181">
                  <c:v>241.20661157024793</c:v>
                </c:pt>
                <c:pt idx="182">
                  <c:v>322.32487352445196</c:v>
                </c:pt>
                <c:pt idx="183">
                  <c:v>286.4998245614035</c:v>
                </c:pt>
                <c:pt idx="184">
                  <c:v>32.857316810344827</c:v>
                </c:pt>
                <c:pt idx="185">
                  <c:v>233.13727891156464</c:v>
                </c:pt>
                <c:pt idx="186">
                  <c:v>298.94071428571425</c:v>
                </c:pt>
                <c:pt idx="187">
                  <c:v>272.95758483033933</c:v>
                </c:pt>
                <c:pt idx="188">
                  <c:v>214.33242718446604</c:v>
                </c:pt>
                <c:pt idx="189">
                  <c:v>351.67755385684501</c:v>
                </c:pt>
                <c:pt idx="190">
                  <c:v>187.38401360544216</c:v>
                </c:pt>
                <c:pt idx="191">
                  <c:v>316.95070422535213</c:v>
                </c:pt>
                <c:pt idx="192">
                  <c:v>303.08120481927705</c:v>
                </c:pt>
                <c:pt idx="193">
                  <c:v>262.11857142857144</c:v>
                </c:pt>
                <c:pt idx="194">
                  <c:v>217.06658415841585</c:v>
                </c:pt>
                <c:pt idx="195">
                  <c:v>176.00133333333335</c:v>
                </c:pt>
                <c:pt idx="196">
                  <c:v>133.31521739130434</c:v>
                </c:pt>
                <c:pt idx="197">
                  <c:v>260.86008522727275</c:v>
                </c:pt>
                <c:pt idx="198">
                  <c:v>218.25980392156865</c:v>
                </c:pt>
                <c:pt idx="199">
                  <c:v>340.78491620111731</c:v>
                </c:pt>
                <c:pt idx="200">
                  <c:v>241.85848484848484</c:v>
                </c:pt>
                <c:pt idx="201">
                  <c:v>237.17857142857142</c:v>
                </c:pt>
                <c:pt idx="202">
                  <c:v>231.42857142857142</c:v>
                </c:pt>
                <c:pt idx="203">
                  <c:v>321.79739978331531</c:v>
                </c:pt>
                <c:pt idx="204">
                  <c:v>284.99729729729722</c:v>
                </c:pt>
                <c:pt idx="205">
                  <c:v>322.69537313432835</c:v>
                </c:pt>
                <c:pt idx="206">
                  <c:v>189.15576923076924</c:v>
                </c:pt>
                <c:pt idx="207">
                  <c:v>296.92824074074076</c:v>
                </c:pt>
                <c:pt idx="208">
                  <c:v>253.97747252747254</c:v>
                </c:pt>
                <c:pt idx="209">
                  <c:v>258.71762452107282</c:v>
                </c:pt>
                <c:pt idx="210">
                  <c:v>230.36973684210531</c:v>
                </c:pt>
                <c:pt idx="211">
                  <c:v>287.81711409395973</c:v>
                </c:pt>
                <c:pt idx="212">
                  <c:v>207.9120754716981</c:v>
                </c:pt>
                <c:pt idx="213">
                  <c:v>227.90526315789475</c:v>
                </c:pt>
                <c:pt idx="214">
                  <c:v>248.63207547169813</c:v>
                </c:pt>
                <c:pt idx="215">
                  <c:v>299.40138461538464</c:v>
                </c:pt>
                <c:pt idx="216">
                  <c:v>225.16666666666666</c:v>
                </c:pt>
                <c:pt idx="217">
                  <c:v>296.83330781010721</c:v>
                </c:pt>
                <c:pt idx="218">
                  <c:v>165.22677165354332</c:v>
                </c:pt>
                <c:pt idx="219">
                  <c:v>332.56692913385825</c:v>
                </c:pt>
                <c:pt idx="220">
                  <c:v>349.18236842105262</c:v>
                </c:pt>
                <c:pt idx="221">
                  <c:v>216.46433121019109</c:v>
                </c:pt>
                <c:pt idx="222">
                  <c:v>203.74181818181816</c:v>
                </c:pt>
                <c:pt idx="223">
                  <c:v>332.07536912751686</c:v>
                </c:pt>
                <c:pt idx="224">
                  <c:v>342.90471698113208</c:v>
                </c:pt>
                <c:pt idx="225">
                  <c:v>355.2319819819819</c:v>
                </c:pt>
                <c:pt idx="226">
                  <c:v>186.06380208333331</c:v>
                </c:pt>
                <c:pt idx="227">
                  <c:v>311.36715526601523</c:v>
                </c:pt>
                <c:pt idx="228">
                  <c:v>244.2592105263158</c:v>
                </c:pt>
                <c:pt idx="229">
                  <c:v>214.67186346863468</c:v>
                </c:pt>
                <c:pt idx="230">
                  <c:v>148.97433628318583</c:v>
                </c:pt>
                <c:pt idx="231">
                  <c:v>276.75365205843286</c:v>
                </c:pt>
                <c:pt idx="232">
                  <c:v>113.23125</c:v>
                </c:pt>
                <c:pt idx="233">
                  <c:v>311.05217391304342</c:v>
                </c:pt>
                <c:pt idx="234">
                  <c:v>266.18970588235294</c:v>
                </c:pt>
                <c:pt idx="235">
                  <c:v>148.13800000000001</c:v>
                </c:pt>
                <c:pt idx="236">
                  <c:v>266.66341019417479</c:v>
                </c:pt>
                <c:pt idx="237">
                  <c:v>223.32499999999999</c:v>
                </c:pt>
                <c:pt idx="238">
                  <c:v>299.1421951219512</c:v>
                </c:pt>
                <c:pt idx="239">
                  <c:v>118.6588709677419</c:v>
                </c:pt>
                <c:pt idx="240">
                  <c:v>202.70942857142856</c:v>
                </c:pt>
                <c:pt idx="241">
                  <c:v>273.39393939393938</c:v>
                </c:pt>
                <c:pt idx="242">
                  <c:v>204.07472527472527</c:v>
                </c:pt>
                <c:pt idx="243">
                  <c:v>225.215</c:v>
                </c:pt>
                <c:pt idx="244">
                  <c:v>299.91379310344826</c:v>
                </c:pt>
                <c:pt idx="245">
                  <c:v>112.06944444444444</c:v>
                </c:pt>
                <c:pt idx="246">
                  <c:v>160.83166666666668</c:v>
                </c:pt>
                <c:pt idx="247">
                  <c:v>115.42685185185185</c:v>
                </c:pt>
                <c:pt idx="248">
                  <c:v>123.36666666666666</c:v>
                </c:pt>
                <c:pt idx="249">
                  <c:v>173.15077720207253</c:v>
                </c:pt>
                <c:pt idx="250">
                  <c:v>66.514285714285705</c:v>
                </c:pt>
                <c:pt idx="251">
                  <c:v>114.11111111111111</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numCache>
            </c:numRef>
          </c:val>
          <c:extLst>
            <c:ext xmlns:c16="http://schemas.microsoft.com/office/drawing/2014/chart" uri="{C3380CC4-5D6E-409C-BE32-E72D297353CC}">
              <c16:uniqueId val="{00000000-E409-4FD2-BF46-7C994B2D8F8C}"/>
            </c:ext>
          </c:extLst>
        </c:ser>
        <c:dLbls>
          <c:showLegendKey val="0"/>
          <c:showVal val="0"/>
          <c:showCatName val="0"/>
          <c:showSerName val="0"/>
          <c:showPercent val="0"/>
          <c:showBubbleSize val="0"/>
        </c:dLbls>
        <c:axId val="60065664"/>
        <c:axId val="60067200"/>
      </c:areaChart>
      <c:lineChart>
        <c:grouping val="standard"/>
        <c:varyColors val="0"/>
        <c:ser>
          <c:idx val="1"/>
          <c:order val="1"/>
          <c:tx>
            <c:strRef>
              <c:f>calculations!$BH$19</c:f>
              <c:strCache>
                <c:ptCount val="1"/>
                <c:pt idx="0">
                  <c:v>Labour Productivity</c:v>
                </c:pt>
              </c:strCache>
            </c:strRef>
          </c:tx>
          <c:spPr>
            <a:ln>
              <a:noFill/>
            </a:ln>
          </c:spPr>
          <c:marker>
            <c:symbol val="none"/>
          </c:marker>
          <c:errBars>
            <c:errDir val="y"/>
            <c:errBarType val="minus"/>
            <c:errValType val="percentage"/>
            <c:noEndCap val="1"/>
            <c:val val="100"/>
            <c:spPr>
              <a:ln w="3175">
                <a:solidFill>
                  <a:srgbClr val="C00000"/>
                </a:solidFill>
              </a:ln>
            </c:spPr>
          </c:errBars>
          <c:val>
            <c:numRef>
              <c:f>calculations!$BH$20:$BH$379</c:f>
              <c:numCache>
                <c:formatCode>General</c:formatCode>
                <c:ptCount val="3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287.78313253012044</c:v>
                </c:pt>
                <c:pt idx="21">
                  <c:v>#N/A</c:v>
                </c:pt>
                <c:pt idx="22">
                  <c:v>290.45833333333331</c:v>
                </c:pt>
                <c:pt idx="23">
                  <c:v>315.92666666666668</c:v>
                </c:pt>
                <c:pt idx="24">
                  <c:v>#N/A</c:v>
                </c:pt>
                <c:pt idx="25">
                  <c:v>#N/A</c:v>
                </c:pt>
                <c:pt idx="26">
                  <c:v>#N/A</c:v>
                </c:pt>
                <c:pt idx="27">
                  <c:v>#N/A</c:v>
                </c:pt>
                <c:pt idx="28">
                  <c:v>#N/A</c:v>
                </c:pt>
                <c:pt idx="29">
                  <c:v>#N/A</c:v>
                </c:pt>
                <c:pt idx="30">
                  <c:v>207.80245535714286</c:v>
                </c:pt>
                <c:pt idx="31">
                  <c:v>#N/A</c:v>
                </c:pt>
                <c:pt idx="32">
                  <c:v>#N/A</c:v>
                </c:pt>
                <c:pt idx="33">
                  <c:v>252.08628841607563</c:v>
                </c:pt>
                <c:pt idx="34">
                  <c:v>#N/A</c:v>
                </c:pt>
                <c:pt idx="35">
                  <c:v>#N/A</c:v>
                </c:pt>
                <c:pt idx="36">
                  <c:v>288.34632587859426</c:v>
                </c:pt>
                <c:pt idx="37">
                  <c:v>#N/A</c:v>
                </c:pt>
                <c:pt idx="38">
                  <c:v>#N/A</c:v>
                </c:pt>
                <c:pt idx="39">
                  <c:v>#N/A</c:v>
                </c:pt>
                <c:pt idx="40">
                  <c:v>264.66744680851065</c:v>
                </c:pt>
                <c:pt idx="41">
                  <c:v>#N/A</c:v>
                </c:pt>
                <c:pt idx="42">
                  <c:v>#N/A</c:v>
                </c:pt>
                <c:pt idx="43">
                  <c:v>288.48630136986299</c:v>
                </c:pt>
                <c:pt idx="44">
                  <c:v>251.09196787148591</c:v>
                </c:pt>
                <c:pt idx="45">
                  <c:v>#N/A</c:v>
                </c:pt>
                <c:pt idx="46">
                  <c:v>#N/A</c:v>
                </c:pt>
                <c:pt idx="47">
                  <c:v>#N/A</c:v>
                </c:pt>
                <c:pt idx="48">
                  <c:v>#N/A</c:v>
                </c:pt>
                <c:pt idx="49">
                  <c:v>261.61361702127658</c:v>
                </c:pt>
                <c:pt idx="50">
                  <c:v>#N/A</c:v>
                </c:pt>
                <c:pt idx="51">
                  <c:v>#N/A</c:v>
                </c:pt>
                <c:pt idx="52">
                  <c:v>#N/A</c:v>
                </c:pt>
                <c:pt idx="53">
                  <c:v>#N/A</c:v>
                </c:pt>
                <c:pt idx="54">
                  <c:v>#N/A</c:v>
                </c:pt>
                <c:pt idx="55">
                  <c:v>#N/A</c:v>
                </c:pt>
                <c:pt idx="56">
                  <c:v>#N/A</c:v>
                </c:pt>
                <c:pt idx="57">
                  <c:v>245.82033333333331</c:v>
                </c:pt>
                <c:pt idx="58">
                  <c:v>#N/A</c:v>
                </c:pt>
                <c:pt idx="59">
                  <c:v>242.74091903719915</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242.601978021978</c:v>
                </c:pt>
                <c:pt idx="77">
                  <c:v>#N/A</c:v>
                </c:pt>
                <c:pt idx="78">
                  <c:v>248.50975160993559</c:v>
                </c:pt>
                <c:pt idx="79">
                  <c:v>#N/A</c:v>
                </c:pt>
                <c:pt idx="80">
                  <c:v>#N/A</c:v>
                </c:pt>
                <c:pt idx="81">
                  <c:v>#N/A</c:v>
                </c:pt>
                <c:pt idx="82">
                  <c:v>#N/A</c:v>
                </c:pt>
                <c:pt idx="83">
                  <c:v>#N/A</c:v>
                </c:pt>
                <c:pt idx="84">
                  <c:v>#N/A</c:v>
                </c:pt>
                <c:pt idx="85">
                  <c:v>#N/A</c:v>
                </c:pt>
                <c:pt idx="86">
                  <c:v>264.49085714285712</c:v>
                </c:pt>
                <c:pt idx="87">
                  <c:v>#N/A</c:v>
                </c:pt>
                <c:pt idx="88">
                  <c:v>#N/A</c:v>
                </c:pt>
                <c:pt idx="89">
                  <c:v>266.00543478260869</c:v>
                </c:pt>
                <c:pt idx="90">
                  <c:v>#N/A</c:v>
                </c:pt>
                <c:pt idx="91">
                  <c:v>#N/A</c:v>
                </c:pt>
                <c:pt idx="92">
                  <c:v>#N/A</c:v>
                </c:pt>
                <c:pt idx="93">
                  <c:v>#N/A</c:v>
                </c:pt>
                <c:pt idx="94">
                  <c:v>#N/A</c:v>
                </c:pt>
                <c:pt idx="95">
                  <c:v>#N/A</c:v>
                </c:pt>
                <c:pt idx="96">
                  <c:v>#N/A</c:v>
                </c:pt>
                <c:pt idx="97">
                  <c:v>#N/A</c:v>
                </c:pt>
                <c:pt idx="98">
                  <c:v>237.0025</c:v>
                </c:pt>
                <c:pt idx="99">
                  <c:v>203.90011834319529</c:v>
                </c:pt>
                <c:pt idx="100">
                  <c:v>#N/A</c:v>
                </c:pt>
                <c:pt idx="101">
                  <c:v>239.52591549295775</c:v>
                </c:pt>
                <c:pt idx="102">
                  <c:v>#N/A</c:v>
                </c:pt>
                <c:pt idx="103">
                  <c:v>214.80645161290323</c:v>
                </c:pt>
                <c:pt idx="104">
                  <c:v>#N/A</c:v>
                </c:pt>
                <c:pt idx="105">
                  <c:v>#N/A</c:v>
                </c:pt>
                <c:pt idx="106">
                  <c:v>#N/A</c:v>
                </c:pt>
                <c:pt idx="107">
                  <c:v>#N/A</c:v>
                </c:pt>
                <c:pt idx="108">
                  <c:v>#N/A</c:v>
                </c:pt>
                <c:pt idx="109">
                  <c:v>#N/A</c:v>
                </c:pt>
                <c:pt idx="110">
                  <c:v>#N/A</c:v>
                </c:pt>
                <c:pt idx="111">
                  <c:v>#N/A</c:v>
                </c:pt>
                <c:pt idx="112">
                  <c:v>#N/A</c:v>
                </c:pt>
                <c:pt idx="113">
                  <c:v>#N/A</c:v>
                </c:pt>
                <c:pt idx="114">
                  <c:v>133.50947368421052</c:v>
                </c:pt>
                <c:pt idx="115">
                  <c:v>#N/A</c:v>
                </c:pt>
                <c:pt idx="116">
                  <c:v>221.20898437499997</c:v>
                </c:pt>
                <c:pt idx="117">
                  <c:v>#N/A</c:v>
                </c:pt>
                <c:pt idx="118">
                  <c:v>234.05550276243096</c:v>
                </c:pt>
                <c:pt idx="119">
                  <c:v>#N/A</c:v>
                </c:pt>
                <c:pt idx="120">
                  <c:v>252.60979020979019</c:v>
                </c:pt>
                <c:pt idx="121">
                  <c:v>#N/A</c:v>
                </c:pt>
                <c:pt idx="122">
                  <c:v>#N/A</c:v>
                </c:pt>
                <c:pt idx="123">
                  <c:v>#N/A</c:v>
                </c:pt>
                <c:pt idx="124">
                  <c:v>242.33952380952383</c:v>
                </c:pt>
                <c:pt idx="125">
                  <c:v>#N/A</c:v>
                </c:pt>
                <c:pt idx="126">
                  <c:v>#N/A</c:v>
                </c:pt>
                <c:pt idx="127">
                  <c:v>#N/A</c:v>
                </c:pt>
                <c:pt idx="128">
                  <c:v>#N/A</c:v>
                </c:pt>
                <c:pt idx="129">
                  <c:v>#N/A</c:v>
                </c:pt>
                <c:pt idx="130">
                  <c:v>#N/A</c:v>
                </c:pt>
                <c:pt idx="131">
                  <c:v>#N/A</c:v>
                </c:pt>
                <c:pt idx="132">
                  <c:v>258.15926829268295</c:v>
                </c:pt>
                <c:pt idx="133">
                  <c:v>#N/A</c:v>
                </c:pt>
                <c:pt idx="134">
                  <c:v>264.63254901960784</c:v>
                </c:pt>
                <c:pt idx="135">
                  <c:v>234.40106666666668</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256.41168141592919</c:v>
                </c:pt>
                <c:pt idx="150">
                  <c:v>#N/A</c:v>
                </c:pt>
                <c:pt idx="151">
                  <c:v>263.8899371069183</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205.37846889952155</c:v>
                </c:pt>
                <c:pt idx="167">
                  <c:v>#N/A</c:v>
                </c:pt>
                <c:pt idx="168">
                  <c:v>#N/A</c:v>
                </c:pt>
                <c:pt idx="169">
                  <c:v>252.46671641791045</c:v>
                </c:pt>
                <c:pt idx="170">
                  <c:v>#N/A</c:v>
                </c:pt>
                <c:pt idx="171">
                  <c:v>#N/A</c:v>
                </c:pt>
                <c:pt idx="172">
                  <c:v>#N/A</c:v>
                </c:pt>
                <c:pt idx="173">
                  <c:v>#N/A</c:v>
                </c:pt>
                <c:pt idx="174">
                  <c:v>#N/A</c:v>
                </c:pt>
                <c:pt idx="175">
                  <c:v>253.40247524752473</c:v>
                </c:pt>
                <c:pt idx="176">
                  <c:v>#N/A</c:v>
                </c:pt>
                <c:pt idx="177">
                  <c:v>#N/A</c:v>
                </c:pt>
                <c:pt idx="178">
                  <c:v>#N/A</c:v>
                </c:pt>
                <c:pt idx="179">
                  <c:v>#N/A</c:v>
                </c:pt>
                <c:pt idx="180">
                  <c:v>#N/A</c:v>
                </c:pt>
                <c:pt idx="181">
                  <c:v>#N/A</c:v>
                </c:pt>
                <c:pt idx="182">
                  <c:v>#N/A</c:v>
                </c:pt>
                <c:pt idx="183">
                  <c:v>#N/A</c:v>
                </c:pt>
                <c:pt idx="184">
                  <c:v>#N/A</c:v>
                </c:pt>
                <c:pt idx="185">
                  <c:v>233.13727891156464</c:v>
                </c:pt>
                <c:pt idx="186">
                  <c:v>#N/A</c:v>
                </c:pt>
                <c:pt idx="187">
                  <c:v>#N/A</c:v>
                </c:pt>
                <c:pt idx="188">
                  <c:v>214.33242718446604</c:v>
                </c:pt>
                <c:pt idx="189">
                  <c:v>#N/A</c:v>
                </c:pt>
                <c:pt idx="190">
                  <c:v>#N/A</c:v>
                </c:pt>
                <c:pt idx="191">
                  <c:v>#N/A</c:v>
                </c:pt>
                <c:pt idx="192">
                  <c:v>#N/A</c:v>
                </c:pt>
                <c:pt idx="193">
                  <c:v>#N/A</c:v>
                </c:pt>
                <c:pt idx="194">
                  <c:v>217.06658415841585</c:v>
                </c:pt>
                <c:pt idx="195">
                  <c:v>#N/A</c:v>
                </c:pt>
                <c:pt idx="196">
                  <c:v>#N/A</c:v>
                </c:pt>
                <c:pt idx="197">
                  <c:v>#N/A</c:v>
                </c:pt>
                <c:pt idx="198">
                  <c:v>218.25980392156865</c:v>
                </c:pt>
                <c:pt idx="199">
                  <c:v>#N/A</c:v>
                </c:pt>
                <c:pt idx="200">
                  <c:v>#N/A</c:v>
                </c:pt>
                <c:pt idx="201">
                  <c:v>#N/A</c:v>
                </c:pt>
                <c:pt idx="202">
                  <c:v>231.42857142857142</c:v>
                </c:pt>
                <c:pt idx="203">
                  <c:v>#N/A</c:v>
                </c:pt>
                <c:pt idx="204">
                  <c:v>#N/A</c:v>
                </c:pt>
                <c:pt idx="205">
                  <c:v>#N/A</c:v>
                </c:pt>
                <c:pt idx="206">
                  <c:v>#N/A</c:v>
                </c:pt>
                <c:pt idx="207">
                  <c:v>#N/A</c:v>
                </c:pt>
                <c:pt idx="208">
                  <c:v>#N/A</c:v>
                </c:pt>
                <c:pt idx="209">
                  <c:v>258.71762452107282</c:v>
                </c:pt>
                <c:pt idx="210">
                  <c:v>#N/A</c:v>
                </c:pt>
                <c:pt idx="211">
                  <c:v>#N/A</c:v>
                </c:pt>
                <c:pt idx="212">
                  <c:v>#N/A</c:v>
                </c:pt>
                <c:pt idx="213">
                  <c:v>#N/A</c:v>
                </c:pt>
                <c:pt idx="214">
                  <c:v>#N/A</c:v>
                </c:pt>
                <c:pt idx="215">
                  <c:v>#N/A</c:v>
                </c:pt>
                <c:pt idx="216">
                  <c:v>225.16666666666666</c:v>
                </c:pt>
                <c:pt idx="217">
                  <c:v>#N/A</c:v>
                </c:pt>
                <c:pt idx="218">
                  <c:v>#N/A</c:v>
                </c:pt>
                <c:pt idx="219">
                  <c:v>#N/A</c:v>
                </c:pt>
                <c:pt idx="220">
                  <c:v>#N/A</c:v>
                </c:pt>
                <c:pt idx="221">
                  <c:v>216.46433121019109</c:v>
                </c:pt>
                <c:pt idx="222">
                  <c:v>#N/A</c:v>
                </c:pt>
                <c:pt idx="223">
                  <c:v>#N/A</c:v>
                </c:pt>
                <c:pt idx="224">
                  <c:v>#N/A</c:v>
                </c:pt>
                <c:pt idx="225">
                  <c:v>#N/A</c:v>
                </c:pt>
                <c:pt idx="226">
                  <c:v>#N/A</c:v>
                </c:pt>
                <c:pt idx="227">
                  <c:v>#N/A</c:v>
                </c:pt>
                <c:pt idx="228">
                  <c:v>244.2592105263158</c:v>
                </c:pt>
                <c:pt idx="229">
                  <c:v>#N/A</c:v>
                </c:pt>
                <c:pt idx="230">
                  <c:v>148.97433628318583</c:v>
                </c:pt>
                <c:pt idx="231">
                  <c:v>#N/A</c:v>
                </c:pt>
                <c:pt idx="232">
                  <c:v>113.23125</c:v>
                </c:pt>
                <c:pt idx="233">
                  <c:v>#N/A</c:v>
                </c:pt>
                <c:pt idx="234">
                  <c:v>#N/A</c:v>
                </c:pt>
                <c:pt idx="235">
                  <c:v>148.13800000000001</c:v>
                </c:pt>
                <c:pt idx="236">
                  <c:v>#N/A</c:v>
                </c:pt>
                <c:pt idx="237">
                  <c:v>223.32499999999999</c:v>
                </c:pt>
                <c:pt idx="238">
                  <c:v>#N/A</c:v>
                </c:pt>
                <c:pt idx="239">
                  <c:v>#N/A</c:v>
                </c:pt>
                <c:pt idx="240">
                  <c:v>#N/A</c:v>
                </c:pt>
                <c:pt idx="241">
                  <c:v>#N/A</c:v>
                </c:pt>
                <c:pt idx="242">
                  <c:v>#N/A</c:v>
                </c:pt>
                <c:pt idx="243">
                  <c:v>#N/A</c:v>
                </c:pt>
                <c:pt idx="244">
                  <c:v>#N/A</c:v>
                </c:pt>
                <c:pt idx="245">
                  <c:v>112.06944444444444</c:v>
                </c:pt>
                <c:pt idx="246">
                  <c:v>#N/A</c:v>
                </c:pt>
                <c:pt idx="247">
                  <c:v>#N/A</c:v>
                </c:pt>
                <c:pt idx="248">
                  <c:v>#N/A</c:v>
                </c:pt>
                <c:pt idx="249">
                  <c:v>173.15077720207253</c:v>
                </c:pt>
                <c:pt idx="250">
                  <c:v>#N/A</c:v>
                </c:pt>
                <c:pt idx="251">
                  <c:v>114.11111111111111</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numCache>
            </c:numRef>
          </c:val>
          <c:smooth val="0"/>
          <c:extLst>
            <c:ext xmlns:c16="http://schemas.microsoft.com/office/drawing/2014/chart" uri="{C3380CC4-5D6E-409C-BE32-E72D297353CC}">
              <c16:uniqueId val="{00000001-E409-4FD2-BF46-7C994B2D8F8C}"/>
            </c:ext>
          </c:extLst>
        </c:ser>
        <c:dLbls>
          <c:showLegendKey val="0"/>
          <c:showVal val="0"/>
          <c:showCatName val="0"/>
          <c:showSerName val="0"/>
          <c:showPercent val="0"/>
          <c:showBubbleSize val="0"/>
        </c:dLbls>
        <c:marker val="1"/>
        <c:smooth val="0"/>
        <c:axId val="60065664"/>
        <c:axId val="60067200"/>
      </c:lineChart>
      <c:catAx>
        <c:axId val="60065664"/>
        <c:scaling>
          <c:orientation val="minMax"/>
        </c:scaling>
        <c:delete val="1"/>
        <c:axPos val="b"/>
        <c:majorTickMark val="out"/>
        <c:minorTickMark val="none"/>
        <c:tickLblPos val="none"/>
        <c:crossAx val="60067200"/>
        <c:crosses val="autoZero"/>
        <c:auto val="1"/>
        <c:lblAlgn val="ctr"/>
        <c:lblOffset val="100"/>
        <c:noMultiLvlLbl val="0"/>
      </c:catAx>
      <c:valAx>
        <c:axId val="60067200"/>
        <c:scaling>
          <c:orientation val="minMax"/>
        </c:scaling>
        <c:delete val="1"/>
        <c:axPos val="l"/>
        <c:numFmt formatCode="General" sourceLinked="1"/>
        <c:majorTickMark val="out"/>
        <c:minorTickMark val="none"/>
        <c:tickLblPos val="none"/>
        <c:crossAx val="60065664"/>
        <c:crosses val="autoZero"/>
        <c:crossBetween val="midCat"/>
      </c:valAx>
    </c:plotArea>
    <c:plotVisOnly val="1"/>
    <c:dispBlanksAs val="gap"/>
    <c:showDLblsOverMax val="0"/>
  </c:chart>
  <c:spPr>
    <a:noFill/>
    <a:ln>
      <a:noFill/>
    </a:ln>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079285628027897E-3"/>
          <c:y val="7.8321712822735853E-2"/>
          <c:w val="0.97010936139591797"/>
          <c:h val="0.79860130988439393"/>
        </c:manualLayout>
      </c:layout>
      <c:areaChart>
        <c:grouping val="standard"/>
        <c:varyColors val="0"/>
        <c:ser>
          <c:idx val="0"/>
          <c:order val="0"/>
          <c:tx>
            <c:strRef>
              <c:f>calculations!$AC$19</c:f>
              <c:strCache>
                <c:ptCount val="1"/>
                <c:pt idx="0">
                  <c:v>Yield</c:v>
                </c:pt>
              </c:strCache>
            </c:strRef>
          </c:tx>
          <c:spPr>
            <a:solidFill>
              <a:schemeClr val="bg1">
                <a:lumMod val="75000"/>
              </a:schemeClr>
            </a:solidFill>
          </c:spPr>
          <c:val>
            <c:numRef>
              <c:f>calculations!$AC$20:$AC$379</c:f>
              <c:numCache>
                <c:formatCode>General</c:formatCode>
                <c:ptCount val="360"/>
                <c:pt idx="0">
                  <c:v>149.41634241245137</c:v>
                </c:pt>
                <c:pt idx="1">
                  <c:v>187.69077306733166</c:v>
                </c:pt>
                <c:pt idx="2">
                  <c:v>164.88051151049777</c:v>
                </c:pt>
                <c:pt idx="3">
                  <c:v>64.786070994736136</c:v>
                </c:pt>
                <c:pt idx="4">
                  <c:v>100.37107612075017</c:v>
                </c:pt>
                <c:pt idx="5">
                  <c:v>113.16568047337279</c:v>
                </c:pt>
                <c:pt idx="6">
                  <c:v>106.82105091693927</c:v>
                </c:pt>
                <c:pt idx="7">
                  <c:v>105.71082527174329</c:v>
                </c:pt>
                <c:pt idx="8">
                  <c:v>97.503676609223561</c:v>
                </c:pt>
                <c:pt idx="9">
                  <c:v>116.33467142673983</c:v>
                </c:pt>
                <c:pt idx="10">
                  <c:v>112.68301742728315</c:v>
                </c:pt>
                <c:pt idx="11">
                  <c:v>111.63946749436214</c:v>
                </c:pt>
                <c:pt idx="12">
                  <c:v>167.17999260810646</c:v>
                </c:pt>
                <c:pt idx="13">
                  <c:v>120.21295179132186</c:v>
                </c:pt>
                <c:pt idx="14">
                  <c:v>165.94177845387915</c:v>
                </c:pt>
                <c:pt idx="15">
                  <c:v>178.58500251195909</c:v>
                </c:pt>
                <c:pt idx="16">
                  <c:v>102.19181453666641</c:v>
                </c:pt>
                <c:pt idx="17">
                  <c:v>110.17957783456436</c:v>
                </c:pt>
                <c:pt idx="18">
                  <c:v>149.42186605609615</c:v>
                </c:pt>
                <c:pt idx="19">
                  <c:v>99.236641221374057</c:v>
                </c:pt>
                <c:pt idx="20">
                  <c:v>179.18845319990098</c:v>
                </c:pt>
                <c:pt idx="21">
                  <c:v>96.324110863690819</c:v>
                </c:pt>
                <c:pt idx="22">
                  <c:v>179.58009531578722</c:v>
                </c:pt>
                <c:pt idx="23">
                  <c:v>112.07710045527108</c:v>
                </c:pt>
                <c:pt idx="24">
                  <c:v>64.660357888908464</c:v>
                </c:pt>
                <c:pt idx="25">
                  <c:v>171.85135736537606</c:v>
                </c:pt>
                <c:pt idx="26">
                  <c:v>104.32803909590716</c:v>
                </c:pt>
                <c:pt idx="27">
                  <c:v>107.01299165035026</c:v>
                </c:pt>
                <c:pt idx="28">
                  <c:v>104.05095062443475</c:v>
                </c:pt>
                <c:pt idx="29">
                  <c:v>121.20977245154864</c:v>
                </c:pt>
                <c:pt idx="30">
                  <c:v>99.447192163481574</c:v>
                </c:pt>
                <c:pt idx="31">
                  <c:v>91.740392026875242</c:v>
                </c:pt>
                <c:pt idx="32">
                  <c:v>114.36100862714638</c:v>
                </c:pt>
                <c:pt idx="33">
                  <c:v>120.1723146968997</c:v>
                </c:pt>
                <c:pt idx="34">
                  <c:v>111</c:v>
                </c:pt>
                <c:pt idx="35">
                  <c:v>118.52932107185954</c:v>
                </c:pt>
                <c:pt idx="36">
                  <c:v>94.628990825688078</c:v>
                </c:pt>
                <c:pt idx="37">
                  <c:v>131.73119105066903</c:v>
                </c:pt>
                <c:pt idx="38">
                  <c:v>90.081632653061234</c:v>
                </c:pt>
                <c:pt idx="39">
                  <c:v>118.20517938226635</c:v>
                </c:pt>
                <c:pt idx="40">
                  <c:v>98.852647263335655</c:v>
                </c:pt>
                <c:pt idx="41">
                  <c:v>111.73857899829054</c:v>
                </c:pt>
                <c:pt idx="42">
                  <c:v>142.60244848046912</c:v>
                </c:pt>
                <c:pt idx="43">
                  <c:v>178.43102367275009</c:v>
                </c:pt>
                <c:pt idx="44">
                  <c:v>99.428130690266613</c:v>
                </c:pt>
                <c:pt idx="45">
                  <c:v>119.01224007811851</c:v>
                </c:pt>
                <c:pt idx="46">
                  <c:v>112.67490565255255</c:v>
                </c:pt>
                <c:pt idx="47">
                  <c:v>119.60922411453927</c:v>
                </c:pt>
                <c:pt idx="48">
                  <c:v>92.504520084898985</c:v>
                </c:pt>
                <c:pt idx="49">
                  <c:v>185.71672393610996</c:v>
                </c:pt>
                <c:pt idx="50">
                  <c:v>122.34323396131184</c:v>
                </c:pt>
                <c:pt idx="51">
                  <c:v>120.83315295034419</c:v>
                </c:pt>
                <c:pt idx="52">
                  <c:v>185.33830027163313</c:v>
                </c:pt>
                <c:pt idx="53">
                  <c:v>172.80701754385964</c:v>
                </c:pt>
                <c:pt idx="54">
                  <c:v>114.7538617005919</c:v>
                </c:pt>
                <c:pt idx="55">
                  <c:v>119.84253717962379</c:v>
                </c:pt>
                <c:pt idx="56">
                  <c:v>93.879610256156283</c:v>
                </c:pt>
                <c:pt idx="57">
                  <c:v>175.19801392155463</c:v>
                </c:pt>
                <c:pt idx="58">
                  <c:v>117.09893003984777</c:v>
                </c:pt>
                <c:pt idx="59">
                  <c:v>101.99292051671034</c:v>
                </c:pt>
                <c:pt idx="60">
                  <c:v>107.461965708766</c:v>
                </c:pt>
                <c:pt idx="61">
                  <c:v>117.0953466882561</c:v>
                </c:pt>
                <c:pt idx="62">
                  <c:v>117.75071555188642</c:v>
                </c:pt>
                <c:pt idx="63">
                  <c:v>180.10368548735502</c:v>
                </c:pt>
                <c:pt idx="64">
                  <c:v>120.42737061627511</c:v>
                </c:pt>
                <c:pt idx="65">
                  <c:v>181.35386693559582</c:v>
                </c:pt>
                <c:pt idx="66">
                  <c:v>102.26581134381856</c:v>
                </c:pt>
                <c:pt idx="67">
                  <c:v>114.93918273660933</c:v>
                </c:pt>
                <c:pt idx="68">
                  <c:v>156.65908554998592</c:v>
                </c:pt>
                <c:pt idx="69">
                  <c:v>119.48177205167885</c:v>
                </c:pt>
                <c:pt idx="70">
                  <c:v>118.04141836744171</c:v>
                </c:pt>
                <c:pt idx="71">
                  <c:v>112.10611597600494</c:v>
                </c:pt>
                <c:pt idx="72">
                  <c:v>184.99879066392552</c:v>
                </c:pt>
                <c:pt idx="73">
                  <c:v>113.24301907658281</c:v>
                </c:pt>
                <c:pt idx="74">
                  <c:v>119.97834481569139</c:v>
                </c:pt>
                <c:pt idx="75">
                  <c:v>183.14302854210484</c:v>
                </c:pt>
                <c:pt idx="76">
                  <c:v>106.50447451576332</c:v>
                </c:pt>
                <c:pt idx="77">
                  <c:v>151.60685940305498</c:v>
                </c:pt>
                <c:pt idx="78">
                  <c:v>99.76183177915243</c:v>
                </c:pt>
                <c:pt idx="79">
                  <c:v>121.2082885030691</c:v>
                </c:pt>
                <c:pt idx="80">
                  <c:v>179.97127501853225</c:v>
                </c:pt>
                <c:pt idx="81">
                  <c:v>142.79989195671371</c:v>
                </c:pt>
                <c:pt idx="82">
                  <c:v>143.6281697905182</c:v>
                </c:pt>
                <c:pt idx="83">
                  <c:v>92.542942494398801</c:v>
                </c:pt>
                <c:pt idx="84">
                  <c:v>119.82951540459257</c:v>
                </c:pt>
                <c:pt idx="85">
                  <c:v>115.0789522783263</c:v>
                </c:pt>
                <c:pt idx="86">
                  <c:v>100.88983020060599</c:v>
                </c:pt>
                <c:pt idx="87">
                  <c:v>90.085581665216125</c:v>
                </c:pt>
                <c:pt idx="88">
                  <c:v>170.87633274417013</c:v>
                </c:pt>
                <c:pt idx="89">
                  <c:v>108.01377067992732</c:v>
                </c:pt>
                <c:pt idx="90">
                  <c:v>95.948674733277144</c:v>
                </c:pt>
                <c:pt idx="91">
                  <c:v>91.136619025065244</c:v>
                </c:pt>
                <c:pt idx="92">
                  <c:v>117.57797342724507</c:v>
                </c:pt>
                <c:pt idx="93">
                  <c:v>112.71372726176023</c:v>
                </c:pt>
                <c:pt idx="94">
                  <c:v>49.14248166232273</c:v>
                </c:pt>
                <c:pt idx="95">
                  <c:v>93.857932104842533</c:v>
                </c:pt>
                <c:pt idx="96">
                  <c:v>115.11765495889674</c:v>
                </c:pt>
                <c:pt idx="97">
                  <c:v>117.90330474751561</c:v>
                </c:pt>
                <c:pt idx="98">
                  <c:v>53.70469245465528</c:v>
                </c:pt>
                <c:pt idx="99">
                  <c:v>175.81183673469388</c:v>
                </c:pt>
                <c:pt idx="100">
                  <c:v>121.71512346674407</c:v>
                </c:pt>
                <c:pt idx="101">
                  <c:v>185.08791119092319</c:v>
                </c:pt>
                <c:pt idx="102">
                  <c:v>184.26883437465136</c:v>
                </c:pt>
                <c:pt idx="103">
                  <c:v>179.66543753934707</c:v>
                </c:pt>
                <c:pt idx="104">
                  <c:v>98.403554689877666</c:v>
                </c:pt>
                <c:pt idx="105">
                  <c:v>186.59540071279562</c:v>
                </c:pt>
                <c:pt idx="106">
                  <c:v>120.92142407984694</c:v>
                </c:pt>
                <c:pt idx="107">
                  <c:v>118.2969516321933</c:v>
                </c:pt>
                <c:pt idx="108">
                  <c:v>182.38461933364135</c:v>
                </c:pt>
                <c:pt idx="109">
                  <c:v>178.39208550297272</c:v>
                </c:pt>
                <c:pt idx="110">
                  <c:v>98.234559918194265</c:v>
                </c:pt>
                <c:pt idx="111">
                  <c:v>176.79779678214234</c:v>
                </c:pt>
                <c:pt idx="112">
                  <c:v>182.09733801139473</c:v>
                </c:pt>
                <c:pt idx="113">
                  <c:v>122.93165558242643</c:v>
                </c:pt>
                <c:pt idx="114">
                  <c:v>216.71764203331909</c:v>
                </c:pt>
                <c:pt idx="115">
                  <c:v>120.20267865667887</c:v>
                </c:pt>
                <c:pt idx="116">
                  <c:v>184.06819326843379</c:v>
                </c:pt>
                <c:pt idx="117">
                  <c:v>177.95933895024223</c:v>
                </c:pt>
                <c:pt idx="118">
                  <c:v>98.219526105907448</c:v>
                </c:pt>
                <c:pt idx="119">
                  <c:v>177.34918081409853</c:v>
                </c:pt>
                <c:pt idx="120">
                  <c:v>180.96526295750797</c:v>
                </c:pt>
                <c:pt idx="121">
                  <c:v>148.77312661498706</c:v>
                </c:pt>
                <c:pt idx="122">
                  <c:v>123.80724855450696</c:v>
                </c:pt>
                <c:pt idx="123">
                  <c:v>144.92329100713167</c:v>
                </c:pt>
                <c:pt idx="124">
                  <c:v>102.88865301996462</c:v>
                </c:pt>
                <c:pt idx="125">
                  <c:v>102.15677475362483</c:v>
                </c:pt>
                <c:pt idx="126">
                  <c:v>180.83586403220463</c:v>
                </c:pt>
                <c:pt idx="127">
                  <c:v>114.12001568832525</c:v>
                </c:pt>
                <c:pt idx="128">
                  <c:v>158.73432487605717</c:v>
                </c:pt>
                <c:pt idx="129">
                  <c:v>135.91828858135304</c:v>
                </c:pt>
                <c:pt idx="130">
                  <c:v>123.36294381769565</c:v>
                </c:pt>
                <c:pt idx="131">
                  <c:v>107.49356808530423</c:v>
                </c:pt>
                <c:pt idx="132">
                  <c:v>102.49896503889275</c:v>
                </c:pt>
                <c:pt idx="133">
                  <c:v>123.51370756264812</c:v>
                </c:pt>
                <c:pt idx="134">
                  <c:v>109.06950056570228</c:v>
                </c:pt>
                <c:pt idx="135">
                  <c:v>183.00287827449267</c:v>
                </c:pt>
                <c:pt idx="136">
                  <c:v>117.48769066902469</c:v>
                </c:pt>
                <c:pt idx="137">
                  <c:v>182.48689029547484</c:v>
                </c:pt>
                <c:pt idx="138">
                  <c:v>116.87769794646692</c:v>
                </c:pt>
                <c:pt idx="139">
                  <c:v>127.05707699884547</c:v>
                </c:pt>
                <c:pt idx="140">
                  <c:v>121.59279612011804</c:v>
                </c:pt>
                <c:pt idx="141">
                  <c:v>121.66676271366764</c:v>
                </c:pt>
                <c:pt idx="142">
                  <c:v>180.13697398285666</c:v>
                </c:pt>
                <c:pt idx="143">
                  <c:v>192.06729841727949</c:v>
                </c:pt>
                <c:pt idx="144">
                  <c:v>110.42612696598803</c:v>
                </c:pt>
                <c:pt idx="145">
                  <c:v>126.18107503663146</c:v>
                </c:pt>
                <c:pt idx="146">
                  <c:v>119.85786446830377</c:v>
                </c:pt>
                <c:pt idx="147">
                  <c:v>181.04095213877707</c:v>
                </c:pt>
                <c:pt idx="148">
                  <c:v>120.50904833772937</c:v>
                </c:pt>
                <c:pt idx="149">
                  <c:v>101.86692917538278</c:v>
                </c:pt>
                <c:pt idx="150">
                  <c:v>117.55206960189824</c:v>
                </c:pt>
                <c:pt idx="151">
                  <c:v>107.11042328126746</c:v>
                </c:pt>
                <c:pt idx="152">
                  <c:v>120.75191694154543</c:v>
                </c:pt>
                <c:pt idx="153">
                  <c:v>174.62828859301439</c:v>
                </c:pt>
                <c:pt idx="154">
                  <c:v>85.723906649440622</c:v>
                </c:pt>
                <c:pt idx="155">
                  <c:v>180.0211881749205</c:v>
                </c:pt>
                <c:pt idx="156">
                  <c:v>91.21043663838357</c:v>
                </c:pt>
                <c:pt idx="157">
                  <c:v>171.45133533807723</c:v>
                </c:pt>
                <c:pt idx="158">
                  <c:v>143.56065088757396</c:v>
                </c:pt>
                <c:pt idx="159">
                  <c:v>90.280795823338508</c:v>
                </c:pt>
                <c:pt idx="160">
                  <c:v>172.93501121399089</c:v>
                </c:pt>
                <c:pt idx="161">
                  <c:v>184.85860614501996</c:v>
                </c:pt>
                <c:pt idx="162">
                  <c:v>177.87438165192623</c:v>
                </c:pt>
                <c:pt idx="163">
                  <c:v>142.57222376843862</c:v>
                </c:pt>
                <c:pt idx="164">
                  <c:v>191.52928253868916</c:v>
                </c:pt>
                <c:pt idx="165">
                  <c:v>118.89910842941256</c:v>
                </c:pt>
                <c:pt idx="166">
                  <c:v>103.04050891196064</c:v>
                </c:pt>
                <c:pt idx="167">
                  <c:v>180.10818250538415</c:v>
                </c:pt>
                <c:pt idx="168">
                  <c:v>122.49481034157388</c:v>
                </c:pt>
                <c:pt idx="169">
                  <c:v>178.61859229887912</c:v>
                </c:pt>
                <c:pt idx="170">
                  <c:v>151.01010101010101</c:v>
                </c:pt>
                <c:pt idx="171">
                  <c:v>179.84827333361534</c:v>
                </c:pt>
                <c:pt idx="172">
                  <c:v>117.15359200271094</c:v>
                </c:pt>
                <c:pt idx="173">
                  <c:v>116.16426350252395</c:v>
                </c:pt>
                <c:pt idx="174">
                  <c:v>180.40813777846495</c:v>
                </c:pt>
                <c:pt idx="175">
                  <c:v>180.84669263449834</c:v>
                </c:pt>
                <c:pt idx="176">
                  <c:v>121.15244712481285</c:v>
                </c:pt>
                <c:pt idx="177">
                  <c:v>178.2201877264838</c:v>
                </c:pt>
                <c:pt idx="178">
                  <c:v>117.4997776059451</c:v>
                </c:pt>
                <c:pt idx="179">
                  <c:v>115.41394746293162</c:v>
                </c:pt>
                <c:pt idx="180">
                  <c:v>125.04648426545715</c:v>
                </c:pt>
                <c:pt idx="181">
                  <c:v>93.144826705814765</c:v>
                </c:pt>
                <c:pt idx="182">
                  <c:v>113.62387461694622</c:v>
                </c:pt>
                <c:pt idx="183">
                  <c:v>122.84198015631229</c:v>
                </c:pt>
                <c:pt idx="184">
                  <c:v>119.00480638822269</c:v>
                </c:pt>
                <c:pt idx="185">
                  <c:v>96.156617378861426</c:v>
                </c:pt>
                <c:pt idx="186">
                  <c:v>109.75076966648658</c:v>
                </c:pt>
                <c:pt idx="187">
                  <c:v>113.18307282937508</c:v>
                </c:pt>
                <c:pt idx="188">
                  <c:v>94.03548229080144</c:v>
                </c:pt>
                <c:pt idx="189">
                  <c:v>180.83854161083178</c:v>
                </c:pt>
                <c:pt idx="190">
                  <c:v>106.52274375211486</c:v>
                </c:pt>
                <c:pt idx="191">
                  <c:v>177.13398495382441</c:v>
                </c:pt>
                <c:pt idx="192">
                  <c:v>124.28878815202758</c:v>
                </c:pt>
                <c:pt idx="193">
                  <c:v>102.39006696428572</c:v>
                </c:pt>
                <c:pt idx="194">
                  <c:v>202.26587862188262</c:v>
                </c:pt>
                <c:pt idx="195">
                  <c:v>139.9798515376458</c:v>
                </c:pt>
                <c:pt idx="196">
                  <c:v>75.611861167622223</c:v>
                </c:pt>
                <c:pt idx="197">
                  <c:v>110.02204688557786</c:v>
                </c:pt>
                <c:pt idx="198">
                  <c:v>87.506387327542157</c:v>
                </c:pt>
                <c:pt idx="199">
                  <c:v>117.87194574070317</c:v>
                </c:pt>
                <c:pt idx="200">
                  <c:v>101.25379004123056</c:v>
                </c:pt>
                <c:pt idx="201">
                  <c:v>155.6350626118068</c:v>
                </c:pt>
                <c:pt idx="202">
                  <c:v>187.26699997110077</c:v>
                </c:pt>
                <c:pt idx="203">
                  <c:v>117.20979606010862</c:v>
                </c:pt>
                <c:pt idx="204">
                  <c:v>119.24235999208435</c:v>
                </c:pt>
                <c:pt idx="205">
                  <c:v>188.5749547545845</c:v>
                </c:pt>
                <c:pt idx="206">
                  <c:v>80.767430593761048</c:v>
                </c:pt>
                <c:pt idx="207">
                  <c:v>210.64273515501841</c:v>
                </c:pt>
                <c:pt idx="208">
                  <c:v>98.37593376891482</c:v>
                </c:pt>
                <c:pt idx="209">
                  <c:v>99.072442504493267</c:v>
                </c:pt>
                <c:pt idx="210">
                  <c:v>109.07907169928872</c:v>
                </c:pt>
                <c:pt idx="211">
                  <c:v>113.46597786758919</c:v>
                </c:pt>
                <c:pt idx="212">
                  <c:v>95.537887983353571</c:v>
                </c:pt>
                <c:pt idx="213">
                  <c:v>73.818615751789977</c:v>
                </c:pt>
                <c:pt idx="214">
                  <c:v>100.52206250446972</c:v>
                </c:pt>
                <c:pt idx="215">
                  <c:v>175.94092838448083</c:v>
                </c:pt>
                <c:pt idx="216">
                  <c:v>90.763383688120243</c:v>
                </c:pt>
                <c:pt idx="217">
                  <c:v>115.61714882195049</c:v>
                </c:pt>
                <c:pt idx="218">
                  <c:v>165.29184718393068</c:v>
                </c:pt>
                <c:pt idx="219">
                  <c:v>184.90176163625537</c:v>
                </c:pt>
                <c:pt idx="220">
                  <c:v>174.27016023115314</c:v>
                </c:pt>
                <c:pt idx="221">
                  <c:v>183.40474905558551</c:v>
                </c:pt>
                <c:pt idx="222">
                  <c:v>100.15860168334285</c:v>
                </c:pt>
                <c:pt idx="223">
                  <c:v>185.64991614106313</c:v>
                </c:pt>
                <c:pt idx="224">
                  <c:v>180.73821031485571</c:v>
                </c:pt>
                <c:pt idx="225">
                  <c:v>194.20188140267928</c:v>
                </c:pt>
                <c:pt idx="226">
                  <c:v>133.46128700849914</c:v>
                </c:pt>
                <c:pt idx="227">
                  <c:v>116.76268322475572</c:v>
                </c:pt>
                <c:pt idx="228">
                  <c:v>98.371575433204399</c:v>
                </c:pt>
                <c:pt idx="229">
                  <c:v>183.33711503462621</c:v>
                </c:pt>
                <c:pt idx="230">
                  <c:v>30.820395459538631</c:v>
                </c:pt>
                <c:pt idx="231">
                  <c:v>110.68676138627008</c:v>
                </c:pt>
                <c:pt idx="232">
                  <c:v>130.95995373716929</c:v>
                </c:pt>
                <c:pt idx="233">
                  <c:v>170.9751813304336</c:v>
                </c:pt>
                <c:pt idx="234">
                  <c:v>111.1575779906657</c:v>
                </c:pt>
                <c:pt idx="235">
                  <c:v>145.06172436529337</c:v>
                </c:pt>
                <c:pt idx="236">
                  <c:v>95.562071889881921</c:v>
                </c:pt>
                <c:pt idx="237">
                  <c:v>182.00896495517523</c:v>
                </c:pt>
                <c:pt idx="238">
                  <c:v>182.79524859902227</c:v>
                </c:pt>
                <c:pt idx="239">
                  <c:v>163.48555555555555</c:v>
                </c:pt>
                <c:pt idx="240">
                  <c:v>107.14352592950559</c:v>
                </c:pt>
                <c:pt idx="241">
                  <c:v>121.49041892783561</c:v>
                </c:pt>
                <c:pt idx="242">
                  <c:v>53.310750681785557</c:v>
                </c:pt>
                <c:pt idx="243">
                  <c:v>145.61314655172413</c:v>
                </c:pt>
                <c:pt idx="244">
                  <c:v>187.24434876210981</c:v>
                </c:pt>
                <c:pt idx="245">
                  <c:v>83.901759347835124</c:v>
                </c:pt>
                <c:pt idx="246">
                  <c:v>85.55824005319738</c:v>
                </c:pt>
                <c:pt idx="247">
                  <c:v>74.71665318109622</c:v>
                </c:pt>
                <c:pt idx="248">
                  <c:v>149.3543179983858</c:v>
                </c:pt>
                <c:pt idx="249">
                  <c:v>75.997725851384388</c:v>
                </c:pt>
                <c:pt idx="250">
                  <c:v>119.58904109589041</c:v>
                </c:pt>
                <c:pt idx="251">
                  <c:v>232.35294117647061</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numCache>
            </c:numRef>
          </c:val>
          <c:extLst>
            <c:ext xmlns:c16="http://schemas.microsoft.com/office/drawing/2014/chart" uri="{C3380CC4-5D6E-409C-BE32-E72D297353CC}">
              <c16:uniqueId val="{00000000-7937-428B-9FC6-9D4673A3B2FB}"/>
            </c:ext>
          </c:extLst>
        </c:ser>
        <c:dLbls>
          <c:showLegendKey val="0"/>
          <c:showVal val="0"/>
          <c:showCatName val="0"/>
          <c:showSerName val="0"/>
          <c:showPercent val="0"/>
          <c:showBubbleSize val="0"/>
        </c:dLbls>
        <c:axId val="60170240"/>
        <c:axId val="60171776"/>
      </c:areaChart>
      <c:lineChart>
        <c:grouping val="standard"/>
        <c:varyColors val="0"/>
        <c:ser>
          <c:idx val="1"/>
          <c:order val="1"/>
          <c:tx>
            <c:strRef>
              <c:f>calculations!$BI$19</c:f>
              <c:strCache>
                <c:ptCount val="1"/>
                <c:pt idx="0">
                  <c:v>Yield</c:v>
                </c:pt>
              </c:strCache>
            </c:strRef>
          </c:tx>
          <c:spPr>
            <a:ln>
              <a:noFill/>
            </a:ln>
          </c:spPr>
          <c:marker>
            <c:symbol val="none"/>
          </c:marker>
          <c:errBars>
            <c:errDir val="y"/>
            <c:errBarType val="minus"/>
            <c:errValType val="percentage"/>
            <c:noEndCap val="1"/>
            <c:val val="100"/>
            <c:spPr>
              <a:ln w="3175">
                <a:solidFill>
                  <a:srgbClr val="C00000"/>
                </a:solidFill>
              </a:ln>
            </c:spPr>
          </c:errBars>
          <c:val>
            <c:numRef>
              <c:f>calculations!$BI$20:$BI$379</c:f>
              <c:numCache>
                <c:formatCode>0.00%</c:formatCode>
                <c:ptCount val="3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179.18845319990098</c:v>
                </c:pt>
                <c:pt idx="21">
                  <c:v>#N/A</c:v>
                </c:pt>
                <c:pt idx="22">
                  <c:v>179.58009531578722</c:v>
                </c:pt>
                <c:pt idx="23">
                  <c:v>112.07710045527108</c:v>
                </c:pt>
                <c:pt idx="24">
                  <c:v>#N/A</c:v>
                </c:pt>
                <c:pt idx="25">
                  <c:v>#N/A</c:v>
                </c:pt>
                <c:pt idx="26">
                  <c:v>#N/A</c:v>
                </c:pt>
                <c:pt idx="27">
                  <c:v>#N/A</c:v>
                </c:pt>
                <c:pt idx="28">
                  <c:v>#N/A</c:v>
                </c:pt>
                <c:pt idx="29">
                  <c:v>#N/A</c:v>
                </c:pt>
                <c:pt idx="30">
                  <c:v>99.447192163481574</c:v>
                </c:pt>
                <c:pt idx="31">
                  <c:v>#N/A</c:v>
                </c:pt>
                <c:pt idx="32">
                  <c:v>#N/A</c:v>
                </c:pt>
                <c:pt idx="33">
                  <c:v>120.1723146968997</c:v>
                </c:pt>
                <c:pt idx="34">
                  <c:v>#N/A</c:v>
                </c:pt>
                <c:pt idx="35">
                  <c:v>#N/A</c:v>
                </c:pt>
                <c:pt idx="36">
                  <c:v>94.628990825688078</c:v>
                </c:pt>
                <c:pt idx="37">
                  <c:v>#N/A</c:v>
                </c:pt>
                <c:pt idx="38">
                  <c:v>#N/A</c:v>
                </c:pt>
                <c:pt idx="39">
                  <c:v>#N/A</c:v>
                </c:pt>
                <c:pt idx="40">
                  <c:v>98.852647263335655</c:v>
                </c:pt>
                <c:pt idx="41">
                  <c:v>#N/A</c:v>
                </c:pt>
                <c:pt idx="42">
                  <c:v>#N/A</c:v>
                </c:pt>
                <c:pt idx="43">
                  <c:v>178.43102367275009</c:v>
                </c:pt>
                <c:pt idx="44">
                  <c:v>99.428130690266613</c:v>
                </c:pt>
                <c:pt idx="45">
                  <c:v>#N/A</c:v>
                </c:pt>
                <c:pt idx="46">
                  <c:v>#N/A</c:v>
                </c:pt>
                <c:pt idx="47">
                  <c:v>#N/A</c:v>
                </c:pt>
                <c:pt idx="48">
                  <c:v>#N/A</c:v>
                </c:pt>
                <c:pt idx="49">
                  <c:v>185.71672393610996</c:v>
                </c:pt>
                <c:pt idx="50">
                  <c:v>#N/A</c:v>
                </c:pt>
                <c:pt idx="51">
                  <c:v>#N/A</c:v>
                </c:pt>
                <c:pt idx="52">
                  <c:v>#N/A</c:v>
                </c:pt>
                <c:pt idx="53">
                  <c:v>#N/A</c:v>
                </c:pt>
                <c:pt idx="54">
                  <c:v>#N/A</c:v>
                </c:pt>
                <c:pt idx="55">
                  <c:v>#N/A</c:v>
                </c:pt>
                <c:pt idx="56">
                  <c:v>#N/A</c:v>
                </c:pt>
                <c:pt idx="57">
                  <c:v>175.19801392155463</c:v>
                </c:pt>
                <c:pt idx="58">
                  <c:v>#N/A</c:v>
                </c:pt>
                <c:pt idx="59">
                  <c:v>101.99292051671034</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106.50447451576332</c:v>
                </c:pt>
                <c:pt idx="77">
                  <c:v>#N/A</c:v>
                </c:pt>
                <c:pt idx="78">
                  <c:v>99.76183177915243</c:v>
                </c:pt>
                <c:pt idx="79">
                  <c:v>#N/A</c:v>
                </c:pt>
                <c:pt idx="80">
                  <c:v>#N/A</c:v>
                </c:pt>
                <c:pt idx="81">
                  <c:v>#N/A</c:v>
                </c:pt>
                <c:pt idx="82">
                  <c:v>#N/A</c:v>
                </c:pt>
                <c:pt idx="83">
                  <c:v>#N/A</c:v>
                </c:pt>
                <c:pt idx="84">
                  <c:v>#N/A</c:v>
                </c:pt>
                <c:pt idx="85">
                  <c:v>#N/A</c:v>
                </c:pt>
                <c:pt idx="86">
                  <c:v>100.88983020060599</c:v>
                </c:pt>
                <c:pt idx="87">
                  <c:v>#N/A</c:v>
                </c:pt>
                <c:pt idx="88">
                  <c:v>#N/A</c:v>
                </c:pt>
                <c:pt idx="89">
                  <c:v>108.01377067992732</c:v>
                </c:pt>
                <c:pt idx="90">
                  <c:v>#N/A</c:v>
                </c:pt>
                <c:pt idx="91">
                  <c:v>#N/A</c:v>
                </c:pt>
                <c:pt idx="92">
                  <c:v>#N/A</c:v>
                </c:pt>
                <c:pt idx="93">
                  <c:v>#N/A</c:v>
                </c:pt>
                <c:pt idx="94">
                  <c:v>#N/A</c:v>
                </c:pt>
                <c:pt idx="95">
                  <c:v>#N/A</c:v>
                </c:pt>
                <c:pt idx="96">
                  <c:v>#N/A</c:v>
                </c:pt>
                <c:pt idx="97">
                  <c:v>#N/A</c:v>
                </c:pt>
                <c:pt idx="98">
                  <c:v>53.70469245465528</c:v>
                </c:pt>
                <c:pt idx="99">
                  <c:v>175.81183673469388</c:v>
                </c:pt>
                <c:pt idx="100">
                  <c:v>#N/A</c:v>
                </c:pt>
                <c:pt idx="101">
                  <c:v>185.08791119092319</c:v>
                </c:pt>
                <c:pt idx="102">
                  <c:v>#N/A</c:v>
                </c:pt>
                <c:pt idx="103">
                  <c:v>179.66543753934707</c:v>
                </c:pt>
                <c:pt idx="104">
                  <c:v>#N/A</c:v>
                </c:pt>
                <c:pt idx="105">
                  <c:v>#N/A</c:v>
                </c:pt>
                <c:pt idx="106">
                  <c:v>#N/A</c:v>
                </c:pt>
                <c:pt idx="107">
                  <c:v>#N/A</c:v>
                </c:pt>
                <c:pt idx="108">
                  <c:v>#N/A</c:v>
                </c:pt>
                <c:pt idx="109">
                  <c:v>#N/A</c:v>
                </c:pt>
                <c:pt idx="110">
                  <c:v>#N/A</c:v>
                </c:pt>
                <c:pt idx="111">
                  <c:v>#N/A</c:v>
                </c:pt>
                <c:pt idx="112">
                  <c:v>#N/A</c:v>
                </c:pt>
                <c:pt idx="113">
                  <c:v>#N/A</c:v>
                </c:pt>
                <c:pt idx="114">
                  <c:v>216.71764203331909</c:v>
                </c:pt>
                <c:pt idx="115">
                  <c:v>#N/A</c:v>
                </c:pt>
                <c:pt idx="116">
                  <c:v>184.06819326843379</c:v>
                </c:pt>
                <c:pt idx="117">
                  <c:v>#N/A</c:v>
                </c:pt>
                <c:pt idx="118">
                  <c:v>98.219526105907448</c:v>
                </c:pt>
                <c:pt idx="119">
                  <c:v>#N/A</c:v>
                </c:pt>
                <c:pt idx="120">
                  <c:v>180.96526295750797</c:v>
                </c:pt>
                <c:pt idx="121">
                  <c:v>#N/A</c:v>
                </c:pt>
                <c:pt idx="122">
                  <c:v>#N/A</c:v>
                </c:pt>
                <c:pt idx="123">
                  <c:v>#N/A</c:v>
                </c:pt>
                <c:pt idx="124">
                  <c:v>102.88865301996462</c:v>
                </c:pt>
                <c:pt idx="125">
                  <c:v>#N/A</c:v>
                </c:pt>
                <c:pt idx="126">
                  <c:v>#N/A</c:v>
                </c:pt>
                <c:pt idx="127">
                  <c:v>#N/A</c:v>
                </c:pt>
                <c:pt idx="128">
                  <c:v>#N/A</c:v>
                </c:pt>
                <c:pt idx="129">
                  <c:v>#N/A</c:v>
                </c:pt>
                <c:pt idx="130">
                  <c:v>#N/A</c:v>
                </c:pt>
                <c:pt idx="131">
                  <c:v>#N/A</c:v>
                </c:pt>
                <c:pt idx="132">
                  <c:v>102.49896503889275</c:v>
                </c:pt>
                <c:pt idx="133">
                  <c:v>#N/A</c:v>
                </c:pt>
                <c:pt idx="134">
                  <c:v>109.06950056570228</c:v>
                </c:pt>
                <c:pt idx="135">
                  <c:v>183.00287827449267</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101.86692917538278</c:v>
                </c:pt>
                <c:pt idx="150">
                  <c:v>#N/A</c:v>
                </c:pt>
                <c:pt idx="151">
                  <c:v>107.11042328126746</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103.04050891196064</c:v>
                </c:pt>
                <c:pt idx="167">
                  <c:v>#N/A</c:v>
                </c:pt>
                <c:pt idx="168">
                  <c:v>#N/A</c:v>
                </c:pt>
                <c:pt idx="169">
                  <c:v>178.61859229887912</c:v>
                </c:pt>
                <c:pt idx="170">
                  <c:v>#N/A</c:v>
                </c:pt>
                <c:pt idx="171">
                  <c:v>#N/A</c:v>
                </c:pt>
                <c:pt idx="172">
                  <c:v>#N/A</c:v>
                </c:pt>
                <c:pt idx="173">
                  <c:v>#N/A</c:v>
                </c:pt>
                <c:pt idx="174">
                  <c:v>#N/A</c:v>
                </c:pt>
                <c:pt idx="175">
                  <c:v>180.84669263449834</c:v>
                </c:pt>
                <c:pt idx="176">
                  <c:v>#N/A</c:v>
                </c:pt>
                <c:pt idx="177">
                  <c:v>#N/A</c:v>
                </c:pt>
                <c:pt idx="178">
                  <c:v>#N/A</c:v>
                </c:pt>
                <c:pt idx="179">
                  <c:v>#N/A</c:v>
                </c:pt>
                <c:pt idx="180">
                  <c:v>#N/A</c:v>
                </c:pt>
                <c:pt idx="181">
                  <c:v>#N/A</c:v>
                </c:pt>
                <c:pt idx="182">
                  <c:v>#N/A</c:v>
                </c:pt>
                <c:pt idx="183">
                  <c:v>#N/A</c:v>
                </c:pt>
                <c:pt idx="184">
                  <c:v>#N/A</c:v>
                </c:pt>
                <c:pt idx="185">
                  <c:v>96.156617378861426</c:v>
                </c:pt>
                <c:pt idx="186">
                  <c:v>#N/A</c:v>
                </c:pt>
                <c:pt idx="187">
                  <c:v>#N/A</c:v>
                </c:pt>
                <c:pt idx="188">
                  <c:v>94.03548229080144</c:v>
                </c:pt>
                <c:pt idx="189">
                  <c:v>#N/A</c:v>
                </c:pt>
                <c:pt idx="190">
                  <c:v>#N/A</c:v>
                </c:pt>
                <c:pt idx="191">
                  <c:v>#N/A</c:v>
                </c:pt>
                <c:pt idx="192">
                  <c:v>#N/A</c:v>
                </c:pt>
                <c:pt idx="193">
                  <c:v>#N/A</c:v>
                </c:pt>
                <c:pt idx="194">
                  <c:v>202.26587862188262</c:v>
                </c:pt>
                <c:pt idx="195">
                  <c:v>#N/A</c:v>
                </c:pt>
                <c:pt idx="196">
                  <c:v>#N/A</c:v>
                </c:pt>
                <c:pt idx="197">
                  <c:v>#N/A</c:v>
                </c:pt>
                <c:pt idx="198">
                  <c:v>87.506387327542157</c:v>
                </c:pt>
                <c:pt idx="199">
                  <c:v>#N/A</c:v>
                </c:pt>
                <c:pt idx="200">
                  <c:v>#N/A</c:v>
                </c:pt>
                <c:pt idx="201">
                  <c:v>#N/A</c:v>
                </c:pt>
                <c:pt idx="202">
                  <c:v>187.26699997110077</c:v>
                </c:pt>
                <c:pt idx="203">
                  <c:v>#N/A</c:v>
                </c:pt>
                <c:pt idx="204">
                  <c:v>#N/A</c:v>
                </c:pt>
                <c:pt idx="205">
                  <c:v>#N/A</c:v>
                </c:pt>
                <c:pt idx="206">
                  <c:v>#N/A</c:v>
                </c:pt>
                <c:pt idx="207">
                  <c:v>#N/A</c:v>
                </c:pt>
                <c:pt idx="208">
                  <c:v>#N/A</c:v>
                </c:pt>
                <c:pt idx="209">
                  <c:v>99.072442504493267</c:v>
                </c:pt>
                <c:pt idx="210">
                  <c:v>#N/A</c:v>
                </c:pt>
                <c:pt idx="211">
                  <c:v>#N/A</c:v>
                </c:pt>
                <c:pt idx="212">
                  <c:v>#N/A</c:v>
                </c:pt>
                <c:pt idx="213">
                  <c:v>#N/A</c:v>
                </c:pt>
                <c:pt idx="214">
                  <c:v>#N/A</c:v>
                </c:pt>
                <c:pt idx="215">
                  <c:v>#N/A</c:v>
                </c:pt>
                <c:pt idx="216">
                  <c:v>90.763383688120243</c:v>
                </c:pt>
                <c:pt idx="217">
                  <c:v>#N/A</c:v>
                </c:pt>
                <c:pt idx="218">
                  <c:v>#N/A</c:v>
                </c:pt>
                <c:pt idx="219">
                  <c:v>#N/A</c:v>
                </c:pt>
                <c:pt idx="220">
                  <c:v>#N/A</c:v>
                </c:pt>
                <c:pt idx="221">
                  <c:v>183.40474905558551</c:v>
                </c:pt>
                <c:pt idx="222">
                  <c:v>#N/A</c:v>
                </c:pt>
                <c:pt idx="223">
                  <c:v>#N/A</c:v>
                </c:pt>
                <c:pt idx="224">
                  <c:v>#N/A</c:v>
                </c:pt>
                <c:pt idx="225">
                  <c:v>#N/A</c:v>
                </c:pt>
                <c:pt idx="226">
                  <c:v>#N/A</c:v>
                </c:pt>
                <c:pt idx="227">
                  <c:v>#N/A</c:v>
                </c:pt>
                <c:pt idx="228">
                  <c:v>98.371575433204399</c:v>
                </c:pt>
                <c:pt idx="229">
                  <c:v>#N/A</c:v>
                </c:pt>
                <c:pt idx="230">
                  <c:v>30.820395459538631</c:v>
                </c:pt>
                <c:pt idx="231">
                  <c:v>#N/A</c:v>
                </c:pt>
                <c:pt idx="232">
                  <c:v>130.95995373716929</c:v>
                </c:pt>
                <c:pt idx="233">
                  <c:v>#N/A</c:v>
                </c:pt>
                <c:pt idx="234">
                  <c:v>#N/A</c:v>
                </c:pt>
                <c:pt idx="235">
                  <c:v>145.06172436529337</c:v>
                </c:pt>
                <c:pt idx="236">
                  <c:v>#N/A</c:v>
                </c:pt>
                <c:pt idx="237">
                  <c:v>182.00896495517523</c:v>
                </c:pt>
                <c:pt idx="238">
                  <c:v>#N/A</c:v>
                </c:pt>
                <c:pt idx="239">
                  <c:v>#N/A</c:v>
                </c:pt>
                <c:pt idx="240">
                  <c:v>#N/A</c:v>
                </c:pt>
                <c:pt idx="241">
                  <c:v>#N/A</c:v>
                </c:pt>
                <c:pt idx="242">
                  <c:v>#N/A</c:v>
                </c:pt>
                <c:pt idx="243">
                  <c:v>#N/A</c:v>
                </c:pt>
                <c:pt idx="244">
                  <c:v>#N/A</c:v>
                </c:pt>
                <c:pt idx="245">
                  <c:v>83.901759347835124</c:v>
                </c:pt>
                <c:pt idx="246">
                  <c:v>#N/A</c:v>
                </c:pt>
                <c:pt idx="247">
                  <c:v>#N/A</c:v>
                </c:pt>
                <c:pt idx="248">
                  <c:v>#N/A</c:v>
                </c:pt>
                <c:pt idx="249">
                  <c:v>75.997725851384388</c:v>
                </c:pt>
                <c:pt idx="250">
                  <c:v>#N/A</c:v>
                </c:pt>
                <c:pt idx="251">
                  <c:v>232.35294117647061</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numCache>
            </c:numRef>
          </c:val>
          <c:smooth val="0"/>
          <c:extLst>
            <c:ext xmlns:c16="http://schemas.microsoft.com/office/drawing/2014/chart" uri="{C3380CC4-5D6E-409C-BE32-E72D297353CC}">
              <c16:uniqueId val="{00000001-7937-428B-9FC6-9D4673A3B2FB}"/>
            </c:ext>
          </c:extLst>
        </c:ser>
        <c:dLbls>
          <c:showLegendKey val="0"/>
          <c:showVal val="0"/>
          <c:showCatName val="0"/>
          <c:showSerName val="0"/>
          <c:showPercent val="0"/>
          <c:showBubbleSize val="0"/>
        </c:dLbls>
        <c:marker val="1"/>
        <c:smooth val="0"/>
        <c:axId val="60170240"/>
        <c:axId val="60171776"/>
      </c:lineChart>
      <c:catAx>
        <c:axId val="60170240"/>
        <c:scaling>
          <c:orientation val="minMax"/>
        </c:scaling>
        <c:delete val="1"/>
        <c:axPos val="b"/>
        <c:majorTickMark val="out"/>
        <c:minorTickMark val="none"/>
        <c:tickLblPos val="none"/>
        <c:crossAx val="60171776"/>
        <c:crosses val="autoZero"/>
        <c:auto val="1"/>
        <c:lblAlgn val="ctr"/>
        <c:lblOffset val="100"/>
        <c:noMultiLvlLbl val="0"/>
      </c:catAx>
      <c:valAx>
        <c:axId val="60171776"/>
        <c:scaling>
          <c:orientation val="minMax"/>
        </c:scaling>
        <c:delete val="1"/>
        <c:axPos val="l"/>
        <c:numFmt formatCode="General" sourceLinked="1"/>
        <c:majorTickMark val="out"/>
        <c:minorTickMark val="none"/>
        <c:tickLblPos val="none"/>
        <c:crossAx val="60170240"/>
        <c:crosses val="autoZero"/>
        <c:crossBetween val="midCat"/>
      </c:valAx>
    </c:plotArea>
    <c:plotVisOnly val="1"/>
    <c:dispBlanksAs val="gap"/>
    <c:showDLblsOverMax val="0"/>
  </c:chart>
  <c:spPr>
    <a:noFill/>
    <a:ln>
      <a:noFill/>
    </a:ln>
  </c:spPr>
  <c:printSettings>
    <c:headerFooter/>
    <c:pageMargins b="0.75000000000000444" l="0.70000000000000062" r="0.70000000000000062" t="0.75000000000000444"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293743440348029E-3"/>
          <c:y val="7.8321712822735881E-2"/>
          <c:w val="0.9677878166378926"/>
          <c:h val="0.79860130988439393"/>
        </c:manualLayout>
      </c:layout>
      <c:areaChart>
        <c:grouping val="standard"/>
        <c:varyColors val="0"/>
        <c:ser>
          <c:idx val="0"/>
          <c:order val="0"/>
          <c:tx>
            <c:strRef>
              <c:f>calculations!$AD$19</c:f>
              <c:strCache>
                <c:ptCount val="1"/>
                <c:pt idx="0">
                  <c:v>Share Of Frozen Meat</c:v>
                </c:pt>
              </c:strCache>
            </c:strRef>
          </c:tx>
          <c:spPr>
            <a:solidFill>
              <a:schemeClr val="bg1">
                <a:lumMod val="75000"/>
              </a:schemeClr>
            </a:solidFill>
          </c:spPr>
          <c:val>
            <c:numRef>
              <c:f>calculations!$AD$20:$AD$379</c:f>
              <c:numCache>
                <c:formatCode>General</c:formatCode>
                <c:ptCount val="360"/>
                <c:pt idx="0">
                  <c:v>0</c:v>
                </c:pt>
                <c:pt idx="1">
                  <c:v>0</c:v>
                </c:pt>
                <c:pt idx="2">
                  <c:v>71.486617789947886</c:v>
                </c:pt>
                <c:pt idx="3">
                  <c:v>50.934220629639107</c:v>
                </c:pt>
                <c:pt idx="4">
                  <c:v>82.323206003439481</c:v>
                </c:pt>
                <c:pt idx="5">
                  <c:v>0</c:v>
                </c:pt>
                <c:pt idx="6">
                  <c:v>0</c:v>
                </c:pt>
                <c:pt idx="7">
                  <c:v>0</c:v>
                </c:pt>
                <c:pt idx="8">
                  <c:v>0</c:v>
                </c:pt>
                <c:pt idx="9">
                  <c:v>78.348494994202085</c:v>
                </c:pt>
                <c:pt idx="10">
                  <c:v>52.26463588767254</c:v>
                </c:pt>
                <c:pt idx="11">
                  <c:v>80.716155655144874</c:v>
                </c:pt>
                <c:pt idx="12">
                  <c:v>23.87079237076972</c:v>
                </c:pt>
                <c:pt idx="13">
                  <c:v>72.956116380003209</c:v>
                </c:pt>
                <c:pt idx="14">
                  <c:v>77.361733931240664</c:v>
                </c:pt>
                <c:pt idx="15">
                  <c:v>58.278830566269782</c:v>
                </c:pt>
                <c:pt idx="16">
                  <c:v>71.562259934352952</c:v>
                </c:pt>
                <c:pt idx="17">
                  <c:v>74.559270516717319</c:v>
                </c:pt>
                <c:pt idx="18">
                  <c:v>0</c:v>
                </c:pt>
                <c:pt idx="19">
                  <c:v>77.611603787764921</c:v>
                </c:pt>
                <c:pt idx="20">
                  <c:v>58.197834947626767</c:v>
                </c:pt>
                <c:pt idx="21">
                  <c:v>19.42449213413828</c:v>
                </c:pt>
                <c:pt idx="22">
                  <c:v>53.149862396797602</c:v>
                </c:pt>
                <c:pt idx="23">
                  <c:v>82.419273294792603</c:v>
                </c:pt>
                <c:pt idx="24">
                  <c:v>82.064894564894558</c:v>
                </c:pt>
                <c:pt idx="25">
                  <c:v>77.449052984895701</c:v>
                </c:pt>
                <c:pt idx="26">
                  <c:v>0</c:v>
                </c:pt>
                <c:pt idx="27">
                  <c:v>0</c:v>
                </c:pt>
                <c:pt idx="28">
                  <c:v>19.09496355922985</c:v>
                </c:pt>
                <c:pt idx="29">
                  <c:v>12.335918574299075</c:v>
                </c:pt>
                <c:pt idx="30">
                  <c:v>81.644161622432605</c:v>
                </c:pt>
                <c:pt idx="31">
                  <c:v>19.179353414762609</c:v>
                </c:pt>
                <c:pt idx="32">
                  <c:v>76.592482460623529</c:v>
                </c:pt>
                <c:pt idx="33">
                  <c:v>82.205918317437025</c:v>
                </c:pt>
                <c:pt idx="34">
                  <c:v>0</c:v>
                </c:pt>
                <c:pt idx="35">
                  <c:v>31.837249258094026</c:v>
                </c:pt>
                <c:pt idx="36">
                  <c:v>0</c:v>
                </c:pt>
                <c:pt idx="37">
                  <c:v>0</c:v>
                </c:pt>
                <c:pt idx="38">
                  <c:v>0</c:v>
                </c:pt>
                <c:pt idx="39">
                  <c:v>36.366665185909106</c:v>
                </c:pt>
                <c:pt idx="40">
                  <c:v>0</c:v>
                </c:pt>
                <c:pt idx="41">
                  <c:v>82.447644535066473</c:v>
                </c:pt>
                <c:pt idx="42">
                  <c:v>0</c:v>
                </c:pt>
                <c:pt idx="43">
                  <c:v>54.763120040833371</c:v>
                </c:pt>
                <c:pt idx="44">
                  <c:v>0</c:v>
                </c:pt>
                <c:pt idx="45">
                  <c:v>8.6148837001850982</c:v>
                </c:pt>
                <c:pt idx="46">
                  <c:v>38.542975058316884</c:v>
                </c:pt>
                <c:pt idx="47">
                  <c:v>36.065372542830588</c:v>
                </c:pt>
                <c:pt idx="48">
                  <c:v>0</c:v>
                </c:pt>
                <c:pt idx="49">
                  <c:v>0</c:v>
                </c:pt>
                <c:pt idx="50">
                  <c:v>0</c:v>
                </c:pt>
                <c:pt idx="51">
                  <c:v>40.698709390298177</c:v>
                </c:pt>
                <c:pt idx="52">
                  <c:v>32.981764019161872</c:v>
                </c:pt>
                <c:pt idx="53">
                  <c:v>53.101784852870239</c:v>
                </c:pt>
                <c:pt idx="54">
                  <c:v>0</c:v>
                </c:pt>
                <c:pt idx="55">
                  <c:v>6.1319228236974546</c:v>
                </c:pt>
                <c:pt idx="56">
                  <c:v>7.8170277356147375</c:v>
                </c:pt>
                <c:pt idx="57">
                  <c:v>0</c:v>
                </c:pt>
                <c:pt idx="58">
                  <c:v>17.876749851386478</c:v>
                </c:pt>
                <c:pt idx="59">
                  <c:v>0</c:v>
                </c:pt>
                <c:pt idx="60">
                  <c:v>81.717537909796121</c:v>
                </c:pt>
                <c:pt idx="61">
                  <c:v>0</c:v>
                </c:pt>
                <c:pt idx="62">
                  <c:v>29.899194333086832</c:v>
                </c:pt>
                <c:pt idx="63">
                  <c:v>13.083340973686624</c:v>
                </c:pt>
                <c:pt idx="64">
                  <c:v>20.418176749372734</c:v>
                </c:pt>
                <c:pt idx="65">
                  <c:v>15.004103794431467</c:v>
                </c:pt>
                <c:pt idx="66">
                  <c:v>0</c:v>
                </c:pt>
                <c:pt idx="67">
                  <c:v>0</c:v>
                </c:pt>
                <c:pt idx="68">
                  <c:v>23.440705785802216</c:v>
                </c:pt>
                <c:pt idx="69">
                  <c:v>0</c:v>
                </c:pt>
                <c:pt idx="70">
                  <c:v>0</c:v>
                </c:pt>
                <c:pt idx="71">
                  <c:v>81.032207614486097</c:v>
                </c:pt>
                <c:pt idx="72">
                  <c:v>26.355657087892268</c:v>
                </c:pt>
                <c:pt idx="73">
                  <c:v>63.136975132490825</c:v>
                </c:pt>
                <c:pt idx="74">
                  <c:v>0</c:v>
                </c:pt>
                <c:pt idx="75">
                  <c:v>37.755102040816325</c:v>
                </c:pt>
                <c:pt idx="76">
                  <c:v>0</c:v>
                </c:pt>
                <c:pt idx="77">
                  <c:v>16.572768177865164</c:v>
                </c:pt>
                <c:pt idx="78">
                  <c:v>5.4607950030491752</c:v>
                </c:pt>
                <c:pt idx="79">
                  <c:v>7.5379386115498184</c:v>
                </c:pt>
                <c:pt idx="80">
                  <c:v>0</c:v>
                </c:pt>
                <c:pt idx="81">
                  <c:v>40.09451058016672</c:v>
                </c:pt>
                <c:pt idx="82">
                  <c:v>45.677381476588877</c:v>
                </c:pt>
                <c:pt idx="83">
                  <c:v>0</c:v>
                </c:pt>
                <c:pt idx="84">
                  <c:v>40.17757465810773</c:v>
                </c:pt>
                <c:pt idx="85">
                  <c:v>0</c:v>
                </c:pt>
                <c:pt idx="86">
                  <c:v>0</c:v>
                </c:pt>
                <c:pt idx="87">
                  <c:v>0</c:v>
                </c:pt>
                <c:pt idx="88">
                  <c:v>77.411402157164872</c:v>
                </c:pt>
                <c:pt idx="89">
                  <c:v>53.197517539125741</c:v>
                </c:pt>
                <c:pt idx="90">
                  <c:v>0</c:v>
                </c:pt>
                <c:pt idx="91">
                  <c:v>100</c:v>
                </c:pt>
                <c:pt idx="92">
                  <c:v>34.287084755594229</c:v>
                </c:pt>
                <c:pt idx="93">
                  <c:v>44.642938522535658</c:v>
                </c:pt>
                <c:pt idx="94">
                  <c:v>2.9343733189887038</c:v>
                </c:pt>
                <c:pt idx="95">
                  <c:v>16.917797672730472</c:v>
                </c:pt>
                <c:pt idx="96">
                  <c:v>0</c:v>
                </c:pt>
                <c:pt idx="97">
                  <c:v>0</c:v>
                </c:pt>
                <c:pt idx="98">
                  <c:v>0</c:v>
                </c:pt>
                <c:pt idx="99">
                  <c:v>0</c:v>
                </c:pt>
                <c:pt idx="100">
                  <c:v>25.686629153269024</c:v>
                </c:pt>
                <c:pt idx="101">
                  <c:v>0</c:v>
                </c:pt>
                <c:pt idx="102">
                  <c:v>0</c:v>
                </c:pt>
                <c:pt idx="103">
                  <c:v>53.17220543806647</c:v>
                </c:pt>
                <c:pt idx="104">
                  <c:v>0</c:v>
                </c:pt>
                <c:pt idx="105">
                  <c:v>0</c:v>
                </c:pt>
                <c:pt idx="106">
                  <c:v>12.248749329998214</c:v>
                </c:pt>
                <c:pt idx="107">
                  <c:v>0</c:v>
                </c:pt>
                <c:pt idx="108">
                  <c:v>100</c:v>
                </c:pt>
                <c:pt idx="109">
                  <c:v>37.772909641371498</c:v>
                </c:pt>
                <c:pt idx="110">
                  <c:v>0</c:v>
                </c:pt>
                <c:pt idx="111">
                  <c:v>24.976120681136983</c:v>
                </c:pt>
                <c:pt idx="112">
                  <c:v>0</c:v>
                </c:pt>
                <c:pt idx="113">
                  <c:v>43.715755222000631</c:v>
                </c:pt>
                <c:pt idx="114">
                  <c:v>94.630240226095154</c:v>
                </c:pt>
                <c:pt idx="115">
                  <c:v>25.880676682935128</c:v>
                </c:pt>
                <c:pt idx="116">
                  <c:v>0</c:v>
                </c:pt>
                <c:pt idx="117">
                  <c:v>1.1655061141304348</c:v>
                </c:pt>
                <c:pt idx="118">
                  <c:v>49.563318777292572</c:v>
                </c:pt>
                <c:pt idx="119">
                  <c:v>20.784151693486248</c:v>
                </c:pt>
                <c:pt idx="120">
                  <c:v>0</c:v>
                </c:pt>
                <c:pt idx="121">
                  <c:v>0</c:v>
                </c:pt>
                <c:pt idx="122">
                  <c:v>0</c:v>
                </c:pt>
                <c:pt idx="123">
                  <c:v>45.960436309853947</c:v>
                </c:pt>
                <c:pt idx="124">
                  <c:v>0</c:v>
                </c:pt>
                <c:pt idx="125">
                  <c:v>82.313470205307965</c:v>
                </c:pt>
                <c:pt idx="126">
                  <c:v>0</c:v>
                </c:pt>
                <c:pt idx="127">
                  <c:v>41.661731892537205</c:v>
                </c:pt>
                <c:pt idx="128">
                  <c:v>0</c:v>
                </c:pt>
                <c:pt idx="129">
                  <c:v>35.268844785020356</c:v>
                </c:pt>
                <c:pt idx="130">
                  <c:v>41.741285313067898</c:v>
                </c:pt>
                <c:pt idx="131">
                  <c:v>0</c:v>
                </c:pt>
                <c:pt idx="132">
                  <c:v>0</c:v>
                </c:pt>
                <c:pt idx="133">
                  <c:v>0</c:v>
                </c:pt>
                <c:pt idx="134">
                  <c:v>0</c:v>
                </c:pt>
                <c:pt idx="135">
                  <c:v>0</c:v>
                </c:pt>
                <c:pt idx="136">
                  <c:v>0</c:v>
                </c:pt>
                <c:pt idx="137">
                  <c:v>24.508545338855335</c:v>
                </c:pt>
                <c:pt idx="138">
                  <c:v>0</c:v>
                </c:pt>
                <c:pt idx="139">
                  <c:v>37.273637582525751</c:v>
                </c:pt>
                <c:pt idx="140">
                  <c:v>0</c:v>
                </c:pt>
                <c:pt idx="141">
                  <c:v>42.05781062570135</c:v>
                </c:pt>
                <c:pt idx="142">
                  <c:v>0</c:v>
                </c:pt>
                <c:pt idx="143">
                  <c:v>0</c:v>
                </c:pt>
                <c:pt idx="144">
                  <c:v>82.421771588923605</c:v>
                </c:pt>
                <c:pt idx="145">
                  <c:v>0</c:v>
                </c:pt>
                <c:pt idx="146">
                  <c:v>0</c:v>
                </c:pt>
                <c:pt idx="147">
                  <c:v>15.260399202301326</c:v>
                </c:pt>
                <c:pt idx="148">
                  <c:v>39.859263153637727</c:v>
                </c:pt>
                <c:pt idx="149">
                  <c:v>0</c:v>
                </c:pt>
                <c:pt idx="150">
                  <c:v>43.893427115097829</c:v>
                </c:pt>
                <c:pt idx="151">
                  <c:v>0</c:v>
                </c:pt>
                <c:pt idx="152">
                  <c:v>28.587370966241981</c:v>
                </c:pt>
                <c:pt idx="153">
                  <c:v>0</c:v>
                </c:pt>
                <c:pt idx="154">
                  <c:v>0</c:v>
                </c:pt>
                <c:pt idx="155">
                  <c:v>0</c:v>
                </c:pt>
                <c:pt idx="156">
                  <c:v>0</c:v>
                </c:pt>
                <c:pt idx="157">
                  <c:v>0</c:v>
                </c:pt>
                <c:pt idx="158">
                  <c:v>43.22233875196644</c:v>
                </c:pt>
                <c:pt idx="159">
                  <c:v>0</c:v>
                </c:pt>
                <c:pt idx="160">
                  <c:v>43.330530688955932</c:v>
                </c:pt>
                <c:pt idx="161">
                  <c:v>33.912975583639145</c:v>
                </c:pt>
                <c:pt idx="162">
                  <c:v>0</c:v>
                </c:pt>
                <c:pt idx="163">
                  <c:v>46.007492113564666</c:v>
                </c:pt>
                <c:pt idx="164">
                  <c:v>28.283294273956933</c:v>
                </c:pt>
                <c:pt idx="165">
                  <c:v>33.915729854972973</c:v>
                </c:pt>
                <c:pt idx="166">
                  <c:v>0</c:v>
                </c:pt>
                <c:pt idx="167">
                  <c:v>0</c:v>
                </c:pt>
                <c:pt idx="168">
                  <c:v>0</c:v>
                </c:pt>
                <c:pt idx="169">
                  <c:v>0</c:v>
                </c:pt>
                <c:pt idx="170">
                  <c:v>0</c:v>
                </c:pt>
                <c:pt idx="171">
                  <c:v>38.455895252220785</c:v>
                </c:pt>
                <c:pt idx="172">
                  <c:v>0</c:v>
                </c:pt>
                <c:pt idx="173">
                  <c:v>0</c:v>
                </c:pt>
                <c:pt idx="174">
                  <c:v>25.829647884946489</c:v>
                </c:pt>
                <c:pt idx="175">
                  <c:v>0</c:v>
                </c:pt>
                <c:pt idx="176">
                  <c:v>0</c:v>
                </c:pt>
                <c:pt idx="177">
                  <c:v>36.789689513766845</c:v>
                </c:pt>
                <c:pt idx="178">
                  <c:v>100</c:v>
                </c:pt>
                <c:pt idx="179">
                  <c:v>10.259729657231494</c:v>
                </c:pt>
                <c:pt idx="180">
                  <c:v>0</c:v>
                </c:pt>
                <c:pt idx="181">
                  <c:v>0</c:v>
                </c:pt>
                <c:pt idx="182">
                  <c:v>100</c:v>
                </c:pt>
                <c:pt idx="183">
                  <c:v>41.966993328438726</c:v>
                </c:pt>
                <c:pt idx="184">
                  <c:v>11.289520182526203</c:v>
                </c:pt>
                <c:pt idx="185">
                  <c:v>0</c:v>
                </c:pt>
                <c:pt idx="186">
                  <c:v>100</c:v>
                </c:pt>
                <c:pt idx="187">
                  <c:v>16.26808494811619</c:v>
                </c:pt>
                <c:pt idx="188">
                  <c:v>0</c:v>
                </c:pt>
                <c:pt idx="189">
                  <c:v>22.234850022324146</c:v>
                </c:pt>
                <c:pt idx="190">
                  <c:v>0</c:v>
                </c:pt>
                <c:pt idx="191">
                  <c:v>0</c:v>
                </c:pt>
                <c:pt idx="192">
                  <c:v>0</c:v>
                </c:pt>
                <c:pt idx="193">
                  <c:v>45.016059957173447</c:v>
                </c:pt>
                <c:pt idx="194">
                  <c:v>34.392388640622748</c:v>
                </c:pt>
                <c:pt idx="195">
                  <c:v>0</c:v>
                </c:pt>
                <c:pt idx="196">
                  <c:v>24.842342342342342</c:v>
                </c:pt>
                <c:pt idx="197">
                  <c:v>0</c:v>
                </c:pt>
                <c:pt idx="198">
                  <c:v>81.239530988274709</c:v>
                </c:pt>
                <c:pt idx="199">
                  <c:v>0</c:v>
                </c:pt>
                <c:pt idx="200">
                  <c:v>0</c:v>
                </c:pt>
                <c:pt idx="201">
                  <c:v>0</c:v>
                </c:pt>
                <c:pt idx="202">
                  <c:v>82.080729606485392</c:v>
                </c:pt>
                <c:pt idx="203">
                  <c:v>11.453210500796564</c:v>
                </c:pt>
                <c:pt idx="204">
                  <c:v>0</c:v>
                </c:pt>
                <c:pt idx="205">
                  <c:v>0</c:v>
                </c:pt>
                <c:pt idx="206">
                  <c:v>100</c:v>
                </c:pt>
                <c:pt idx="207">
                  <c:v>48.407264066686508</c:v>
                </c:pt>
                <c:pt idx="208">
                  <c:v>0</c:v>
                </c:pt>
                <c:pt idx="209">
                  <c:v>0</c:v>
                </c:pt>
                <c:pt idx="210">
                  <c:v>44.89560058556129</c:v>
                </c:pt>
                <c:pt idx="211">
                  <c:v>100</c:v>
                </c:pt>
                <c:pt idx="212">
                  <c:v>45.319148936170208</c:v>
                </c:pt>
                <c:pt idx="213">
                  <c:v>0</c:v>
                </c:pt>
                <c:pt idx="214">
                  <c:v>0</c:v>
                </c:pt>
                <c:pt idx="215">
                  <c:v>33.766700002564299</c:v>
                </c:pt>
                <c:pt idx="216">
                  <c:v>52.992793764400211</c:v>
                </c:pt>
                <c:pt idx="217">
                  <c:v>0</c:v>
                </c:pt>
                <c:pt idx="218">
                  <c:v>0</c:v>
                </c:pt>
                <c:pt idx="219">
                  <c:v>0</c:v>
                </c:pt>
                <c:pt idx="220">
                  <c:v>48.344370860927157</c:v>
                </c:pt>
                <c:pt idx="221">
                  <c:v>15.824192113845243</c:v>
                </c:pt>
                <c:pt idx="222">
                  <c:v>95.830416180474515</c:v>
                </c:pt>
                <c:pt idx="223">
                  <c:v>0</c:v>
                </c:pt>
                <c:pt idx="224">
                  <c:v>100</c:v>
                </c:pt>
                <c:pt idx="225">
                  <c:v>0</c:v>
                </c:pt>
                <c:pt idx="226">
                  <c:v>0</c:v>
                </c:pt>
                <c:pt idx="227">
                  <c:v>16.083517292126565</c:v>
                </c:pt>
                <c:pt idx="228">
                  <c:v>40.797714536864085</c:v>
                </c:pt>
                <c:pt idx="229">
                  <c:v>47.870725828051071</c:v>
                </c:pt>
                <c:pt idx="230">
                  <c:v>0</c:v>
                </c:pt>
                <c:pt idx="231">
                  <c:v>36.656005685856428</c:v>
                </c:pt>
                <c:pt idx="232">
                  <c:v>0</c:v>
                </c:pt>
                <c:pt idx="233">
                  <c:v>100</c:v>
                </c:pt>
                <c:pt idx="234">
                  <c:v>24.186097668279807</c:v>
                </c:pt>
                <c:pt idx="235">
                  <c:v>100</c:v>
                </c:pt>
                <c:pt idx="236">
                  <c:v>35.486384280637743</c:v>
                </c:pt>
                <c:pt idx="237">
                  <c:v>77.941526028048486</c:v>
                </c:pt>
                <c:pt idx="238">
                  <c:v>100</c:v>
                </c:pt>
                <c:pt idx="239">
                  <c:v>0</c:v>
                </c:pt>
                <c:pt idx="240">
                  <c:v>100</c:v>
                </c:pt>
                <c:pt idx="241">
                  <c:v>0</c:v>
                </c:pt>
                <c:pt idx="242">
                  <c:v>0</c:v>
                </c:pt>
                <c:pt idx="243">
                  <c:v>0</c:v>
                </c:pt>
                <c:pt idx="244">
                  <c:v>47.567409144196951</c:v>
                </c:pt>
                <c:pt idx="245">
                  <c:v>48.894154818325433</c:v>
                </c:pt>
                <c:pt idx="246">
                  <c:v>0</c:v>
                </c:pt>
                <c:pt idx="247">
                  <c:v>36.968264686022955</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numCache>
            </c:numRef>
          </c:val>
          <c:extLst>
            <c:ext xmlns:c16="http://schemas.microsoft.com/office/drawing/2014/chart" uri="{C3380CC4-5D6E-409C-BE32-E72D297353CC}">
              <c16:uniqueId val="{00000000-4470-4847-8A8F-DD9CB4B8A64D}"/>
            </c:ext>
          </c:extLst>
        </c:ser>
        <c:dLbls>
          <c:showLegendKey val="0"/>
          <c:showVal val="0"/>
          <c:showCatName val="0"/>
          <c:showSerName val="0"/>
          <c:showPercent val="0"/>
          <c:showBubbleSize val="0"/>
        </c:dLbls>
        <c:axId val="60209408"/>
        <c:axId val="60096512"/>
      </c:areaChart>
      <c:lineChart>
        <c:grouping val="standard"/>
        <c:varyColors val="0"/>
        <c:ser>
          <c:idx val="1"/>
          <c:order val="1"/>
          <c:tx>
            <c:strRef>
              <c:f>calculations!$BJ$19</c:f>
              <c:strCache>
                <c:ptCount val="1"/>
                <c:pt idx="0">
                  <c:v>Share Of Frozen Meat</c:v>
                </c:pt>
              </c:strCache>
            </c:strRef>
          </c:tx>
          <c:spPr>
            <a:ln>
              <a:noFill/>
            </a:ln>
          </c:spPr>
          <c:marker>
            <c:symbol val="none"/>
          </c:marker>
          <c:errBars>
            <c:errDir val="y"/>
            <c:errBarType val="minus"/>
            <c:errValType val="percentage"/>
            <c:noEndCap val="1"/>
            <c:val val="100"/>
            <c:spPr>
              <a:ln w="3175">
                <a:solidFill>
                  <a:srgbClr val="C00000"/>
                </a:solidFill>
              </a:ln>
            </c:spPr>
          </c:errBars>
          <c:val>
            <c:numRef>
              <c:f>calculations!$BJ$20:$BJ$379</c:f>
              <c:numCache>
                <c:formatCode>0.00%</c:formatCode>
                <c:ptCount val="3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58.197834947626767</c:v>
                </c:pt>
                <c:pt idx="21">
                  <c:v>#N/A</c:v>
                </c:pt>
                <c:pt idx="22">
                  <c:v>53.149862396797602</c:v>
                </c:pt>
                <c:pt idx="23">
                  <c:v>82.419273294792603</c:v>
                </c:pt>
                <c:pt idx="24">
                  <c:v>#N/A</c:v>
                </c:pt>
                <c:pt idx="25">
                  <c:v>#N/A</c:v>
                </c:pt>
                <c:pt idx="26">
                  <c:v>#N/A</c:v>
                </c:pt>
                <c:pt idx="27">
                  <c:v>#N/A</c:v>
                </c:pt>
                <c:pt idx="28">
                  <c:v>#N/A</c:v>
                </c:pt>
                <c:pt idx="29">
                  <c:v>#N/A</c:v>
                </c:pt>
                <c:pt idx="30">
                  <c:v>81.644161622432605</c:v>
                </c:pt>
                <c:pt idx="31">
                  <c:v>#N/A</c:v>
                </c:pt>
                <c:pt idx="32">
                  <c:v>#N/A</c:v>
                </c:pt>
                <c:pt idx="33">
                  <c:v>82.205918317437025</c:v>
                </c:pt>
                <c:pt idx="34">
                  <c:v>#N/A</c:v>
                </c:pt>
                <c:pt idx="35">
                  <c:v>#N/A</c:v>
                </c:pt>
                <c:pt idx="36">
                  <c:v>0</c:v>
                </c:pt>
                <c:pt idx="37">
                  <c:v>#N/A</c:v>
                </c:pt>
                <c:pt idx="38">
                  <c:v>#N/A</c:v>
                </c:pt>
                <c:pt idx="39">
                  <c:v>#N/A</c:v>
                </c:pt>
                <c:pt idx="40">
                  <c:v>0</c:v>
                </c:pt>
                <c:pt idx="41">
                  <c:v>#N/A</c:v>
                </c:pt>
                <c:pt idx="42">
                  <c:v>#N/A</c:v>
                </c:pt>
                <c:pt idx="43">
                  <c:v>54.763120040833371</c:v>
                </c:pt>
                <c:pt idx="44">
                  <c:v>0</c:v>
                </c:pt>
                <c:pt idx="45">
                  <c:v>#N/A</c:v>
                </c:pt>
                <c:pt idx="46">
                  <c:v>#N/A</c:v>
                </c:pt>
                <c:pt idx="47">
                  <c:v>#N/A</c:v>
                </c:pt>
                <c:pt idx="48">
                  <c:v>#N/A</c:v>
                </c:pt>
                <c:pt idx="49">
                  <c:v>0</c:v>
                </c:pt>
                <c:pt idx="50">
                  <c:v>#N/A</c:v>
                </c:pt>
                <c:pt idx="51">
                  <c:v>#N/A</c:v>
                </c:pt>
                <c:pt idx="52">
                  <c:v>#N/A</c:v>
                </c:pt>
                <c:pt idx="53">
                  <c:v>#N/A</c:v>
                </c:pt>
                <c:pt idx="54">
                  <c:v>#N/A</c:v>
                </c:pt>
                <c:pt idx="55">
                  <c:v>#N/A</c:v>
                </c:pt>
                <c:pt idx="56">
                  <c:v>#N/A</c:v>
                </c:pt>
                <c:pt idx="57">
                  <c:v>0</c:v>
                </c:pt>
                <c:pt idx="58">
                  <c:v>#N/A</c:v>
                </c:pt>
                <c:pt idx="59">
                  <c:v>0</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0</c:v>
                </c:pt>
                <c:pt idx="77">
                  <c:v>#N/A</c:v>
                </c:pt>
                <c:pt idx="78">
                  <c:v>5.4607950030491752</c:v>
                </c:pt>
                <c:pt idx="79">
                  <c:v>#N/A</c:v>
                </c:pt>
                <c:pt idx="80">
                  <c:v>#N/A</c:v>
                </c:pt>
                <c:pt idx="81">
                  <c:v>#N/A</c:v>
                </c:pt>
                <c:pt idx="82">
                  <c:v>#N/A</c:v>
                </c:pt>
                <c:pt idx="83">
                  <c:v>#N/A</c:v>
                </c:pt>
                <c:pt idx="84">
                  <c:v>#N/A</c:v>
                </c:pt>
                <c:pt idx="85">
                  <c:v>#N/A</c:v>
                </c:pt>
                <c:pt idx="86">
                  <c:v>0</c:v>
                </c:pt>
                <c:pt idx="87">
                  <c:v>#N/A</c:v>
                </c:pt>
                <c:pt idx="88">
                  <c:v>#N/A</c:v>
                </c:pt>
                <c:pt idx="89">
                  <c:v>53.197517539125741</c:v>
                </c:pt>
                <c:pt idx="90">
                  <c:v>#N/A</c:v>
                </c:pt>
                <c:pt idx="91">
                  <c:v>#N/A</c:v>
                </c:pt>
                <c:pt idx="92">
                  <c:v>#N/A</c:v>
                </c:pt>
                <c:pt idx="93">
                  <c:v>#N/A</c:v>
                </c:pt>
                <c:pt idx="94">
                  <c:v>#N/A</c:v>
                </c:pt>
                <c:pt idx="95">
                  <c:v>#N/A</c:v>
                </c:pt>
                <c:pt idx="96">
                  <c:v>#N/A</c:v>
                </c:pt>
                <c:pt idx="97">
                  <c:v>#N/A</c:v>
                </c:pt>
                <c:pt idx="98">
                  <c:v>0</c:v>
                </c:pt>
                <c:pt idx="99">
                  <c:v>0</c:v>
                </c:pt>
                <c:pt idx="100">
                  <c:v>#N/A</c:v>
                </c:pt>
                <c:pt idx="101">
                  <c:v>0</c:v>
                </c:pt>
                <c:pt idx="102">
                  <c:v>#N/A</c:v>
                </c:pt>
                <c:pt idx="103">
                  <c:v>53.17220543806647</c:v>
                </c:pt>
                <c:pt idx="104">
                  <c:v>#N/A</c:v>
                </c:pt>
                <c:pt idx="105">
                  <c:v>#N/A</c:v>
                </c:pt>
                <c:pt idx="106">
                  <c:v>#N/A</c:v>
                </c:pt>
                <c:pt idx="107">
                  <c:v>#N/A</c:v>
                </c:pt>
                <c:pt idx="108">
                  <c:v>#N/A</c:v>
                </c:pt>
                <c:pt idx="109">
                  <c:v>#N/A</c:v>
                </c:pt>
                <c:pt idx="110">
                  <c:v>#N/A</c:v>
                </c:pt>
                <c:pt idx="111">
                  <c:v>#N/A</c:v>
                </c:pt>
                <c:pt idx="112">
                  <c:v>#N/A</c:v>
                </c:pt>
                <c:pt idx="113">
                  <c:v>#N/A</c:v>
                </c:pt>
                <c:pt idx="114">
                  <c:v>94.630240226095154</c:v>
                </c:pt>
                <c:pt idx="115">
                  <c:v>#N/A</c:v>
                </c:pt>
                <c:pt idx="116">
                  <c:v>0</c:v>
                </c:pt>
                <c:pt idx="117">
                  <c:v>#N/A</c:v>
                </c:pt>
                <c:pt idx="118">
                  <c:v>49.563318777292572</c:v>
                </c:pt>
                <c:pt idx="119">
                  <c:v>#N/A</c:v>
                </c:pt>
                <c:pt idx="120">
                  <c:v>0</c:v>
                </c:pt>
                <c:pt idx="121">
                  <c:v>#N/A</c:v>
                </c:pt>
                <c:pt idx="122">
                  <c:v>#N/A</c:v>
                </c:pt>
                <c:pt idx="123">
                  <c:v>#N/A</c:v>
                </c:pt>
                <c:pt idx="124">
                  <c:v>0</c:v>
                </c:pt>
                <c:pt idx="125">
                  <c:v>#N/A</c:v>
                </c:pt>
                <c:pt idx="126">
                  <c:v>#N/A</c:v>
                </c:pt>
                <c:pt idx="127">
                  <c:v>#N/A</c:v>
                </c:pt>
                <c:pt idx="128">
                  <c:v>#N/A</c:v>
                </c:pt>
                <c:pt idx="129">
                  <c:v>#N/A</c:v>
                </c:pt>
                <c:pt idx="130">
                  <c:v>#N/A</c:v>
                </c:pt>
                <c:pt idx="131">
                  <c:v>#N/A</c:v>
                </c:pt>
                <c:pt idx="132">
                  <c:v>0</c:v>
                </c:pt>
                <c:pt idx="133">
                  <c:v>#N/A</c:v>
                </c:pt>
                <c:pt idx="134">
                  <c:v>0</c:v>
                </c:pt>
                <c:pt idx="135">
                  <c:v>0</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0</c:v>
                </c:pt>
                <c:pt idx="150">
                  <c:v>#N/A</c:v>
                </c:pt>
                <c:pt idx="151">
                  <c:v>0</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0</c:v>
                </c:pt>
                <c:pt idx="167">
                  <c:v>#N/A</c:v>
                </c:pt>
                <c:pt idx="168">
                  <c:v>#N/A</c:v>
                </c:pt>
                <c:pt idx="169">
                  <c:v>0</c:v>
                </c:pt>
                <c:pt idx="170">
                  <c:v>#N/A</c:v>
                </c:pt>
                <c:pt idx="171">
                  <c:v>#N/A</c:v>
                </c:pt>
                <c:pt idx="172">
                  <c:v>#N/A</c:v>
                </c:pt>
                <c:pt idx="173">
                  <c:v>#N/A</c:v>
                </c:pt>
                <c:pt idx="174">
                  <c:v>#N/A</c:v>
                </c:pt>
                <c:pt idx="175">
                  <c:v>0</c:v>
                </c:pt>
                <c:pt idx="176">
                  <c:v>#N/A</c:v>
                </c:pt>
                <c:pt idx="177">
                  <c:v>#N/A</c:v>
                </c:pt>
                <c:pt idx="178">
                  <c:v>#N/A</c:v>
                </c:pt>
                <c:pt idx="179">
                  <c:v>#N/A</c:v>
                </c:pt>
                <c:pt idx="180">
                  <c:v>#N/A</c:v>
                </c:pt>
                <c:pt idx="181">
                  <c:v>#N/A</c:v>
                </c:pt>
                <c:pt idx="182">
                  <c:v>#N/A</c:v>
                </c:pt>
                <c:pt idx="183">
                  <c:v>#N/A</c:v>
                </c:pt>
                <c:pt idx="184">
                  <c:v>#N/A</c:v>
                </c:pt>
                <c:pt idx="185">
                  <c:v>0</c:v>
                </c:pt>
                <c:pt idx="186">
                  <c:v>#N/A</c:v>
                </c:pt>
                <c:pt idx="187">
                  <c:v>#N/A</c:v>
                </c:pt>
                <c:pt idx="188">
                  <c:v>0</c:v>
                </c:pt>
                <c:pt idx="189">
                  <c:v>#N/A</c:v>
                </c:pt>
                <c:pt idx="190">
                  <c:v>#N/A</c:v>
                </c:pt>
                <c:pt idx="191">
                  <c:v>#N/A</c:v>
                </c:pt>
                <c:pt idx="192">
                  <c:v>#N/A</c:v>
                </c:pt>
                <c:pt idx="193">
                  <c:v>#N/A</c:v>
                </c:pt>
                <c:pt idx="194">
                  <c:v>34.392388640622748</c:v>
                </c:pt>
                <c:pt idx="195">
                  <c:v>#N/A</c:v>
                </c:pt>
                <c:pt idx="196">
                  <c:v>#N/A</c:v>
                </c:pt>
                <c:pt idx="197">
                  <c:v>#N/A</c:v>
                </c:pt>
                <c:pt idx="198">
                  <c:v>81.239530988274709</c:v>
                </c:pt>
                <c:pt idx="199">
                  <c:v>#N/A</c:v>
                </c:pt>
                <c:pt idx="200">
                  <c:v>#N/A</c:v>
                </c:pt>
                <c:pt idx="201">
                  <c:v>#N/A</c:v>
                </c:pt>
                <c:pt idx="202">
                  <c:v>82.080729606485392</c:v>
                </c:pt>
                <c:pt idx="203">
                  <c:v>#N/A</c:v>
                </c:pt>
                <c:pt idx="204">
                  <c:v>#N/A</c:v>
                </c:pt>
                <c:pt idx="205">
                  <c:v>#N/A</c:v>
                </c:pt>
                <c:pt idx="206">
                  <c:v>#N/A</c:v>
                </c:pt>
                <c:pt idx="207">
                  <c:v>#N/A</c:v>
                </c:pt>
                <c:pt idx="208">
                  <c:v>#N/A</c:v>
                </c:pt>
                <c:pt idx="209">
                  <c:v>0</c:v>
                </c:pt>
                <c:pt idx="210">
                  <c:v>#N/A</c:v>
                </c:pt>
                <c:pt idx="211">
                  <c:v>#N/A</c:v>
                </c:pt>
                <c:pt idx="212">
                  <c:v>#N/A</c:v>
                </c:pt>
                <c:pt idx="213">
                  <c:v>#N/A</c:v>
                </c:pt>
                <c:pt idx="214">
                  <c:v>#N/A</c:v>
                </c:pt>
                <c:pt idx="215">
                  <c:v>#N/A</c:v>
                </c:pt>
                <c:pt idx="216">
                  <c:v>52.992793764400211</c:v>
                </c:pt>
                <c:pt idx="217">
                  <c:v>#N/A</c:v>
                </c:pt>
                <c:pt idx="218">
                  <c:v>#N/A</c:v>
                </c:pt>
                <c:pt idx="219">
                  <c:v>#N/A</c:v>
                </c:pt>
                <c:pt idx="220">
                  <c:v>#N/A</c:v>
                </c:pt>
                <c:pt idx="221">
                  <c:v>15.824192113845243</c:v>
                </c:pt>
                <c:pt idx="222">
                  <c:v>#N/A</c:v>
                </c:pt>
                <c:pt idx="223">
                  <c:v>#N/A</c:v>
                </c:pt>
                <c:pt idx="224">
                  <c:v>#N/A</c:v>
                </c:pt>
                <c:pt idx="225">
                  <c:v>#N/A</c:v>
                </c:pt>
                <c:pt idx="226">
                  <c:v>#N/A</c:v>
                </c:pt>
                <c:pt idx="227">
                  <c:v>#N/A</c:v>
                </c:pt>
                <c:pt idx="228">
                  <c:v>40.797714536864085</c:v>
                </c:pt>
                <c:pt idx="229">
                  <c:v>#N/A</c:v>
                </c:pt>
                <c:pt idx="230">
                  <c:v>0</c:v>
                </c:pt>
                <c:pt idx="231">
                  <c:v>#N/A</c:v>
                </c:pt>
                <c:pt idx="232">
                  <c:v>0</c:v>
                </c:pt>
                <c:pt idx="233">
                  <c:v>#N/A</c:v>
                </c:pt>
                <c:pt idx="234">
                  <c:v>#N/A</c:v>
                </c:pt>
                <c:pt idx="235">
                  <c:v>100</c:v>
                </c:pt>
                <c:pt idx="236">
                  <c:v>#N/A</c:v>
                </c:pt>
                <c:pt idx="237">
                  <c:v>77.941526028048486</c:v>
                </c:pt>
                <c:pt idx="238">
                  <c:v>#N/A</c:v>
                </c:pt>
                <c:pt idx="239">
                  <c:v>#N/A</c:v>
                </c:pt>
                <c:pt idx="240">
                  <c:v>#N/A</c:v>
                </c:pt>
                <c:pt idx="241">
                  <c:v>#N/A</c:v>
                </c:pt>
                <c:pt idx="242">
                  <c:v>#N/A</c:v>
                </c:pt>
                <c:pt idx="243">
                  <c:v>#N/A</c:v>
                </c:pt>
                <c:pt idx="244">
                  <c:v>#N/A</c:v>
                </c:pt>
                <c:pt idx="245">
                  <c:v>48.894154818325433</c:v>
                </c:pt>
                <c:pt idx="246">
                  <c:v>#N/A</c:v>
                </c:pt>
                <c:pt idx="247">
                  <c:v>#N/A</c:v>
                </c:pt>
                <c:pt idx="248">
                  <c:v>#N/A</c:v>
                </c:pt>
                <c:pt idx="249">
                  <c:v>0</c:v>
                </c:pt>
                <c:pt idx="250">
                  <c:v>#N/A</c:v>
                </c:pt>
                <c:pt idx="251">
                  <c:v>0</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numCache>
            </c:numRef>
          </c:val>
          <c:smooth val="0"/>
          <c:extLst>
            <c:ext xmlns:c16="http://schemas.microsoft.com/office/drawing/2014/chart" uri="{C3380CC4-5D6E-409C-BE32-E72D297353CC}">
              <c16:uniqueId val="{00000001-4470-4847-8A8F-DD9CB4B8A64D}"/>
            </c:ext>
          </c:extLst>
        </c:ser>
        <c:dLbls>
          <c:showLegendKey val="0"/>
          <c:showVal val="0"/>
          <c:showCatName val="0"/>
          <c:showSerName val="0"/>
          <c:showPercent val="0"/>
          <c:showBubbleSize val="0"/>
        </c:dLbls>
        <c:marker val="1"/>
        <c:smooth val="0"/>
        <c:axId val="60209408"/>
        <c:axId val="60096512"/>
      </c:lineChart>
      <c:catAx>
        <c:axId val="60209408"/>
        <c:scaling>
          <c:orientation val="minMax"/>
        </c:scaling>
        <c:delete val="1"/>
        <c:axPos val="b"/>
        <c:majorTickMark val="out"/>
        <c:minorTickMark val="none"/>
        <c:tickLblPos val="none"/>
        <c:crossAx val="60096512"/>
        <c:crosses val="autoZero"/>
        <c:auto val="1"/>
        <c:lblAlgn val="ctr"/>
        <c:lblOffset val="100"/>
        <c:noMultiLvlLbl val="0"/>
      </c:catAx>
      <c:valAx>
        <c:axId val="60096512"/>
        <c:scaling>
          <c:orientation val="minMax"/>
        </c:scaling>
        <c:delete val="1"/>
        <c:axPos val="l"/>
        <c:numFmt formatCode="General" sourceLinked="1"/>
        <c:majorTickMark val="out"/>
        <c:minorTickMark val="none"/>
        <c:tickLblPos val="none"/>
        <c:crossAx val="60209408"/>
        <c:crosses val="autoZero"/>
        <c:crossBetween val="midCat"/>
      </c:valAx>
    </c:plotArea>
    <c:plotVisOnly val="1"/>
    <c:dispBlanksAs val="gap"/>
    <c:showDLblsOverMax val="0"/>
  </c:chart>
  <c:spPr>
    <a:noFill/>
    <a:ln>
      <a:noFill/>
    </a:ln>
  </c:spPr>
  <c:printSettings>
    <c:headerFooter/>
    <c:pageMargins b="0.75000000000000466" l="0.70000000000000062" r="0.70000000000000062" t="0.750000000000004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862385683528607E-3"/>
          <c:y val="7.8321712822735881E-2"/>
          <c:w val="0.9715309442665897"/>
          <c:h val="0.79860130988439393"/>
        </c:manualLayout>
      </c:layout>
      <c:areaChart>
        <c:grouping val="standard"/>
        <c:varyColors val="0"/>
        <c:ser>
          <c:idx val="0"/>
          <c:order val="0"/>
          <c:tx>
            <c:strRef>
              <c:f>calculations!$AE$19</c:f>
              <c:strCache>
                <c:ptCount val="1"/>
                <c:pt idx="0">
                  <c:v>Throughput in 10kg/ hour</c:v>
                </c:pt>
              </c:strCache>
            </c:strRef>
          </c:tx>
          <c:spPr>
            <a:solidFill>
              <a:schemeClr val="bg1">
                <a:lumMod val="75000"/>
              </a:schemeClr>
            </a:solidFill>
          </c:spPr>
          <c:val>
            <c:numRef>
              <c:f>calculations!$AE$20:$AE$379</c:f>
              <c:numCache>
                <c:formatCode>General</c:formatCode>
                <c:ptCount val="360"/>
                <c:pt idx="0">
                  <c:v>124.06153846153848</c:v>
                </c:pt>
                <c:pt idx="1">
                  <c:v>64.511999999999986</c:v>
                </c:pt>
                <c:pt idx="2">
                  <c:v>211.12258064516126</c:v>
                </c:pt>
                <c:pt idx="3">
                  <c:v>307.92452830188682</c:v>
                </c:pt>
                <c:pt idx="4">
                  <c:v>369.52615384615382</c:v>
                </c:pt>
                <c:pt idx="5">
                  <c:v>311.32173913043482</c:v>
                </c:pt>
                <c:pt idx="6">
                  <c:v>262.31333333333333</c:v>
                </c:pt>
                <c:pt idx="7">
                  <c:v>304.2</c:v>
                </c:pt>
                <c:pt idx="8">
                  <c:v>295.50857142857137</c:v>
                </c:pt>
                <c:pt idx="9">
                  <c:v>356.25622119815671</c:v>
                </c:pt>
                <c:pt idx="10">
                  <c:v>356.89215686274508</c:v>
                </c:pt>
                <c:pt idx="11">
                  <c:v>368.31200000000001</c:v>
                </c:pt>
                <c:pt idx="12">
                  <c:v>249.15409836065572</c:v>
                </c:pt>
                <c:pt idx="13">
                  <c:v>315.36234458259327</c:v>
                </c:pt>
                <c:pt idx="14">
                  <c:v>355.53333333333336</c:v>
                </c:pt>
                <c:pt idx="15">
                  <c:v>333.70612244897961</c:v>
                </c:pt>
                <c:pt idx="16">
                  <c:v>366.06734693877553</c:v>
                </c:pt>
                <c:pt idx="17">
                  <c:v>326.30669546436286</c:v>
                </c:pt>
                <c:pt idx="18">
                  <c:v>292.36479999999995</c:v>
                </c:pt>
                <c:pt idx="19">
                  <c:v>360.10572687224669</c:v>
                </c:pt>
                <c:pt idx="20">
                  <c:v>345.33975903614453</c:v>
                </c:pt>
                <c:pt idx="21">
                  <c:v>283.64285714285717</c:v>
                </c:pt>
                <c:pt idx="22">
                  <c:v>348.55</c:v>
                </c:pt>
                <c:pt idx="23">
                  <c:v>379.11199999999997</c:v>
                </c:pt>
                <c:pt idx="24">
                  <c:v>332.93520518358531</c:v>
                </c:pt>
                <c:pt idx="25">
                  <c:v>286.03703703703707</c:v>
                </c:pt>
                <c:pt idx="26">
                  <c:v>288.65070422535211</c:v>
                </c:pt>
                <c:pt idx="27">
                  <c:v>339.27358490566041</c:v>
                </c:pt>
                <c:pt idx="28">
                  <c:v>276.12269662921346</c:v>
                </c:pt>
                <c:pt idx="29">
                  <c:v>404.47363966142689</c:v>
                </c:pt>
                <c:pt idx="30">
                  <c:v>249.36294642857143</c:v>
                </c:pt>
                <c:pt idx="31">
                  <c:v>296.79148936170213</c:v>
                </c:pt>
                <c:pt idx="32">
                  <c:v>300.18932038834953</c:v>
                </c:pt>
                <c:pt idx="33">
                  <c:v>302.50354609929076</c:v>
                </c:pt>
                <c:pt idx="34">
                  <c:v>417.16244897959177</c:v>
                </c:pt>
                <c:pt idx="35">
                  <c:v>409.08240875912406</c:v>
                </c:pt>
                <c:pt idx="36">
                  <c:v>346.01559105431306</c:v>
                </c:pt>
                <c:pt idx="37">
                  <c:v>427.06666666666672</c:v>
                </c:pt>
                <c:pt idx="38">
                  <c:v>246.09026548672568</c:v>
                </c:pt>
                <c:pt idx="39">
                  <c:v>424.28955223880604</c:v>
                </c:pt>
                <c:pt idx="40">
                  <c:v>317.60093617021278</c:v>
                </c:pt>
                <c:pt idx="41">
                  <c:v>417.92812500000002</c:v>
                </c:pt>
                <c:pt idx="42">
                  <c:v>270.64879120879124</c:v>
                </c:pt>
                <c:pt idx="43">
                  <c:v>346.18356164383562</c:v>
                </c:pt>
                <c:pt idx="44">
                  <c:v>301.31036144578309</c:v>
                </c:pt>
                <c:pt idx="45">
                  <c:v>420.82126394052045</c:v>
                </c:pt>
                <c:pt idx="46">
                  <c:v>214.4944736842105</c:v>
                </c:pt>
                <c:pt idx="47">
                  <c:v>378.6258947368421</c:v>
                </c:pt>
                <c:pt idx="48">
                  <c:v>258.88499999999999</c:v>
                </c:pt>
                <c:pt idx="49">
                  <c:v>313.93634042553191</c:v>
                </c:pt>
                <c:pt idx="50">
                  <c:v>415.53689440993787</c:v>
                </c:pt>
                <c:pt idx="51">
                  <c:v>394.0411764705882</c:v>
                </c:pt>
                <c:pt idx="52">
                  <c:v>402.03869230769226</c:v>
                </c:pt>
                <c:pt idx="53">
                  <c:v>319.45945945945942</c:v>
                </c:pt>
                <c:pt idx="54">
                  <c:v>348.98048780487807</c:v>
                </c:pt>
                <c:pt idx="55">
                  <c:v>392.49297872340424</c:v>
                </c:pt>
                <c:pt idx="56">
                  <c:v>354.05836575875486</c:v>
                </c:pt>
                <c:pt idx="57">
                  <c:v>294.98439999999999</c:v>
                </c:pt>
                <c:pt idx="58">
                  <c:v>382.15185344827586</c:v>
                </c:pt>
                <c:pt idx="59">
                  <c:v>291.28910284463893</c:v>
                </c:pt>
                <c:pt idx="60">
                  <c:v>130</c:v>
                </c:pt>
                <c:pt idx="61">
                  <c:v>271.72032786885245</c:v>
                </c:pt>
                <c:pt idx="62">
                  <c:v>401.88557806913002</c:v>
                </c:pt>
                <c:pt idx="63">
                  <c:v>321.15555555555557</c:v>
                </c:pt>
                <c:pt idx="64">
                  <c:v>437.56105670103096</c:v>
                </c:pt>
                <c:pt idx="65">
                  <c:v>420.02721428571431</c:v>
                </c:pt>
                <c:pt idx="66">
                  <c:v>294.32049689440993</c:v>
                </c:pt>
                <c:pt idx="67">
                  <c:v>375.91095890410963</c:v>
                </c:pt>
                <c:pt idx="68">
                  <c:v>294.22142857142859</c:v>
                </c:pt>
                <c:pt idx="69">
                  <c:v>418.49243697478994</c:v>
                </c:pt>
                <c:pt idx="70">
                  <c:v>413.76372093023258</c:v>
                </c:pt>
                <c:pt idx="71">
                  <c:v>385.49835345773874</c:v>
                </c:pt>
                <c:pt idx="72">
                  <c:v>412.51820224719097</c:v>
                </c:pt>
                <c:pt idx="73">
                  <c:v>336.65753424657538</c:v>
                </c:pt>
                <c:pt idx="74">
                  <c:v>426.377979568672</c:v>
                </c:pt>
                <c:pt idx="75">
                  <c:v>410.01812297734631</c:v>
                </c:pt>
                <c:pt idx="76">
                  <c:v>291.12237362637359</c:v>
                </c:pt>
                <c:pt idx="77">
                  <c:v>256.56220183486238</c:v>
                </c:pt>
                <c:pt idx="78">
                  <c:v>298.21170193192268</c:v>
                </c:pt>
                <c:pt idx="79">
                  <c:v>403.66968850698174</c:v>
                </c:pt>
                <c:pt idx="80">
                  <c:v>395.03389830508473</c:v>
                </c:pt>
                <c:pt idx="81">
                  <c:v>372.71699999999998</c:v>
                </c:pt>
                <c:pt idx="82">
                  <c:v>290.83702325581396</c:v>
                </c:pt>
                <c:pt idx="83">
                  <c:v>381.27692307692308</c:v>
                </c:pt>
                <c:pt idx="84">
                  <c:v>418.76862068965511</c:v>
                </c:pt>
                <c:pt idx="85">
                  <c:v>389.97212903225807</c:v>
                </c:pt>
                <c:pt idx="86">
                  <c:v>317.38902857142858</c:v>
                </c:pt>
                <c:pt idx="87">
                  <c:v>250.50756302521009</c:v>
                </c:pt>
                <c:pt idx="88">
                  <c:v>256.88571428571424</c:v>
                </c:pt>
                <c:pt idx="89">
                  <c:v>319.20652173913044</c:v>
                </c:pt>
                <c:pt idx="90">
                  <c:v>362.07000000000005</c:v>
                </c:pt>
                <c:pt idx="91">
                  <c:v>273.86511627906981</c:v>
                </c:pt>
                <c:pt idx="92">
                  <c:v>390.69659574468085</c:v>
                </c:pt>
                <c:pt idx="93">
                  <c:v>421.56412799999998</c:v>
                </c:pt>
                <c:pt idx="94">
                  <c:v>299.15178571428572</c:v>
                </c:pt>
                <c:pt idx="95">
                  <c:v>261.4064516129032</c:v>
                </c:pt>
                <c:pt idx="96">
                  <c:v>341.66517482517486</c:v>
                </c:pt>
                <c:pt idx="97">
                  <c:v>395.75928571428574</c:v>
                </c:pt>
                <c:pt idx="98">
                  <c:v>284.40300000000002</c:v>
                </c:pt>
                <c:pt idx="99">
                  <c:v>244.68014201183433</c:v>
                </c:pt>
                <c:pt idx="100">
                  <c:v>407.08539325842696</c:v>
                </c:pt>
                <c:pt idx="101">
                  <c:v>287.4310985915493</c:v>
                </c:pt>
                <c:pt idx="102">
                  <c:v>361.17027334851934</c:v>
                </c:pt>
                <c:pt idx="103">
                  <c:v>257.76774193548385</c:v>
                </c:pt>
                <c:pt idx="104">
                  <c:v>297.54699386503069</c:v>
                </c:pt>
                <c:pt idx="105">
                  <c:v>403.29467647058823</c:v>
                </c:pt>
                <c:pt idx="106">
                  <c:v>389.29059583632454</c:v>
                </c:pt>
                <c:pt idx="107">
                  <c:v>363.26341637010677</c:v>
                </c:pt>
                <c:pt idx="108">
                  <c:v>344.9194174757281</c:v>
                </c:pt>
                <c:pt idx="109">
                  <c:v>362.44182352941175</c:v>
                </c:pt>
                <c:pt idx="110">
                  <c:v>312.31075697211156</c:v>
                </c:pt>
                <c:pt idx="111">
                  <c:v>382.35987460815051</c:v>
                </c:pt>
                <c:pt idx="112">
                  <c:v>368.94899999999996</c:v>
                </c:pt>
                <c:pt idx="113">
                  <c:v>424.3386956521739</c:v>
                </c:pt>
                <c:pt idx="114">
                  <c:v>160.21136842105261</c:v>
                </c:pt>
                <c:pt idx="115">
                  <c:v>432.43418587360594</c:v>
                </c:pt>
                <c:pt idx="116">
                  <c:v>265.45078124999998</c:v>
                </c:pt>
                <c:pt idx="117">
                  <c:v>381.71423999999996</c:v>
                </c:pt>
                <c:pt idx="118">
                  <c:v>280.86660331491714</c:v>
                </c:pt>
                <c:pt idx="119">
                  <c:v>384.20851063829787</c:v>
                </c:pt>
                <c:pt idx="120">
                  <c:v>303.13174825174826</c:v>
                </c:pt>
                <c:pt idx="121">
                  <c:v>254.00823529411764</c:v>
                </c:pt>
                <c:pt idx="122">
                  <c:v>425.34377358490565</c:v>
                </c:pt>
                <c:pt idx="123">
                  <c:v>267.80271428571422</c:v>
                </c:pt>
                <c:pt idx="124">
                  <c:v>290.8074285714286</c:v>
                </c:pt>
                <c:pt idx="125">
                  <c:v>195.48937500000002</c:v>
                </c:pt>
                <c:pt idx="126">
                  <c:v>429.50967741935483</c:v>
                </c:pt>
                <c:pt idx="127">
                  <c:v>415.66857142857145</c:v>
                </c:pt>
                <c:pt idx="128">
                  <c:v>200.53157894736842</c:v>
                </c:pt>
                <c:pt idx="129">
                  <c:v>362.7956603773585</c:v>
                </c:pt>
                <c:pt idx="130">
                  <c:v>413.72720173535788</c:v>
                </c:pt>
                <c:pt idx="131">
                  <c:v>258.47329192546584</c:v>
                </c:pt>
                <c:pt idx="132">
                  <c:v>309.79112195121957</c:v>
                </c:pt>
                <c:pt idx="133">
                  <c:v>361.96791780821917</c:v>
                </c:pt>
                <c:pt idx="134">
                  <c:v>317.55905882352943</c:v>
                </c:pt>
                <c:pt idx="135">
                  <c:v>281.28128000000004</c:v>
                </c:pt>
                <c:pt idx="136">
                  <c:v>394.11707865168535</c:v>
                </c:pt>
                <c:pt idx="137">
                  <c:v>412.34088888888891</c:v>
                </c:pt>
                <c:pt idx="138">
                  <c:v>394.00834355828221</c:v>
                </c:pt>
                <c:pt idx="139">
                  <c:v>399.67396825396827</c:v>
                </c:pt>
                <c:pt idx="140">
                  <c:v>400.68900388098319</c:v>
                </c:pt>
                <c:pt idx="141">
                  <c:v>384.75806074766359</c:v>
                </c:pt>
                <c:pt idx="142">
                  <c:v>203.7140338983051</c:v>
                </c:pt>
                <c:pt idx="143">
                  <c:v>409.14123287671231</c:v>
                </c:pt>
                <c:pt idx="144">
                  <c:v>423.69230769230774</c:v>
                </c:pt>
                <c:pt idx="145">
                  <c:v>411.90797202797205</c:v>
                </c:pt>
                <c:pt idx="146">
                  <c:v>401.06487804878049</c:v>
                </c:pt>
                <c:pt idx="147">
                  <c:v>380.74565217391302</c:v>
                </c:pt>
                <c:pt idx="148">
                  <c:v>399.44711688311691</c:v>
                </c:pt>
                <c:pt idx="149">
                  <c:v>307.69401769911508</c:v>
                </c:pt>
                <c:pt idx="150">
                  <c:v>418.7347826086957</c:v>
                </c:pt>
                <c:pt idx="151">
                  <c:v>316.66792452830191</c:v>
                </c:pt>
                <c:pt idx="152">
                  <c:v>378.48562711864406</c:v>
                </c:pt>
                <c:pt idx="153">
                  <c:v>305.63542857142858</c:v>
                </c:pt>
                <c:pt idx="154">
                  <c:v>247.83178807947019</c:v>
                </c:pt>
                <c:pt idx="155">
                  <c:v>379.09478453038673</c:v>
                </c:pt>
                <c:pt idx="156">
                  <c:v>230.41739130434786</c:v>
                </c:pt>
                <c:pt idx="157">
                  <c:v>356.19810309278353</c:v>
                </c:pt>
                <c:pt idx="158">
                  <c:v>249.54942857142856</c:v>
                </c:pt>
                <c:pt idx="159">
                  <c:v>191.94599999999997</c:v>
                </c:pt>
                <c:pt idx="160">
                  <c:v>365.84215384615385</c:v>
                </c:pt>
                <c:pt idx="161">
                  <c:v>390.42291666666665</c:v>
                </c:pt>
                <c:pt idx="162">
                  <c:v>411.53757225433526</c:v>
                </c:pt>
                <c:pt idx="163">
                  <c:v>271.19752941176472</c:v>
                </c:pt>
                <c:pt idx="164">
                  <c:v>369.95981112277019</c:v>
                </c:pt>
                <c:pt idx="165">
                  <c:v>378.17147335423198</c:v>
                </c:pt>
                <c:pt idx="166">
                  <c:v>246.45416267942582</c:v>
                </c:pt>
                <c:pt idx="167">
                  <c:v>423.87440559440557</c:v>
                </c:pt>
                <c:pt idx="168">
                  <c:v>405.6875</c:v>
                </c:pt>
                <c:pt idx="169">
                  <c:v>302.96005970149258</c:v>
                </c:pt>
                <c:pt idx="170">
                  <c:v>164.2394366197183</c:v>
                </c:pt>
                <c:pt idx="171">
                  <c:v>413.65297297297303</c:v>
                </c:pt>
                <c:pt idx="172">
                  <c:v>337.74569877883312</c:v>
                </c:pt>
                <c:pt idx="173">
                  <c:v>391.50958579881654</c:v>
                </c:pt>
                <c:pt idx="174">
                  <c:v>411.3403389830508</c:v>
                </c:pt>
                <c:pt idx="175">
                  <c:v>304.08297029702965</c:v>
                </c:pt>
                <c:pt idx="176">
                  <c:v>402.0113702623907</c:v>
                </c:pt>
                <c:pt idx="177">
                  <c:v>350.77354838709675</c:v>
                </c:pt>
                <c:pt idx="178">
                  <c:v>346.30719327731089</c:v>
                </c:pt>
                <c:pt idx="179">
                  <c:v>390.9398841419262</c:v>
                </c:pt>
                <c:pt idx="180">
                  <c:v>355.69725433526014</c:v>
                </c:pt>
                <c:pt idx="181">
                  <c:v>289.44793388429747</c:v>
                </c:pt>
                <c:pt idx="182">
                  <c:v>386.7898482293424</c:v>
                </c:pt>
                <c:pt idx="183">
                  <c:v>343.7997894736842</c:v>
                </c:pt>
                <c:pt idx="184">
                  <c:v>394.28780172413792</c:v>
                </c:pt>
                <c:pt idx="185">
                  <c:v>279.76473469387759</c:v>
                </c:pt>
                <c:pt idx="186">
                  <c:v>358.72885714285712</c:v>
                </c:pt>
                <c:pt idx="187">
                  <c:v>327.54910179640717</c:v>
                </c:pt>
                <c:pt idx="188">
                  <c:v>257.19891262135923</c:v>
                </c:pt>
                <c:pt idx="189">
                  <c:v>422.01306462821401</c:v>
                </c:pt>
                <c:pt idx="190">
                  <c:v>224.8608163265306</c:v>
                </c:pt>
                <c:pt idx="191">
                  <c:v>380.34084507042252</c:v>
                </c:pt>
                <c:pt idx="192">
                  <c:v>363.69744578313248</c:v>
                </c:pt>
                <c:pt idx="193">
                  <c:v>314.54228571428564</c:v>
                </c:pt>
                <c:pt idx="194">
                  <c:v>260.479900990099</c:v>
                </c:pt>
                <c:pt idx="195">
                  <c:v>211.20160000000001</c:v>
                </c:pt>
                <c:pt idx="196">
                  <c:v>159.97826086956522</c:v>
                </c:pt>
                <c:pt idx="197">
                  <c:v>313.03210227272729</c:v>
                </c:pt>
                <c:pt idx="198">
                  <c:v>261.91176470588232</c:v>
                </c:pt>
                <c:pt idx="199">
                  <c:v>408.94189944134075</c:v>
                </c:pt>
                <c:pt idx="200">
                  <c:v>290.23018181818185</c:v>
                </c:pt>
                <c:pt idx="201">
                  <c:v>284.61428571428576</c:v>
                </c:pt>
                <c:pt idx="202">
                  <c:v>277.71428571428567</c:v>
                </c:pt>
                <c:pt idx="203">
                  <c:v>386.15687973997836</c:v>
                </c:pt>
                <c:pt idx="204">
                  <c:v>341.99675675675667</c:v>
                </c:pt>
                <c:pt idx="205">
                  <c:v>387.23444776119402</c:v>
                </c:pt>
                <c:pt idx="206">
                  <c:v>226.98692307692309</c:v>
                </c:pt>
                <c:pt idx="207">
                  <c:v>356.31388888888887</c:v>
                </c:pt>
                <c:pt idx="208">
                  <c:v>304.77296703296707</c:v>
                </c:pt>
                <c:pt idx="209">
                  <c:v>310.46114942528737</c:v>
                </c:pt>
                <c:pt idx="210">
                  <c:v>276.44368421052638</c:v>
                </c:pt>
                <c:pt idx="211">
                  <c:v>345.38053691275167</c:v>
                </c:pt>
                <c:pt idx="212">
                  <c:v>249.49449056603771</c:v>
                </c:pt>
                <c:pt idx="213">
                  <c:v>273.48631578947368</c:v>
                </c:pt>
                <c:pt idx="214">
                  <c:v>298.35849056603774</c:v>
                </c:pt>
                <c:pt idx="215">
                  <c:v>359.28166153846149</c:v>
                </c:pt>
                <c:pt idx="216">
                  <c:v>270.2</c:v>
                </c:pt>
                <c:pt idx="217">
                  <c:v>356.19996937212863</c:v>
                </c:pt>
                <c:pt idx="218">
                  <c:v>198.27212598425197</c:v>
                </c:pt>
                <c:pt idx="219">
                  <c:v>399.08031496062989</c:v>
                </c:pt>
                <c:pt idx="220">
                  <c:v>419.01884210526316</c:v>
                </c:pt>
                <c:pt idx="221">
                  <c:v>259.75719745222926</c:v>
                </c:pt>
                <c:pt idx="222">
                  <c:v>244.49018181818178</c:v>
                </c:pt>
                <c:pt idx="223">
                  <c:v>398.49044295302025</c:v>
                </c:pt>
                <c:pt idx="224">
                  <c:v>411.48566037735844</c:v>
                </c:pt>
                <c:pt idx="225">
                  <c:v>426.27837837837831</c:v>
                </c:pt>
                <c:pt idx="226">
                  <c:v>223.27656250000001</c:v>
                </c:pt>
                <c:pt idx="227">
                  <c:v>373.6405863192183</c:v>
                </c:pt>
                <c:pt idx="228">
                  <c:v>293.1110526315789</c:v>
                </c:pt>
                <c:pt idx="229">
                  <c:v>257.6062361623616</c:v>
                </c:pt>
                <c:pt idx="230">
                  <c:v>178.76920353982302</c:v>
                </c:pt>
                <c:pt idx="231">
                  <c:v>332.1043824701195</c:v>
                </c:pt>
                <c:pt idx="232">
                  <c:v>135.8775</c:v>
                </c:pt>
                <c:pt idx="233">
                  <c:v>373.26260869565215</c:v>
                </c:pt>
                <c:pt idx="234">
                  <c:v>319.42764705882354</c:v>
                </c:pt>
                <c:pt idx="235">
                  <c:v>177.76560000000001</c:v>
                </c:pt>
                <c:pt idx="236">
                  <c:v>319.99609223300973</c:v>
                </c:pt>
                <c:pt idx="237">
                  <c:v>267.99</c:v>
                </c:pt>
                <c:pt idx="238">
                  <c:v>358.97063414634147</c:v>
                </c:pt>
                <c:pt idx="239">
                  <c:v>142.39064516129031</c:v>
                </c:pt>
                <c:pt idx="240">
                  <c:v>243.2513142857143</c:v>
                </c:pt>
                <c:pt idx="241">
                  <c:v>328.07272727272726</c:v>
                </c:pt>
                <c:pt idx="242">
                  <c:v>244.88967032967034</c:v>
                </c:pt>
                <c:pt idx="243">
                  <c:v>270.25799999999998</c:v>
                </c:pt>
                <c:pt idx="244">
                  <c:v>359.89655172413791</c:v>
                </c:pt>
                <c:pt idx="245">
                  <c:v>134.48333333333332</c:v>
                </c:pt>
                <c:pt idx="246">
                  <c:v>192.99799999999999</c:v>
                </c:pt>
                <c:pt idx="247">
                  <c:v>138.51222222222222</c:v>
                </c:pt>
                <c:pt idx="248">
                  <c:v>148.04000000000002</c:v>
                </c:pt>
                <c:pt idx="249">
                  <c:v>207.78093264248704</c:v>
                </c:pt>
                <c:pt idx="250">
                  <c:v>79.817142857142855</c:v>
                </c:pt>
                <c:pt idx="251">
                  <c:v>136.93333333333334</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numCache>
            </c:numRef>
          </c:val>
          <c:extLst>
            <c:ext xmlns:c16="http://schemas.microsoft.com/office/drawing/2014/chart" uri="{C3380CC4-5D6E-409C-BE32-E72D297353CC}">
              <c16:uniqueId val="{00000000-25D4-467A-91F8-A06D4D31FC60}"/>
            </c:ext>
          </c:extLst>
        </c:ser>
        <c:dLbls>
          <c:showLegendKey val="0"/>
          <c:showVal val="0"/>
          <c:showCatName val="0"/>
          <c:showSerName val="0"/>
          <c:showPercent val="0"/>
          <c:showBubbleSize val="0"/>
        </c:dLbls>
        <c:axId val="60121856"/>
        <c:axId val="60123392"/>
      </c:areaChart>
      <c:lineChart>
        <c:grouping val="standard"/>
        <c:varyColors val="0"/>
        <c:ser>
          <c:idx val="1"/>
          <c:order val="1"/>
          <c:tx>
            <c:strRef>
              <c:f>calculations!$BK$19</c:f>
              <c:strCache>
                <c:ptCount val="1"/>
                <c:pt idx="0">
                  <c:v>Throughput in 10kg/ hour</c:v>
                </c:pt>
              </c:strCache>
            </c:strRef>
          </c:tx>
          <c:spPr>
            <a:ln>
              <a:noFill/>
            </a:ln>
          </c:spPr>
          <c:marker>
            <c:symbol val="none"/>
          </c:marker>
          <c:errBars>
            <c:errDir val="y"/>
            <c:errBarType val="minus"/>
            <c:errValType val="percentage"/>
            <c:noEndCap val="1"/>
            <c:val val="100"/>
            <c:spPr>
              <a:ln w="3175">
                <a:solidFill>
                  <a:srgbClr val="C00000"/>
                </a:solidFill>
              </a:ln>
            </c:spPr>
          </c:errBars>
          <c:val>
            <c:numRef>
              <c:f>calculations!$BK$20:$BK$379</c:f>
              <c:numCache>
                <c:formatCode>General</c:formatCode>
                <c:ptCount val="3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345.33975903614453</c:v>
                </c:pt>
                <c:pt idx="21">
                  <c:v>#N/A</c:v>
                </c:pt>
                <c:pt idx="22">
                  <c:v>348.55</c:v>
                </c:pt>
                <c:pt idx="23">
                  <c:v>379.11199999999997</c:v>
                </c:pt>
                <c:pt idx="24">
                  <c:v>#N/A</c:v>
                </c:pt>
                <c:pt idx="25">
                  <c:v>#N/A</c:v>
                </c:pt>
                <c:pt idx="26">
                  <c:v>#N/A</c:v>
                </c:pt>
                <c:pt idx="27">
                  <c:v>#N/A</c:v>
                </c:pt>
                <c:pt idx="28">
                  <c:v>#N/A</c:v>
                </c:pt>
                <c:pt idx="29">
                  <c:v>#N/A</c:v>
                </c:pt>
                <c:pt idx="30">
                  <c:v>249.36294642857143</c:v>
                </c:pt>
                <c:pt idx="31">
                  <c:v>#N/A</c:v>
                </c:pt>
                <c:pt idx="32">
                  <c:v>#N/A</c:v>
                </c:pt>
                <c:pt idx="33">
                  <c:v>302.50354609929076</c:v>
                </c:pt>
                <c:pt idx="34">
                  <c:v>#N/A</c:v>
                </c:pt>
                <c:pt idx="35">
                  <c:v>#N/A</c:v>
                </c:pt>
                <c:pt idx="36">
                  <c:v>346.01559105431306</c:v>
                </c:pt>
                <c:pt idx="37">
                  <c:v>#N/A</c:v>
                </c:pt>
                <c:pt idx="38">
                  <c:v>#N/A</c:v>
                </c:pt>
                <c:pt idx="39">
                  <c:v>#N/A</c:v>
                </c:pt>
                <c:pt idx="40">
                  <c:v>317.60093617021278</c:v>
                </c:pt>
                <c:pt idx="41">
                  <c:v>#N/A</c:v>
                </c:pt>
                <c:pt idx="42">
                  <c:v>#N/A</c:v>
                </c:pt>
                <c:pt idx="43">
                  <c:v>346.18356164383562</c:v>
                </c:pt>
                <c:pt idx="44">
                  <c:v>301.31036144578309</c:v>
                </c:pt>
                <c:pt idx="45">
                  <c:v>#N/A</c:v>
                </c:pt>
                <c:pt idx="46">
                  <c:v>#N/A</c:v>
                </c:pt>
                <c:pt idx="47">
                  <c:v>#N/A</c:v>
                </c:pt>
                <c:pt idx="48">
                  <c:v>#N/A</c:v>
                </c:pt>
                <c:pt idx="49">
                  <c:v>313.93634042553191</c:v>
                </c:pt>
                <c:pt idx="50">
                  <c:v>#N/A</c:v>
                </c:pt>
                <c:pt idx="51">
                  <c:v>#N/A</c:v>
                </c:pt>
                <c:pt idx="52">
                  <c:v>#N/A</c:v>
                </c:pt>
                <c:pt idx="53">
                  <c:v>#N/A</c:v>
                </c:pt>
                <c:pt idx="54">
                  <c:v>#N/A</c:v>
                </c:pt>
                <c:pt idx="55">
                  <c:v>#N/A</c:v>
                </c:pt>
                <c:pt idx="56">
                  <c:v>#N/A</c:v>
                </c:pt>
                <c:pt idx="57">
                  <c:v>294.98439999999999</c:v>
                </c:pt>
                <c:pt idx="58">
                  <c:v>#N/A</c:v>
                </c:pt>
                <c:pt idx="59">
                  <c:v>291.28910284463893</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291.12237362637359</c:v>
                </c:pt>
                <c:pt idx="77">
                  <c:v>#N/A</c:v>
                </c:pt>
                <c:pt idx="78">
                  <c:v>298.21170193192268</c:v>
                </c:pt>
                <c:pt idx="79">
                  <c:v>#N/A</c:v>
                </c:pt>
                <c:pt idx="80">
                  <c:v>#N/A</c:v>
                </c:pt>
                <c:pt idx="81">
                  <c:v>#N/A</c:v>
                </c:pt>
                <c:pt idx="82">
                  <c:v>#N/A</c:v>
                </c:pt>
                <c:pt idx="83">
                  <c:v>#N/A</c:v>
                </c:pt>
                <c:pt idx="84">
                  <c:v>#N/A</c:v>
                </c:pt>
                <c:pt idx="85">
                  <c:v>#N/A</c:v>
                </c:pt>
                <c:pt idx="86">
                  <c:v>317.38902857142858</c:v>
                </c:pt>
                <c:pt idx="87">
                  <c:v>#N/A</c:v>
                </c:pt>
                <c:pt idx="88">
                  <c:v>#N/A</c:v>
                </c:pt>
                <c:pt idx="89">
                  <c:v>319.20652173913044</c:v>
                </c:pt>
                <c:pt idx="90">
                  <c:v>#N/A</c:v>
                </c:pt>
                <c:pt idx="91">
                  <c:v>#N/A</c:v>
                </c:pt>
                <c:pt idx="92">
                  <c:v>#N/A</c:v>
                </c:pt>
                <c:pt idx="93">
                  <c:v>#N/A</c:v>
                </c:pt>
                <c:pt idx="94">
                  <c:v>#N/A</c:v>
                </c:pt>
                <c:pt idx="95">
                  <c:v>#N/A</c:v>
                </c:pt>
                <c:pt idx="96">
                  <c:v>#N/A</c:v>
                </c:pt>
                <c:pt idx="97">
                  <c:v>#N/A</c:v>
                </c:pt>
                <c:pt idx="98">
                  <c:v>284.40300000000002</c:v>
                </c:pt>
                <c:pt idx="99">
                  <c:v>244.68014201183433</c:v>
                </c:pt>
                <c:pt idx="100">
                  <c:v>#N/A</c:v>
                </c:pt>
                <c:pt idx="101">
                  <c:v>287.4310985915493</c:v>
                </c:pt>
                <c:pt idx="102">
                  <c:v>#N/A</c:v>
                </c:pt>
                <c:pt idx="103">
                  <c:v>257.76774193548385</c:v>
                </c:pt>
                <c:pt idx="104">
                  <c:v>#N/A</c:v>
                </c:pt>
                <c:pt idx="105">
                  <c:v>#N/A</c:v>
                </c:pt>
                <c:pt idx="106">
                  <c:v>#N/A</c:v>
                </c:pt>
                <c:pt idx="107">
                  <c:v>#N/A</c:v>
                </c:pt>
                <c:pt idx="108">
                  <c:v>#N/A</c:v>
                </c:pt>
                <c:pt idx="109">
                  <c:v>#N/A</c:v>
                </c:pt>
                <c:pt idx="110">
                  <c:v>#N/A</c:v>
                </c:pt>
                <c:pt idx="111">
                  <c:v>#N/A</c:v>
                </c:pt>
                <c:pt idx="112">
                  <c:v>#N/A</c:v>
                </c:pt>
                <c:pt idx="113">
                  <c:v>#N/A</c:v>
                </c:pt>
                <c:pt idx="114">
                  <c:v>160.21136842105261</c:v>
                </c:pt>
                <c:pt idx="115">
                  <c:v>#N/A</c:v>
                </c:pt>
                <c:pt idx="116">
                  <c:v>265.45078124999998</c:v>
                </c:pt>
                <c:pt idx="117">
                  <c:v>#N/A</c:v>
                </c:pt>
                <c:pt idx="118">
                  <c:v>280.86660331491714</c:v>
                </c:pt>
                <c:pt idx="119">
                  <c:v>#N/A</c:v>
                </c:pt>
                <c:pt idx="120">
                  <c:v>303.13174825174826</c:v>
                </c:pt>
                <c:pt idx="121">
                  <c:v>#N/A</c:v>
                </c:pt>
                <c:pt idx="122">
                  <c:v>#N/A</c:v>
                </c:pt>
                <c:pt idx="123">
                  <c:v>#N/A</c:v>
                </c:pt>
                <c:pt idx="124">
                  <c:v>290.8074285714286</c:v>
                </c:pt>
                <c:pt idx="125">
                  <c:v>#N/A</c:v>
                </c:pt>
                <c:pt idx="126">
                  <c:v>#N/A</c:v>
                </c:pt>
                <c:pt idx="127">
                  <c:v>#N/A</c:v>
                </c:pt>
                <c:pt idx="128">
                  <c:v>#N/A</c:v>
                </c:pt>
                <c:pt idx="129">
                  <c:v>#N/A</c:v>
                </c:pt>
                <c:pt idx="130">
                  <c:v>#N/A</c:v>
                </c:pt>
                <c:pt idx="131">
                  <c:v>#N/A</c:v>
                </c:pt>
                <c:pt idx="132">
                  <c:v>309.79112195121957</c:v>
                </c:pt>
                <c:pt idx="133">
                  <c:v>#N/A</c:v>
                </c:pt>
                <c:pt idx="134">
                  <c:v>317.55905882352943</c:v>
                </c:pt>
                <c:pt idx="135">
                  <c:v>281.28128000000004</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307.69401769911508</c:v>
                </c:pt>
                <c:pt idx="150">
                  <c:v>#N/A</c:v>
                </c:pt>
                <c:pt idx="151">
                  <c:v>316.66792452830191</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246.45416267942582</c:v>
                </c:pt>
                <c:pt idx="167">
                  <c:v>#N/A</c:v>
                </c:pt>
                <c:pt idx="168">
                  <c:v>#N/A</c:v>
                </c:pt>
                <c:pt idx="169">
                  <c:v>302.96005970149258</c:v>
                </c:pt>
                <c:pt idx="170">
                  <c:v>#N/A</c:v>
                </c:pt>
                <c:pt idx="171">
                  <c:v>#N/A</c:v>
                </c:pt>
                <c:pt idx="172">
                  <c:v>#N/A</c:v>
                </c:pt>
                <c:pt idx="173">
                  <c:v>#N/A</c:v>
                </c:pt>
                <c:pt idx="174">
                  <c:v>#N/A</c:v>
                </c:pt>
                <c:pt idx="175">
                  <c:v>304.08297029702965</c:v>
                </c:pt>
                <c:pt idx="176">
                  <c:v>#N/A</c:v>
                </c:pt>
                <c:pt idx="177">
                  <c:v>#N/A</c:v>
                </c:pt>
                <c:pt idx="178">
                  <c:v>#N/A</c:v>
                </c:pt>
                <c:pt idx="179">
                  <c:v>#N/A</c:v>
                </c:pt>
                <c:pt idx="180">
                  <c:v>#N/A</c:v>
                </c:pt>
                <c:pt idx="181">
                  <c:v>#N/A</c:v>
                </c:pt>
                <c:pt idx="182">
                  <c:v>#N/A</c:v>
                </c:pt>
                <c:pt idx="183">
                  <c:v>#N/A</c:v>
                </c:pt>
                <c:pt idx="184">
                  <c:v>#N/A</c:v>
                </c:pt>
                <c:pt idx="185">
                  <c:v>279.76473469387759</c:v>
                </c:pt>
                <c:pt idx="186">
                  <c:v>#N/A</c:v>
                </c:pt>
                <c:pt idx="187">
                  <c:v>#N/A</c:v>
                </c:pt>
                <c:pt idx="188">
                  <c:v>257.19891262135923</c:v>
                </c:pt>
                <c:pt idx="189">
                  <c:v>#N/A</c:v>
                </c:pt>
                <c:pt idx="190">
                  <c:v>#N/A</c:v>
                </c:pt>
                <c:pt idx="191">
                  <c:v>#N/A</c:v>
                </c:pt>
                <c:pt idx="192">
                  <c:v>#N/A</c:v>
                </c:pt>
                <c:pt idx="193">
                  <c:v>#N/A</c:v>
                </c:pt>
                <c:pt idx="194">
                  <c:v>260.479900990099</c:v>
                </c:pt>
                <c:pt idx="195">
                  <c:v>#N/A</c:v>
                </c:pt>
                <c:pt idx="196">
                  <c:v>#N/A</c:v>
                </c:pt>
                <c:pt idx="197">
                  <c:v>#N/A</c:v>
                </c:pt>
                <c:pt idx="198">
                  <c:v>261.91176470588232</c:v>
                </c:pt>
                <c:pt idx="199">
                  <c:v>#N/A</c:v>
                </c:pt>
                <c:pt idx="200">
                  <c:v>#N/A</c:v>
                </c:pt>
                <c:pt idx="201">
                  <c:v>#N/A</c:v>
                </c:pt>
                <c:pt idx="202">
                  <c:v>277.71428571428567</c:v>
                </c:pt>
                <c:pt idx="203">
                  <c:v>#N/A</c:v>
                </c:pt>
                <c:pt idx="204">
                  <c:v>#N/A</c:v>
                </c:pt>
                <c:pt idx="205">
                  <c:v>#N/A</c:v>
                </c:pt>
                <c:pt idx="206">
                  <c:v>#N/A</c:v>
                </c:pt>
                <c:pt idx="207">
                  <c:v>#N/A</c:v>
                </c:pt>
                <c:pt idx="208">
                  <c:v>#N/A</c:v>
                </c:pt>
                <c:pt idx="209">
                  <c:v>310.46114942528737</c:v>
                </c:pt>
                <c:pt idx="210">
                  <c:v>#N/A</c:v>
                </c:pt>
                <c:pt idx="211">
                  <c:v>#N/A</c:v>
                </c:pt>
                <c:pt idx="212">
                  <c:v>#N/A</c:v>
                </c:pt>
                <c:pt idx="213">
                  <c:v>#N/A</c:v>
                </c:pt>
                <c:pt idx="214">
                  <c:v>#N/A</c:v>
                </c:pt>
                <c:pt idx="215">
                  <c:v>#N/A</c:v>
                </c:pt>
                <c:pt idx="216">
                  <c:v>270.2</c:v>
                </c:pt>
                <c:pt idx="217">
                  <c:v>#N/A</c:v>
                </c:pt>
                <c:pt idx="218">
                  <c:v>#N/A</c:v>
                </c:pt>
                <c:pt idx="219">
                  <c:v>#N/A</c:v>
                </c:pt>
                <c:pt idx="220">
                  <c:v>#N/A</c:v>
                </c:pt>
                <c:pt idx="221">
                  <c:v>259.75719745222926</c:v>
                </c:pt>
                <c:pt idx="222">
                  <c:v>#N/A</c:v>
                </c:pt>
                <c:pt idx="223">
                  <c:v>#N/A</c:v>
                </c:pt>
                <c:pt idx="224">
                  <c:v>#N/A</c:v>
                </c:pt>
                <c:pt idx="225">
                  <c:v>#N/A</c:v>
                </c:pt>
                <c:pt idx="226">
                  <c:v>#N/A</c:v>
                </c:pt>
                <c:pt idx="227">
                  <c:v>#N/A</c:v>
                </c:pt>
                <c:pt idx="228">
                  <c:v>293.1110526315789</c:v>
                </c:pt>
                <c:pt idx="229">
                  <c:v>#N/A</c:v>
                </c:pt>
                <c:pt idx="230">
                  <c:v>178.76920353982302</c:v>
                </c:pt>
                <c:pt idx="231">
                  <c:v>#N/A</c:v>
                </c:pt>
                <c:pt idx="232">
                  <c:v>135.8775</c:v>
                </c:pt>
                <c:pt idx="233">
                  <c:v>#N/A</c:v>
                </c:pt>
                <c:pt idx="234">
                  <c:v>#N/A</c:v>
                </c:pt>
                <c:pt idx="235">
                  <c:v>177.76560000000001</c:v>
                </c:pt>
                <c:pt idx="236">
                  <c:v>#N/A</c:v>
                </c:pt>
                <c:pt idx="237">
                  <c:v>267.99</c:v>
                </c:pt>
                <c:pt idx="238">
                  <c:v>#N/A</c:v>
                </c:pt>
                <c:pt idx="239">
                  <c:v>#N/A</c:v>
                </c:pt>
                <c:pt idx="240">
                  <c:v>#N/A</c:v>
                </c:pt>
                <c:pt idx="241">
                  <c:v>#N/A</c:v>
                </c:pt>
                <c:pt idx="242">
                  <c:v>#N/A</c:v>
                </c:pt>
                <c:pt idx="243">
                  <c:v>#N/A</c:v>
                </c:pt>
                <c:pt idx="244">
                  <c:v>#N/A</c:v>
                </c:pt>
                <c:pt idx="245">
                  <c:v>134.48333333333332</c:v>
                </c:pt>
                <c:pt idx="246">
                  <c:v>#N/A</c:v>
                </c:pt>
                <c:pt idx="247">
                  <c:v>#N/A</c:v>
                </c:pt>
                <c:pt idx="248">
                  <c:v>#N/A</c:v>
                </c:pt>
                <c:pt idx="249">
                  <c:v>207.78093264248704</c:v>
                </c:pt>
                <c:pt idx="250">
                  <c:v>#N/A</c:v>
                </c:pt>
                <c:pt idx="251">
                  <c:v>136.93333333333334</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numCache>
            </c:numRef>
          </c:val>
          <c:smooth val="0"/>
          <c:extLst>
            <c:ext xmlns:c16="http://schemas.microsoft.com/office/drawing/2014/chart" uri="{C3380CC4-5D6E-409C-BE32-E72D297353CC}">
              <c16:uniqueId val="{00000001-25D4-467A-91F8-A06D4D31FC60}"/>
            </c:ext>
          </c:extLst>
        </c:ser>
        <c:dLbls>
          <c:showLegendKey val="0"/>
          <c:showVal val="0"/>
          <c:showCatName val="0"/>
          <c:showSerName val="0"/>
          <c:showPercent val="0"/>
          <c:showBubbleSize val="0"/>
        </c:dLbls>
        <c:marker val="1"/>
        <c:smooth val="0"/>
        <c:axId val="60121856"/>
        <c:axId val="60123392"/>
      </c:lineChart>
      <c:catAx>
        <c:axId val="60121856"/>
        <c:scaling>
          <c:orientation val="minMax"/>
        </c:scaling>
        <c:delete val="1"/>
        <c:axPos val="b"/>
        <c:majorTickMark val="out"/>
        <c:minorTickMark val="none"/>
        <c:tickLblPos val="none"/>
        <c:crossAx val="60123392"/>
        <c:crosses val="autoZero"/>
        <c:auto val="1"/>
        <c:lblAlgn val="ctr"/>
        <c:lblOffset val="100"/>
        <c:noMultiLvlLbl val="0"/>
      </c:catAx>
      <c:valAx>
        <c:axId val="60123392"/>
        <c:scaling>
          <c:orientation val="minMax"/>
        </c:scaling>
        <c:delete val="1"/>
        <c:axPos val="l"/>
        <c:numFmt formatCode="General" sourceLinked="1"/>
        <c:majorTickMark val="out"/>
        <c:minorTickMark val="none"/>
        <c:tickLblPos val="none"/>
        <c:crossAx val="60121856"/>
        <c:crosses val="autoZero"/>
        <c:crossBetween val="midCat"/>
      </c:valAx>
    </c:plotArea>
    <c:plotVisOnly val="1"/>
    <c:dispBlanksAs val="gap"/>
    <c:showDLblsOverMax val="0"/>
  </c:chart>
  <c:spPr>
    <a:noFill/>
    <a:ln>
      <a:noFill/>
    </a:ln>
  </c:spPr>
  <c:printSettings>
    <c:headerFooter/>
    <c:pageMargins b="0.75000000000000466" l="0.70000000000000062" r="0.70000000000000062" t="0.750000000000004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308691672424675E-3"/>
          <c:y val="7.8321712822735881E-2"/>
          <c:w val="0.97178642243168978"/>
          <c:h val="0.79860130988439393"/>
        </c:manualLayout>
      </c:layout>
      <c:areaChart>
        <c:grouping val="standard"/>
        <c:varyColors val="0"/>
        <c:ser>
          <c:idx val="0"/>
          <c:order val="0"/>
          <c:tx>
            <c:strRef>
              <c:f>calculations!$AF$19</c:f>
              <c:strCache>
                <c:ptCount val="1"/>
                <c:pt idx="0">
                  <c:v>No of Line Workers per Hour</c:v>
                </c:pt>
              </c:strCache>
            </c:strRef>
          </c:tx>
          <c:spPr>
            <a:solidFill>
              <a:schemeClr val="bg1">
                <a:lumMod val="75000"/>
              </a:schemeClr>
            </a:solidFill>
          </c:spPr>
          <c:val>
            <c:numRef>
              <c:f>calculations!$AF$20:$AF$379</c:f>
              <c:numCache>
                <c:formatCode>General</c:formatCode>
                <c:ptCount val="360"/>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12</c:v>
                </c:pt>
                <c:pt idx="72">
                  <c:v>12</c:v>
                </c:pt>
                <c:pt idx="73">
                  <c:v>12</c:v>
                </c:pt>
                <c:pt idx="74">
                  <c:v>12</c:v>
                </c:pt>
                <c:pt idx="75">
                  <c:v>12</c:v>
                </c:pt>
                <c:pt idx="76">
                  <c:v>12</c:v>
                </c:pt>
                <c:pt idx="77">
                  <c:v>12</c:v>
                </c:pt>
                <c:pt idx="78">
                  <c:v>12</c:v>
                </c:pt>
                <c:pt idx="79">
                  <c:v>12</c:v>
                </c:pt>
                <c:pt idx="80">
                  <c:v>12</c:v>
                </c:pt>
                <c:pt idx="81">
                  <c:v>12</c:v>
                </c:pt>
                <c:pt idx="82">
                  <c:v>12</c:v>
                </c:pt>
                <c:pt idx="83">
                  <c:v>12</c:v>
                </c:pt>
                <c:pt idx="84">
                  <c:v>12</c:v>
                </c:pt>
                <c:pt idx="85">
                  <c:v>12</c:v>
                </c:pt>
                <c:pt idx="86">
                  <c:v>12</c:v>
                </c:pt>
                <c:pt idx="87">
                  <c:v>12</c:v>
                </c:pt>
                <c:pt idx="88">
                  <c:v>12</c:v>
                </c:pt>
                <c:pt idx="89">
                  <c:v>12</c:v>
                </c:pt>
                <c:pt idx="90">
                  <c:v>12</c:v>
                </c:pt>
                <c:pt idx="91">
                  <c:v>12</c:v>
                </c:pt>
                <c:pt idx="92">
                  <c:v>12</c:v>
                </c:pt>
                <c:pt idx="93">
                  <c:v>12</c:v>
                </c:pt>
                <c:pt idx="94">
                  <c:v>12</c:v>
                </c:pt>
                <c:pt idx="95">
                  <c:v>12</c:v>
                </c:pt>
                <c:pt idx="96">
                  <c:v>12</c:v>
                </c:pt>
                <c:pt idx="97">
                  <c:v>12</c:v>
                </c:pt>
                <c:pt idx="98">
                  <c:v>12</c:v>
                </c:pt>
                <c:pt idx="99">
                  <c:v>12</c:v>
                </c:pt>
                <c:pt idx="100">
                  <c:v>12</c:v>
                </c:pt>
                <c:pt idx="101">
                  <c:v>12</c:v>
                </c:pt>
                <c:pt idx="102">
                  <c:v>12</c:v>
                </c:pt>
                <c:pt idx="103">
                  <c:v>12</c:v>
                </c:pt>
                <c:pt idx="104">
                  <c:v>12</c:v>
                </c:pt>
                <c:pt idx="105">
                  <c:v>12</c:v>
                </c:pt>
                <c:pt idx="106">
                  <c:v>12</c:v>
                </c:pt>
                <c:pt idx="107">
                  <c:v>12</c:v>
                </c:pt>
                <c:pt idx="108">
                  <c:v>12</c:v>
                </c:pt>
                <c:pt idx="109">
                  <c:v>12</c:v>
                </c:pt>
                <c:pt idx="110">
                  <c:v>12</c:v>
                </c:pt>
                <c:pt idx="111">
                  <c:v>12</c:v>
                </c:pt>
                <c:pt idx="112">
                  <c:v>12</c:v>
                </c:pt>
                <c:pt idx="113">
                  <c:v>12</c:v>
                </c:pt>
                <c:pt idx="114">
                  <c:v>12</c:v>
                </c:pt>
                <c:pt idx="115">
                  <c:v>12</c:v>
                </c:pt>
                <c:pt idx="116">
                  <c:v>12</c:v>
                </c:pt>
                <c:pt idx="117">
                  <c:v>12</c:v>
                </c:pt>
                <c:pt idx="118">
                  <c:v>12</c:v>
                </c:pt>
                <c:pt idx="119">
                  <c:v>12</c:v>
                </c:pt>
                <c:pt idx="120">
                  <c:v>12</c:v>
                </c:pt>
                <c:pt idx="121">
                  <c:v>12</c:v>
                </c:pt>
                <c:pt idx="122">
                  <c:v>12</c:v>
                </c:pt>
                <c:pt idx="123">
                  <c:v>12</c:v>
                </c:pt>
                <c:pt idx="124">
                  <c:v>12</c:v>
                </c:pt>
                <c:pt idx="125">
                  <c:v>12</c:v>
                </c:pt>
                <c:pt idx="126">
                  <c:v>12</c:v>
                </c:pt>
                <c:pt idx="127">
                  <c:v>12</c:v>
                </c:pt>
                <c:pt idx="128">
                  <c:v>12</c:v>
                </c:pt>
                <c:pt idx="129">
                  <c:v>12</c:v>
                </c:pt>
                <c:pt idx="130">
                  <c:v>12</c:v>
                </c:pt>
                <c:pt idx="131">
                  <c:v>12</c:v>
                </c:pt>
                <c:pt idx="132">
                  <c:v>12</c:v>
                </c:pt>
                <c:pt idx="133">
                  <c:v>12</c:v>
                </c:pt>
                <c:pt idx="134">
                  <c:v>12</c:v>
                </c:pt>
                <c:pt idx="135">
                  <c:v>12</c:v>
                </c:pt>
                <c:pt idx="136">
                  <c:v>12</c:v>
                </c:pt>
                <c:pt idx="137">
                  <c:v>12</c:v>
                </c:pt>
                <c:pt idx="138">
                  <c:v>12</c:v>
                </c:pt>
                <c:pt idx="139">
                  <c:v>12</c:v>
                </c:pt>
                <c:pt idx="140">
                  <c:v>12</c:v>
                </c:pt>
                <c:pt idx="141">
                  <c:v>12</c:v>
                </c:pt>
                <c:pt idx="142">
                  <c:v>12</c:v>
                </c:pt>
                <c:pt idx="143">
                  <c:v>12</c:v>
                </c:pt>
                <c:pt idx="144">
                  <c:v>12</c:v>
                </c:pt>
                <c:pt idx="145">
                  <c:v>12</c:v>
                </c:pt>
                <c:pt idx="146">
                  <c:v>12</c:v>
                </c:pt>
                <c:pt idx="147">
                  <c:v>12</c:v>
                </c:pt>
                <c:pt idx="148">
                  <c:v>12</c:v>
                </c:pt>
                <c:pt idx="149">
                  <c:v>12</c:v>
                </c:pt>
                <c:pt idx="150">
                  <c:v>12</c:v>
                </c:pt>
                <c:pt idx="151">
                  <c:v>12</c:v>
                </c:pt>
                <c:pt idx="152">
                  <c:v>12</c:v>
                </c:pt>
                <c:pt idx="153">
                  <c:v>12</c:v>
                </c:pt>
                <c:pt idx="154">
                  <c:v>12</c:v>
                </c:pt>
                <c:pt idx="155">
                  <c:v>12</c:v>
                </c:pt>
                <c:pt idx="156">
                  <c:v>12</c:v>
                </c:pt>
                <c:pt idx="157">
                  <c:v>12</c:v>
                </c:pt>
                <c:pt idx="158">
                  <c:v>12</c:v>
                </c:pt>
                <c:pt idx="159">
                  <c:v>12</c:v>
                </c:pt>
                <c:pt idx="160">
                  <c:v>12</c:v>
                </c:pt>
                <c:pt idx="161">
                  <c:v>12</c:v>
                </c:pt>
                <c:pt idx="162">
                  <c:v>12</c:v>
                </c:pt>
                <c:pt idx="163">
                  <c:v>12</c:v>
                </c:pt>
                <c:pt idx="164">
                  <c:v>12</c:v>
                </c:pt>
                <c:pt idx="165">
                  <c:v>12</c:v>
                </c:pt>
                <c:pt idx="166">
                  <c:v>12</c:v>
                </c:pt>
                <c:pt idx="167">
                  <c:v>12</c:v>
                </c:pt>
                <c:pt idx="168">
                  <c:v>12</c:v>
                </c:pt>
                <c:pt idx="169">
                  <c:v>12</c:v>
                </c:pt>
                <c:pt idx="170">
                  <c:v>12</c:v>
                </c:pt>
                <c:pt idx="171">
                  <c:v>12</c:v>
                </c:pt>
                <c:pt idx="172">
                  <c:v>12</c:v>
                </c:pt>
                <c:pt idx="173">
                  <c:v>12</c:v>
                </c:pt>
                <c:pt idx="174">
                  <c:v>12</c:v>
                </c:pt>
                <c:pt idx="175">
                  <c:v>12</c:v>
                </c:pt>
                <c:pt idx="176">
                  <c:v>12</c:v>
                </c:pt>
                <c:pt idx="177">
                  <c:v>12</c:v>
                </c:pt>
                <c:pt idx="178">
                  <c:v>12</c:v>
                </c:pt>
                <c:pt idx="179">
                  <c:v>12</c:v>
                </c:pt>
                <c:pt idx="180">
                  <c:v>12</c:v>
                </c:pt>
                <c:pt idx="181">
                  <c:v>12</c:v>
                </c:pt>
                <c:pt idx="182">
                  <c:v>12</c:v>
                </c:pt>
                <c:pt idx="183">
                  <c:v>12</c:v>
                </c:pt>
                <c:pt idx="184">
                  <c:v>12</c:v>
                </c:pt>
                <c:pt idx="185">
                  <c:v>12</c:v>
                </c:pt>
                <c:pt idx="186">
                  <c:v>12</c:v>
                </c:pt>
                <c:pt idx="187">
                  <c:v>12</c:v>
                </c:pt>
                <c:pt idx="188">
                  <c:v>12</c:v>
                </c:pt>
                <c:pt idx="189">
                  <c:v>12</c:v>
                </c:pt>
                <c:pt idx="190">
                  <c:v>12</c:v>
                </c:pt>
                <c:pt idx="191">
                  <c:v>12</c:v>
                </c:pt>
                <c:pt idx="192">
                  <c:v>12</c:v>
                </c:pt>
                <c:pt idx="193">
                  <c:v>12</c:v>
                </c:pt>
                <c:pt idx="194">
                  <c:v>12</c:v>
                </c:pt>
                <c:pt idx="195">
                  <c:v>12</c:v>
                </c:pt>
                <c:pt idx="196">
                  <c:v>12</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12</c:v>
                </c:pt>
                <c:pt idx="231">
                  <c:v>12</c:v>
                </c:pt>
                <c:pt idx="232">
                  <c:v>12</c:v>
                </c:pt>
                <c:pt idx="233">
                  <c:v>12</c:v>
                </c:pt>
                <c:pt idx="234">
                  <c:v>12</c:v>
                </c:pt>
                <c:pt idx="235">
                  <c:v>12</c:v>
                </c:pt>
                <c:pt idx="236">
                  <c:v>12</c:v>
                </c:pt>
                <c:pt idx="237">
                  <c:v>12</c:v>
                </c:pt>
                <c:pt idx="238">
                  <c:v>12</c:v>
                </c:pt>
                <c:pt idx="239">
                  <c:v>12</c:v>
                </c:pt>
                <c:pt idx="240">
                  <c:v>12</c:v>
                </c:pt>
                <c:pt idx="241">
                  <c:v>12</c:v>
                </c:pt>
                <c:pt idx="242">
                  <c:v>12</c:v>
                </c:pt>
                <c:pt idx="243">
                  <c:v>12</c:v>
                </c:pt>
                <c:pt idx="244">
                  <c:v>12</c:v>
                </c:pt>
                <c:pt idx="245">
                  <c:v>12</c:v>
                </c:pt>
                <c:pt idx="246">
                  <c:v>12</c:v>
                </c:pt>
                <c:pt idx="247">
                  <c:v>12</c:v>
                </c:pt>
                <c:pt idx="248">
                  <c:v>12</c:v>
                </c:pt>
                <c:pt idx="249">
                  <c:v>12</c:v>
                </c:pt>
                <c:pt idx="250">
                  <c:v>12</c:v>
                </c:pt>
                <c:pt idx="251">
                  <c:v>12</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numCache>
            </c:numRef>
          </c:val>
          <c:extLst>
            <c:ext xmlns:c16="http://schemas.microsoft.com/office/drawing/2014/chart" uri="{C3380CC4-5D6E-409C-BE32-E72D297353CC}">
              <c16:uniqueId val="{00000000-44F0-4E55-84BC-888FC796BA88}"/>
            </c:ext>
          </c:extLst>
        </c:ser>
        <c:dLbls>
          <c:showLegendKey val="0"/>
          <c:showVal val="0"/>
          <c:showCatName val="0"/>
          <c:showSerName val="0"/>
          <c:showPercent val="0"/>
          <c:showBubbleSize val="0"/>
        </c:dLbls>
        <c:axId val="60156928"/>
        <c:axId val="60158720"/>
      </c:areaChart>
      <c:lineChart>
        <c:grouping val="standard"/>
        <c:varyColors val="0"/>
        <c:ser>
          <c:idx val="1"/>
          <c:order val="1"/>
          <c:tx>
            <c:strRef>
              <c:f>calculations!$BL$19</c:f>
              <c:strCache>
                <c:ptCount val="1"/>
                <c:pt idx="0">
                  <c:v>No of Line Workers per Hour</c:v>
                </c:pt>
              </c:strCache>
            </c:strRef>
          </c:tx>
          <c:spPr>
            <a:ln>
              <a:noFill/>
            </a:ln>
          </c:spPr>
          <c:marker>
            <c:symbol val="none"/>
          </c:marker>
          <c:errBars>
            <c:errDir val="y"/>
            <c:errBarType val="minus"/>
            <c:errValType val="percentage"/>
            <c:noEndCap val="1"/>
            <c:val val="100"/>
            <c:spPr>
              <a:ln w="3175">
                <a:solidFill>
                  <a:srgbClr val="C00000"/>
                </a:solidFill>
              </a:ln>
            </c:spPr>
          </c:errBars>
          <c:val>
            <c:numRef>
              <c:f>calculations!$BL$20:$BL$379</c:f>
              <c:numCache>
                <c:formatCode>General</c:formatCode>
                <c:ptCount val="3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12</c:v>
                </c:pt>
                <c:pt idx="21">
                  <c:v>#N/A</c:v>
                </c:pt>
                <c:pt idx="22">
                  <c:v>12</c:v>
                </c:pt>
                <c:pt idx="23">
                  <c:v>12</c:v>
                </c:pt>
                <c:pt idx="24">
                  <c:v>#N/A</c:v>
                </c:pt>
                <c:pt idx="25">
                  <c:v>#N/A</c:v>
                </c:pt>
                <c:pt idx="26">
                  <c:v>#N/A</c:v>
                </c:pt>
                <c:pt idx="27">
                  <c:v>#N/A</c:v>
                </c:pt>
                <c:pt idx="28">
                  <c:v>#N/A</c:v>
                </c:pt>
                <c:pt idx="29">
                  <c:v>#N/A</c:v>
                </c:pt>
                <c:pt idx="30">
                  <c:v>12</c:v>
                </c:pt>
                <c:pt idx="31">
                  <c:v>#N/A</c:v>
                </c:pt>
                <c:pt idx="32">
                  <c:v>#N/A</c:v>
                </c:pt>
                <c:pt idx="33">
                  <c:v>12</c:v>
                </c:pt>
                <c:pt idx="34">
                  <c:v>#N/A</c:v>
                </c:pt>
                <c:pt idx="35">
                  <c:v>#N/A</c:v>
                </c:pt>
                <c:pt idx="36">
                  <c:v>12</c:v>
                </c:pt>
                <c:pt idx="37">
                  <c:v>#N/A</c:v>
                </c:pt>
                <c:pt idx="38">
                  <c:v>#N/A</c:v>
                </c:pt>
                <c:pt idx="39">
                  <c:v>#N/A</c:v>
                </c:pt>
                <c:pt idx="40">
                  <c:v>12</c:v>
                </c:pt>
                <c:pt idx="41">
                  <c:v>#N/A</c:v>
                </c:pt>
                <c:pt idx="42">
                  <c:v>#N/A</c:v>
                </c:pt>
                <c:pt idx="43">
                  <c:v>12</c:v>
                </c:pt>
                <c:pt idx="44">
                  <c:v>12</c:v>
                </c:pt>
                <c:pt idx="45">
                  <c:v>#N/A</c:v>
                </c:pt>
                <c:pt idx="46">
                  <c:v>#N/A</c:v>
                </c:pt>
                <c:pt idx="47">
                  <c:v>#N/A</c:v>
                </c:pt>
                <c:pt idx="48">
                  <c:v>#N/A</c:v>
                </c:pt>
                <c:pt idx="49">
                  <c:v>12</c:v>
                </c:pt>
                <c:pt idx="50">
                  <c:v>#N/A</c:v>
                </c:pt>
                <c:pt idx="51">
                  <c:v>#N/A</c:v>
                </c:pt>
                <c:pt idx="52">
                  <c:v>#N/A</c:v>
                </c:pt>
                <c:pt idx="53">
                  <c:v>#N/A</c:v>
                </c:pt>
                <c:pt idx="54">
                  <c:v>#N/A</c:v>
                </c:pt>
                <c:pt idx="55">
                  <c:v>#N/A</c:v>
                </c:pt>
                <c:pt idx="56">
                  <c:v>#N/A</c:v>
                </c:pt>
                <c:pt idx="57">
                  <c:v>12</c:v>
                </c:pt>
                <c:pt idx="58">
                  <c:v>#N/A</c:v>
                </c:pt>
                <c:pt idx="59">
                  <c:v>12</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12</c:v>
                </c:pt>
                <c:pt idx="77">
                  <c:v>#N/A</c:v>
                </c:pt>
                <c:pt idx="78">
                  <c:v>12</c:v>
                </c:pt>
                <c:pt idx="79">
                  <c:v>#N/A</c:v>
                </c:pt>
                <c:pt idx="80">
                  <c:v>#N/A</c:v>
                </c:pt>
                <c:pt idx="81">
                  <c:v>#N/A</c:v>
                </c:pt>
                <c:pt idx="82">
                  <c:v>#N/A</c:v>
                </c:pt>
                <c:pt idx="83">
                  <c:v>#N/A</c:v>
                </c:pt>
                <c:pt idx="84">
                  <c:v>#N/A</c:v>
                </c:pt>
                <c:pt idx="85">
                  <c:v>#N/A</c:v>
                </c:pt>
                <c:pt idx="86">
                  <c:v>12</c:v>
                </c:pt>
                <c:pt idx="87">
                  <c:v>#N/A</c:v>
                </c:pt>
                <c:pt idx="88">
                  <c:v>#N/A</c:v>
                </c:pt>
                <c:pt idx="89">
                  <c:v>12</c:v>
                </c:pt>
                <c:pt idx="90">
                  <c:v>#N/A</c:v>
                </c:pt>
                <c:pt idx="91">
                  <c:v>#N/A</c:v>
                </c:pt>
                <c:pt idx="92">
                  <c:v>#N/A</c:v>
                </c:pt>
                <c:pt idx="93">
                  <c:v>#N/A</c:v>
                </c:pt>
                <c:pt idx="94">
                  <c:v>#N/A</c:v>
                </c:pt>
                <c:pt idx="95">
                  <c:v>#N/A</c:v>
                </c:pt>
                <c:pt idx="96">
                  <c:v>#N/A</c:v>
                </c:pt>
                <c:pt idx="97">
                  <c:v>#N/A</c:v>
                </c:pt>
                <c:pt idx="98">
                  <c:v>12</c:v>
                </c:pt>
                <c:pt idx="99">
                  <c:v>12</c:v>
                </c:pt>
                <c:pt idx="100">
                  <c:v>#N/A</c:v>
                </c:pt>
                <c:pt idx="101">
                  <c:v>12</c:v>
                </c:pt>
                <c:pt idx="102">
                  <c:v>#N/A</c:v>
                </c:pt>
                <c:pt idx="103">
                  <c:v>12</c:v>
                </c:pt>
                <c:pt idx="104">
                  <c:v>#N/A</c:v>
                </c:pt>
                <c:pt idx="105">
                  <c:v>#N/A</c:v>
                </c:pt>
                <c:pt idx="106">
                  <c:v>#N/A</c:v>
                </c:pt>
                <c:pt idx="107">
                  <c:v>#N/A</c:v>
                </c:pt>
                <c:pt idx="108">
                  <c:v>#N/A</c:v>
                </c:pt>
                <c:pt idx="109">
                  <c:v>#N/A</c:v>
                </c:pt>
                <c:pt idx="110">
                  <c:v>#N/A</c:v>
                </c:pt>
                <c:pt idx="111">
                  <c:v>#N/A</c:v>
                </c:pt>
                <c:pt idx="112">
                  <c:v>#N/A</c:v>
                </c:pt>
                <c:pt idx="113">
                  <c:v>#N/A</c:v>
                </c:pt>
                <c:pt idx="114">
                  <c:v>12</c:v>
                </c:pt>
                <c:pt idx="115">
                  <c:v>#N/A</c:v>
                </c:pt>
                <c:pt idx="116">
                  <c:v>12</c:v>
                </c:pt>
                <c:pt idx="117">
                  <c:v>#N/A</c:v>
                </c:pt>
                <c:pt idx="118">
                  <c:v>12</c:v>
                </c:pt>
                <c:pt idx="119">
                  <c:v>#N/A</c:v>
                </c:pt>
                <c:pt idx="120">
                  <c:v>12</c:v>
                </c:pt>
                <c:pt idx="121">
                  <c:v>#N/A</c:v>
                </c:pt>
                <c:pt idx="122">
                  <c:v>#N/A</c:v>
                </c:pt>
                <c:pt idx="123">
                  <c:v>#N/A</c:v>
                </c:pt>
                <c:pt idx="124">
                  <c:v>12</c:v>
                </c:pt>
                <c:pt idx="125">
                  <c:v>#N/A</c:v>
                </c:pt>
                <c:pt idx="126">
                  <c:v>#N/A</c:v>
                </c:pt>
                <c:pt idx="127">
                  <c:v>#N/A</c:v>
                </c:pt>
                <c:pt idx="128">
                  <c:v>#N/A</c:v>
                </c:pt>
                <c:pt idx="129">
                  <c:v>#N/A</c:v>
                </c:pt>
                <c:pt idx="130">
                  <c:v>#N/A</c:v>
                </c:pt>
                <c:pt idx="131">
                  <c:v>#N/A</c:v>
                </c:pt>
                <c:pt idx="132">
                  <c:v>12</c:v>
                </c:pt>
                <c:pt idx="133">
                  <c:v>#N/A</c:v>
                </c:pt>
                <c:pt idx="134">
                  <c:v>12</c:v>
                </c:pt>
                <c:pt idx="135">
                  <c:v>12</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12</c:v>
                </c:pt>
                <c:pt idx="150">
                  <c:v>#N/A</c:v>
                </c:pt>
                <c:pt idx="151">
                  <c:v>12</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12</c:v>
                </c:pt>
                <c:pt idx="167">
                  <c:v>#N/A</c:v>
                </c:pt>
                <c:pt idx="168">
                  <c:v>#N/A</c:v>
                </c:pt>
                <c:pt idx="169">
                  <c:v>12</c:v>
                </c:pt>
                <c:pt idx="170">
                  <c:v>#N/A</c:v>
                </c:pt>
                <c:pt idx="171">
                  <c:v>#N/A</c:v>
                </c:pt>
                <c:pt idx="172">
                  <c:v>#N/A</c:v>
                </c:pt>
                <c:pt idx="173">
                  <c:v>#N/A</c:v>
                </c:pt>
                <c:pt idx="174">
                  <c:v>#N/A</c:v>
                </c:pt>
                <c:pt idx="175">
                  <c:v>12</c:v>
                </c:pt>
                <c:pt idx="176">
                  <c:v>#N/A</c:v>
                </c:pt>
                <c:pt idx="177">
                  <c:v>#N/A</c:v>
                </c:pt>
                <c:pt idx="178">
                  <c:v>#N/A</c:v>
                </c:pt>
                <c:pt idx="179">
                  <c:v>#N/A</c:v>
                </c:pt>
                <c:pt idx="180">
                  <c:v>#N/A</c:v>
                </c:pt>
                <c:pt idx="181">
                  <c:v>#N/A</c:v>
                </c:pt>
                <c:pt idx="182">
                  <c:v>#N/A</c:v>
                </c:pt>
                <c:pt idx="183">
                  <c:v>#N/A</c:v>
                </c:pt>
                <c:pt idx="184">
                  <c:v>#N/A</c:v>
                </c:pt>
                <c:pt idx="185">
                  <c:v>12</c:v>
                </c:pt>
                <c:pt idx="186">
                  <c:v>#N/A</c:v>
                </c:pt>
                <c:pt idx="187">
                  <c:v>#N/A</c:v>
                </c:pt>
                <c:pt idx="188">
                  <c:v>12</c:v>
                </c:pt>
                <c:pt idx="189">
                  <c:v>#N/A</c:v>
                </c:pt>
                <c:pt idx="190">
                  <c:v>#N/A</c:v>
                </c:pt>
                <c:pt idx="191">
                  <c:v>#N/A</c:v>
                </c:pt>
                <c:pt idx="192">
                  <c:v>#N/A</c:v>
                </c:pt>
                <c:pt idx="193">
                  <c:v>#N/A</c:v>
                </c:pt>
                <c:pt idx="194">
                  <c:v>12</c:v>
                </c:pt>
                <c:pt idx="195">
                  <c:v>#N/A</c:v>
                </c:pt>
                <c:pt idx="196">
                  <c:v>#N/A</c:v>
                </c:pt>
                <c:pt idx="197">
                  <c:v>#N/A</c:v>
                </c:pt>
                <c:pt idx="198">
                  <c:v>12</c:v>
                </c:pt>
                <c:pt idx="199">
                  <c:v>#N/A</c:v>
                </c:pt>
                <c:pt idx="200">
                  <c:v>#N/A</c:v>
                </c:pt>
                <c:pt idx="201">
                  <c:v>#N/A</c:v>
                </c:pt>
                <c:pt idx="202">
                  <c:v>12</c:v>
                </c:pt>
                <c:pt idx="203">
                  <c:v>#N/A</c:v>
                </c:pt>
                <c:pt idx="204">
                  <c:v>#N/A</c:v>
                </c:pt>
                <c:pt idx="205">
                  <c:v>#N/A</c:v>
                </c:pt>
                <c:pt idx="206">
                  <c:v>#N/A</c:v>
                </c:pt>
                <c:pt idx="207">
                  <c:v>#N/A</c:v>
                </c:pt>
                <c:pt idx="208">
                  <c:v>#N/A</c:v>
                </c:pt>
                <c:pt idx="209">
                  <c:v>12</c:v>
                </c:pt>
                <c:pt idx="210">
                  <c:v>#N/A</c:v>
                </c:pt>
                <c:pt idx="211">
                  <c:v>#N/A</c:v>
                </c:pt>
                <c:pt idx="212">
                  <c:v>#N/A</c:v>
                </c:pt>
                <c:pt idx="213">
                  <c:v>#N/A</c:v>
                </c:pt>
                <c:pt idx="214">
                  <c:v>#N/A</c:v>
                </c:pt>
                <c:pt idx="215">
                  <c:v>#N/A</c:v>
                </c:pt>
                <c:pt idx="216">
                  <c:v>12</c:v>
                </c:pt>
                <c:pt idx="217">
                  <c:v>#N/A</c:v>
                </c:pt>
                <c:pt idx="218">
                  <c:v>#N/A</c:v>
                </c:pt>
                <c:pt idx="219">
                  <c:v>#N/A</c:v>
                </c:pt>
                <c:pt idx="220">
                  <c:v>#N/A</c:v>
                </c:pt>
                <c:pt idx="221">
                  <c:v>12</c:v>
                </c:pt>
                <c:pt idx="222">
                  <c:v>#N/A</c:v>
                </c:pt>
                <c:pt idx="223">
                  <c:v>#N/A</c:v>
                </c:pt>
                <c:pt idx="224">
                  <c:v>#N/A</c:v>
                </c:pt>
                <c:pt idx="225">
                  <c:v>#N/A</c:v>
                </c:pt>
                <c:pt idx="226">
                  <c:v>#N/A</c:v>
                </c:pt>
                <c:pt idx="227">
                  <c:v>#N/A</c:v>
                </c:pt>
                <c:pt idx="228">
                  <c:v>12</c:v>
                </c:pt>
                <c:pt idx="229">
                  <c:v>#N/A</c:v>
                </c:pt>
                <c:pt idx="230">
                  <c:v>12</c:v>
                </c:pt>
                <c:pt idx="231">
                  <c:v>#N/A</c:v>
                </c:pt>
                <c:pt idx="232">
                  <c:v>12</c:v>
                </c:pt>
                <c:pt idx="233">
                  <c:v>#N/A</c:v>
                </c:pt>
                <c:pt idx="234">
                  <c:v>#N/A</c:v>
                </c:pt>
                <c:pt idx="235">
                  <c:v>12</c:v>
                </c:pt>
                <c:pt idx="236">
                  <c:v>#N/A</c:v>
                </c:pt>
                <c:pt idx="237">
                  <c:v>12</c:v>
                </c:pt>
                <c:pt idx="238">
                  <c:v>#N/A</c:v>
                </c:pt>
                <c:pt idx="239">
                  <c:v>#N/A</c:v>
                </c:pt>
                <c:pt idx="240">
                  <c:v>#N/A</c:v>
                </c:pt>
                <c:pt idx="241">
                  <c:v>#N/A</c:v>
                </c:pt>
                <c:pt idx="242">
                  <c:v>#N/A</c:v>
                </c:pt>
                <c:pt idx="243">
                  <c:v>#N/A</c:v>
                </c:pt>
                <c:pt idx="244">
                  <c:v>#N/A</c:v>
                </c:pt>
                <c:pt idx="245">
                  <c:v>12</c:v>
                </c:pt>
                <c:pt idx="246">
                  <c:v>#N/A</c:v>
                </c:pt>
                <c:pt idx="247">
                  <c:v>#N/A</c:v>
                </c:pt>
                <c:pt idx="248">
                  <c:v>#N/A</c:v>
                </c:pt>
                <c:pt idx="249">
                  <c:v>12</c:v>
                </c:pt>
                <c:pt idx="250">
                  <c:v>#N/A</c:v>
                </c:pt>
                <c:pt idx="251">
                  <c:v>12</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numCache>
            </c:numRef>
          </c:val>
          <c:smooth val="0"/>
          <c:extLst>
            <c:ext xmlns:c16="http://schemas.microsoft.com/office/drawing/2014/chart" uri="{C3380CC4-5D6E-409C-BE32-E72D297353CC}">
              <c16:uniqueId val="{00000001-44F0-4E55-84BC-888FC796BA88}"/>
            </c:ext>
          </c:extLst>
        </c:ser>
        <c:dLbls>
          <c:showLegendKey val="0"/>
          <c:showVal val="0"/>
          <c:showCatName val="0"/>
          <c:showSerName val="0"/>
          <c:showPercent val="0"/>
          <c:showBubbleSize val="0"/>
        </c:dLbls>
        <c:marker val="1"/>
        <c:smooth val="0"/>
        <c:axId val="60156928"/>
        <c:axId val="60158720"/>
      </c:lineChart>
      <c:catAx>
        <c:axId val="60156928"/>
        <c:scaling>
          <c:orientation val="minMax"/>
        </c:scaling>
        <c:delete val="1"/>
        <c:axPos val="b"/>
        <c:majorTickMark val="out"/>
        <c:minorTickMark val="none"/>
        <c:tickLblPos val="none"/>
        <c:crossAx val="60158720"/>
        <c:crosses val="autoZero"/>
        <c:auto val="1"/>
        <c:lblAlgn val="ctr"/>
        <c:lblOffset val="100"/>
        <c:noMultiLvlLbl val="0"/>
      </c:catAx>
      <c:valAx>
        <c:axId val="60158720"/>
        <c:scaling>
          <c:orientation val="minMax"/>
        </c:scaling>
        <c:delete val="1"/>
        <c:axPos val="l"/>
        <c:numFmt formatCode="General" sourceLinked="1"/>
        <c:majorTickMark val="out"/>
        <c:minorTickMark val="none"/>
        <c:tickLblPos val="none"/>
        <c:crossAx val="60156928"/>
        <c:crosses val="autoZero"/>
        <c:crossBetween val="midCat"/>
      </c:valAx>
    </c:plotArea>
    <c:plotVisOnly val="1"/>
    <c:dispBlanksAs val="gap"/>
    <c:showDLblsOverMax val="0"/>
  </c:chart>
  <c:spPr>
    <a:noFill/>
    <a:ln>
      <a:noFill/>
    </a:ln>
  </c:spPr>
  <c:printSettings>
    <c:headerFooter/>
    <c:pageMargins b="0.75000000000000466" l="0.70000000000000062" r="0.70000000000000062" t="0.75000000000000466"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238152746244183E-3"/>
          <c:y val="7.8321712822735881E-2"/>
          <c:w val="0.97309337713153965"/>
          <c:h val="0.79860130988439393"/>
        </c:manualLayout>
      </c:layout>
      <c:areaChart>
        <c:grouping val="standard"/>
        <c:varyColors val="0"/>
        <c:ser>
          <c:idx val="0"/>
          <c:order val="0"/>
          <c:tx>
            <c:strRef>
              <c:f>calculations!$AG$19</c:f>
              <c:strCache>
                <c:ptCount val="1"/>
                <c:pt idx="0">
                  <c:v>Regrind</c:v>
                </c:pt>
              </c:strCache>
            </c:strRef>
          </c:tx>
          <c:spPr>
            <a:solidFill>
              <a:schemeClr val="bg1">
                <a:lumMod val="75000"/>
              </a:schemeClr>
            </a:solidFill>
          </c:spPr>
          <c:val>
            <c:numRef>
              <c:f>calculations!$AG$20:$AG$379</c:f>
              <c:numCache>
                <c:formatCode>General</c:formatCode>
                <c:ptCount val="3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1.1400089305648584</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numCache>
            </c:numRef>
          </c:val>
          <c:extLst>
            <c:ext xmlns:c16="http://schemas.microsoft.com/office/drawing/2014/chart" uri="{C3380CC4-5D6E-409C-BE32-E72D297353CC}">
              <c16:uniqueId val="{00000000-6FE3-484B-B6B2-FE729303DB59}"/>
            </c:ext>
          </c:extLst>
        </c:ser>
        <c:dLbls>
          <c:showLegendKey val="0"/>
          <c:showVal val="0"/>
          <c:showCatName val="0"/>
          <c:showSerName val="0"/>
          <c:showPercent val="0"/>
          <c:showBubbleSize val="0"/>
        </c:dLbls>
        <c:axId val="60319232"/>
        <c:axId val="60320768"/>
      </c:areaChart>
      <c:lineChart>
        <c:grouping val="standard"/>
        <c:varyColors val="0"/>
        <c:ser>
          <c:idx val="1"/>
          <c:order val="1"/>
          <c:tx>
            <c:strRef>
              <c:f>calculations!$BM$19</c:f>
              <c:strCache>
                <c:ptCount val="1"/>
                <c:pt idx="0">
                  <c:v>Regrind</c:v>
                </c:pt>
              </c:strCache>
            </c:strRef>
          </c:tx>
          <c:spPr>
            <a:ln>
              <a:noFill/>
            </a:ln>
          </c:spPr>
          <c:marker>
            <c:symbol val="none"/>
          </c:marker>
          <c:errBars>
            <c:errDir val="y"/>
            <c:errBarType val="minus"/>
            <c:errValType val="percentage"/>
            <c:noEndCap val="1"/>
            <c:val val="100"/>
            <c:spPr>
              <a:ln w="3175">
                <a:solidFill>
                  <a:srgbClr val="C00000"/>
                </a:solidFill>
              </a:ln>
            </c:spPr>
          </c:errBars>
          <c:val>
            <c:numRef>
              <c:f>calculations!$BM$20:$BM$379</c:f>
              <c:numCache>
                <c:formatCode>General</c:formatCode>
                <c:ptCount val="3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0</c:v>
                </c:pt>
                <c:pt idx="21">
                  <c:v>#N/A</c:v>
                </c:pt>
                <c:pt idx="22">
                  <c:v>0</c:v>
                </c:pt>
                <c:pt idx="23">
                  <c:v>0</c:v>
                </c:pt>
                <c:pt idx="24">
                  <c:v>#N/A</c:v>
                </c:pt>
                <c:pt idx="25">
                  <c:v>#N/A</c:v>
                </c:pt>
                <c:pt idx="26">
                  <c:v>#N/A</c:v>
                </c:pt>
                <c:pt idx="27">
                  <c:v>#N/A</c:v>
                </c:pt>
                <c:pt idx="28">
                  <c:v>#N/A</c:v>
                </c:pt>
                <c:pt idx="29">
                  <c:v>#N/A</c:v>
                </c:pt>
                <c:pt idx="30">
                  <c:v>0</c:v>
                </c:pt>
                <c:pt idx="31">
                  <c:v>#N/A</c:v>
                </c:pt>
                <c:pt idx="32">
                  <c:v>#N/A</c:v>
                </c:pt>
                <c:pt idx="33">
                  <c:v>0</c:v>
                </c:pt>
                <c:pt idx="34">
                  <c:v>#N/A</c:v>
                </c:pt>
                <c:pt idx="35">
                  <c:v>#N/A</c:v>
                </c:pt>
                <c:pt idx="36">
                  <c:v>0</c:v>
                </c:pt>
                <c:pt idx="37">
                  <c:v>#N/A</c:v>
                </c:pt>
                <c:pt idx="38">
                  <c:v>#N/A</c:v>
                </c:pt>
                <c:pt idx="39">
                  <c:v>#N/A</c:v>
                </c:pt>
                <c:pt idx="40">
                  <c:v>0</c:v>
                </c:pt>
                <c:pt idx="41">
                  <c:v>#N/A</c:v>
                </c:pt>
                <c:pt idx="42">
                  <c:v>#N/A</c:v>
                </c:pt>
                <c:pt idx="43">
                  <c:v>0</c:v>
                </c:pt>
                <c:pt idx="44">
                  <c:v>0</c:v>
                </c:pt>
                <c:pt idx="45">
                  <c:v>#N/A</c:v>
                </c:pt>
                <c:pt idx="46">
                  <c:v>#N/A</c:v>
                </c:pt>
                <c:pt idx="47">
                  <c:v>#N/A</c:v>
                </c:pt>
                <c:pt idx="48">
                  <c:v>#N/A</c:v>
                </c:pt>
                <c:pt idx="49">
                  <c:v>0</c:v>
                </c:pt>
                <c:pt idx="50">
                  <c:v>#N/A</c:v>
                </c:pt>
                <c:pt idx="51">
                  <c:v>#N/A</c:v>
                </c:pt>
                <c:pt idx="52">
                  <c:v>#N/A</c:v>
                </c:pt>
                <c:pt idx="53">
                  <c:v>#N/A</c:v>
                </c:pt>
                <c:pt idx="54">
                  <c:v>#N/A</c:v>
                </c:pt>
                <c:pt idx="55">
                  <c:v>#N/A</c:v>
                </c:pt>
                <c:pt idx="56">
                  <c:v>#N/A</c:v>
                </c:pt>
                <c:pt idx="57">
                  <c:v>0</c:v>
                </c:pt>
                <c:pt idx="58">
                  <c:v>#N/A</c:v>
                </c:pt>
                <c:pt idx="59">
                  <c:v>0</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0</c:v>
                </c:pt>
                <c:pt idx="77">
                  <c:v>#N/A</c:v>
                </c:pt>
                <c:pt idx="78">
                  <c:v>0</c:v>
                </c:pt>
                <c:pt idx="79">
                  <c:v>#N/A</c:v>
                </c:pt>
                <c:pt idx="80">
                  <c:v>#N/A</c:v>
                </c:pt>
                <c:pt idx="81">
                  <c:v>#N/A</c:v>
                </c:pt>
                <c:pt idx="82">
                  <c:v>#N/A</c:v>
                </c:pt>
                <c:pt idx="83">
                  <c:v>#N/A</c:v>
                </c:pt>
                <c:pt idx="84">
                  <c:v>#N/A</c:v>
                </c:pt>
                <c:pt idx="85">
                  <c:v>#N/A</c:v>
                </c:pt>
                <c:pt idx="86">
                  <c:v>0</c:v>
                </c:pt>
                <c:pt idx="87">
                  <c:v>#N/A</c:v>
                </c:pt>
                <c:pt idx="88">
                  <c:v>#N/A</c:v>
                </c:pt>
                <c:pt idx="89">
                  <c:v>0</c:v>
                </c:pt>
                <c:pt idx="90">
                  <c:v>#N/A</c:v>
                </c:pt>
                <c:pt idx="91">
                  <c:v>#N/A</c:v>
                </c:pt>
                <c:pt idx="92">
                  <c:v>#N/A</c:v>
                </c:pt>
                <c:pt idx="93">
                  <c:v>#N/A</c:v>
                </c:pt>
                <c:pt idx="94">
                  <c:v>#N/A</c:v>
                </c:pt>
                <c:pt idx="95">
                  <c:v>#N/A</c:v>
                </c:pt>
                <c:pt idx="96">
                  <c:v>#N/A</c:v>
                </c:pt>
                <c:pt idx="97">
                  <c:v>#N/A</c:v>
                </c:pt>
                <c:pt idx="98">
                  <c:v>0</c:v>
                </c:pt>
                <c:pt idx="99">
                  <c:v>0</c:v>
                </c:pt>
                <c:pt idx="100">
                  <c:v>#N/A</c:v>
                </c:pt>
                <c:pt idx="101">
                  <c:v>0</c:v>
                </c:pt>
                <c:pt idx="102">
                  <c:v>#N/A</c:v>
                </c:pt>
                <c:pt idx="103">
                  <c:v>0</c:v>
                </c:pt>
                <c:pt idx="104">
                  <c:v>#N/A</c:v>
                </c:pt>
                <c:pt idx="105">
                  <c:v>#N/A</c:v>
                </c:pt>
                <c:pt idx="106">
                  <c:v>#N/A</c:v>
                </c:pt>
                <c:pt idx="107">
                  <c:v>#N/A</c:v>
                </c:pt>
                <c:pt idx="108">
                  <c:v>#N/A</c:v>
                </c:pt>
                <c:pt idx="109">
                  <c:v>#N/A</c:v>
                </c:pt>
                <c:pt idx="110">
                  <c:v>#N/A</c:v>
                </c:pt>
                <c:pt idx="111">
                  <c:v>#N/A</c:v>
                </c:pt>
                <c:pt idx="112">
                  <c:v>#N/A</c:v>
                </c:pt>
                <c:pt idx="113">
                  <c:v>#N/A</c:v>
                </c:pt>
                <c:pt idx="114">
                  <c:v>0</c:v>
                </c:pt>
                <c:pt idx="115">
                  <c:v>#N/A</c:v>
                </c:pt>
                <c:pt idx="116">
                  <c:v>0</c:v>
                </c:pt>
                <c:pt idx="117">
                  <c:v>#N/A</c:v>
                </c:pt>
                <c:pt idx="118">
                  <c:v>0</c:v>
                </c:pt>
                <c:pt idx="119">
                  <c:v>#N/A</c:v>
                </c:pt>
                <c:pt idx="120">
                  <c:v>0</c:v>
                </c:pt>
                <c:pt idx="121">
                  <c:v>#N/A</c:v>
                </c:pt>
                <c:pt idx="122">
                  <c:v>#N/A</c:v>
                </c:pt>
                <c:pt idx="123">
                  <c:v>#N/A</c:v>
                </c:pt>
                <c:pt idx="124">
                  <c:v>0</c:v>
                </c:pt>
                <c:pt idx="125">
                  <c:v>#N/A</c:v>
                </c:pt>
                <c:pt idx="126">
                  <c:v>#N/A</c:v>
                </c:pt>
                <c:pt idx="127">
                  <c:v>#N/A</c:v>
                </c:pt>
                <c:pt idx="128">
                  <c:v>#N/A</c:v>
                </c:pt>
                <c:pt idx="129">
                  <c:v>#N/A</c:v>
                </c:pt>
                <c:pt idx="130">
                  <c:v>#N/A</c:v>
                </c:pt>
                <c:pt idx="131">
                  <c:v>#N/A</c:v>
                </c:pt>
                <c:pt idx="132">
                  <c:v>0</c:v>
                </c:pt>
                <c:pt idx="133">
                  <c:v>#N/A</c:v>
                </c:pt>
                <c:pt idx="134">
                  <c:v>0</c:v>
                </c:pt>
                <c:pt idx="135">
                  <c:v>0</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0</c:v>
                </c:pt>
                <c:pt idx="150">
                  <c:v>#N/A</c:v>
                </c:pt>
                <c:pt idx="151">
                  <c:v>0</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0</c:v>
                </c:pt>
                <c:pt idx="167">
                  <c:v>#N/A</c:v>
                </c:pt>
                <c:pt idx="168">
                  <c:v>#N/A</c:v>
                </c:pt>
                <c:pt idx="169">
                  <c:v>0</c:v>
                </c:pt>
                <c:pt idx="170">
                  <c:v>#N/A</c:v>
                </c:pt>
                <c:pt idx="171">
                  <c:v>#N/A</c:v>
                </c:pt>
                <c:pt idx="172">
                  <c:v>#N/A</c:v>
                </c:pt>
                <c:pt idx="173">
                  <c:v>#N/A</c:v>
                </c:pt>
                <c:pt idx="174">
                  <c:v>#N/A</c:v>
                </c:pt>
                <c:pt idx="175">
                  <c:v>0</c:v>
                </c:pt>
                <c:pt idx="176">
                  <c:v>#N/A</c:v>
                </c:pt>
                <c:pt idx="177">
                  <c:v>#N/A</c:v>
                </c:pt>
                <c:pt idx="178">
                  <c:v>#N/A</c:v>
                </c:pt>
                <c:pt idx="179">
                  <c:v>#N/A</c:v>
                </c:pt>
                <c:pt idx="180">
                  <c:v>#N/A</c:v>
                </c:pt>
                <c:pt idx="181">
                  <c:v>#N/A</c:v>
                </c:pt>
                <c:pt idx="182">
                  <c:v>#N/A</c:v>
                </c:pt>
                <c:pt idx="183">
                  <c:v>#N/A</c:v>
                </c:pt>
                <c:pt idx="184">
                  <c:v>#N/A</c:v>
                </c:pt>
                <c:pt idx="185">
                  <c:v>0</c:v>
                </c:pt>
                <c:pt idx="186">
                  <c:v>#N/A</c:v>
                </c:pt>
                <c:pt idx="187">
                  <c:v>#N/A</c:v>
                </c:pt>
                <c:pt idx="188">
                  <c:v>0</c:v>
                </c:pt>
                <c:pt idx="189">
                  <c:v>#N/A</c:v>
                </c:pt>
                <c:pt idx="190">
                  <c:v>#N/A</c:v>
                </c:pt>
                <c:pt idx="191">
                  <c:v>#N/A</c:v>
                </c:pt>
                <c:pt idx="192">
                  <c:v>#N/A</c:v>
                </c:pt>
                <c:pt idx="193">
                  <c:v>#N/A</c:v>
                </c:pt>
                <c:pt idx="194">
                  <c:v>0</c:v>
                </c:pt>
                <c:pt idx="195">
                  <c:v>#N/A</c:v>
                </c:pt>
                <c:pt idx="196">
                  <c:v>#N/A</c:v>
                </c:pt>
                <c:pt idx="197">
                  <c:v>#N/A</c:v>
                </c:pt>
                <c:pt idx="198">
                  <c:v>0</c:v>
                </c:pt>
                <c:pt idx="199">
                  <c:v>#N/A</c:v>
                </c:pt>
                <c:pt idx="200">
                  <c:v>#N/A</c:v>
                </c:pt>
                <c:pt idx="201">
                  <c:v>#N/A</c:v>
                </c:pt>
                <c:pt idx="202">
                  <c:v>0</c:v>
                </c:pt>
                <c:pt idx="203">
                  <c:v>#N/A</c:v>
                </c:pt>
                <c:pt idx="204">
                  <c:v>#N/A</c:v>
                </c:pt>
                <c:pt idx="205">
                  <c:v>#N/A</c:v>
                </c:pt>
                <c:pt idx="206">
                  <c:v>#N/A</c:v>
                </c:pt>
                <c:pt idx="207">
                  <c:v>#N/A</c:v>
                </c:pt>
                <c:pt idx="208">
                  <c:v>#N/A</c:v>
                </c:pt>
                <c:pt idx="209">
                  <c:v>0</c:v>
                </c:pt>
                <c:pt idx="210">
                  <c:v>#N/A</c:v>
                </c:pt>
                <c:pt idx="211">
                  <c:v>#N/A</c:v>
                </c:pt>
                <c:pt idx="212">
                  <c:v>#N/A</c:v>
                </c:pt>
                <c:pt idx="213">
                  <c:v>#N/A</c:v>
                </c:pt>
                <c:pt idx="214">
                  <c:v>#N/A</c:v>
                </c:pt>
                <c:pt idx="215">
                  <c:v>#N/A</c:v>
                </c:pt>
                <c:pt idx="216">
                  <c:v>0</c:v>
                </c:pt>
                <c:pt idx="217">
                  <c:v>#N/A</c:v>
                </c:pt>
                <c:pt idx="218">
                  <c:v>#N/A</c:v>
                </c:pt>
                <c:pt idx="219">
                  <c:v>#N/A</c:v>
                </c:pt>
                <c:pt idx="220">
                  <c:v>#N/A</c:v>
                </c:pt>
                <c:pt idx="221">
                  <c:v>0</c:v>
                </c:pt>
                <c:pt idx="222">
                  <c:v>#N/A</c:v>
                </c:pt>
                <c:pt idx="223">
                  <c:v>#N/A</c:v>
                </c:pt>
                <c:pt idx="224">
                  <c:v>#N/A</c:v>
                </c:pt>
                <c:pt idx="225">
                  <c:v>#N/A</c:v>
                </c:pt>
                <c:pt idx="226">
                  <c:v>#N/A</c:v>
                </c:pt>
                <c:pt idx="227">
                  <c:v>#N/A</c:v>
                </c:pt>
                <c:pt idx="228">
                  <c:v>0</c:v>
                </c:pt>
                <c:pt idx="229">
                  <c:v>#N/A</c:v>
                </c:pt>
                <c:pt idx="230">
                  <c:v>0</c:v>
                </c:pt>
                <c:pt idx="231">
                  <c:v>#N/A</c:v>
                </c:pt>
                <c:pt idx="232">
                  <c:v>0</c:v>
                </c:pt>
                <c:pt idx="233">
                  <c:v>#N/A</c:v>
                </c:pt>
                <c:pt idx="234">
                  <c:v>#N/A</c:v>
                </c:pt>
                <c:pt idx="235">
                  <c:v>0</c:v>
                </c:pt>
                <c:pt idx="236">
                  <c:v>#N/A</c:v>
                </c:pt>
                <c:pt idx="237">
                  <c:v>0</c:v>
                </c:pt>
                <c:pt idx="238">
                  <c:v>#N/A</c:v>
                </c:pt>
                <c:pt idx="239">
                  <c:v>#N/A</c:v>
                </c:pt>
                <c:pt idx="240">
                  <c:v>#N/A</c:v>
                </c:pt>
                <c:pt idx="241">
                  <c:v>#N/A</c:v>
                </c:pt>
                <c:pt idx="242">
                  <c:v>#N/A</c:v>
                </c:pt>
                <c:pt idx="243">
                  <c:v>#N/A</c:v>
                </c:pt>
                <c:pt idx="244">
                  <c:v>#N/A</c:v>
                </c:pt>
                <c:pt idx="245">
                  <c:v>0</c:v>
                </c:pt>
                <c:pt idx="246">
                  <c:v>#N/A</c:v>
                </c:pt>
                <c:pt idx="247">
                  <c:v>#N/A</c:v>
                </c:pt>
                <c:pt idx="248">
                  <c:v>#N/A</c:v>
                </c:pt>
                <c:pt idx="249">
                  <c:v>0</c:v>
                </c:pt>
                <c:pt idx="250">
                  <c:v>#N/A</c:v>
                </c:pt>
                <c:pt idx="251">
                  <c:v>0</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numCache>
            </c:numRef>
          </c:val>
          <c:smooth val="0"/>
          <c:extLst>
            <c:ext xmlns:c16="http://schemas.microsoft.com/office/drawing/2014/chart" uri="{C3380CC4-5D6E-409C-BE32-E72D297353CC}">
              <c16:uniqueId val="{00000001-6FE3-484B-B6B2-FE729303DB59}"/>
            </c:ext>
          </c:extLst>
        </c:ser>
        <c:dLbls>
          <c:showLegendKey val="0"/>
          <c:showVal val="0"/>
          <c:showCatName val="0"/>
          <c:showSerName val="0"/>
          <c:showPercent val="0"/>
          <c:showBubbleSize val="0"/>
        </c:dLbls>
        <c:marker val="1"/>
        <c:smooth val="0"/>
        <c:axId val="60319232"/>
        <c:axId val="60320768"/>
      </c:lineChart>
      <c:catAx>
        <c:axId val="60319232"/>
        <c:scaling>
          <c:orientation val="minMax"/>
        </c:scaling>
        <c:delete val="1"/>
        <c:axPos val="b"/>
        <c:majorTickMark val="out"/>
        <c:minorTickMark val="none"/>
        <c:tickLblPos val="none"/>
        <c:crossAx val="60320768"/>
        <c:crosses val="autoZero"/>
        <c:auto val="1"/>
        <c:lblAlgn val="ctr"/>
        <c:lblOffset val="100"/>
        <c:noMultiLvlLbl val="0"/>
      </c:catAx>
      <c:valAx>
        <c:axId val="60320768"/>
        <c:scaling>
          <c:orientation val="minMax"/>
        </c:scaling>
        <c:delete val="1"/>
        <c:axPos val="l"/>
        <c:numFmt formatCode="General" sourceLinked="1"/>
        <c:majorTickMark val="out"/>
        <c:minorTickMark val="none"/>
        <c:tickLblPos val="none"/>
        <c:crossAx val="60319232"/>
        <c:crosses val="autoZero"/>
        <c:crossBetween val="midCat"/>
      </c:valAx>
    </c:plotArea>
    <c:plotVisOnly val="1"/>
    <c:dispBlanksAs val="gap"/>
    <c:showDLblsOverMax val="0"/>
  </c:chart>
  <c:spPr>
    <a:noFill/>
    <a:ln>
      <a:noFill/>
    </a:ln>
  </c:spPr>
  <c:printSettings>
    <c:headerFooter/>
    <c:pageMargins b="0.75000000000000466" l="0.70000000000000062" r="0.70000000000000062" t="0.7500000000000046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0221106262646025E-3"/>
          <c:y val="7.8321712822735909E-2"/>
          <c:w val="0.9670951951439507"/>
          <c:h val="0.79860130988439393"/>
        </c:manualLayout>
      </c:layout>
      <c:areaChart>
        <c:grouping val="standard"/>
        <c:varyColors val="0"/>
        <c:ser>
          <c:idx val="0"/>
          <c:order val="0"/>
          <c:tx>
            <c:strRef>
              <c:f>calculations!$AH$19</c:f>
              <c:strCache>
                <c:ptCount val="1"/>
                <c:pt idx="0">
                  <c:v>Carry Over</c:v>
                </c:pt>
              </c:strCache>
            </c:strRef>
          </c:tx>
          <c:spPr>
            <a:solidFill>
              <a:schemeClr val="bg1">
                <a:lumMod val="75000"/>
              </a:schemeClr>
            </a:solidFill>
          </c:spPr>
          <c:val>
            <c:numRef>
              <c:f>calculations!$AH$20:$AH$379</c:f>
              <c:numCache>
                <c:formatCode>General</c:formatCode>
                <c:ptCount val="3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numCache>
            </c:numRef>
          </c:val>
          <c:extLst>
            <c:ext xmlns:c16="http://schemas.microsoft.com/office/drawing/2014/chart" uri="{C3380CC4-5D6E-409C-BE32-E72D297353CC}">
              <c16:uniqueId val="{00000000-1DB6-4529-82E5-86511479B369}"/>
            </c:ext>
          </c:extLst>
        </c:ser>
        <c:dLbls>
          <c:showLegendKey val="0"/>
          <c:showVal val="0"/>
          <c:showCatName val="0"/>
          <c:showSerName val="0"/>
          <c:showPercent val="0"/>
          <c:showBubbleSize val="0"/>
        </c:dLbls>
        <c:axId val="60436480"/>
        <c:axId val="60438016"/>
      </c:areaChart>
      <c:lineChart>
        <c:grouping val="standard"/>
        <c:varyColors val="0"/>
        <c:ser>
          <c:idx val="1"/>
          <c:order val="1"/>
          <c:tx>
            <c:strRef>
              <c:f>calculations!$BN$19</c:f>
              <c:strCache>
                <c:ptCount val="1"/>
                <c:pt idx="0">
                  <c:v>Carry Over</c:v>
                </c:pt>
              </c:strCache>
            </c:strRef>
          </c:tx>
          <c:spPr>
            <a:ln>
              <a:noFill/>
            </a:ln>
          </c:spPr>
          <c:marker>
            <c:symbol val="none"/>
          </c:marker>
          <c:errBars>
            <c:errDir val="y"/>
            <c:errBarType val="minus"/>
            <c:errValType val="percentage"/>
            <c:noEndCap val="1"/>
            <c:val val="100"/>
            <c:spPr>
              <a:ln w="3175">
                <a:solidFill>
                  <a:srgbClr val="C00000"/>
                </a:solidFill>
              </a:ln>
            </c:spPr>
          </c:errBars>
          <c:val>
            <c:numRef>
              <c:f>calculations!$BN$20:$BN$379</c:f>
              <c:numCache>
                <c:formatCode>General</c:formatCode>
                <c:ptCount val="3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0</c:v>
                </c:pt>
                <c:pt idx="21">
                  <c:v>#N/A</c:v>
                </c:pt>
                <c:pt idx="22">
                  <c:v>0</c:v>
                </c:pt>
                <c:pt idx="23">
                  <c:v>0</c:v>
                </c:pt>
                <c:pt idx="24">
                  <c:v>#N/A</c:v>
                </c:pt>
                <c:pt idx="25">
                  <c:v>#N/A</c:v>
                </c:pt>
                <c:pt idx="26">
                  <c:v>#N/A</c:v>
                </c:pt>
                <c:pt idx="27">
                  <c:v>#N/A</c:v>
                </c:pt>
                <c:pt idx="28">
                  <c:v>#N/A</c:v>
                </c:pt>
                <c:pt idx="29">
                  <c:v>#N/A</c:v>
                </c:pt>
                <c:pt idx="30">
                  <c:v>0</c:v>
                </c:pt>
                <c:pt idx="31">
                  <c:v>#N/A</c:v>
                </c:pt>
                <c:pt idx="32">
                  <c:v>#N/A</c:v>
                </c:pt>
                <c:pt idx="33">
                  <c:v>0</c:v>
                </c:pt>
                <c:pt idx="34">
                  <c:v>#N/A</c:v>
                </c:pt>
                <c:pt idx="35">
                  <c:v>#N/A</c:v>
                </c:pt>
                <c:pt idx="36">
                  <c:v>0</c:v>
                </c:pt>
                <c:pt idx="37">
                  <c:v>#N/A</c:v>
                </c:pt>
                <c:pt idx="38">
                  <c:v>#N/A</c:v>
                </c:pt>
                <c:pt idx="39">
                  <c:v>#N/A</c:v>
                </c:pt>
                <c:pt idx="40">
                  <c:v>0</c:v>
                </c:pt>
                <c:pt idx="41">
                  <c:v>#N/A</c:v>
                </c:pt>
                <c:pt idx="42">
                  <c:v>#N/A</c:v>
                </c:pt>
                <c:pt idx="43">
                  <c:v>0</c:v>
                </c:pt>
                <c:pt idx="44">
                  <c:v>0</c:v>
                </c:pt>
                <c:pt idx="45">
                  <c:v>#N/A</c:v>
                </c:pt>
                <c:pt idx="46">
                  <c:v>#N/A</c:v>
                </c:pt>
                <c:pt idx="47">
                  <c:v>#N/A</c:v>
                </c:pt>
                <c:pt idx="48">
                  <c:v>#N/A</c:v>
                </c:pt>
                <c:pt idx="49">
                  <c:v>0</c:v>
                </c:pt>
                <c:pt idx="50">
                  <c:v>#N/A</c:v>
                </c:pt>
                <c:pt idx="51">
                  <c:v>#N/A</c:v>
                </c:pt>
                <c:pt idx="52">
                  <c:v>#N/A</c:v>
                </c:pt>
                <c:pt idx="53">
                  <c:v>#N/A</c:v>
                </c:pt>
                <c:pt idx="54">
                  <c:v>#N/A</c:v>
                </c:pt>
                <c:pt idx="55">
                  <c:v>#N/A</c:v>
                </c:pt>
                <c:pt idx="56">
                  <c:v>#N/A</c:v>
                </c:pt>
                <c:pt idx="57">
                  <c:v>0</c:v>
                </c:pt>
                <c:pt idx="58">
                  <c:v>#N/A</c:v>
                </c:pt>
                <c:pt idx="59">
                  <c:v>0</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0</c:v>
                </c:pt>
                <c:pt idx="77">
                  <c:v>#N/A</c:v>
                </c:pt>
                <c:pt idx="78">
                  <c:v>0</c:v>
                </c:pt>
                <c:pt idx="79">
                  <c:v>#N/A</c:v>
                </c:pt>
                <c:pt idx="80">
                  <c:v>#N/A</c:v>
                </c:pt>
                <c:pt idx="81">
                  <c:v>#N/A</c:v>
                </c:pt>
                <c:pt idx="82">
                  <c:v>#N/A</c:v>
                </c:pt>
                <c:pt idx="83">
                  <c:v>#N/A</c:v>
                </c:pt>
                <c:pt idx="84">
                  <c:v>#N/A</c:v>
                </c:pt>
                <c:pt idx="85">
                  <c:v>#N/A</c:v>
                </c:pt>
                <c:pt idx="86">
                  <c:v>0</c:v>
                </c:pt>
                <c:pt idx="87">
                  <c:v>#N/A</c:v>
                </c:pt>
                <c:pt idx="88">
                  <c:v>#N/A</c:v>
                </c:pt>
                <c:pt idx="89">
                  <c:v>0</c:v>
                </c:pt>
                <c:pt idx="90">
                  <c:v>#N/A</c:v>
                </c:pt>
                <c:pt idx="91">
                  <c:v>#N/A</c:v>
                </c:pt>
                <c:pt idx="92">
                  <c:v>#N/A</c:v>
                </c:pt>
                <c:pt idx="93">
                  <c:v>#N/A</c:v>
                </c:pt>
                <c:pt idx="94">
                  <c:v>#N/A</c:v>
                </c:pt>
                <c:pt idx="95">
                  <c:v>#N/A</c:v>
                </c:pt>
                <c:pt idx="96">
                  <c:v>#N/A</c:v>
                </c:pt>
                <c:pt idx="97">
                  <c:v>#N/A</c:v>
                </c:pt>
                <c:pt idx="98">
                  <c:v>0</c:v>
                </c:pt>
                <c:pt idx="99">
                  <c:v>0</c:v>
                </c:pt>
                <c:pt idx="100">
                  <c:v>#N/A</c:v>
                </c:pt>
                <c:pt idx="101">
                  <c:v>0</c:v>
                </c:pt>
                <c:pt idx="102">
                  <c:v>#N/A</c:v>
                </c:pt>
                <c:pt idx="103">
                  <c:v>0</c:v>
                </c:pt>
                <c:pt idx="104">
                  <c:v>#N/A</c:v>
                </c:pt>
                <c:pt idx="105">
                  <c:v>#N/A</c:v>
                </c:pt>
                <c:pt idx="106">
                  <c:v>#N/A</c:v>
                </c:pt>
                <c:pt idx="107">
                  <c:v>#N/A</c:v>
                </c:pt>
                <c:pt idx="108">
                  <c:v>#N/A</c:v>
                </c:pt>
                <c:pt idx="109">
                  <c:v>#N/A</c:v>
                </c:pt>
                <c:pt idx="110">
                  <c:v>#N/A</c:v>
                </c:pt>
                <c:pt idx="111">
                  <c:v>#N/A</c:v>
                </c:pt>
                <c:pt idx="112">
                  <c:v>#N/A</c:v>
                </c:pt>
                <c:pt idx="113">
                  <c:v>#N/A</c:v>
                </c:pt>
                <c:pt idx="114">
                  <c:v>0</c:v>
                </c:pt>
                <c:pt idx="115">
                  <c:v>#N/A</c:v>
                </c:pt>
                <c:pt idx="116">
                  <c:v>0</c:v>
                </c:pt>
                <c:pt idx="117">
                  <c:v>#N/A</c:v>
                </c:pt>
                <c:pt idx="118">
                  <c:v>0</c:v>
                </c:pt>
                <c:pt idx="119">
                  <c:v>#N/A</c:v>
                </c:pt>
                <c:pt idx="120">
                  <c:v>0</c:v>
                </c:pt>
                <c:pt idx="121">
                  <c:v>#N/A</c:v>
                </c:pt>
                <c:pt idx="122">
                  <c:v>#N/A</c:v>
                </c:pt>
                <c:pt idx="123">
                  <c:v>#N/A</c:v>
                </c:pt>
                <c:pt idx="124">
                  <c:v>0</c:v>
                </c:pt>
                <c:pt idx="125">
                  <c:v>#N/A</c:v>
                </c:pt>
                <c:pt idx="126">
                  <c:v>#N/A</c:v>
                </c:pt>
                <c:pt idx="127">
                  <c:v>#N/A</c:v>
                </c:pt>
                <c:pt idx="128">
                  <c:v>#N/A</c:v>
                </c:pt>
                <c:pt idx="129">
                  <c:v>#N/A</c:v>
                </c:pt>
                <c:pt idx="130">
                  <c:v>#N/A</c:v>
                </c:pt>
                <c:pt idx="131">
                  <c:v>#N/A</c:v>
                </c:pt>
                <c:pt idx="132">
                  <c:v>0</c:v>
                </c:pt>
                <c:pt idx="133">
                  <c:v>#N/A</c:v>
                </c:pt>
                <c:pt idx="134">
                  <c:v>0</c:v>
                </c:pt>
                <c:pt idx="135">
                  <c:v>0</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0</c:v>
                </c:pt>
                <c:pt idx="150">
                  <c:v>#N/A</c:v>
                </c:pt>
                <c:pt idx="151">
                  <c:v>0</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0</c:v>
                </c:pt>
                <c:pt idx="167">
                  <c:v>#N/A</c:v>
                </c:pt>
                <c:pt idx="168">
                  <c:v>#N/A</c:v>
                </c:pt>
                <c:pt idx="169">
                  <c:v>0</c:v>
                </c:pt>
                <c:pt idx="170">
                  <c:v>#N/A</c:v>
                </c:pt>
                <c:pt idx="171">
                  <c:v>#N/A</c:v>
                </c:pt>
                <c:pt idx="172">
                  <c:v>#N/A</c:v>
                </c:pt>
                <c:pt idx="173">
                  <c:v>#N/A</c:v>
                </c:pt>
                <c:pt idx="174">
                  <c:v>#N/A</c:v>
                </c:pt>
                <c:pt idx="175">
                  <c:v>0</c:v>
                </c:pt>
                <c:pt idx="176">
                  <c:v>#N/A</c:v>
                </c:pt>
                <c:pt idx="177">
                  <c:v>#N/A</c:v>
                </c:pt>
                <c:pt idx="178">
                  <c:v>#N/A</c:v>
                </c:pt>
                <c:pt idx="179">
                  <c:v>#N/A</c:v>
                </c:pt>
                <c:pt idx="180">
                  <c:v>#N/A</c:v>
                </c:pt>
                <c:pt idx="181">
                  <c:v>#N/A</c:v>
                </c:pt>
                <c:pt idx="182">
                  <c:v>#N/A</c:v>
                </c:pt>
                <c:pt idx="183">
                  <c:v>#N/A</c:v>
                </c:pt>
                <c:pt idx="184">
                  <c:v>#N/A</c:v>
                </c:pt>
                <c:pt idx="185">
                  <c:v>0</c:v>
                </c:pt>
                <c:pt idx="186">
                  <c:v>#N/A</c:v>
                </c:pt>
                <c:pt idx="187">
                  <c:v>#N/A</c:v>
                </c:pt>
                <c:pt idx="188">
                  <c:v>0</c:v>
                </c:pt>
                <c:pt idx="189">
                  <c:v>#N/A</c:v>
                </c:pt>
                <c:pt idx="190">
                  <c:v>#N/A</c:v>
                </c:pt>
                <c:pt idx="191">
                  <c:v>#N/A</c:v>
                </c:pt>
                <c:pt idx="192">
                  <c:v>#N/A</c:v>
                </c:pt>
                <c:pt idx="193">
                  <c:v>#N/A</c:v>
                </c:pt>
                <c:pt idx="194">
                  <c:v>0</c:v>
                </c:pt>
                <c:pt idx="195">
                  <c:v>#N/A</c:v>
                </c:pt>
                <c:pt idx="196">
                  <c:v>#N/A</c:v>
                </c:pt>
                <c:pt idx="197">
                  <c:v>#N/A</c:v>
                </c:pt>
                <c:pt idx="198">
                  <c:v>0</c:v>
                </c:pt>
                <c:pt idx="199">
                  <c:v>#N/A</c:v>
                </c:pt>
                <c:pt idx="200">
                  <c:v>#N/A</c:v>
                </c:pt>
                <c:pt idx="201">
                  <c:v>#N/A</c:v>
                </c:pt>
                <c:pt idx="202">
                  <c:v>0</c:v>
                </c:pt>
                <c:pt idx="203">
                  <c:v>#N/A</c:v>
                </c:pt>
                <c:pt idx="204">
                  <c:v>#N/A</c:v>
                </c:pt>
                <c:pt idx="205">
                  <c:v>#N/A</c:v>
                </c:pt>
                <c:pt idx="206">
                  <c:v>#N/A</c:v>
                </c:pt>
                <c:pt idx="207">
                  <c:v>#N/A</c:v>
                </c:pt>
                <c:pt idx="208">
                  <c:v>#N/A</c:v>
                </c:pt>
                <c:pt idx="209">
                  <c:v>0</c:v>
                </c:pt>
                <c:pt idx="210">
                  <c:v>#N/A</c:v>
                </c:pt>
                <c:pt idx="211">
                  <c:v>#N/A</c:v>
                </c:pt>
                <c:pt idx="212">
                  <c:v>#N/A</c:v>
                </c:pt>
                <c:pt idx="213">
                  <c:v>#N/A</c:v>
                </c:pt>
                <c:pt idx="214">
                  <c:v>#N/A</c:v>
                </c:pt>
                <c:pt idx="215">
                  <c:v>#N/A</c:v>
                </c:pt>
                <c:pt idx="216">
                  <c:v>0</c:v>
                </c:pt>
                <c:pt idx="217">
                  <c:v>#N/A</c:v>
                </c:pt>
                <c:pt idx="218">
                  <c:v>#N/A</c:v>
                </c:pt>
                <c:pt idx="219">
                  <c:v>#N/A</c:v>
                </c:pt>
                <c:pt idx="220">
                  <c:v>#N/A</c:v>
                </c:pt>
                <c:pt idx="221">
                  <c:v>0</c:v>
                </c:pt>
                <c:pt idx="222">
                  <c:v>#N/A</c:v>
                </c:pt>
                <c:pt idx="223">
                  <c:v>#N/A</c:v>
                </c:pt>
                <c:pt idx="224">
                  <c:v>#N/A</c:v>
                </c:pt>
                <c:pt idx="225">
                  <c:v>#N/A</c:v>
                </c:pt>
                <c:pt idx="226">
                  <c:v>#N/A</c:v>
                </c:pt>
                <c:pt idx="227">
                  <c:v>#N/A</c:v>
                </c:pt>
                <c:pt idx="228">
                  <c:v>0</c:v>
                </c:pt>
                <c:pt idx="229">
                  <c:v>#N/A</c:v>
                </c:pt>
                <c:pt idx="230">
                  <c:v>0</c:v>
                </c:pt>
                <c:pt idx="231">
                  <c:v>#N/A</c:v>
                </c:pt>
                <c:pt idx="232">
                  <c:v>0</c:v>
                </c:pt>
                <c:pt idx="233">
                  <c:v>#N/A</c:v>
                </c:pt>
                <c:pt idx="234">
                  <c:v>#N/A</c:v>
                </c:pt>
                <c:pt idx="235">
                  <c:v>0</c:v>
                </c:pt>
                <c:pt idx="236">
                  <c:v>#N/A</c:v>
                </c:pt>
                <c:pt idx="237">
                  <c:v>0</c:v>
                </c:pt>
                <c:pt idx="238">
                  <c:v>#N/A</c:v>
                </c:pt>
                <c:pt idx="239">
                  <c:v>#N/A</c:v>
                </c:pt>
                <c:pt idx="240">
                  <c:v>#N/A</c:v>
                </c:pt>
                <c:pt idx="241">
                  <c:v>#N/A</c:v>
                </c:pt>
                <c:pt idx="242">
                  <c:v>#N/A</c:v>
                </c:pt>
                <c:pt idx="243">
                  <c:v>#N/A</c:v>
                </c:pt>
                <c:pt idx="244">
                  <c:v>#N/A</c:v>
                </c:pt>
                <c:pt idx="245">
                  <c:v>0</c:v>
                </c:pt>
                <c:pt idx="246">
                  <c:v>#N/A</c:v>
                </c:pt>
                <c:pt idx="247">
                  <c:v>#N/A</c:v>
                </c:pt>
                <c:pt idx="248">
                  <c:v>#N/A</c:v>
                </c:pt>
                <c:pt idx="249">
                  <c:v>0</c:v>
                </c:pt>
                <c:pt idx="250">
                  <c:v>#N/A</c:v>
                </c:pt>
                <c:pt idx="251">
                  <c:v>0</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numCache>
            </c:numRef>
          </c:val>
          <c:smooth val="0"/>
          <c:extLst>
            <c:ext xmlns:c16="http://schemas.microsoft.com/office/drawing/2014/chart" uri="{C3380CC4-5D6E-409C-BE32-E72D297353CC}">
              <c16:uniqueId val="{00000001-1DB6-4529-82E5-86511479B369}"/>
            </c:ext>
          </c:extLst>
        </c:ser>
        <c:dLbls>
          <c:showLegendKey val="0"/>
          <c:showVal val="0"/>
          <c:showCatName val="0"/>
          <c:showSerName val="0"/>
          <c:showPercent val="0"/>
          <c:showBubbleSize val="0"/>
        </c:dLbls>
        <c:marker val="1"/>
        <c:smooth val="0"/>
        <c:axId val="60436480"/>
        <c:axId val="60438016"/>
      </c:lineChart>
      <c:catAx>
        <c:axId val="60436480"/>
        <c:scaling>
          <c:orientation val="minMax"/>
        </c:scaling>
        <c:delete val="1"/>
        <c:axPos val="b"/>
        <c:majorTickMark val="out"/>
        <c:minorTickMark val="none"/>
        <c:tickLblPos val="none"/>
        <c:crossAx val="60438016"/>
        <c:crosses val="autoZero"/>
        <c:auto val="1"/>
        <c:lblAlgn val="ctr"/>
        <c:lblOffset val="100"/>
        <c:noMultiLvlLbl val="0"/>
      </c:catAx>
      <c:valAx>
        <c:axId val="60438016"/>
        <c:scaling>
          <c:orientation val="minMax"/>
        </c:scaling>
        <c:delete val="1"/>
        <c:axPos val="l"/>
        <c:numFmt formatCode="General" sourceLinked="1"/>
        <c:majorTickMark val="out"/>
        <c:minorTickMark val="none"/>
        <c:tickLblPos val="none"/>
        <c:crossAx val="60436480"/>
        <c:crosses val="autoZero"/>
        <c:crossBetween val="midCat"/>
      </c:valAx>
    </c:plotArea>
    <c:plotVisOnly val="1"/>
    <c:dispBlanksAs val="gap"/>
    <c:showDLblsOverMax val="0"/>
  </c:chart>
  <c:spPr>
    <a:noFill/>
    <a:ln>
      <a:noFill/>
    </a:ln>
  </c:spPr>
  <c:printSettings>
    <c:headerFooter/>
    <c:pageMargins b="0.75000000000000488" l="0.70000000000000062" r="0.70000000000000062" t="0.75000000000000488"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calculations!$F$5</c:f>
              <c:strCache>
                <c:ptCount val="1"/>
                <c:pt idx="0">
                  <c:v>Performance</c:v>
                </c:pt>
              </c:strCache>
            </c:strRef>
          </c:tx>
          <c:invertIfNegative val="0"/>
          <c:cat>
            <c:strRef>
              <c:f>calculations!$C$6:$C$15</c:f>
              <c:strCache>
                <c:ptCount val="10"/>
                <c:pt idx="0">
                  <c:v>Product 9</c:v>
                </c:pt>
                <c:pt idx="1">
                  <c:v>Product 9</c:v>
                </c:pt>
                <c:pt idx="2">
                  <c:v>Product 17</c:v>
                </c:pt>
                <c:pt idx="3">
                  <c:v>Product 17</c:v>
                </c:pt>
                <c:pt idx="4">
                  <c:v>Product 17</c:v>
                </c:pt>
                <c:pt idx="5">
                  <c:v>Product 10</c:v>
                </c:pt>
                <c:pt idx="6">
                  <c:v>Product 16</c:v>
                </c:pt>
                <c:pt idx="7">
                  <c:v>Product 7</c:v>
                </c:pt>
                <c:pt idx="8">
                  <c:v>Product 10</c:v>
                </c:pt>
                <c:pt idx="9">
                  <c:v>Product 17</c:v>
                </c:pt>
              </c:strCache>
            </c:strRef>
          </c:cat>
          <c:val>
            <c:numRef>
              <c:f>calculations!$F$6:$F$15</c:f>
              <c:numCache>
                <c:formatCode>General</c:formatCode>
                <c:ptCount val="10"/>
                <c:pt idx="0">
                  <c:v>71.111111111111114</c:v>
                </c:pt>
                <c:pt idx="1">
                  <c:v>26.051921079958461</c:v>
                </c:pt>
                <c:pt idx="2">
                  <c:v>79.45804195804196</c:v>
                </c:pt>
                <c:pt idx="3">
                  <c:v>95.842142353770271</c:v>
                </c:pt>
                <c:pt idx="4">
                  <c:v>96.5836711059641</c:v>
                </c:pt>
                <c:pt idx="5">
                  <c:v>101.42065976402601</c:v>
                </c:pt>
                <c:pt idx="6">
                  <c:v>92.785304139695569</c:v>
                </c:pt>
                <c:pt idx="7">
                  <c:v>118.81720430107525</c:v>
                </c:pt>
                <c:pt idx="8">
                  <c:v>92.238542419134745</c:v>
                </c:pt>
                <c:pt idx="9">
                  <c:v>95.884681788414611</c:v>
                </c:pt>
              </c:numCache>
            </c:numRef>
          </c:val>
          <c:extLst>
            <c:ext xmlns:c16="http://schemas.microsoft.com/office/drawing/2014/chart" uri="{C3380CC4-5D6E-409C-BE32-E72D297353CC}">
              <c16:uniqueId val="{00000000-1BD2-4DC6-B327-B1288BA959B8}"/>
            </c:ext>
          </c:extLst>
        </c:ser>
        <c:dLbls>
          <c:showLegendKey val="0"/>
          <c:showVal val="0"/>
          <c:showCatName val="0"/>
          <c:showSerName val="0"/>
          <c:showPercent val="0"/>
          <c:showBubbleSize val="0"/>
        </c:dLbls>
        <c:gapWidth val="50"/>
        <c:axId val="60463360"/>
        <c:axId val="60473728"/>
      </c:barChart>
      <c:scatterChart>
        <c:scatterStyle val="lineMarker"/>
        <c:varyColors val="0"/>
        <c:ser>
          <c:idx val="1"/>
          <c:order val="1"/>
          <c:tx>
            <c:strRef>
              <c:f>calculations!$S$5</c:f>
              <c:strCache>
                <c:ptCount val="1"/>
                <c:pt idx="0">
                  <c:v>t Performance</c:v>
                </c:pt>
              </c:strCache>
            </c:strRef>
          </c:tx>
          <c:spPr>
            <a:ln w="28575">
              <a:noFill/>
            </a:ln>
          </c:spPr>
          <c:marker>
            <c:symbol val="diamond"/>
            <c:size val="5"/>
            <c:spPr>
              <a:solidFill>
                <a:schemeClr val="bg1">
                  <a:lumMod val="75000"/>
                </a:schemeClr>
              </a:solidFill>
              <a:ln>
                <a:solidFill>
                  <a:srgbClr val="002060"/>
                </a:solidFill>
              </a:ln>
            </c:spPr>
          </c:marker>
          <c:xVal>
            <c:numRef>
              <c:f>calculations!$S$6:$S$15</c:f>
              <c:numCache>
                <c:formatCode>0.00%</c:formatCode>
                <c:ptCount val="10"/>
                <c:pt idx="0">
                  <c:v>98</c:v>
                </c:pt>
                <c:pt idx="1">
                  <c:v>98</c:v>
                </c:pt>
                <c:pt idx="2">
                  <c:v>98</c:v>
                </c:pt>
                <c:pt idx="3">
                  <c:v>98</c:v>
                </c:pt>
                <c:pt idx="4">
                  <c:v>98</c:v>
                </c:pt>
                <c:pt idx="5">
                  <c:v>98</c:v>
                </c:pt>
                <c:pt idx="6">
                  <c:v>98</c:v>
                </c:pt>
                <c:pt idx="7">
                  <c:v>98</c:v>
                </c:pt>
                <c:pt idx="8">
                  <c:v>98</c:v>
                </c:pt>
                <c:pt idx="9">
                  <c:v>98</c:v>
                </c:pt>
              </c:numCache>
            </c:numRef>
          </c:xVal>
          <c:yVal>
            <c:numRef>
              <c:f>calculations!$B$20:$B$29</c:f>
              <c:numCache>
                <c:formatCode>General</c:formatCode>
                <c:ptCount val="10"/>
                <c:pt idx="0">
                  <c:v>1</c:v>
                </c:pt>
                <c:pt idx="1">
                  <c:v>2</c:v>
                </c:pt>
                <c:pt idx="2">
                  <c:v>3</c:v>
                </c:pt>
                <c:pt idx="3">
                  <c:v>4</c:v>
                </c:pt>
                <c:pt idx="4">
                  <c:v>5</c:v>
                </c:pt>
                <c:pt idx="5">
                  <c:v>6</c:v>
                </c:pt>
                <c:pt idx="6">
                  <c:v>7</c:v>
                </c:pt>
                <c:pt idx="7">
                  <c:v>8</c:v>
                </c:pt>
                <c:pt idx="8">
                  <c:v>9</c:v>
                </c:pt>
                <c:pt idx="9">
                  <c:v>10</c:v>
                </c:pt>
              </c:numCache>
            </c:numRef>
          </c:yVal>
          <c:smooth val="0"/>
          <c:extLst>
            <c:ext xmlns:c16="http://schemas.microsoft.com/office/drawing/2014/chart" uri="{C3380CC4-5D6E-409C-BE32-E72D297353CC}">
              <c16:uniqueId val="{00000001-1BD2-4DC6-B327-B1288BA959B8}"/>
            </c:ext>
          </c:extLst>
        </c:ser>
        <c:dLbls>
          <c:showLegendKey val="0"/>
          <c:showVal val="0"/>
          <c:showCatName val="0"/>
          <c:showSerName val="0"/>
          <c:showPercent val="0"/>
          <c:showBubbleSize val="0"/>
        </c:dLbls>
        <c:axId val="60476800"/>
        <c:axId val="60475264"/>
      </c:scatterChart>
      <c:catAx>
        <c:axId val="60463360"/>
        <c:scaling>
          <c:orientation val="maxMin"/>
        </c:scaling>
        <c:delete val="1"/>
        <c:axPos val="l"/>
        <c:numFmt formatCode="General" sourceLinked="1"/>
        <c:majorTickMark val="out"/>
        <c:minorTickMark val="none"/>
        <c:tickLblPos val="none"/>
        <c:crossAx val="60473728"/>
        <c:crosses val="autoZero"/>
        <c:auto val="1"/>
        <c:lblAlgn val="ctr"/>
        <c:lblOffset val="100"/>
        <c:noMultiLvlLbl val="0"/>
      </c:catAx>
      <c:valAx>
        <c:axId val="60473728"/>
        <c:scaling>
          <c:orientation val="minMax"/>
          <c:max val="700"/>
          <c:min val="0"/>
        </c:scaling>
        <c:delete val="1"/>
        <c:axPos val="t"/>
        <c:numFmt formatCode="General" sourceLinked="1"/>
        <c:majorTickMark val="out"/>
        <c:minorTickMark val="none"/>
        <c:tickLblPos val="none"/>
        <c:crossAx val="60463360"/>
        <c:crosses val="autoZero"/>
        <c:crossBetween val="between"/>
      </c:valAx>
      <c:valAx>
        <c:axId val="60475264"/>
        <c:scaling>
          <c:orientation val="maxMin"/>
          <c:max val="10.5"/>
          <c:min val="0.5"/>
        </c:scaling>
        <c:delete val="1"/>
        <c:axPos val="r"/>
        <c:numFmt formatCode="General" sourceLinked="1"/>
        <c:majorTickMark val="out"/>
        <c:minorTickMark val="none"/>
        <c:tickLblPos val="none"/>
        <c:crossAx val="60476800"/>
        <c:crosses val="max"/>
        <c:crossBetween val="midCat"/>
      </c:valAx>
      <c:valAx>
        <c:axId val="60476800"/>
        <c:scaling>
          <c:orientation val="minMax"/>
        </c:scaling>
        <c:delete val="1"/>
        <c:axPos val="t"/>
        <c:numFmt formatCode="0.00%" sourceLinked="1"/>
        <c:majorTickMark val="out"/>
        <c:minorTickMark val="none"/>
        <c:tickLblPos val="none"/>
        <c:crossAx val="60475264"/>
        <c:crosses val="autoZero"/>
        <c:crossBetween val="midCat"/>
      </c:valAx>
      <c:spPr>
        <a:noFill/>
      </c:spPr>
    </c:plotArea>
    <c:plotVisOnly val="1"/>
    <c:dispBlanksAs val="gap"/>
    <c:showDLblsOverMax val="0"/>
  </c:chart>
  <c:spPr>
    <a:noFill/>
    <a:ln>
      <a:noFill/>
    </a:ln>
  </c:spPr>
  <c:printSettings>
    <c:headerFooter/>
    <c:pageMargins b="0.75000000000000433" l="0.70000000000000062" r="0.70000000000000062" t="0.75000000000000433"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12878056694791892"/>
          <c:w val="0.86321247987842853"/>
          <c:h val="0.8712194330520816"/>
        </c:manualLayout>
      </c:layout>
      <c:barChart>
        <c:barDir val="bar"/>
        <c:grouping val="clustered"/>
        <c:varyColors val="0"/>
        <c:ser>
          <c:idx val="0"/>
          <c:order val="0"/>
          <c:tx>
            <c:strRef>
              <c:f>calculations!$G$5</c:f>
              <c:strCache>
                <c:ptCount val="1"/>
                <c:pt idx="0">
                  <c:v>Quality</c:v>
                </c:pt>
              </c:strCache>
            </c:strRef>
          </c:tx>
          <c:invertIfNegative val="0"/>
          <c:cat>
            <c:strRef>
              <c:f>calculations!$C$6:$C$15</c:f>
              <c:strCache>
                <c:ptCount val="10"/>
                <c:pt idx="0">
                  <c:v>Product 9</c:v>
                </c:pt>
                <c:pt idx="1">
                  <c:v>Product 9</c:v>
                </c:pt>
                <c:pt idx="2">
                  <c:v>Product 17</c:v>
                </c:pt>
                <c:pt idx="3">
                  <c:v>Product 17</c:v>
                </c:pt>
                <c:pt idx="4">
                  <c:v>Product 17</c:v>
                </c:pt>
                <c:pt idx="5">
                  <c:v>Product 10</c:v>
                </c:pt>
                <c:pt idx="6">
                  <c:v>Product 16</c:v>
                </c:pt>
                <c:pt idx="7">
                  <c:v>Product 7</c:v>
                </c:pt>
                <c:pt idx="8">
                  <c:v>Product 10</c:v>
                </c:pt>
                <c:pt idx="9">
                  <c:v>Product 17</c:v>
                </c:pt>
              </c:strCache>
            </c:strRef>
          </c:cat>
          <c:val>
            <c:numRef>
              <c:f>calculations!$G$6:$G$15</c:f>
              <c:numCache>
                <c:formatCode>General</c:formatCode>
                <c:ptCount val="10"/>
                <c:pt idx="0">
                  <c:v>100</c:v>
                </c:pt>
                <c:pt idx="1">
                  <c:v>100</c:v>
                </c:pt>
                <c:pt idx="2">
                  <c:v>100</c:v>
                </c:pt>
                <c:pt idx="3">
                  <c:v>100</c:v>
                </c:pt>
                <c:pt idx="4">
                  <c:v>100</c:v>
                </c:pt>
                <c:pt idx="5">
                  <c:v>100</c:v>
                </c:pt>
                <c:pt idx="6">
                  <c:v>100</c:v>
                </c:pt>
                <c:pt idx="7">
                  <c:v>100</c:v>
                </c:pt>
                <c:pt idx="8">
                  <c:v>100</c:v>
                </c:pt>
                <c:pt idx="9">
                  <c:v>99.858746099995344</c:v>
                </c:pt>
              </c:numCache>
            </c:numRef>
          </c:val>
          <c:extLst>
            <c:ext xmlns:c16="http://schemas.microsoft.com/office/drawing/2014/chart" uri="{C3380CC4-5D6E-409C-BE32-E72D297353CC}">
              <c16:uniqueId val="{00000000-CE69-407B-B13B-9050956BCF74}"/>
            </c:ext>
          </c:extLst>
        </c:ser>
        <c:dLbls>
          <c:showLegendKey val="0"/>
          <c:showVal val="0"/>
          <c:showCatName val="0"/>
          <c:showSerName val="0"/>
          <c:showPercent val="0"/>
          <c:showBubbleSize val="0"/>
        </c:dLbls>
        <c:gapWidth val="50"/>
        <c:axId val="60559744"/>
        <c:axId val="60561664"/>
      </c:barChart>
      <c:scatterChart>
        <c:scatterStyle val="lineMarker"/>
        <c:varyColors val="0"/>
        <c:ser>
          <c:idx val="1"/>
          <c:order val="1"/>
          <c:tx>
            <c:strRef>
              <c:f>calculations!$T$5</c:f>
              <c:strCache>
                <c:ptCount val="1"/>
                <c:pt idx="0">
                  <c:v>t Quality</c:v>
                </c:pt>
              </c:strCache>
            </c:strRef>
          </c:tx>
          <c:spPr>
            <a:ln w="28575">
              <a:noFill/>
            </a:ln>
          </c:spPr>
          <c:marker>
            <c:symbol val="diamond"/>
            <c:size val="5"/>
            <c:spPr>
              <a:solidFill>
                <a:schemeClr val="bg1">
                  <a:lumMod val="75000"/>
                </a:schemeClr>
              </a:solidFill>
              <a:ln>
                <a:solidFill>
                  <a:srgbClr val="002060"/>
                </a:solidFill>
              </a:ln>
            </c:spPr>
          </c:marker>
          <c:xVal>
            <c:numRef>
              <c:f>calculations!$T$6:$T$15</c:f>
              <c:numCache>
                <c:formatCode>0.00%</c:formatCode>
                <c:ptCount val="10"/>
                <c:pt idx="0">
                  <c:v>99</c:v>
                </c:pt>
                <c:pt idx="1">
                  <c:v>99</c:v>
                </c:pt>
                <c:pt idx="2">
                  <c:v>99.2</c:v>
                </c:pt>
                <c:pt idx="3">
                  <c:v>99.2</c:v>
                </c:pt>
                <c:pt idx="4">
                  <c:v>99.2</c:v>
                </c:pt>
                <c:pt idx="5">
                  <c:v>99.2</c:v>
                </c:pt>
                <c:pt idx="6">
                  <c:v>98.5</c:v>
                </c:pt>
                <c:pt idx="7">
                  <c:v>98.5</c:v>
                </c:pt>
                <c:pt idx="8">
                  <c:v>99.2</c:v>
                </c:pt>
                <c:pt idx="9">
                  <c:v>99.2</c:v>
                </c:pt>
              </c:numCache>
            </c:numRef>
          </c:xVal>
          <c:yVal>
            <c:numRef>
              <c:f>calculations!$B$20:$B$29</c:f>
              <c:numCache>
                <c:formatCode>General</c:formatCode>
                <c:ptCount val="10"/>
                <c:pt idx="0">
                  <c:v>1</c:v>
                </c:pt>
                <c:pt idx="1">
                  <c:v>2</c:v>
                </c:pt>
                <c:pt idx="2">
                  <c:v>3</c:v>
                </c:pt>
                <c:pt idx="3">
                  <c:v>4</c:v>
                </c:pt>
                <c:pt idx="4">
                  <c:v>5</c:v>
                </c:pt>
                <c:pt idx="5">
                  <c:v>6</c:v>
                </c:pt>
                <c:pt idx="6">
                  <c:v>7</c:v>
                </c:pt>
                <c:pt idx="7">
                  <c:v>8</c:v>
                </c:pt>
                <c:pt idx="8">
                  <c:v>9</c:v>
                </c:pt>
                <c:pt idx="9">
                  <c:v>10</c:v>
                </c:pt>
              </c:numCache>
            </c:numRef>
          </c:yVal>
          <c:smooth val="0"/>
          <c:extLst>
            <c:ext xmlns:c16="http://schemas.microsoft.com/office/drawing/2014/chart" uri="{C3380CC4-5D6E-409C-BE32-E72D297353CC}">
              <c16:uniqueId val="{00000001-CE69-407B-B13B-9050956BCF74}"/>
            </c:ext>
          </c:extLst>
        </c:ser>
        <c:dLbls>
          <c:showLegendKey val="0"/>
          <c:showVal val="0"/>
          <c:showCatName val="0"/>
          <c:showSerName val="0"/>
          <c:showPercent val="0"/>
          <c:showBubbleSize val="0"/>
        </c:dLbls>
        <c:axId val="60581376"/>
        <c:axId val="60579840"/>
      </c:scatterChart>
      <c:catAx>
        <c:axId val="60559744"/>
        <c:scaling>
          <c:orientation val="maxMin"/>
        </c:scaling>
        <c:delete val="1"/>
        <c:axPos val="l"/>
        <c:numFmt formatCode="General" sourceLinked="1"/>
        <c:majorTickMark val="out"/>
        <c:minorTickMark val="none"/>
        <c:tickLblPos val="none"/>
        <c:crossAx val="60561664"/>
        <c:crosses val="autoZero"/>
        <c:auto val="1"/>
        <c:lblAlgn val="ctr"/>
        <c:lblOffset val="100"/>
        <c:noMultiLvlLbl val="0"/>
      </c:catAx>
      <c:valAx>
        <c:axId val="60561664"/>
        <c:scaling>
          <c:orientation val="minMax"/>
          <c:max val="700"/>
          <c:min val="0"/>
        </c:scaling>
        <c:delete val="1"/>
        <c:axPos val="t"/>
        <c:numFmt formatCode="General" sourceLinked="1"/>
        <c:majorTickMark val="out"/>
        <c:minorTickMark val="none"/>
        <c:tickLblPos val="none"/>
        <c:crossAx val="60559744"/>
        <c:crosses val="autoZero"/>
        <c:crossBetween val="between"/>
      </c:valAx>
      <c:valAx>
        <c:axId val="60579840"/>
        <c:scaling>
          <c:orientation val="maxMin"/>
          <c:max val="10.5"/>
          <c:min val="0.5"/>
        </c:scaling>
        <c:delete val="1"/>
        <c:axPos val="r"/>
        <c:numFmt formatCode="General" sourceLinked="1"/>
        <c:majorTickMark val="out"/>
        <c:minorTickMark val="none"/>
        <c:tickLblPos val="none"/>
        <c:crossAx val="60581376"/>
        <c:crosses val="max"/>
        <c:crossBetween val="midCat"/>
      </c:valAx>
      <c:valAx>
        <c:axId val="60581376"/>
        <c:scaling>
          <c:orientation val="minMax"/>
        </c:scaling>
        <c:delete val="1"/>
        <c:axPos val="t"/>
        <c:numFmt formatCode="0.00%" sourceLinked="1"/>
        <c:majorTickMark val="out"/>
        <c:minorTickMark val="none"/>
        <c:tickLblPos val="none"/>
        <c:crossAx val="60579840"/>
        <c:crosses val="autoZero"/>
        <c:crossBetween val="midCat"/>
      </c:valAx>
      <c:spPr>
        <a:noFill/>
      </c:spPr>
    </c:plotArea>
    <c:plotVisOnly val="1"/>
    <c:dispBlanksAs val="gap"/>
    <c:showDLblsOverMax val="0"/>
  </c:chart>
  <c:spPr>
    <a:noFill/>
    <a:ln>
      <a:noFill/>
    </a:ln>
  </c:spPr>
  <c:printSettings>
    <c:headerFooter/>
    <c:pageMargins b="0.75000000000000455" l="0.70000000000000062" r="0.70000000000000062" t="0.7500000000000045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calculations!$I$5</c:f>
              <c:strCache>
                <c:ptCount val="1"/>
                <c:pt idx="0">
                  <c:v>Yield</c:v>
                </c:pt>
              </c:strCache>
            </c:strRef>
          </c:tx>
          <c:invertIfNegative val="0"/>
          <c:cat>
            <c:strRef>
              <c:f>calculations!$C$6:$C$15</c:f>
              <c:strCache>
                <c:ptCount val="10"/>
                <c:pt idx="0">
                  <c:v>Product 9</c:v>
                </c:pt>
                <c:pt idx="1">
                  <c:v>Product 9</c:v>
                </c:pt>
                <c:pt idx="2">
                  <c:v>Product 17</c:v>
                </c:pt>
                <c:pt idx="3">
                  <c:v>Product 17</c:v>
                </c:pt>
                <c:pt idx="4">
                  <c:v>Product 17</c:v>
                </c:pt>
                <c:pt idx="5">
                  <c:v>Product 10</c:v>
                </c:pt>
                <c:pt idx="6">
                  <c:v>Product 16</c:v>
                </c:pt>
                <c:pt idx="7">
                  <c:v>Product 7</c:v>
                </c:pt>
                <c:pt idx="8">
                  <c:v>Product 10</c:v>
                </c:pt>
                <c:pt idx="9">
                  <c:v>Product 17</c:v>
                </c:pt>
              </c:strCache>
            </c:strRef>
          </c:cat>
          <c:val>
            <c:numRef>
              <c:f>calculations!$I$6:$I$15</c:f>
              <c:numCache>
                <c:formatCode>General</c:formatCode>
                <c:ptCount val="10"/>
                <c:pt idx="0">
                  <c:v>149.41634241245137</c:v>
                </c:pt>
                <c:pt idx="1">
                  <c:v>187.69077306733166</c:v>
                </c:pt>
                <c:pt idx="2">
                  <c:v>164.88051151049777</c:v>
                </c:pt>
                <c:pt idx="3">
                  <c:v>64.786070994736136</c:v>
                </c:pt>
                <c:pt idx="4">
                  <c:v>100.37107612075017</c:v>
                </c:pt>
                <c:pt idx="5">
                  <c:v>113.16568047337279</c:v>
                </c:pt>
                <c:pt idx="6">
                  <c:v>106.82105091693927</c:v>
                </c:pt>
                <c:pt idx="7">
                  <c:v>105.71082527174329</c:v>
                </c:pt>
                <c:pt idx="8">
                  <c:v>97.503676609223561</c:v>
                </c:pt>
                <c:pt idx="9">
                  <c:v>116.33467142673983</c:v>
                </c:pt>
              </c:numCache>
            </c:numRef>
          </c:val>
          <c:extLst>
            <c:ext xmlns:c16="http://schemas.microsoft.com/office/drawing/2014/chart" uri="{C3380CC4-5D6E-409C-BE32-E72D297353CC}">
              <c16:uniqueId val="{00000000-65D2-4C46-88A2-0560A3EB934F}"/>
            </c:ext>
          </c:extLst>
        </c:ser>
        <c:dLbls>
          <c:showLegendKey val="0"/>
          <c:showVal val="0"/>
          <c:showCatName val="0"/>
          <c:showSerName val="0"/>
          <c:showPercent val="0"/>
          <c:showBubbleSize val="0"/>
        </c:dLbls>
        <c:gapWidth val="50"/>
        <c:axId val="60614912"/>
        <c:axId val="60617088"/>
      </c:barChart>
      <c:scatterChart>
        <c:scatterStyle val="lineMarker"/>
        <c:varyColors val="0"/>
        <c:ser>
          <c:idx val="1"/>
          <c:order val="1"/>
          <c:tx>
            <c:strRef>
              <c:f>calculations!$AA$5</c:f>
              <c:strCache>
                <c:ptCount val="1"/>
                <c:pt idx="0">
                  <c:v>Carry Over12</c:v>
                </c:pt>
              </c:strCache>
            </c:strRef>
          </c:tx>
          <c:spPr>
            <a:ln w="28575">
              <a:noFill/>
            </a:ln>
          </c:spPr>
          <c:marker>
            <c:symbol val="diamond"/>
            <c:size val="5"/>
            <c:spPr>
              <a:solidFill>
                <a:schemeClr val="bg1">
                  <a:lumMod val="75000"/>
                </a:schemeClr>
              </a:solidFill>
              <a:ln>
                <a:solidFill>
                  <a:srgbClr val="002060"/>
                </a:solidFill>
              </a:ln>
            </c:spPr>
          </c:marker>
          <c:xVal>
            <c:numRef>
              <c:f>calculations!$AA$6:$AA$15</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calculations!$B$20:$B$29</c:f>
              <c:numCache>
                <c:formatCode>General</c:formatCode>
                <c:ptCount val="10"/>
                <c:pt idx="0">
                  <c:v>1</c:v>
                </c:pt>
                <c:pt idx="1">
                  <c:v>2</c:v>
                </c:pt>
                <c:pt idx="2">
                  <c:v>3</c:v>
                </c:pt>
                <c:pt idx="3">
                  <c:v>4</c:v>
                </c:pt>
                <c:pt idx="4">
                  <c:v>5</c:v>
                </c:pt>
                <c:pt idx="5">
                  <c:v>6</c:v>
                </c:pt>
                <c:pt idx="6">
                  <c:v>7</c:v>
                </c:pt>
                <c:pt idx="7">
                  <c:v>8</c:v>
                </c:pt>
                <c:pt idx="8">
                  <c:v>9</c:v>
                </c:pt>
                <c:pt idx="9">
                  <c:v>10</c:v>
                </c:pt>
              </c:numCache>
            </c:numRef>
          </c:yVal>
          <c:smooth val="0"/>
          <c:extLst>
            <c:ext xmlns:c16="http://schemas.microsoft.com/office/drawing/2014/chart" uri="{C3380CC4-5D6E-409C-BE32-E72D297353CC}">
              <c16:uniqueId val="{00000001-65D2-4C46-88A2-0560A3EB934F}"/>
            </c:ext>
          </c:extLst>
        </c:ser>
        <c:dLbls>
          <c:showLegendKey val="0"/>
          <c:showVal val="0"/>
          <c:showCatName val="0"/>
          <c:showSerName val="0"/>
          <c:showPercent val="0"/>
          <c:showBubbleSize val="0"/>
        </c:dLbls>
        <c:axId val="60620160"/>
        <c:axId val="60618624"/>
      </c:scatterChart>
      <c:catAx>
        <c:axId val="60614912"/>
        <c:scaling>
          <c:orientation val="maxMin"/>
        </c:scaling>
        <c:delete val="1"/>
        <c:axPos val="l"/>
        <c:numFmt formatCode="General" sourceLinked="1"/>
        <c:majorTickMark val="out"/>
        <c:minorTickMark val="none"/>
        <c:tickLblPos val="none"/>
        <c:crossAx val="60617088"/>
        <c:crosses val="autoZero"/>
        <c:auto val="1"/>
        <c:lblAlgn val="ctr"/>
        <c:lblOffset val="100"/>
        <c:noMultiLvlLbl val="0"/>
      </c:catAx>
      <c:valAx>
        <c:axId val="60617088"/>
        <c:scaling>
          <c:orientation val="minMax"/>
          <c:max val="1500"/>
          <c:min val="0"/>
        </c:scaling>
        <c:delete val="1"/>
        <c:axPos val="t"/>
        <c:numFmt formatCode="General" sourceLinked="1"/>
        <c:majorTickMark val="out"/>
        <c:minorTickMark val="none"/>
        <c:tickLblPos val="none"/>
        <c:crossAx val="60614912"/>
        <c:crosses val="autoZero"/>
        <c:crossBetween val="between"/>
      </c:valAx>
      <c:valAx>
        <c:axId val="60618624"/>
        <c:scaling>
          <c:orientation val="maxMin"/>
          <c:max val="10.5"/>
          <c:min val="0.5"/>
        </c:scaling>
        <c:delete val="1"/>
        <c:axPos val="r"/>
        <c:numFmt formatCode="General" sourceLinked="1"/>
        <c:majorTickMark val="out"/>
        <c:minorTickMark val="none"/>
        <c:tickLblPos val="none"/>
        <c:crossAx val="60620160"/>
        <c:crosses val="max"/>
        <c:crossBetween val="midCat"/>
      </c:valAx>
      <c:valAx>
        <c:axId val="60620160"/>
        <c:scaling>
          <c:orientation val="minMax"/>
        </c:scaling>
        <c:delete val="1"/>
        <c:axPos val="t"/>
        <c:numFmt formatCode="0" sourceLinked="1"/>
        <c:majorTickMark val="out"/>
        <c:minorTickMark val="none"/>
        <c:tickLblPos val="none"/>
        <c:crossAx val="60618624"/>
        <c:crosses val="autoZero"/>
        <c:crossBetween val="midCat"/>
      </c:valAx>
      <c:spPr>
        <a:noFill/>
      </c:spPr>
    </c:plotArea>
    <c:plotVisOnly val="1"/>
    <c:dispBlanksAs val="gap"/>
    <c:showDLblsOverMax val="0"/>
  </c:chart>
  <c:spPr>
    <a:noFill/>
    <a:ln>
      <a:noFill/>
    </a:ln>
  </c:spPr>
  <c:printSettings>
    <c:headerFooter/>
    <c:pageMargins b="0.75000000000000488" l="0.70000000000000062" r="0.70000000000000062" t="0.75000000000000488"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calculations!$J$5</c:f>
              <c:strCache>
                <c:ptCount val="1"/>
                <c:pt idx="0">
                  <c:v>Share Of Frozen Meat</c:v>
                </c:pt>
              </c:strCache>
            </c:strRef>
          </c:tx>
          <c:invertIfNegative val="0"/>
          <c:cat>
            <c:strRef>
              <c:f>calculations!$C$6:$C$15</c:f>
              <c:strCache>
                <c:ptCount val="10"/>
                <c:pt idx="0">
                  <c:v>Product 9</c:v>
                </c:pt>
                <c:pt idx="1">
                  <c:v>Product 9</c:v>
                </c:pt>
                <c:pt idx="2">
                  <c:v>Product 17</c:v>
                </c:pt>
                <c:pt idx="3">
                  <c:v>Product 17</c:v>
                </c:pt>
                <c:pt idx="4">
                  <c:v>Product 17</c:v>
                </c:pt>
                <c:pt idx="5">
                  <c:v>Product 10</c:v>
                </c:pt>
                <c:pt idx="6">
                  <c:v>Product 16</c:v>
                </c:pt>
                <c:pt idx="7">
                  <c:v>Product 7</c:v>
                </c:pt>
                <c:pt idx="8">
                  <c:v>Product 10</c:v>
                </c:pt>
                <c:pt idx="9">
                  <c:v>Product 17</c:v>
                </c:pt>
              </c:strCache>
            </c:strRef>
          </c:cat>
          <c:val>
            <c:numRef>
              <c:f>calculations!$J$6:$J$15</c:f>
              <c:numCache>
                <c:formatCode>General</c:formatCode>
                <c:ptCount val="10"/>
                <c:pt idx="0">
                  <c:v>0</c:v>
                </c:pt>
                <c:pt idx="1">
                  <c:v>0</c:v>
                </c:pt>
                <c:pt idx="2">
                  <c:v>71.486617789947886</c:v>
                </c:pt>
                <c:pt idx="3">
                  <c:v>50.934220629639107</c:v>
                </c:pt>
                <c:pt idx="4">
                  <c:v>82.323206003439481</c:v>
                </c:pt>
                <c:pt idx="5">
                  <c:v>0</c:v>
                </c:pt>
                <c:pt idx="6">
                  <c:v>0</c:v>
                </c:pt>
                <c:pt idx="7">
                  <c:v>0</c:v>
                </c:pt>
                <c:pt idx="8">
                  <c:v>0</c:v>
                </c:pt>
                <c:pt idx="9">
                  <c:v>78.348494994202085</c:v>
                </c:pt>
              </c:numCache>
            </c:numRef>
          </c:val>
          <c:extLst>
            <c:ext xmlns:c16="http://schemas.microsoft.com/office/drawing/2014/chart" uri="{C3380CC4-5D6E-409C-BE32-E72D297353CC}">
              <c16:uniqueId val="{00000000-A20A-4673-A9BC-374E23F91BA5}"/>
            </c:ext>
          </c:extLst>
        </c:ser>
        <c:dLbls>
          <c:showLegendKey val="0"/>
          <c:showVal val="0"/>
          <c:showCatName val="0"/>
          <c:showSerName val="0"/>
          <c:showPercent val="0"/>
          <c:showBubbleSize val="0"/>
        </c:dLbls>
        <c:gapWidth val="50"/>
        <c:axId val="60649856"/>
        <c:axId val="60651776"/>
      </c:barChart>
      <c:scatterChart>
        <c:scatterStyle val="lineMarker"/>
        <c:varyColors val="0"/>
        <c:ser>
          <c:idx val="1"/>
          <c:order val="1"/>
          <c:tx>
            <c:strRef>
              <c:f>calculations!$W$5</c:f>
              <c:strCache>
                <c:ptCount val="1"/>
                <c:pt idx="0">
                  <c:v>t Share Of Frozen Meat</c:v>
                </c:pt>
              </c:strCache>
            </c:strRef>
          </c:tx>
          <c:spPr>
            <a:ln w="28575">
              <a:noFill/>
            </a:ln>
          </c:spPr>
          <c:marker>
            <c:symbol val="diamond"/>
            <c:size val="5"/>
            <c:spPr>
              <a:solidFill>
                <a:schemeClr val="bg1">
                  <a:lumMod val="75000"/>
                </a:schemeClr>
              </a:solidFill>
              <a:ln>
                <a:solidFill>
                  <a:srgbClr val="002060"/>
                </a:solidFill>
              </a:ln>
            </c:spPr>
          </c:marker>
          <c:xVal>
            <c:numRef>
              <c:f>calculations!$W$6:$W$15</c:f>
              <c:numCache>
                <c:formatCode>0.00%</c:formatCode>
                <c:ptCount val="10"/>
                <c:pt idx="0">
                  <c:v>40</c:v>
                </c:pt>
                <c:pt idx="1">
                  <c:v>40</c:v>
                </c:pt>
                <c:pt idx="2">
                  <c:v>40</c:v>
                </c:pt>
                <c:pt idx="3">
                  <c:v>40</c:v>
                </c:pt>
                <c:pt idx="4">
                  <c:v>40</c:v>
                </c:pt>
                <c:pt idx="5">
                  <c:v>40</c:v>
                </c:pt>
                <c:pt idx="6">
                  <c:v>40</c:v>
                </c:pt>
                <c:pt idx="7">
                  <c:v>40</c:v>
                </c:pt>
                <c:pt idx="8">
                  <c:v>40</c:v>
                </c:pt>
                <c:pt idx="9">
                  <c:v>40</c:v>
                </c:pt>
              </c:numCache>
            </c:numRef>
          </c:xVal>
          <c:yVal>
            <c:numRef>
              <c:f>calculations!$B$20:$B$29</c:f>
              <c:numCache>
                <c:formatCode>General</c:formatCode>
                <c:ptCount val="10"/>
                <c:pt idx="0">
                  <c:v>1</c:v>
                </c:pt>
                <c:pt idx="1">
                  <c:v>2</c:v>
                </c:pt>
                <c:pt idx="2">
                  <c:v>3</c:v>
                </c:pt>
                <c:pt idx="3">
                  <c:v>4</c:v>
                </c:pt>
                <c:pt idx="4">
                  <c:v>5</c:v>
                </c:pt>
                <c:pt idx="5">
                  <c:v>6</c:v>
                </c:pt>
                <c:pt idx="6">
                  <c:v>7</c:v>
                </c:pt>
                <c:pt idx="7">
                  <c:v>8</c:v>
                </c:pt>
                <c:pt idx="8">
                  <c:v>9</c:v>
                </c:pt>
                <c:pt idx="9">
                  <c:v>10</c:v>
                </c:pt>
              </c:numCache>
            </c:numRef>
          </c:yVal>
          <c:smooth val="0"/>
          <c:extLst>
            <c:ext xmlns:c16="http://schemas.microsoft.com/office/drawing/2014/chart" uri="{C3380CC4-5D6E-409C-BE32-E72D297353CC}">
              <c16:uniqueId val="{00000001-A20A-4673-A9BC-374E23F91BA5}"/>
            </c:ext>
          </c:extLst>
        </c:ser>
        <c:dLbls>
          <c:showLegendKey val="0"/>
          <c:showVal val="0"/>
          <c:showCatName val="0"/>
          <c:showSerName val="0"/>
          <c:showPercent val="0"/>
          <c:showBubbleSize val="0"/>
        </c:dLbls>
        <c:axId val="60659200"/>
        <c:axId val="60657664"/>
      </c:scatterChart>
      <c:catAx>
        <c:axId val="60649856"/>
        <c:scaling>
          <c:orientation val="maxMin"/>
        </c:scaling>
        <c:delete val="1"/>
        <c:axPos val="l"/>
        <c:numFmt formatCode="General" sourceLinked="1"/>
        <c:majorTickMark val="out"/>
        <c:minorTickMark val="none"/>
        <c:tickLblPos val="none"/>
        <c:crossAx val="60651776"/>
        <c:crosses val="autoZero"/>
        <c:auto val="1"/>
        <c:lblAlgn val="ctr"/>
        <c:lblOffset val="100"/>
        <c:noMultiLvlLbl val="0"/>
      </c:catAx>
      <c:valAx>
        <c:axId val="60651776"/>
        <c:scaling>
          <c:orientation val="minMax"/>
          <c:max val="1500"/>
          <c:min val="0"/>
        </c:scaling>
        <c:delete val="1"/>
        <c:axPos val="t"/>
        <c:numFmt formatCode="General" sourceLinked="1"/>
        <c:majorTickMark val="out"/>
        <c:minorTickMark val="none"/>
        <c:tickLblPos val="none"/>
        <c:crossAx val="60649856"/>
        <c:crosses val="autoZero"/>
        <c:crossBetween val="between"/>
      </c:valAx>
      <c:valAx>
        <c:axId val="60657664"/>
        <c:scaling>
          <c:orientation val="maxMin"/>
          <c:max val="10.5"/>
          <c:min val="0.5"/>
        </c:scaling>
        <c:delete val="1"/>
        <c:axPos val="r"/>
        <c:numFmt formatCode="General" sourceLinked="1"/>
        <c:majorTickMark val="out"/>
        <c:minorTickMark val="none"/>
        <c:tickLblPos val="none"/>
        <c:crossAx val="60659200"/>
        <c:crosses val="max"/>
        <c:crossBetween val="midCat"/>
      </c:valAx>
      <c:valAx>
        <c:axId val="60659200"/>
        <c:scaling>
          <c:orientation val="minMax"/>
        </c:scaling>
        <c:delete val="1"/>
        <c:axPos val="t"/>
        <c:numFmt formatCode="0.00%" sourceLinked="1"/>
        <c:majorTickMark val="out"/>
        <c:minorTickMark val="none"/>
        <c:tickLblPos val="none"/>
        <c:crossAx val="60657664"/>
        <c:crosses val="autoZero"/>
        <c:crossBetween val="midCat"/>
      </c:valAx>
      <c:spPr>
        <a:noFill/>
      </c:spPr>
    </c:plotArea>
    <c:plotVisOnly val="1"/>
    <c:dispBlanksAs val="gap"/>
    <c:showDLblsOverMax val="0"/>
  </c:chart>
  <c:spPr>
    <a:noFill/>
    <a:ln>
      <a:noFill/>
    </a:ln>
  </c:spPr>
  <c:printSettings>
    <c:headerFooter/>
    <c:pageMargins b="0.75000000000000511" l="0.70000000000000062" r="0.70000000000000062" t="0.7500000000000051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calculations!$L$5</c:f>
              <c:strCache>
                <c:ptCount val="1"/>
                <c:pt idx="0">
                  <c:v>No of Line Workers per Hour</c:v>
                </c:pt>
              </c:strCache>
            </c:strRef>
          </c:tx>
          <c:invertIfNegative val="0"/>
          <c:cat>
            <c:strRef>
              <c:f>calculations!$C$6:$C$15</c:f>
              <c:strCache>
                <c:ptCount val="10"/>
                <c:pt idx="0">
                  <c:v>Product 9</c:v>
                </c:pt>
                <c:pt idx="1">
                  <c:v>Product 9</c:v>
                </c:pt>
                <c:pt idx="2">
                  <c:v>Product 17</c:v>
                </c:pt>
                <c:pt idx="3">
                  <c:v>Product 17</c:v>
                </c:pt>
                <c:pt idx="4">
                  <c:v>Product 17</c:v>
                </c:pt>
                <c:pt idx="5">
                  <c:v>Product 10</c:v>
                </c:pt>
                <c:pt idx="6">
                  <c:v>Product 16</c:v>
                </c:pt>
                <c:pt idx="7">
                  <c:v>Product 7</c:v>
                </c:pt>
                <c:pt idx="8">
                  <c:v>Product 10</c:v>
                </c:pt>
                <c:pt idx="9">
                  <c:v>Product 17</c:v>
                </c:pt>
              </c:strCache>
            </c:strRef>
          </c:cat>
          <c:val>
            <c:numRef>
              <c:f>calculations!$L$6:$L$15</c:f>
              <c:numCache>
                <c:formatCode>General</c:formatCode>
                <c:ptCount val="10"/>
                <c:pt idx="0">
                  <c:v>12</c:v>
                </c:pt>
                <c:pt idx="1">
                  <c:v>12</c:v>
                </c:pt>
                <c:pt idx="2">
                  <c:v>12</c:v>
                </c:pt>
                <c:pt idx="3">
                  <c:v>12</c:v>
                </c:pt>
                <c:pt idx="4">
                  <c:v>12</c:v>
                </c:pt>
                <c:pt idx="5">
                  <c:v>12</c:v>
                </c:pt>
                <c:pt idx="6">
                  <c:v>12</c:v>
                </c:pt>
                <c:pt idx="7">
                  <c:v>12</c:v>
                </c:pt>
                <c:pt idx="8">
                  <c:v>12</c:v>
                </c:pt>
                <c:pt idx="9">
                  <c:v>12</c:v>
                </c:pt>
              </c:numCache>
            </c:numRef>
          </c:val>
          <c:extLst>
            <c:ext xmlns:c16="http://schemas.microsoft.com/office/drawing/2014/chart" uri="{C3380CC4-5D6E-409C-BE32-E72D297353CC}">
              <c16:uniqueId val="{00000000-8E91-4089-ACF7-AD07C7FB4F37}"/>
            </c:ext>
          </c:extLst>
        </c:ser>
        <c:dLbls>
          <c:showLegendKey val="0"/>
          <c:showVal val="0"/>
          <c:showCatName val="0"/>
          <c:showSerName val="0"/>
          <c:showPercent val="0"/>
          <c:showBubbleSize val="0"/>
        </c:dLbls>
        <c:gapWidth val="50"/>
        <c:axId val="60697216"/>
        <c:axId val="60703488"/>
      </c:barChart>
      <c:scatterChart>
        <c:scatterStyle val="lineMarker"/>
        <c:varyColors val="0"/>
        <c:ser>
          <c:idx val="1"/>
          <c:order val="1"/>
          <c:tx>
            <c:strRef>
              <c:f>calculations!$Y$5</c:f>
              <c:strCache>
                <c:ptCount val="1"/>
                <c:pt idx="0">
                  <c:v>t No of Line Workers per Hour</c:v>
                </c:pt>
              </c:strCache>
            </c:strRef>
          </c:tx>
          <c:spPr>
            <a:ln w="28575">
              <a:noFill/>
            </a:ln>
          </c:spPr>
          <c:marker>
            <c:symbol val="diamond"/>
            <c:size val="5"/>
            <c:spPr>
              <a:solidFill>
                <a:schemeClr val="bg1">
                  <a:lumMod val="75000"/>
                </a:schemeClr>
              </a:solidFill>
              <a:ln>
                <a:solidFill>
                  <a:srgbClr val="002060"/>
                </a:solidFill>
              </a:ln>
            </c:spPr>
          </c:marker>
          <c:xVal>
            <c:numRef>
              <c:f>calculations!$Y$6:$Y$15</c:f>
              <c:numCache>
                <c:formatCode>0</c:formatCode>
                <c:ptCount val="10"/>
                <c:pt idx="0">
                  <c:v>12</c:v>
                </c:pt>
                <c:pt idx="1">
                  <c:v>12</c:v>
                </c:pt>
                <c:pt idx="2">
                  <c:v>12</c:v>
                </c:pt>
                <c:pt idx="3">
                  <c:v>12</c:v>
                </c:pt>
                <c:pt idx="4">
                  <c:v>12</c:v>
                </c:pt>
                <c:pt idx="5">
                  <c:v>12</c:v>
                </c:pt>
                <c:pt idx="6">
                  <c:v>12</c:v>
                </c:pt>
                <c:pt idx="7">
                  <c:v>12</c:v>
                </c:pt>
                <c:pt idx="8">
                  <c:v>12</c:v>
                </c:pt>
                <c:pt idx="9">
                  <c:v>12</c:v>
                </c:pt>
              </c:numCache>
            </c:numRef>
          </c:xVal>
          <c:yVal>
            <c:numRef>
              <c:f>calculations!$B$20:$B$29</c:f>
              <c:numCache>
                <c:formatCode>General</c:formatCode>
                <c:ptCount val="10"/>
                <c:pt idx="0">
                  <c:v>1</c:v>
                </c:pt>
                <c:pt idx="1">
                  <c:v>2</c:v>
                </c:pt>
                <c:pt idx="2">
                  <c:v>3</c:v>
                </c:pt>
                <c:pt idx="3">
                  <c:v>4</c:v>
                </c:pt>
                <c:pt idx="4">
                  <c:v>5</c:v>
                </c:pt>
                <c:pt idx="5">
                  <c:v>6</c:v>
                </c:pt>
                <c:pt idx="6">
                  <c:v>7</c:v>
                </c:pt>
                <c:pt idx="7">
                  <c:v>8</c:v>
                </c:pt>
                <c:pt idx="8">
                  <c:v>9</c:v>
                </c:pt>
                <c:pt idx="9">
                  <c:v>10</c:v>
                </c:pt>
              </c:numCache>
            </c:numRef>
          </c:yVal>
          <c:smooth val="0"/>
          <c:extLst>
            <c:ext xmlns:c16="http://schemas.microsoft.com/office/drawing/2014/chart" uri="{C3380CC4-5D6E-409C-BE32-E72D297353CC}">
              <c16:uniqueId val="{00000001-8E91-4089-ACF7-AD07C7FB4F37}"/>
            </c:ext>
          </c:extLst>
        </c:ser>
        <c:dLbls>
          <c:showLegendKey val="0"/>
          <c:showVal val="0"/>
          <c:showCatName val="0"/>
          <c:showSerName val="0"/>
          <c:showPercent val="0"/>
          <c:showBubbleSize val="0"/>
        </c:dLbls>
        <c:axId val="60706816"/>
        <c:axId val="60705024"/>
      </c:scatterChart>
      <c:catAx>
        <c:axId val="60697216"/>
        <c:scaling>
          <c:orientation val="maxMin"/>
        </c:scaling>
        <c:delete val="1"/>
        <c:axPos val="l"/>
        <c:numFmt formatCode="General" sourceLinked="1"/>
        <c:majorTickMark val="out"/>
        <c:minorTickMark val="none"/>
        <c:tickLblPos val="none"/>
        <c:crossAx val="60703488"/>
        <c:crosses val="autoZero"/>
        <c:auto val="1"/>
        <c:lblAlgn val="ctr"/>
        <c:lblOffset val="100"/>
        <c:noMultiLvlLbl val="0"/>
      </c:catAx>
      <c:valAx>
        <c:axId val="60703488"/>
        <c:scaling>
          <c:orientation val="minMax"/>
          <c:max val="1500"/>
          <c:min val="0"/>
        </c:scaling>
        <c:delete val="1"/>
        <c:axPos val="t"/>
        <c:numFmt formatCode="General" sourceLinked="1"/>
        <c:majorTickMark val="out"/>
        <c:minorTickMark val="none"/>
        <c:tickLblPos val="none"/>
        <c:crossAx val="60697216"/>
        <c:crosses val="autoZero"/>
        <c:crossBetween val="between"/>
      </c:valAx>
      <c:valAx>
        <c:axId val="60705024"/>
        <c:scaling>
          <c:orientation val="maxMin"/>
          <c:max val="10.5"/>
          <c:min val="0.5"/>
        </c:scaling>
        <c:delete val="1"/>
        <c:axPos val="r"/>
        <c:numFmt formatCode="General" sourceLinked="1"/>
        <c:majorTickMark val="out"/>
        <c:minorTickMark val="none"/>
        <c:tickLblPos val="none"/>
        <c:crossAx val="60706816"/>
        <c:crosses val="max"/>
        <c:crossBetween val="midCat"/>
      </c:valAx>
      <c:valAx>
        <c:axId val="60706816"/>
        <c:scaling>
          <c:orientation val="minMax"/>
        </c:scaling>
        <c:delete val="1"/>
        <c:axPos val="t"/>
        <c:numFmt formatCode="0" sourceLinked="1"/>
        <c:majorTickMark val="out"/>
        <c:minorTickMark val="none"/>
        <c:tickLblPos val="none"/>
        <c:crossAx val="60705024"/>
        <c:crosses val="autoZero"/>
        <c:crossBetween val="midCat"/>
      </c:valAx>
      <c:spPr>
        <a:noFill/>
      </c:spPr>
    </c:plotArea>
    <c:plotVisOnly val="1"/>
    <c:dispBlanksAs val="gap"/>
    <c:showDLblsOverMax val="0"/>
  </c:chart>
  <c:spPr>
    <a:noFill/>
    <a:ln>
      <a:noFill/>
    </a:ln>
  </c:spPr>
  <c:printSettings>
    <c:headerFooter/>
    <c:pageMargins b="0.75000000000000555" l="0.70000000000000062" r="0.70000000000000062" t="0.7500000000000055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calculations!$M$5</c:f>
              <c:strCache>
                <c:ptCount val="1"/>
                <c:pt idx="0">
                  <c:v>Regrind</c:v>
                </c:pt>
              </c:strCache>
            </c:strRef>
          </c:tx>
          <c:invertIfNegative val="0"/>
          <c:cat>
            <c:strRef>
              <c:f>calculations!$C$6:$C$15</c:f>
              <c:strCache>
                <c:ptCount val="10"/>
                <c:pt idx="0">
                  <c:v>Product 9</c:v>
                </c:pt>
                <c:pt idx="1">
                  <c:v>Product 9</c:v>
                </c:pt>
                <c:pt idx="2">
                  <c:v>Product 17</c:v>
                </c:pt>
                <c:pt idx="3">
                  <c:v>Product 17</c:v>
                </c:pt>
                <c:pt idx="4">
                  <c:v>Product 17</c:v>
                </c:pt>
                <c:pt idx="5">
                  <c:v>Product 10</c:v>
                </c:pt>
                <c:pt idx="6">
                  <c:v>Product 16</c:v>
                </c:pt>
                <c:pt idx="7">
                  <c:v>Product 7</c:v>
                </c:pt>
                <c:pt idx="8">
                  <c:v>Product 10</c:v>
                </c:pt>
                <c:pt idx="9">
                  <c:v>Product 17</c:v>
                </c:pt>
              </c:strCache>
            </c:strRef>
          </c:cat>
          <c:val>
            <c:numRef>
              <c:f>calculations!$M$6:$M$15</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8504-40AD-801E-C0DA5863A34D}"/>
            </c:ext>
          </c:extLst>
        </c:ser>
        <c:dLbls>
          <c:showLegendKey val="0"/>
          <c:showVal val="0"/>
          <c:showCatName val="0"/>
          <c:showSerName val="0"/>
          <c:showPercent val="0"/>
          <c:showBubbleSize val="0"/>
        </c:dLbls>
        <c:gapWidth val="50"/>
        <c:axId val="60728448"/>
        <c:axId val="60730368"/>
      </c:barChart>
      <c:scatterChart>
        <c:scatterStyle val="lineMarker"/>
        <c:varyColors val="0"/>
        <c:ser>
          <c:idx val="1"/>
          <c:order val="1"/>
          <c:tx>
            <c:strRef>
              <c:f>calculations!$Z$5</c:f>
              <c:strCache>
                <c:ptCount val="1"/>
                <c:pt idx="0">
                  <c:v>t Regrind</c:v>
                </c:pt>
              </c:strCache>
            </c:strRef>
          </c:tx>
          <c:spPr>
            <a:ln w="28575">
              <a:noFill/>
            </a:ln>
          </c:spPr>
          <c:marker>
            <c:symbol val="diamond"/>
            <c:size val="5"/>
            <c:spPr>
              <a:solidFill>
                <a:schemeClr val="bg1">
                  <a:lumMod val="75000"/>
                </a:schemeClr>
              </a:solidFill>
              <a:ln>
                <a:solidFill>
                  <a:srgbClr val="002060"/>
                </a:solidFill>
              </a:ln>
            </c:spPr>
          </c:marker>
          <c:xVal>
            <c:numRef>
              <c:f>calculations!$Z$6:$Z$15</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calculations!$B$20:$B$29</c:f>
              <c:numCache>
                <c:formatCode>General</c:formatCode>
                <c:ptCount val="10"/>
                <c:pt idx="0">
                  <c:v>1</c:v>
                </c:pt>
                <c:pt idx="1">
                  <c:v>2</c:v>
                </c:pt>
                <c:pt idx="2">
                  <c:v>3</c:v>
                </c:pt>
                <c:pt idx="3">
                  <c:v>4</c:v>
                </c:pt>
                <c:pt idx="4">
                  <c:v>5</c:v>
                </c:pt>
                <c:pt idx="5">
                  <c:v>6</c:v>
                </c:pt>
                <c:pt idx="6">
                  <c:v>7</c:v>
                </c:pt>
                <c:pt idx="7">
                  <c:v>8</c:v>
                </c:pt>
                <c:pt idx="8">
                  <c:v>9</c:v>
                </c:pt>
                <c:pt idx="9">
                  <c:v>10</c:v>
                </c:pt>
              </c:numCache>
            </c:numRef>
          </c:yVal>
          <c:smooth val="0"/>
          <c:extLst>
            <c:ext xmlns:c16="http://schemas.microsoft.com/office/drawing/2014/chart" uri="{C3380CC4-5D6E-409C-BE32-E72D297353CC}">
              <c16:uniqueId val="{00000001-8504-40AD-801E-C0DA5863A34D}"/>
            </c:ext>
          </c:extLst>
        </c:ser>
        <c:dLbls>
          <c:showLegendKey val="0"/>
          <c:showVal val="0"/>
          <c:showCatName val="0"/>
          <c:showSerName val="0"/>
          <c:showPercent val="0"/>
          <c:showBubbleSize val="0"/>
        </c:dLbls>
        <c:axId val="60741888"/>
        <c:axId val="60740352"/>
      </c:scatterChart>
      <c:catAx>
        <c:axId val="60728448"/>
        <c:scaling>
          <c:orientation val="maxMin"/>
        </c:scaling>
        <c:delete val="1"/>
        <c:axPos val="l"/>
        <c:numFmt formatCode="General" sourceLinked="1"/>
        <c:majorTickMark val="out"/>
        <c:minorTickMark val="none"/>
        <c:tickLblPos val="none"/>
        <c:crossAx val="60730368"/>
        <c:crosses val="autoZero"/>
        <c:auto val="1"/>
        <c:lblAlgn val="ctr"/>
        <c:lblOffset val="100"/>
        <c:noMultiLvlLbl val="0"/>
      </c:catAx>
      <c:valAx>
        <c:axId val="60730368"/>
        <c:scaling>
          <c:orientation val="minMax"/>
          <c:max val="1500"/>
          <c:min val="0"/>
        </c:scaling>
        <c:delete val="1"/>
        <c:axPos val="t"/>
        <c:numFmt formatCode="General" sourceLinked="1"/>
        <c:majorTickMark val="out"/>
        <c:minorTickMark val="none"/>
        <c:tickLblPos val="none"/>
        <c:crossAx val="60728448"/>
        <c:crosses val="autoZero"/>
        <c:crossBetween val="between"/>
      </c:valAx>
      <c:valAx>
        <c:axId val="60740352"/>
        <c:scaling>
          <c:orientation val="maxMin"/>
          <c:max val="10.5"/>
          <c:min val="0.5"/>
        </c:scaling>
        <c:delete val="1"/>
        <c:axPos val="r"/>
        <c:numFmt formatCode="General" sourceLinked="1"/>
        <c:majorTickMark val="out"/>
        <c:minorTickMark val="none"/>
        <c:tickLblPos val="none"/>
        <c:crossAx val="60741888"/>
        <c:crosses val="max"/>
        <c:crossBetween val="midCat"/>
      </c:valAx>
      <c:valAx>
        <c:axId val="60741888"/>
        <c:scaling>
          <c:orientation val="minMax"/>
        </c:scaling>
        <c:delete val="1"/>
        <c:axPos val="t"/>
        <c:numFmt formatCode="0" sourceLinked="1"/>
        <c:majorTickMark val="out"/>
        <c:minorTickMark val="none"/>
        <c:tickLblPos val="none"/>
        <c:crossAx val="60740352"/>
        <c:crosses val="autoZero"/>
        <c:crossBetween val="midCat"/>
      </c:valAx>
      <c:spPr>
        <a:noFill/>
      </c:spPr>
    </c:plotArea>
    <c:plotVisOnly val="1"/>
    <c:dispBlanksAs val="gap"/>
    <c:showDLblsOverMax val="0"/>
  </c:chart>
  <c:spPr>
    <a:noFill/>
    <a:ln>
      <a:noFill/>
    </a:ln>
  </c:spPr>
  <c:printSettings>
    <c:headerFooter/>
    <c:pageMargins b="0.75000000000000577" l="0.70000000000000062" r="0.70000000000000062" t="0.75000000000000577"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calculations!$N$5</c:f>
              <c:strCache>
                <c:ptCount val="1"/>
                <c:pt idx="0">
                  <c:v>Carry Over</c:v>
                </c:pt>
              </c:strCache>
            </c:strRef>
          </c:tx>
          <c:invertIfNegative val="0"/>
          <c:cat>
            <c:strRef>
              <c:f>calculations!$C$6:$C$15</c:f>
              <c:strCache>
                <c:ptCount val="10"/>
                <c:pt idx="0">
                  <c:v>Product 9</c:v>
                </c:pt>
                <c:pt idx="1">
                  <c:v>Product 9</c:v>
                </c:pt>
                <c:pt idx="2">
                  <c:v>Product 17</c:v>
                </c:pt>
                <c:pt idx="3">
                  <c:v>Product 17</c:v>
                </c:pt>
                <c:pt idx="4">
                  <c:v>Product 17</c:v>
                </c:pt>
                <c:pt idx="5">
                  <c:v>Product 10</c:v>
                </c:pt>
                <c:pt idx="6">
                  <c:v>Product 16</c:v>
                </c:pt>
                <c:pt idx="7">
                  <c:v>Product 7</c:v>
                </c:pt>
                <c:pt idx="8">
                  <c:v>Product 10</c:v>
                </c:pt>
                <c:pt idx="9">
                  <c:v>Product 17</c:v>
                </c:pt>
              </c:strCache>
            </c:strRef>
          </c:cat>
          <c:val>
            <c:numRef>
              <c:f>calculations!$N$6:$N$15</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A2EF-4743-A56C-6793783CBF92}"/>
            </c:ext>
          </c:extLst>
        </c:ser>
        <c:dLbls>
          <c:showLegendKey val="0"/>
          <c:showVal val="0"/>
          <c:showCatName val="0"/>
          <c:showSerName val="0"/>
          <c:showPercent val="0"/>
          <c:showBubbleSize val="0"/>
        </c:dLbls>
        <c:gapWidth val="50"/>
        <c:axId val="60750848"/>
        <c:axId val="60855424"/>
      </c:barChart>
      <c:scatterChart>
        <c:scatterStyle val="lineMarker"/>
        <c:varyColors val="0"/>
        <c:ser>
          <c:idx val="1"/>
          <c:order val="1"/>
          <c:tx>
            <c:strRef>
              <c:f>calculations!$AA$5</c:f>
              <c:strCache>
                <c:ptCount val="1"/>
                <c:pt idx="0">
                  <c:v>Carry Over12</c:v>
                </c:pt>
              </c:strCache>
            </c:strRef>
          </c:tx>
          <c:spPr>
            <a:ln w="28575">
              <a:noFill/>
            </a:ln>
          </c:spPr>
          <c:marker>
            <c:symbol val="diamond"/>
            <c:size val="5"/>
            <c:spPr>
              <a:solidFill>
                <a:schemeClr val="bg1">
                  <a:lumMod val="75000"/>
                </a:schemeClr>
              </a:solidFill>
              <a:ln>
                <a:solidFill>
                  <a:srgbClr val="002060"/>
                </a:solidFill>
              </a:ln>
            </c:spPr>
          </c:marker>
          <c:xVal>
            <c:numRef>
              <c:f>calculations!$AA$6:$AA$15</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calculations!$B$20:$B$29</c:f>
              <c:numCache>
                <c:formatCode>General</c:formatCode>
                <c:ptCount val="10"/>
                <c:pt idx="0">
                  <c:v>1</c:v>
                </c:pt>
                <c:pt idx="1">
                  <c:v>2</c:v>
                </c:pt>
                <c:pt idx="2">
                  <c:v>3</c:v>
                </c:pt>
                <c:pt idx="3">
                  <c:v>4</c:v>
                </c:pt>
                <c:pt idx="4">
                  <c:v>5</c:v>
                </c:pt>
                <c:pt idx="5">
                  <c:v>6</c:v>
                </c:pt>
                <c:pt idx="6">
                  <c:v>7</c:v>
                </c:pt>
                <c:pt idx="7">
                  <c:v>8</c:v>
                </c:pt>
                <c:pt idx="8">
                  <c:v>9</c:v>
                </c:pt>
                <c:pt idx="9">
                  <c:v>10</c:v>
                </c:pt>
              </c:numCache>
            </c:numRef>
          </c:yVal>
          <c:smooth val="0"/>
          <c:extLst>
            <c:ext xmlns:c16="http://schemas.microsoft.com/office/drawing/2014/chart" uri="{C3380CC4-5D6E-409C-BE32-E72D297353CC}">
              <c16:uniqueId val="{00000001-A2EF-4743-A56C-6793783CBF92}"/>
            </c:ext>
          </c:extLst>
        </c:ser>
        <c:dLbls>
          <c:showLegendKey val="0"/>
          <c:showVal val="0"/>
          <c:showCatName val="0"/>
          <c:showSerName val="0"/>
          <c:showPercent val="0"/>
          <c:showBubbleSize val="0"/>
        </c:dLbls>
        <c:axId val="60858752"/>
        <c:axId val="60856960"/>
      </c:scatterChart>
      <c:catAx>
        <c:axId val="60750848"/>
        <c:scaling>
          <c:orientation val="maxMin"/>
        </c:scaling>
        <c:delete val="1"/>
        <c:axPos val="l"/>
        <c:numFmt formatCode="General" sourceLinked="1"/>
        <c:majorTickMark val="out"/>
        <c:minorTickMark val="none"/>
        <c:tickLblPos val="none"/>
        <c:crossAx val="60855424"/>
        <c:crosses val="autoZero"/>
        <c:auto val="1"/>
        <c:lblAlgn val="ctr"/>
        <c:lblOffset val="100"/>
        <c:noMultiLvlLbl val="0"/>
      </c:catAx>
      <c:valAx>
        <c:axId val="60855424"/>
        <c:scaling>
          <c:orientation val="minMax"/>
          <c:max val="1500"/>
          <c:min val="0"/>
        </c:scaling>
        <c:delete val="1"/>
        <c:axPos val="t"/>
        <c:numFmt formatCode="General" sourceLinked="1"/>
        <c:majorTickMark val="out"/>
        <c:minorTickMark val="none"/>
        <c:tickLblPos val="none"/>
        <c:crossAx val="60750848"/>
        <c:crosses val="autoZero"/>
        <c:crossBetween val="between"/>
      </c:valAx>
      <c:valAx>
        <c:axId val="60856960"/>
        <c:scaling>
          <c:orientation val="maxMin"/>
          <c:max val="10.5"/>
          <c:min val="0.5"/>
        </c:scaling>
        <c:delete val="1"/>
        <c:axPos val="r"/>
        <c:numFmt formatCode="General" sourceLinked="1"/>
        <c:majorTickMark val="out"/>
        <c:minorTickMark val="none"/>
        <c:tickLblPos val="none"/>
        <c:crossAx val="60858752"/>
        <c:crosses val="max"/>
        <c:crossBetween val="midCat"/>
      </c:valAx>
      <c:valAx>
        <c:axId val="60858752"/>
        <c:scaling>
          <c:orientation val="minMax"/>
        </c:scaling>
        <c:delete val="1"/>
        <c:axPos val="t"/>
        <c:numFmt formatCode="0" sourceLinked="1"/>
        <c:majorTickMark val="out"/>
        <c:minorTickMark val="none"/>
        <c:tickLblPos val="none"/>
        <c:crossAx val="60856960"/>
        <c:crosses val="autoZero"/>
        <c:crossBetween val="midCat"/>
      </c:valAx>
      <c:spPr>
        <a:noFill/>
      </c:spPr>
    </c:plotArea>
    <c:plotVisOnly val="1"/>
    <c:dispBlanksAs val="gap"/>
    <c:showDLblsOverMax val="0"/>
  </c:chart>
  <c:spPr>
    <a:noFill/>
    <a:ln>
      <a:noFill/>
    </a:ln>
  </c:spPr>
  <c:printSettings>
    <c:headerFooter/>
    <c:pageMargins b="0.750000000000006" l="0.70000000000000062" r="0.70000000000000062" t="0.750000000000006"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All</c:v>
          </c:tx>
          <c:spPr>
            <a:ln w="28575">
              <a:noFill/>
            </a:ln>
          </c:spPr>
          <c:marker>
            <c:symbol val="circle"/>
            <c:size val="5"/>
            <c:spPr>
              <a:noFill/>
              <a:ln>
                <a:solidFill>
                  <a:schemeClr val="tx1">
                    <a:lumMod val="75000"/>
                    <a:lumOff val="25000"/>
                  </a:schemeClr>
                </a:solidFill>
              </a:ln>
            </c:spPr>
          </c:marker>
          <c:xVal>
            <c:numRef>
              <c:f>calculations!$AX$20:$AX$379</c:f>
              <c:numCache>
                <c:formatCode>General</c:formatCode>
                <c:ptCount val="360"/>
                <c:pt idx="0">
                  <c:v>71.111111111111114</c:v>
                </c:pt>
                <c:pt idx="1">
                  <c:v>26.051921079958461</c:v>
                </c:pt>
                <c:pt idx="2">
                  <c:v>79.45804195804196</c:v>
                </c:pt>
                <c:pt idx="3">
                  <c:v>95.842142353770271</c:v>
                </c:pt>
                <c:pt idx="4">
                  <c:v>96.5836711059641</c:v>
                </c:pt>
                <c:pt idx="5">
                  <c:v>101.42065976402601</c:v>
                </c:pt>
                <c:pt idx="6">
                  <c:v>92.785304139695569</c:v>
                </c:pt>
                <c:pt idx="7">
                  <c:v>118.81720430107525</c:v>
                </c:pt>
                <c:pt idx="8">
                  <c:v>92.238542419134745</c:v>
                </c:pt>
                <c:pt idx="9">
                  <c:v>95.884681788414611</c:v>
                </c:pt>
                <c:pt idx="10">
                  <c:v>95.868008005899085</c:v>
                </c:pt>
                <c:pt idx="11">
                  <c:v>93.008080808080805</c:v>
                </c:pt>
                <c:pt idx="12">
                  <c:v>92.259129759129763</c:v>
                </c:pt>
                <c:pt idx="13">
                  <c:v>96.213746911171796</c:v>
                </c:pt>
                <c:pt idx="14">
                  <c:v>91.360210141617188</c:v>
                </c:pt>
                <c:pt idx="15">
                  <c:v>91.624081047157972</c:v>
                </c:pt>
                <c:pt idx="16">
                  <c:v>94.367108585858588</c:v>
                </c:pt>
                <c:pt idx="17">
                  <c:v>98.328647297719456</c:v>
                </c:pt>
                <c:pt idx="18">
                  <c:v>108.4567901234568</c:v>
                </c:pt>
                <c:pt idx="19">
                  <c:v>97.369925671812467</c:v>
                </c:pt>
                <c:pt idx="20">
                  <c:v>90.47727272727272</c:v>
                </c:pt>
                <c:pt idx="21">
                  <c:v>96.178066266227475</c:v>
                </c:pt>
                <c:pt idx="22">
                  <c:v>97.496503496503493</c:v>
                </c:pt>
                <c:pt idx="23">
                  <c:v>96.637301684408001</c:v>
                </c:pt>
                <c:pt idx="24">
                  <c:v>95.642543369816096</c:v>
                </c:pt>
                <c:pt idx="25">
                  <c:v>91.133295572547922</c:v>
                </c:pt>
                <c:pt idx="26">
                  <c:v>107.01619169361105</c:v>
                </c:pt>
                <c:pt idx="27">
                  <c:v>92.985313889750756</c:v>
                </c:pt>
                <c:pt idx="28">
                  <c:v>110.08493253776273</c:v>
                </c:pt>
                <c:pt idx="29">
                  <c:v>100.30400085880693</c:v>
                </c:pt>
                <c:pt idx="30">
                  <c:v>92.242259103294529</c:v>
                </c:pt>
                <c:pt idx="31">
                  <c:v>97.052766336413214</c:v>
                </c:pt>
                <c:pt idx="32">
                  <c:v>96.993224167137214</c:v>
                </c:pt>
                <c:pt idx="33">
                  <c:v>93.210227272727266</c:v>
                </c:pt>
                <c:pt idx="34">
                  <c:v>105.47088163461868</c:v>
                </c:pt>
                <c:pt idx="35">
                  <c:v>101.92517257207871</c:v>
                </c:pt>
                <c:pt idx="36">
                  <c:v>103.15149437110693</c:v>
                </c:pt>
                <c:pt idx="37">
                  <c:v>106.78841986330549</c:v>
                </c:pt>
                <c:pt idx="38">
                  <c:v>91.508055599431358</c:v>
                </c:pt>
                <c:pt idx="39">
                  <c:v>102.16459240038671</c:v>
                </c:pt>
                <c:pt idx="40">
                  <c:v>98.024980299448387</c:v>
                </c:pt>
                <c:pt idx="41">
                  <c:v>105.53740530303031</c:v>
                </c:pt>
                <c:pt idx="42">
                  <c:v>86.507044469796185</c:v>
                </c:pt>
                <c:pt idx="43">
                  <c:v>92.48792270531402</c:v>
                </c:pt>
                <c:pt idx="44">
                  <c:v>98.154401664115525</c:v>
                </c:pt>
                <c:pt idx="45">
                  <c:v>102.78139446706463</c:v>
                </c:pt>
                <c:pt idx="46">
                  <c:v>99.042359288422261</c:v>
                </c:pt>
                <c:pt idx="47">
                  <c:v>101.29916652937423</c:v>
                </c:pt>
                <c:pt idx="48">
                  <c:v>95.741494082840248</c:v>
                </c:pt>
                <c:pt idx="49">
                  <c:v>98.146871008939968</c:v>
                </c:pt>
                <c:pt idx="50">
                  <c:v>100.43131996639751</c:v>
                </c:pt>
                <c:pt idx="51">
                  <c:v>94.25782463629119</c:v>
                </c:pt>
                <c:pt idx="52">
                  <c:v>100.27797310637057</c:v>
                </c:pt>
                <c:pt idx="53">
                  <c:v>92.697157914549223</c:v>
                </c:pt>
                <c:pt idx="54">
                  <c:v>93.396536778452003</c:v>
                </c:pt>
                <c:pt idx="55">
                  <c:v>100.57109886465344</c:v>
                </c:pt>
                <c:pt idx="56">
                  <c:v>94.950538442273995</c:v>
                </c:pt>
                <c:pt idx="57">
                  <c:v>92.902620307382193</c:v>
                </c:pt>
                <c:pt idx="58">
                  <c:v>98.530326548000502</c:v>
                </c:pt>
                <c:pt idx="59">
                  <c:v>103.10200288117477</c:v>
                </c:pt>
                <c:pt idx="60">
                  <c:v>105.76351752822339</c:v>
                </c:pt>
                <c:pt idx="61">
                  <c:v>93.519458888527794</c:v>
                </c:pt>
                <c:pt idx="62">
                  <c:v>100.73198901329361</c:v>
                </c:pt>
                <c:pt idx="63">
                  <c:v>77.368375970762898</c:v>
                </c:pt>
                <c:pt idx="64">
                  <c:v>101.77693010474218</c:v>
                </c:pt>
                <c:pt idx="65">
                  <c:v>102.90230444229165</c:v>
                </c:pt>
                <c:pt idx="66">
                  <c:v>97.850435793911444</c:v>
                </c:pt>
                <c:pt idx="67">
                  <c:v>98.867327227320573</c:v>
                </c:pt>
                <c:pt idx="68">
                  <c:v>96.132841672890208</c:v>
                </c:pt>
                <c:pt idx="69">
                  <c:v>102.75472186303207</c:v>
                </c:pt>
                <c:pt idx="70">
                  <c:v>100.80219826914632</c:v>
                </c:pt>
                <c:pt idx="71">
                  <c:v>105.5762987012987</c:v>
                </c:pt>
                <c:pt idx="72">
                  <c:v>103.15502057951949</c:v>
                </c:pt>
                <c:pt idx="73">
                  <c:v>96.367400715226808</c:v>
                </c:pt>
                <c:pt idx="74">
                  <c:v>103.25346588866277</c:v>
                </c:pt>
                <c:pt idx="75">
                  <c:v>103.76532987382288</c:v>
                </c:pt>
                <c:pt idx="76">
                  <c:v>100.94549611339734</c:v>
                </c:pt>
                <c:pt idx="77">
                  <c:v>103.74109686609687</c:v>
                </c:pt>
                <c:pt idx="78">
                  <c:v>98.08645606390705</c:v>
                </c:pt>
                <c:pt idx="79">
                  <c:v>100.54752387832092</c:v>
                </c:pt>
                <c:pt idx="80">
                  <c:v>100.21585084792403</c:v>
                </c:pt>
                <c:pt idx="81">
                  <c:v>99.25874471954647</c:v>
                </c:pt>
                <c:pt idx="82">
                  <c:v>79.20398236814107</c:v>
                </c:pt>
                <c:pt idx="83">
                  <c:v>97.801894238358329</c:v>
                </c:pt>
                <c:pt idx="84">
                  <c:v>101.77103404968759</c:v>
                </c:pt>
                <c:pt idx="85">
                  <c:v>99.576072688315051</c:v>
                </c:pt>
                <c:pt idx="86">
                  <c:v>101.83916391639166</c:v>
                </c:pt>
                <c:pt idx="87">
                  <c:v>89.968129798638273</c:v>
                </c:pt>
                <c:pt idx="88">
                  <c:v>106.42755681818181</c:v>
                </c:pt>
                <c:pt idx="89">
                  <c:v>92.314221048660897</c:v>
                </c:pt>
                <c:pt idx="90">
                  <c:v>87.182759450999285</c:v>
                </c:pt>
                <c:pt idx="91">
                  <c:v>82.340684389377572</c:v>
                </c:pt>
                <c:pt idx="92">
                  <c:v>101.48952527565088</c:v>
                </c:pt>
                <c:pt idx="93">
                  <c:v>102.49226380135894</c:v>
                </c:pt>
                <c:pt idx="94">
                  <c:v>97.183547975403172</c:v>
                </c:pt>
                <c:pt idx="95">
                  <c:v>91.561963301093726</c:v>
                </c:pt>
                <c:pt idx="96">
                  <c:v>99.02808484556617</c:v>
                </c:pt>
                <c:pt idx="97">
                  <c:v>99.438047478960783</c:v>
                </c:pt>
                <c:pt idx="98">
                  <c:v>98.627756970453589</c:v>
                </c:pt>
                <c:pt idx="99">
                  <c:v>92.482877079978536</c:v>
                </c:pt>
                <c:pt idx="100">
                  <c:v>99.892655543771369</c:v>
                </c:pt>
                <c:pt idx="101">
                  <c:v>91.284702093397755</c:v>
                </c:pt>
                <c:pt idx="102">
                  <c:v>98.144278271290261</c:v>
                </c:pt>
                <c:pt idx="103">
                  <c:v>144.77765538033395</c:v>
                </c:pt>
                <c:pt idx="104">
                  <c:v>94.812280124205643</c:v>
                </c:pt>
                <c:pt idx="105">
                  <c:v>97.877275258041038</c:v>
                </c:pt>
                <c:pt idx="106">
                  <c:v>101.45759209086924</c:v>
                </c:pt>
                <c:pt idx="107">
                  <c:v>97.50370616599038</c:v>
                </c:pt>
                <c:pt idx="108">
                  <c:v>102.24462132207984</c:v>
                </c:pt>
                <c:pt idx="109">
                  <c:v>96.811024008666863</c:v>
                </c:pt>
                <c:pt idx="110">
                  <c:v>95.808339322118428</c:v>
                </c:pt>
                <c:pt idx="111">
                  <c:v>97.94809199537454</c:v>
                </c:pt>
                <c:pt idx="112">
                  <c:v>95.147869879327601</c:v>
                </c:pt>
                <c:pt idx="113">
                  <c:v>105.22646818879355</c:v>
                </c:pt>
                <c:pt idx="114">
                  <c:v>88.968855218855197</c:v>
                </c:pt>
                <c:pt idx="115">
                  <c:v>101.89599678767544</c:v>
                </c:pt>
                <c:pt idx="116">
                  <c:v>92.20417633410672</c:v>
                </c:pt>
                <c:pt idx="117">
                  <c:v>97.022757092242145</c:v>
                </c:pt>
                <c:pt idx="118">
                  <c:v>100.3221701240883</c:v>
                </c:pt>
                <c:pt idx="119">
                  <c:v>99.575585018096007</c:v>
                </c:pt>
                <c:pt idx="120">
                  <c:v>102.44228914979297</c:v>
                </c:pt>
                <c:pt idx="121">
                  <c:v>92.735589725968566</c:v>
                </c:pt>
                <c:pt idx="122">
                  <c:v>101.75504640161772</c:v>
                </c:pt>
                <c:pt idx="123">
                  <c:v>82.674843216638877</c:v>
                </c:pt>
                <c:pt idx="124">
                  <c:v>97.032842366175714</c:v>
                </c:pt>
                <c:pt idx="125">
                  <c:v>68.955687830687822</c:v>
                </c:pt>
                <c:pt idx="126">
                  <c:v>102.51174880048288</c:v>
                </c:pt>
                <c:pt idx="127">
                  <c:v>101.21334091389582</c:v>
                </c:pt>
                <c:pt idx="128">
                  <c:v>81.77584134615384</c:v>
                </c:pt>
                <c:pt idx="129">
                  <c:v>101.5339260141686</c:v>
                </c:pt>
                <c:pt idx="130">
                  <c:v>106.30882628354337</c:v>
                </c:pt>
                <c:pt idx="131">
                  <c:v>116.00682422600228</c:v>
                </c:pt>
                <c:pt idx="132">
                  <c:v>100.005007558579</c:v>
                </c:pt>
                <c:pt idx="133">
                  <c:v>97.951597405717038</c:v>
                </c:pt>
                <c:pt idx="134">
                  <c:v>99.972296296296292</c:v>
                </c:pt>
                <c:pt idx="135">
                  <c:v>93.82047176859858</c:v>
                </c:pt>
                <c:pt idx="136">
                  <c:v>103.75975213442106</c:v>
                </c:pt>
                <c:pt idx="137">
                  <c:v>100.70480311409402</c:v>
                </c:pt>
                <c:pt idx="138">
                  <c:v>99.446522805539729</c:v>
                </c:pt>
                <c:pt idx="139">
                  <c:v>100.86502224045326</c:v>
                </c:pt>
                <c:pt idx="140">
                  <c:v>102.58658578956033</c:v>
                </c:pt>
                <c:pt idx="141">
                  <c:v>99.891813887129771</c:v>
                </c:pt>
                <c:pt idx="142">
                  <c:v>65.563076036866377</c:v>
                </c:pt>
                <c:pt idx="143">
                  <c:v>100.02424642674983</c:v>
                </c:pt>
                <c:pt idx="144">
                  <c:v>110.17101710171018</c:v>
                </c:pt>
                <c:pt idx="145">
                  <c:v>101.30858931581301</c:v>
                </c:pt>
                <c:pt idx="146">
                  <c:v>99.484056448870888</c:v>
                </c:pt>
                <c:pt idx="147">
                  <c:v>99.346634345813271</c:v>
                </c:pt>
                <c:pt idx="148">
                  <c:v>96.595350975707191</c:v>
                </c:pt>
                <c:pt idx="149">
                  <c:v>104.79788773148148</c:v>
                </c:pt>
                <c:pt idx="150">
                  <c:v>100.62290519136417</c:v>
                </c:pt>
                <c:pt idx="151">
                  <c:v>126.94501172377282</c:v>
                </c:pt>
                <c:pt idx="152">
                  <c:v>102.22420184593297</c:v>
                </c:pt>
                <c:pt idx="153">
                  <c:v>92.211915704034269</c:v>
                </c:pt>
                <c:pt idx="154">
                  <c:v>111.05947293447294</c:v>
                </c:pt>
                <c:pt idx="155">
                  <c:v>97.303120312363063</c:v>
                </c:pt>
                <c:pt idx="156">
                  <c:v>91.48598259908853</c:v>
                </c:pt>
                <c:pt idx="157">
                  <c:v>101.19311711863695</c:v>
                </c:pt>
                <c:pt idx="158">
                  <c:v>67.960084033613441</c:v>
                </c:pt>
                <c:pt idx="159">
                  <c:v>78.671552232933323</c:v>
                </c:pt>
                <c:pt idx="160">
                  <c:v>99.064335865930914</c:v>
                </c:pt>
                <c:pt idx="161">
                  <c:v>99.539843628277225</c:v>
                </c:pt>
                <c:pt idx="162">
                  <c:v>95.957276126644842</c:v>
                </c:pt>
                <c:pt idx="163">
                  <c:v>75.408055113937479</c:v>
                </c:pt>
                <c:pt idx="164">
                  <c:v>95.067934808253924</c:v>
                </c:pt>
                <c:pt idx="165">
                  <c:v>101.33053158546079</c:v>
                </c:pt>
                <c:pt idx="166">
                  <c:v>91.630056569537828</c:v>
                </c:pt>
                <c:pt idx="167">
                  <c:v>98.264142868259256</c:v>
                </c:pt>
                <c:pt idx="168">
                  <c:v>103.05273825620564</c:v>
                </c:pt>
                <c:pt idx="169">
                  <c:v>98.815691085407181</c:v>
                </c:pt>
                <c:pt idx="170">
                  <c:v>87.324766355140198</c:v>
                </c:pt>
                <c:pt idx="171">
                  <c:v>98.196412843302113</c:v>
                </c:pt>
                <c:pt idx="172">
                  <c:v>96.052969123339935</c:v>
                </c:pt>
                <c:pt idx="173">
                  <c:v>96.55688111551342</c:v>
                </c:pt>
                <c:pt idx="174">
                  <c:v>95.337965669174523</c:v>
                </c:pt>
                <c:pt idx="175">
                  <c:v>100.70788451133734</c:v>
                </c:pt>
                <c:pt idx="176">
                  <c:v>94.612847979843735</c:v>
                </c:pt>
                <c:pt idx="177">
                  <c:v>98.746281342966441</c:v>
                </c:pt>
                <c:pt idx="178">
                  <c:v>94.301950726579747</c:v>
                </c:pt>
                <c:pt idx="179">
                  <c:v>96.046062575251696</c:v>
                </c:pt>
                <c:pt idx="180">
                  <c:v>102.18724312296055</c:v>
                </c:pt>
                <c:pt idx="181">
                  <c:v>94.489769489769486</c:v>
                </c:pt>
                <c:pt idx="182">
                  <c:v>97.779133415183153</c:v>
                </c:pt>
                <c:pt idx="183">
                  <c:v>100.24855739717617</c:v>
                </c:pt>
                <c:pt idx="184">
                  <c:v>104.63748553688401</c:v>
                </c:pt>
                <c:pt idx="185">
                  <c:v>94.239619424737384</c:v>
                </c:pt>
                <c:pt idx="186">
                  <c:v>93.235831402602017</c:v>
                </c:pt>
                <c:pt idx="187">
                  <c:v>95.675811820155104</c:v>
                </c:pt>
                <c:pt idx="188">
                  <c:v>96.419636617749831</c:v>
                </c:pt>
                <c:pt idx="189">
                  <c:v>102.25598143729616</c:v>
                </c:pt>
                <c:pt idx="190">
                  <c:v>80.648367735324257</c:v>
                </c:pt>
                <c:pt idx="191">
                  <c:v>97.486291768635297</c:v>
                </c:pt>
                <c:pt idx="192">
                  <c:v>96.649505528703941</c:v>
                </c:pt>
                <c:pt idx="193">
                  <c:v>86.275920440118497</c:v>
                </c:pt>
                <c:pt idx="194">
                  <c:v>94.830927277642601</c:v>
                </c:pt>
                <c:pt idx="195">
                  <c:v>76.814734351056202</c:v>
                </c:pt>
                <c:pt idx="196">
                  <c:v>68.698655713218798</c:v>
                </c:pt>
                <c:pt idx="197">
                  <c:v>93.945927972171063</c:v>
                </c:pt>
                <c:pt idx="198">
                  <c:v>93.697390572390589</c:v>
                </c:pt>
                <c:pt idx="199">
                  <c:v>102.83522251702036</c:v>
                </c:pt>
                <c:pt idx="200">
                  <c:v>103.88231236292877</c:v>
                </c:pt>
                <c:pt idx="201">
                  <c:v>93.447467166979365</c:v>
                </c:pt>
                <c:pt idx="202">
                  <c:v>91.758708581138492</c:v>
                </c:pt>
                <c:pt idx="203">
                  <c:v>96.756423954967161</c:v>
                </c:pt>
                <c:pt idx="204">
                  <c:v>95.365418290302046</c:v>
                </c:pt>
                <c:pt idx="205">
                  <c:v>100.59936882830758</c:v>
                </c:pt>
                <c:pt idx="206">
                  <c:v>88.278690731549716</c:v>
                </c:pt>
                <c:pt idx="207">
                  <c:v>96.289484746576974</c:v>
                </c:pt>
                <c:pt idx="208">
                  <c:v>95.846517510937872</c:v>
                </c:pt>
                <c:pt idx="209">
                  <c:v>99.638925778368005</c:v>
                </c:pt>
                <c:pt idx="210">
                  <c:v>82.921758075210761</c:v>
                </c:pt>
                <c:pt idx="211">
                  <c:v>101.25312839401236</c:v>
                </c:pt>
                <c:pt idx="212">
                  <c:v>83.746314029487763</c:v>
                </c:pt>
                <c:pt idx="213">
                  <c:v>74.478844169246656</c:v>
                </c:pt>
                <c:pt idx="214">
                  <c:v>92.743780131611359</c:v>
                </c:pt>
                <c:pt idx="215">
                  <c:v>96.171586989395024</c:v>
                </c:pt>
                <c:pt idx="216">
                  <c:v>94.268341307814993</c:v>
                </c:pt>
                <c:pt idx="217">
                  <c:v>98.247326270971655</c:v>
                </c:pt>
                <c:pt idx="218">
                  <c:v>94.317691477885646</c:v>
                </c:pt>
                <c:pt idx="219">
                  <c:v>98.542257727340612</c:v>
                </c:pt>
                <c:pt idx="220">
                  <c:v>101.96881516053506</c:v>
                </c:pt>
                <c:pt idx="221">
                  <c:v>90.553956834532386</c:v>
                </c:pt>
                <c:pt idx="222">
                  <c:v>86.278102864182316</c:v>
                </c:pt>
                <c:pt idx="223">
                  <c:v>98.050900861624797</c:v>
                </c:pt>
                <c:pt idx="224">
                  <c:v>94.725059939539236</c:v>
                </c:pt>
                <c:pt idx="225">
                  <c:v>107.48515508225469</c:v>
                </c:pt>
                <c:pt idx="226">
                  <c:v>102.20239216312675</c:v>
                </c:pt>
                <c:pt idx="227">
                  <c:v>104.49092088886349</c:v>
                </c:pt>
                <c:pt idx="228">
                  <c:v>95.227762388427209</c:v>
                </c:pt>
                <c:pt idx="229">
                  <c:v>94.172806131843529</c:v>
                </c:pt>
                <c:pt idx="230">
                  <c:v>72.162637174211255</c:v>
                </c:pt>
                <c:pt idx="231">
                  <c:v>95.946362799263355</c:v>
                </c:pt>
                <c:pt idx="232">
                  <c:v>70.384615384615401</c:v>
                </c:pt>
                <c:pt idx="233">
                  <c:v>100.31971281936225</c:v>
                </c:pt>
                <c:pt idx="234">
                  <c:v>97.578625054357403</c:v>
                </c:pt>
                <c:pt idx="235">
                  <c:v>86.327505827505817</c:v>
                </c:pt>
                <c:pt idx="236">
                  <c:v>78.772551636862701</c:v>
                </c:pt>
                <c:pt idx="237">
                  <c:v>97.233106931382807</c:v>
                </c:pt>
                <c:pt idx="238">
                  <c:v>101.43935885135807</c:v>
                </c:pt>
                <c:pt idx="239">
                  <c:v>104.79843304843304</c:v>
                </c:pt>
                <c:pt idx="240">
                  <c:v>71.529116425374056</c:v>
                </c:pt>
                <c:pt idx="241">
                  <c:v>102.63333023656176</c:v>
                </c:pt>
                <c:pt idx="242">
                  <c:v>84.624287992709043</c:v>
                </c:pt>
                <c:pt idx="243">
                  <c:v>81.777414669571542</c:v>
                </c:pt>
                <c:pt idx="244">
                  <c:v>94.128787878787875</c:v>
                </c:pt>
                <c:pt idx="245">
                  <c:v>94.733258194796662</c:v>
                </c:pt>
                <c:pt idx="246">
                  <c:v>92.832130832130829</c:v>
                </c:pt>
                <c:pt idx="247">
                  <c:v>88.789886039886028</c:v>
                </c:pt>
                <c:pt idx="248">
                  <c:v>94.144281644281662</c:v>
                </c:pt>
                <c:pt idx="249">
                  <c:v>93.805192982456134</c:v>
                </c:pt>
                <c:pt idx="250">
                  <c:v>56.725146198830409</c:v>
                </c:pt>
                <c:pt idx="251">
                  <c:v>102.37240829346095</c:v>
                </c:pt>
                <c:pt idx="252">
                  <c:v>71.111111111111114</c:v>
                </c:pt>
                <c:pt idx="253">
                  <c:v>71.111111111111114</c:v>
                </c:pt>
                <c:pt idx="254">
                  <c:v>71.111111111111114</c:v>
                </c:pt>
                <c:pt idx="255">
                  <c:v>71.111111111111114</c:v>
                </c:pt>
                <c:pt idx="256">
                  <c:v>71.111111111111114</c:v>
                </c:pt>
                <c:pt idx="257">
                  <c:v>71.111111111111114</c:v>
                </c:pt>
                <c:pt idx="258">
                  <c:v>71.111111111111114</c:v>
                </c:pt>
                <c:pt idx="259">
                  <c:v>71.111111111111114</c:v>
                </c:pt>
                <c:pt idx="260">
                  <c:v>71.111111111111114</c:v>
                </c:pt>
                <c:pt idx="261">
                  <c:v>71.111111111111114</c:v>
                </c:pt>
                <c:pt idx="262">
                  <c:v>71.111111111111114</c:v>
                </c:pt>
                <c:pt idx="263">
                  <c:v>71.111111111111114</c:v>
                </c:pt>
                <c:pt idx="264">
                  <c:v>71.111111111111114</c:v>
                </c:pt>
                <c:pt idx="265">
                  <c:v>71.111111111111114</c:v>
                </c:pt>
                <c:pt idx="266">
                  <c:v>71.111111111111114</c:v>
                </c:pt>
                <c:pt idx="267">
                  <c:v>71.111111111111114</c:v>
                </c:pt>
                <c:pt idx="268">
                  <c:v>71.111111111111114</c:v>
                </c:pt>
                <c:pt idx="269">
                  <c:v>71.111111111111114</c:v>
                </c:pt>
                <c:pt idx="270">
                  <c:v>71.111111111111114</c:v>
                </c:pt>
                <c:pt idx="271">
                  <c:v>71.111111111111114</c:v>
                </c:pt>
                <c:pt idx="272">
                  <c:v>71.111111111111114</c:v>
                </c:pt>
                <c:pt idx="273">
                  <c:v>71.111111111111114</c:v>
                </c:pt>
                <c:pt idx="274">
                  <c:v>71.111111111111114</c:v>
                </c:pt>
                <c:pt idx="275">
                  <c:v>71.111111111111114</c:v>
                </c:pt>
                <c:pt idx="276">
                  <c:v>71.111111111111114</c:v>
                </c:pt>
                <c:pt idx="277">
                  <c:v>71.111111111111114</c:v>
                </c:pt>
                <c:pt idx="278">
                  <c:v>71.111111111111114</c:v>
                </c:pt>
                <c:pt idx="279">
                  <c:v>71.111111111111114</c:v>
                </c:pt>
                <c:pt idx="280">
                  <c:v>71.111111111111114</c:v>
                </c:pt>
                <c:pt idx="281">
                  <c:v>71.111111111111114</c:v>
                </c:pt>
                <c:pt idx="282">
                  <c:v>71.111111111111114</c:v>
                </c:pt>
                <c:pt idx="283">
                  <c:v>71.111111111111114</c:v>
                </c:pt>
                <c:pt idx="284">
                  <c:v>71.111111111111114</c:v>
                </c:pt>
                <c:pt idx="285">
                  <c:v>71.111111111111114</c:v>
                </c:pt>
                <c:pt idx="286">
                  <c:v>71.111111111111114</c:v>
                </c:pt>
                <c:pt idx="287">
                  <c:v>71.111111111111114</c:v>
                </c:pt>
                <c:pt idx="288">
                  <c:v>71.111111111111114</c:v>
                </c:pt>
                <c:pt idx="289">
                  <c:v>71.111111111111114</c:v>
                </c:pt>
                <c:pt idx="290">
                  <c:v>71.111111111111114</c:v>
                </c:pt>
                <c:pt idx="291">
                  <c:v>71.111111111111114</c:v>
                </c:pt>
                <c:pt idx="292">
                  <c:v>71.111111111111114</c:v>
                </c:pt>
                <c:pt idx="293">
                  <c:v>71.111111111111114</c:v>
                </c:pt>
                <c:pt idx="294">
                  <c:v>71.111111111111114</c:v>
                </c:pt>
                <c:pt idx="295">
                  <c:v>71.111111111111114</c:v>
                </c:pt>
                <c:pt idx="296">
                  <c:v>71.111111111111114</c:v>
                </c:pt>
                <c:pt idx="297">
                  <c:v>71.111111111111114</c:v>
                </c:pt>
                <c:pt idx="298">
                  <c:v>71.111111111111114</c:v>
                </c:pt>
                <c:pt idx="299">
                  <c:v>71.111111111111114</c:v>
                </c:pt>
                <c:pt idx="300">
                  <c:v>71.111111111111114</c:v>
                </c:pt>
                <c:pt idx="301">
                  <c:v>71.111111111111114</c:v>
                </c:pt>
                <c:pt idx="302">
                  <c:v>71.111111111111114</c:v>
                </c:pt>
                <c:pt idx="303">
                  <c:v>71.111111111111114</c:v>
                </c:pt>
                <c:pt idx="304">
                  <c:v>71.111111111111114</c:v>
                </c:pt>
                <c:pt idx="305">
                  <c:v>71.111111111111114</c:v>
                </c:pt>
                <c:pt idx="306">
                  <c:v>71.111111111111114</c:v>
                </c:pt>
                <c:pt idx="307">
                  <c:v>71.111111111111114</c:v>
                </c:pt>
                <c:pt idx="308">
                  <c:v>71.111111111111114</c:v>
                </c:pt>
                <c:pt idx="309">
                  <c:v>71.111111111111114</c:v>
                </c:pt>
                <c:pt idx="310">
                  <c:v>71.111111111111114</c:v>
                </c:pt>
                <c:pt idx="311">
                  <c:v>71.111111111111114</c:v>
                </c:pt>
                <c:pt idx="312">
                  <c:v>71.111111111111114</c:v>
                </c:pt>
                <c:pt idx="313">
                  <c:v>71.111111111111114</c:v>
                </c:pt>
                <c:pt idx="314">
                  <c:v>71.111111111111114</c:v>
                </c:pt>
                <c:pt idx="315">
                  <c:v>71.111111111111114</c:v>
                </c:pt>
                <c:pt idx="316">
                  <c:v>71.111111111111114</c:v>
                </c:pt>
                <c:pt idx="317">
                  <c:v>71.111111111111114</c:v>
                </c:pt>
                <c:pt idx="318">
                  <c:v>71.111111111111114</c:v>
                </c:pt>
                <c:pt idx="319">
                  <c:v>71.111111111111114</c:v>
                </c:pt>
                <c:pt idx="320">
                  <c:v>71.111111111111114</c:v>
                </c:pt>
                <c:pt idx="321">
                  <c:v>71.111111111111114</c:v>
                </c:pt>
                <c:pt idx="322">
                  <c:v>71.111111111111114</c:v>
                </c:pt>
                <c:pt idx="323">
                  <c:v>71.111111111111114</c:v>
                </c:pt>
                <c:pt idx="324">
                  <c:v>71.111111111111114</c:v>
                </c:pt>
                <c:pt idx="325">
                  <c:v>71.111111111111114</c:v>
                </c:pt>
                <c:pt idx="326">
                  <c:v>71.111111111111114</c:v>
                </c:pt>
                <c:pt idx="327">
                  <c:v>71.111111111111114</c:v>
                </c:pt>
                <c:pt idx="328">
                  <c:v>71.111111111111114</c:v>
                </c:pt>
                <c:pt idx="329">
                  <c:v>71.111111111111114</c:v>
                </c:pt>
                <c:pt idx="330">
                  <c:v>71.111111111111114</c:v>
                </c:pt>
                <c:pt idx="331">
                  <c:v>71.111111111111114</c:v>
                </c:pt>
                <c:pt idx="332">
                  <c:v>71.111111111111114</c:v>
                </c:pt>
                <c:pt idx="333">
                  <c:v>71.111111111111114</c:v>
                </c:pt>
                <c:pt idx="334">
                  <c:v>71.111111111111114</c:v>
                </c:pt>
                <c:pt idx="335">
                  <c:v>71.111111111111114</c:v>
                </c:pt>
                <c:pt idx="336">
                  <c:v>71.111111111111114</c:v>
                </c:pt>
                <c:pt idx="337">
                  <c:v>71.111111111111114</c:v>
                </c:pt>
                <c:pt idx="338">
                  <c:v>71.111111111111114</c:v>
                </c:pt>
                <c:pt idx="339">
                  <c:v>71.111111111111114</c:v>
                </c:pt>
                <c:pt idx="340">
                  <c:v>71.111111111111114</c:v>
                </c:pt>
                <c:pt idx="341">
                  <c:v>71.111111111111114</c:v>
                </c:pt>
                <c:pt idx="342">
                  <c:v>71.111111111111114</c:v>
                </c:pt>
                <c:pt idx="343">
                  <c:v>71.111111111111114</c:v>
                </c:pt>
                <c:pt idx="344">
                  <c:v>71.111111111111114</c:v>
                </c:pt>
                <c:pt idx="345">
                  <c:v>71.111111111111114</c:v>
                </c:pt>
                <c:pt idx="346">
                  <c:v>71.111111111111114</c:v>
                </c:pt>
                <c:pt idx="347">
                  <c:v>71.111111111111114</c:v>
                </c:pt>
                <c:pt idx="348">
                  <c:v>71.111111111111114</c:v>
                </c:pt>
                <c:pt idx="349">
                  <c:v>71.111111111111114</c:v>
                </c:pt>
                <c:pt idx="350">
                  <c:v>71.111111111111114</c:v>
                </c:pt>
                <c:pt idx="351">
                  <c:v>71.111111111111114</c:v>
                </c:pt>
                <c:pt idx="352">
                  <c:v>71.111111111111114</c:v>
                </c:pt>
                <c:pt idx="353">
                  <c:v>71.111111111111114</c:v>
                </c:pt>
                <c:pt idx="354">
                  <c:v>71.111111111111114</c:v>
                </c:pt>
                <c:pt idx="355">
                  <c:v>71.111111111111114</c:v>
                </c:pt>
                <c:pt idx="356">
                  <c:v>71.111111111111114</c:v>
                </c:pt>
                <c:pt idx="357">
                  <c:v>71.111111111111114</c:v>
                </c:pt>
                <c:pt idx="358">
                  <c:v>71.111111111111114</c:v>
                </c:pt>
                <c:pt idx="359">
                  <c:v>71.111111111111114</c:v>
                </c:pt>
              </c:numCache>
            </c:numRef>
          </c:xVal>
          <c:yVal>
            <c:numRef>
              <c:f>calculations!$AY$20:$AY$379</c:f>
              <c:numCache>
                <c:formatCode>General</c:formatCode>
                <c:ptCount val="360"/>
                <c:pt idx="0">
                  <c:v>53.846153846153854</c:v>
                </c:pt>
                <c:pt idx="1">
                  <c:v>76.428571428571416</c:v>
                </c:pt>
                <c:pt idx="2">
                  <c:v>62.903225806451616</c:v>
                </c:pt>
                <c:pt idx="3">
                  <c:v>81.132075471698116</c:v>
                </c:pt>
                <c:pt idx="4">
                  <c:v>96.615384615384613</c:v>
                </c:pt>
                <c:pt idx="5">
                  <c:v>73.913043478260875</c:v>
                </c:pt>
                <c:pt idx="6">
                  <c:v>85</c:v>
                </c:pt>
                <c:pt idx="7">
                  <c:v>91.17647058823529</c:v>
                </c:pt>
                <c:pt idx="8">
                  <c:v>77.142857142857153</c:v>
                </c:pt>
                <c:pt idx="9">
                  <c:v>93.824884792626733</c:v>
                </c:pt>
                <c:pt idx="10">
                  <c:v>94.008714596949886</c:v>
                </c:pt>
                <c:pt idx="11">
                  <c:v>100</c:v>
                </c:pt>
                <c:pt idx="12">
                  <c:v>96.174863387978121</c:v>
                </c:pt>
                <c:pt idx="13">
                  <c:v>82.770870337477803</c:v>
                </c:pt>
                <c:pt idx="14">
                  <c:v>98.271604938271594</c:v>
                </c:pt>
                <c:pt idx="15">
                  <c:v>91.972789115646265</c:v>
                </c:pt>
                <c:pt idx="16">
                  <c:v>97.959183673469397</c:v>
                </c:pt>
                <c:pt idx="17">
                  <c:v>83.801295896328298</c:v>
                </c:pt>
                <c:pt idx="18">
                  <c:v>96</c:v>
                </c:pt>
                <c:pt idx="19">
                  <c:v>93.392070484581495</c:v>
                </c:pt>
                <c:pt idx="20">
                  <c:v>96.385542168674689</c:v>
                </c:pt>
                <c:pt idx="21">
                  <c:v>94.523809523809533</c:v>
                </c:pt>
                <c:pt idx="22">
                  <c:v>90.277777777777786</c:v>
                </c:pt>
                <c:pt idx="23">
                  <c:v>99.066666666666663</c:v>
                </c:pt>
                <c:pt idx="24">
                  <c:v>87.904967602591782</c:v>
                </c:pt>
                <c:pt idx="25">
                  <c:v>79.259259259259252</c:v>
                </c:pt>
                <c:pt idx="26">
                  <c:v>96.056338028169009</c:v>
                </c:pt>
                <c:pt idx="27">
                  <c:v>92.138364779874209</c:v>
                </c:pt>
                <c:pt idx="28">
                  <c:v>89.325842696629209</c:v>
                </c:pt>
                <c:pt idx="29">
                  <c:v>97.09794437726724</c:v>
                </c:pt>
                <c:pt idx="30">
                  <c:v>81.919642857142847</c:v>
                </c:pt>
                <c:pt idx="31">
                  <c:v>98.014184397163135</c:v>
                </c:pt>
                <c:pt idx="32">
                  <c:v>78.155339805825236</c:v>
                </c:pt>
                <c:pt idx="33">
                  <c:v>76.832151300236404</c:v>
                </c:pt>
                <c:pt idx="34">
                  <c:v>95.238095238095227</c:v>
                </c:pt>
                <c:pt idx="35">
                  <c:v>96.642335766423358</c:v>
                </c:pt>
                <c:pt idx="36">
                  <c:v>98.083067092651746</c:v>
                </c:pt>
                <c:pt idx="37">
                  <c:v>96.296296296296291</c:v>
                </c:pt>
                <c:pt idx="38">
                  <c:v>86.194690265486742</c:v>
                </c:pt>
                <c:pt idx="39">
                  <c:v>100</c:v>
                </c:pt>
                <c:pt idx="40">
                  <c:v>100</c:v>
                </c:pt>
                <c:pt idx="41">
                  <c:v>100</c:v>
                </c:pt>
                <c:pt idx="42">
                  <c:v>94.065934065934059</c:v>
                </c:pt>
                <c:pt idx="43">
                  <c:v>94.520547945205479</c:v>
                </c:pt>
                <c:pt idx="44">
                  <c:v>89.759036144578303</c:v>
                </c:pt>
                <c:pt idx="45">
                  <c:v>98.587360594795541</c:v>
                </c:pt>
                <c:pt idx="46">
                  <c:v>83.552631578947384</c:v>
                </c:pt>
                <c:pt idx="47">
                  <c:v>90</c:v>
                </c:pt>
                <c:pt idx="48">
                  <c:v>86.666666666666657</c:v>
                </c:pt>
                <c:pt idx="49">
                  <c:v>98.723404255319153</c:v>
                </c:pt>
                <c:pt idx="50">
                  <c:v>99.627329192546583</c:v>
                </c:pt>
                <c:pt idx="51">
                  <c:v>96.235294117647058</c:v>
                </c:pt>
                <c:pt idx="52">
                  <c:v>96.538461538461533</c:v>
                </c:pt>
                <c:pt idx="53">
                  <c:v>87.027027027027003</c:v>
                </c:pt>
                <c:pt idx="54">
                  <c:v>86.016260162601625</c:v>
                </c:pt>
                <c:pt idx="55">
                  <c:v>93.971631205673759</c:v>
                </c:pt>
                <c:pt idx="56">
                  <c:v>94.163424124513611</c:v>
                </c:pt>
                <c:pt idx="57">
                  <c:v>98.000000000000014</c:v>
                </c:pt>
                <c:pt idx="58">
                  <c:v>93.390804597701162</c:v>
                </c:pt>
                <c:pt idx="59">
                  <c:v>87.199124726477038</c:v>
                </c:pt>
                <c:pt idx="60">
                  <c:v>83.023255813953497</c:v>
                </c:pt>
                <c:pt idx="61">
                  <c:v>66.885245901639351</c:v>
                </c:pt>
                <c:pt idx="62">
                  <c:v>96.066746126340902</c:v>
                </c:pt>
                <c:pt idx="63">
                  <c:v>98.271604938271594</c:v>
                </c:pt>
                <c:pt idx="64">
                  <c:v>98.969072164948457</c:v>
                </c:pt>
                <c:pt idx="65">
                  <c:v>98.285714285714292</c:v>
                </c:pt>
                <c:pt idx="66">
                  <c:v>90.434782608695642</c:v>
                </c:pt>
                <c:pt idx="67">
                  <c:v>91.552511415525132</c:v>
                </c:pt>
                <c:pt idx="68">
                  <c:v>98.095238095238102</c:v>
                </c:pt>
                <c:pt idx="69">
                  <c:v>98.067226890756302</c:v>
                </c:pt>
                <c:pt idx="70">
                  <c:v>98.837209302325576</c:v>
                </c:pt>
                <c:pt idx="71">
                  <c:v>92.206366630076843</c:v>
                </c:pt>
                <c:pt idx="72">
                  <c:v>96.292134831460672</c:v>
                </c:pt>
                <c:pt idx="73">
                  <c:v>88.219178082191775</c:v>
                </c:pt>
                <c:pt idx="74">
                  <c:v>99.432463110102148</c:v>
                </c:pt>
                <c:pt idx="75">
                  <c:v>95.145631067961162</c:v>
                </c:pt>
                <c:pt idx="76">
                  <c:v>89.010989010989022</c:v>
                </c:pt>
                <c:pt idx="77">
                  <c:v>88.073394495412842</c:v>
                </c:pt>
                <c:pt idx="78">
                  <c:v>93.836246550137986</c:v>
                </c:pt>
                <c:pt idx="79">
                  <c:v>96.670247046186887</c:v>
                </c:pt>
                <c:pt idx="80">
                  <c:v>94.915254237288138</c:v>
                </c:pt>
                <c:pt idx="81">
                  <c:v>90.416666666666657</c:v>
                </c:pt>
                <c:pt idx="82">
                  <c:v>100</c:v>
                </c:pt>
                <c:pt idx="83">
                  <c:v>89.743589743589737</c:v>
                </c:pt>
                <c:pt idx="84">
                  <c:v>99.080459770114942</c:v>
                </c:pt>
                <c:pt idx="85">
                  <c:v>94.3010752688172</c:v>
                </c:pt>
                <c:pt idx="86">
                  <c:v>96.190476190476176</c:v>
                </c:pt>
                <c:pt idx="87">
                  <c:v>89.243697478991606</c:v>
                </c:pt>
                <c:pt idx="88">
                  <c:v>57.142857142857139</c:v>
                </c:pt>
                <c:pt idx="89">
                  <c:v>87.318840579710155</c:v>
                </c:pt>
                <c:pt idx="90">
                  <c:v>100</c:v>
                </c:pt>
                <c:pt idx="91">
                  <c:v>100</c:v>
                </c:pt>
                <c:pt idx="92">
                  <c:v>92.695035460992912</c:v>
                </c:pt>
                <c:pt idx="93">
                  <c:v>99.04</c:v>
                </c:pt>
                <c:pt idx="94">
                  <c:v>98.660714285714306</c:v>
                </c:pt>
                <c:pt idx="95">
                  <c:v>91.505376344086017</c:v>
                </c:pt>
                <c:pt idx="96">
                  <c:v>83.07692307692308</c:v>
                </c:pt>
                <c:pt idx="97">
                  <c:v>95.833333333333343</c:v>
                </c:pt>
                <c:pt idx="98">
                  <c:v>89</c:v>
                </c:pt>
                <c:pt idx="99">
                  <c:v>81.65680473372781</c:v>
                </c:pt>
                <c:pt idx="100">
                  <c:v>98.12734082397003</c:v>
                </c:pt>
                <c:pt idx="101">
                  <c:v>97.183098591549282</c:v>
                </c:pt>
                <c:pt idx="102">
                  <c:v>88.610478359908868</c:v>
                </c:pt>
                <c:pt idx="103">
                  <c:v>84.3010752688172</c:v>
                </c:pt>
                <c:pt idx="104">
                  <c:v>94.355828220858911</c:v>
                </c:pt>
                <c:pt idx="105">
                  <c:v>94.85294117647058</c:v>
                </c:pt>
                <c:pt idx="106">
                  <c:v>92.390524048815507</c:v>
                </c:pt>
                <c:pt idx="107">
                  <c:v>85.765124555160142</c:v>
                </c:pt>
                <c:pt idx="108">
                  <c:v>81.229773462783172</c:v>
                </c:pt>
                <c:pt idx="109">
                  <c:v>90.14705882352942</c:v>
                </c:pt>
                <c:pt idx="110">
                  <c:v>98.007968127490031</c:v>
                </c:pt>
                <c:pt idx="111">
                  <c:v>89.864158829676072</c:v>
                </c:pt>
                <c:pt idx="112">
                  <c:v>93.369565217391298</c:v>
                </c:pt>
                <c:pt idx="113">
                  <c:v>97.101449275362313</c:v>
                </c:pt>
                <c:pt idx="114">
                  <c:v>69.473684210526315</c:v>
                </c:pt>
                <c:pt idx="115">
                  <c:v>97.695167286245351</c:v>
                </c:pt>
                <c:pt idx="116">
                  <c:v>84.1796875</c:v>
                </c:pt>
                <c:pt idx="117">
                  <c:v>94.733333333333334</c:v>
                </c:pt>
                <c:pt idx="118">
                  <c:v>86.408839779005518</c:v>
                </c:pt>
                <c:pt idx="119">
                  <c:v>92.907801418439703</c:v>
                </c:pt>
                <c:pt idx="120">
                  <c:v>91.328671328671334</c:v>
                </c:pt>
                <c:pt idx="121">
                  <c:v>82.35294117647058</c:v>
                </c:pt>
                <c:pt idx="122">
                  <c:v>96.226415094339629</c:v>
                </c:pt>
                <c:pt idx="123">
                  <c:v>88.214285714285694</c:v>
                </c:pt>
                <c:pt idx="124">
                  <c:v>92.5</c:v>
                </c:pt>
                <c:pt idx="125">
                  <c:v>87.500000000000014</c:v>
                </c:pt>
                <c:pt idx="126">
                  <c:v>96.451612903225808</c:v>
                </c:pt>
                <c:pt idx="127">
                  <c:v>98.888888888888886</c:v>
                </c:pt>
                <c:pt idx="128">
                  <c:v>78.596491228070178</c:v>
                </c:pt>
                <c:pt idx="129">
                  <c:v>86.037735849056602</c:v>
                </c:pt>
                <c:pt idx="130">
                  <c:v>93.709327548806925</c:v>
                </c:pt>
                <c:pt idx="131">
                  <c:v>79.347826086956545</c:v>
                </c:pt>
                <c:pt idx="132">
                  <c:v>95.609756097560989</c:v>
                </c:pt>
                <c:pt idx="133">
                  <c:v>85.06849315068493</c:v>
                </c:pt>
                <c:pt idx="134">
                  <c:v>98.039215686274517</c:v>
                </c:pt>
                <c:pt idx="135">
                  <c:v>92.533333333333331</c:v>
                </c:pt>
                <c:pt idx="136">
                  <c:v>91.460674157303373</c:v>
                </c:pt>
                <c:pt idx="137">
                  <c:v>98.592592592592595</c:v>
                </c:pt>
                <c:pt idx="138">
                  <c:v>91.206543967280169</c:v>
                </c:pt>
                <c:pt idx="139">
                  <c:v>91.216931216931215</c:v>
                </c:pt>
                <c:pt idx="140">
                  <c:v>94.049159120310492</c:v>
                </c:pt>
                <c:pt idx="141">
                  <c:v>88.668224299065429</c:v>
                </c:pt>
                <c:pt idx="142">
                  <c:v>73.559322033898283</c:v>
                </c:pt>
                <c:pt idx="143">
                  <c:v>98.493150684931507</c:v>
                </c:pt>
                <c:pt idx="144">
                  <c:v>97.115384615384613</c:v>
                </c:pt>
                <c:pt idx="145">
                  <c:v>97.902097902097907</c:v>
                </c:pt>
                <c:pt idx="146">
                  <c:v>97.073170731707322</c:v>
                </c:pt>
                <c:pt idx="147">
                  <c:v>92.282608695652158</c:v>
                </c:pt>
                <c:pt idx="148">
                  <c:v>95.194805194805184</c:v>
                </c:pt>
                <c:pt idx="149">
                  <c:v>90.619469026548686</c:v>
                </c:pt>
                <c:pt idx="150">
                  <c:v>95.797101449275374</c:v>
                </c:pt>
                <c:pt idx="151">
                  <c:v>88.836477987421375</c:v>
                </c:pt>
                <c:pt idx="152">
                  <c:v>89.152542372881371</c:v>
                </c:pt>
                <c:pt idx="153">
                  <c:v>79.809523809523824</c:v>
                </c:pt>
                <c:pt idx="154">
                  <c:v>79.47019867549669</c:v>
                </c:pt>
                <c:pt idx="155">
                  <c:v>93.812154696132609</c:v>
                </c:pt>
                <c:pt idx="156">
                  <c:v>80.724637681159422</c:v>
                </c:pt>
                <c:pt idx="157">
                  <c:v>81.030927835051529</c:v>
                </c:pt>
                <c:pt idx="158">
                  <c:v>100</c:v>
                </c:pt>
                <c:pt idx="159">
                  <c:v>78.199999999999974</c:v>
                </c:pt>
                <c:pt idx="160">
                  <c:v>88.92307692307692</c:v>
                </c:pt>
                <c:pt idx="161">
                  <c:v>94.444444444444457</c:v>
                </c:pt>
                <c:pt idx="162">
                  <c:v>98.728323699421978</c:v>
                </c:pt>
                <c:pt idx="163">
                  <c:v>97.941176470588232</c:v>
                </c:pt>
                <c:pt idx="164">
                  <c:v>93.704092339979013</c:v>
                </c:pt>
                <c:pt idx="165">
                  <c:v>89.864158829676072</c:v>
                </c:pt>
                <c:pt idx="166">
                  <c:v>83.014354066985646</c:v>
                </c:pt>
                <c:pt idx="167">
                  <c:v>99.300699300699307</c:v>
                </c:pt>
                <c:pt idx="168">
                  <c:v>94.791666666666657</c:v>
                </c:pt>
                <c:pt idx="169">
                  <c:v>94.626865671641795</c:v>
                </c:pt>
                <c:pt idx="170">
                  <c:v>60.281690140845065</c:v>
                </c:pt>
                <c:pt idx="171">
                  <c:v>96.972972972972983</c:v>
                </c:pt>
                <c:pt idx="172">
                  <c:v>84.667571234735433</c:v>
                </c:pt>
                <c:pt idx="173">
                  <c:v>97.633136094674555</c:v>
                </c:pt>
                <c:pt idx="174">
                  <c:v>99.322033898305094</c:v>
                </c:pt>
                <c:pt idx="175">
                  <c:v>93.193069306930695</c:v>
                </c:pt>
                <c:pt idx="176">
                  <c:v>97.813411078717209</c:v>
                </c:pt>
                <c:pt idx="177">
                  <c:v>81.774193548387089</c:v>
                </c:pt>
                <c:pt idx="178">
                  <c:v>84.537815126050418</c:v>
                </c:pt>
                <c:pt idx="179">
                  <c:v>93.700217233888495</c:v>
                </c:pt>
                <c:pt idx="180">
                  <c:v>83.815028901734095</c:v>
                </c:pt>
                <c:pt idx="181">
                  <c:v>98.181818181818187</c:v>
                </c:pt>
                <c:pt idx="182">
                  <c:v>91.062394603709947</c:v>
                </c:pt>
                <c:pt idx="183">
                  <c:v>78.94736842105263</c:v>
                </c:pt>
                <c:pt idx="184">
                  <c:v>90.732758620689651</c:v>
                </c:pt>
                <c:pt idx="185">
                  <c:v>86.802721088435376</c:v>
                </c:pt>
                <c:pt idx="186">
                  <c:v>88.571428571428584</c:v>
                </c:pt>
                <c:pt idx="187">
                  <c:v>82.43512974051896</c:v>
                </c:pt>
                <c:pt idx="188">
                  <c:v>82.330097087378633</c:v>
                </c:pt>
                <c:pt idx="189">
                  <c:v>99.374565670604582</c:v>
                </c:pt>
                <c:pt idx="190">
                  <c:v>86.054421768707485</c:v>
                </c:pt>
                <c:pt idx="191">
                  <c:v>93.943661971830977</c:v>
                </c:pt>
                <c:pt idx="192">
                  <c:v>86.626506024096358</c:v>
                </c:pt>
                <c:pt idx="193">
                  <c:v>99.285714285714263</c:v>
                </c:pt>
                <c:pt idx="194">
                  <c:v>84.777227722772281</c:v>
                </c:pt>
                <c:pt idx="195">
                  <c:v>82.666666666666671</c:v>
                </c:pt>
                <c:pt idx="196">
                  <c:v>74.637681159420296</c:v>
                </c:pt>
                <c:pt idx="197">
                  <c:v>76.704545454545453</c:v>
                </c:pt>
                <c:pt idx="198">
                  <c:v>70.588235294117652</c:v>
                </c:pt>
                <c:pt idx="199">
                  <c:v>95.754189944134069</c:v>
                </c:pt>
                <c:pt idx="200">
                  <c:v>67.272727272727266</c:v>
                </c:pt>
                <c:pt idx="201">
                  <c:v>97.61904761904762</c:v>
                </c:pt>
                <c:pt idx="202">
                  <c:v>76.428571428571416</c:v>
                </c:pt>
                <c:pt idx="203">
                  <c:v>91.874322860238351</c:v>
                </c:pt>
                <c:pt idx="204">
                  <c:v>86.35135135135134</c:v>
                </c:pt>
                <c:pt idx="205">
                  <c:v>92.686567164179095</c:v>
                </c:pt>
                <c:pt idx="206">
                  <c:v>77.307692307692307</c:v>
                </c:pt>
                <c:pt idx="207">
                  <c:v>85.18518518518519</c:v>
                </c:pt>
                <c:pt idx="208">
                  <c:v>95.604395604395606</c:v>
                </c:pt>
                <c:pt idx="209">
                  <c:v>96.168582375478934</c:v>
                </c:pt>
                <c:pt idx="210">
                  <c:v>90.789473684210535</c:v>
                </c:pt>
                <c:pt idx="211">
                  <c:v>78.523489932885909</c:v>
                </c:pt>
                <c:pt idx="212">
                  <c:v>81.132075471698101</c:v>
                </c:pt>
                <c:pt idx="213">
                  <c:v>100</c:v>
                </c:pt>
                <c:pt idx="214">
                  <c:v>74.056603773584911</c:v>
                </c:pt>
                <c:pt idx="215">
                  <c:v>85.999999999999986</c:v>
                </c:pt>
                <c:pt idx="216">
                  <c:v>72.38095238095238</c:v>
                </c:pt>
                <c:pt idx="217">
                  <c:v>83.460949464012259</c:v>
                </c:pt>
                <c:pt idx="218">
                  <c:v>81.102362204724415</c:v>
                </c:pt>
                <c:pt idx="219">
                  <c:v>93.228346456692918</c:v>
                </c:pt>
                <c:pt idx="220">
                  <c:v>98.947368421052644</c:v>
                </c:pt>
                <c:pt idx="221">
                  <c:v>88.535031847133752</c:v>
                </c:pt>
                <c:pt idx="222">
                  <c:v>77.171717171717177</c:v>
                </c:pt>
                <c:pt idx="223">
                  <c:v>93.557046979865802</c:v>
                </c:pt>
                <c:pt idx="224">
                  <c:v>100</c:v>
                </c:pt>
                <c:pt idx="225">
                  <c:v>95.49549549549549</c:v>
                </c:pt>
                <c:pt idx="226">
                  <c:v>52.604166666666664</c:v>
                </c:pt>
                <c:pt idx="227">
                  <c:v>86.102062975027167</c:v>
                </c:pt>
                <c:pt idx="228">
                  <c:v>89.999999999999986</c:v>
                </c:pt>
                <c:pt idx="229">
                  <c:v>65.867158671586722</c:v>
                </c:pt>
                <c:pt idx="230">
                  <c:v>95.575221238938042</c:v>
                </c:pt>
                <c:pt idx="231">
                  <c:v>79.681274900398407</c:v>
                </c:pt>
                <c:pt idx="232">
                  <c:v>68.749999999999986</c:v>
                </c:pt>
                <c:pt idx="233">
                  <c:v>85.652173913043455</c:v>
                </c:pt>
                <c:pt idx="234">
                  <c:v>78.82352941176471</c:v>
                </c:pt>
                <c:pt idx="235">
                  <c:v>73.333333333333343</c:v>
                </c:pt>
                <c:pt idx="236">
                  <c:v>97.815533980582529</c:v>
                </c:pt>
                <c:pt idx="237">
                  <c:v>87</c:v>
                </c:pt>
                <c:pt idx="238">
                  <c:v>81.463414634146332</c:v>
                </c:pt>
                <c:pt idx="239">
                  <c:v>41.935483870967737</c:v>
                </c:pt>
                <c:pt idx="240">
                  <c:v>78.285714285714278</c:v>
                </c:pt>
                <c:pt idx="241">
                  <c:v>76.969696969696969</c:v>
                </c:pt>
                <c:pt idx="242">
                  <c:v>84.615384615384613</c:v>
                </c:pt>
                <c:pt idx="243">
                  <c:v>89.999999999999986</c:v>
                </c:pt>
                <c:pt idx="244">
                  <c:v>96.551724137931032</c:v>
                </c:pt>
                <c:pt idx="245">
                  <c:v>50.555555555555557</c:v>
                </c:pt>
                <c:pt idx="246">
                  <c:v>64.166666666666657</c:v>
                </c:pt>
                <c:pt idx="247">
                  <c:v>60.185185185185183</c:v>
                </c:pt>
                <c:pt idx="248">
                  <c:v>55.999999999999993</c:v>
                </c:pt>
                <c:pt idx="249">
                  <c:v>64.766839378238345</c:v>
                </c:pt>
                <c:pt idx="250">
                  <c:v>54.285714285714285</c:v>
                </c:pt>
                <c:pt idx="251">
                  <c:v>42.222222222222221</c:v>
                </c:pt>
                <c:pt idx="252">
                  <c:v>53.846153846153854</c:v>
                </c:pt>
                <c:pt idx="253">
                  <c:v>53.846153846153854</c:v>
                </c:pt>
                <c:pt idx="254">
                  <c:v>53.846153846153854</c:v>
                </c:pt>
                <c:pt idx="255">
                  <c:v>53.846153846153854</c:v>
                </c:pt>
                <c:pt idx="256">
                  <c:v>53.846153846153854</c:v>
                </c:pt>
                <c:pt idx="257">
                  <c:v>53.846153846153854</c:v>
                </c:pt>
                <c:pt idx="258">
                  <c:v>53.846153846153854</c:v>
                </c:pt>
                <c:pt idx="259">
                  <c:v>53.846153846153854</c:v>
                </c:pt>
                <c:pt idx="260">
                  <c:v>53.846153846153854</c:v>
                </c:pt>
                <c:pt idx="261">
                  <c:v>53.846153846153854</c:v>
                </c:pt>
                <c:pt idx="262">
                  <c:v>53.846153846153854</c:v>
                </c:pt>
                <c:pt idx="263">
                  <c:v>53.846153846153854</c:v>
                </c:pt>
                <c:pt idx="264">
                  <c:v>53.846153846153854</c:v>
                </c:pt>
                <c:pt idx="265">
                  <c:v>53.846153846153854</c:v>
                </c:pt>
                <c:pt idx="266">
                  <c:v>53.846153846153854</c:v>
                </c:pt>
                <c:pt idx="267">
                  <c:v>53.846153846153854</c:v>
                </c:pt>
                <c:pt idx="268">
                  <c:v>53.846153846153854</c:v>
                </c:pt>
                <c:pt idx="269">
                  <c:v>53.846153846153854</c:v>
                </c:pt>
                <c:pt idx="270">
                  <c:v>53.846153846153854</c:v>
                </c:pt>
                <c:pt idx="271">
                  <c:v>53.846153846153854</c:v>
                </c:pt>
                <c:pt idx="272">
                  <c:v>53.846153846153854</c:v>
                </c:pt>
                <c:pt idx="273">
                  <c:v>53.846153846153854</c:v>
                </c:pt>
                <c:pt idx="274">
                  <c:v>53.846153846153854</c:v>
                </c:pt>
                <c:pt idx="275">
                  <c:v>53.846153846153854</c:v>
                </c:pt>
                <c:pt idx="276">
                  <c:v>53.846153846153854</c:v>
                </c:pt>
                <c:pt idx="277">
                  <c:v>53.846153846153854</c:v>
                </c:pt>
                <c:pt idx="278">
                  <c:v>53.846153846153854</c:v>
                </c:pt>
                <c:pt idx="279">
                  <c:v>53.846153846153854</c:v>
                </c:pt>
                <c:pt idx="280">
                  <c:v>53.846153846153854</c:v>
                </c:pt>
                <c:pt idx="281">
                  <c:v>53.846153846153854</c:v>
                </c:pt>
                <c:pt idx="282">
                  <c:v>53.846153846153854</c:v>
                </c:pt>
                <c:pt idx="283">
                  <c:v>53.846153846153854</c:v>
                </c:pt>
                <c:pt idx="284">
                  <c:v>53.846153846153854</c:v>
                </c:pt>
                <c:pt idx="285">
                  <c:v>53.846153846153854</c:v>
                </c:pt>
                <c:pt idx="286">
                  <c:v>53.846153846153854</c:v>
                </c:pt>
                <c:pt idx="287">
                  <c:v>53.846153846153854</c:v>
                </c:pt>
                <c:pt idx="288">
                  <c:v>53.846153846153854</c:v>
                </c:pt>
                <c:pt idx="289">
                  <c:v>53.846153846153854</c:v>
                </c:pt>
                <c:pt idx="290">
                  <c:v>53.846153846153854</c:v>
                </c:pt>
                <c:pt idx="291">
                  <c:v>53.846153846153854</c:v>
                </c:pt>
                <c:pt idx="292">
                  <c:v>53.846153846153854</c:v>
                </c:pt>
                <c:pt idx="293">
                  <c:v>53.846153846153854</c:v>
                </c:pt>
                <c:pt idx="294">
                  <c:v>53.846153846153854</c:v>
                </c:pt>
                <c:pt idx="295">
                  <c:v>53.846153846153854</c:v>
                </c:pt>
                <c:pt idx="296">
                  <c:v>53.846153846153854</c:v>
                </c:pt>
                <c:pt idx="297">
                  <c:v>53.846153846153854</c:v>
                </c:pt>
                <c:pt idx="298">
                  <c:v>53.846153846153854</c:v>
                </c:pt>
                <c:pt idx="299">
                  <c:v>53.846153846153854</c:v>
                </c:pt>
                <c:pt idx="300">
                  <c:v>53.846153846153854</c:v>
                </c:pt>
                <c:pt idx="301">
                  <c:v>53.846153846153854</c:v>
                </c:pt>
                <c:pt idx="302">
                  <c:v>53.846153846153854</c:v>
                </c:pt>
                <c:pt idx="303">
                  <c:v>53.846153846153854</c:v>
                </c:pt>
                <c:pt idx="304">
                  <c:v>53.846153846153854</c:v>
                </c:pt>
                <c:pt idx="305">
                  <c:v>53.846153846153854</c:v>
                </c:pt>
                <c:pt idx="306">
                  <c:v>53.846153846153854</c:v>
                </c:pt>
                <c:pt idx="307">
                  <c:v>53.846153846153854</c:v>
                </c:pt>
                <c:pt idx="308">
                  <c:v>53.846153846153854</c:v>
                </c:pt>
                <c:pt idx="309">
                  <c:v>53.846153846153854</c:v>
                </c:pt>
                <c:pt idx="310">
                  <c:v>53.846153846153854</c:v>
                </c:pt>
                <c:pt idx="311">
                  <c:v>53.846153846153854</c:v>
                </c:pt>
                <c:pt idx="312">
                  <c:v>53.846153846153854</c:v>
                </c:pt>
                <c:pt idx="313">
                  <c:v>53.846153846153854</c:v>
                </c:pt>
                <c:pt idx="314">
                  <c:v>53.846153846153854</c:v>
                </c:pt>
                <c:pt idx="315">
                  <c:v>53.846153846153854</c:v>
                </c:pt>
                <c:pt idx="316">
                  <c:v>53.846153846153854</c:v>
                </c:pt>
                <c:pt idx="317">
                  <c:v>53.846153846153854</c:v>
                </c:pt>
                <c:pt idx="318">
                  <c:v>53.846153846153854</c:v>
                </c:pt>
                <c:pt idx="319">
                  <c:v>53.846153846153854</c:v>
                </c:pt>
                <c:pt idx="320">
                  <c:v>53.846153846153854</c:v>
                </c:pt>
                <c:pt idx="321">
                  <c:v>53.846153846153854</c:v>
                </c:pt>
                <c:pt idx="322">
                  <c:v>53.846153846153854</c:v>
                </c:pt>
                <c:pt idx="323">
                  <c:v>53.846153846153854</c:v>
                </c:pt>
                <c:pt idx="324">
                  <c:v>53.846153846153854</c:v>
                </c:pt>
                <c:pt idx="325">
                  <c:v>53.846153846153854</c:v>
                </c:pt>
                <c:pt idx="326">
                  <c:v>53.846153846153854</c:v>
                </c:pt>
                <c:pt idx="327">
                  <c:v>53.846153846153854</c:v>
                </c:pt>
                <c:pt idx="328">
                  <c:v>53.846153846153854</c:v>
                </c:pt>
                <c:pt idx="329">
                  <c:v>53.846153846153854</c:v>
                </c:pt>
                <c:pt idx="330">
                  <c:v>53.846153846153854</c:v>
                </c:pt>
                <c:pt idx="331">
                  <c:v>53.846153846153854</c:v>
                </c:pt>
                <c:pt idx="332">
                  <c:v>53.846153846153854</c:v>
                </c:pt>
                <c:pt idx="333">
                  <c:v>53.846153846153854</c:v>
                </c:pt>
                <c:pt idx="334">
                  <c:v>53.846153846153854</c:v>
                </c:pt>
                <c:pt idx="335">
                  <c:v>53.846153846153854</c:v>
                </c:pt>
                <c:pt idx="336">
                  <c:v>53.846153846153854</c:v>
                </c:pt>
                <c:pt idx="337">
                  <c:v>53.846153846153854</c:v>
                </c:pt>
                <c:pt idx="338">
                  <c:v>53.846153846153854</c:v>
                </c:pt>
                <c:pt idx="339">
                  <c:v>53.846153846153854</c:v>
                </c:pt>
                <c:pt idx="340">
                  <c:v>53.846153846153854</c:v>
                </c:pt>
                <c:pt idx="341">
                  <c:v>53.846153846153854</c:v>
                </c:pt>
                <c:pt idx="342">
                  <c:v>53.846153846153854</c:v>
                </c:pt>
                <c:pt idx="343">
                  <c:v>53.846153846153854</c:v>
                </c:pt>
                <c:pt idx="344">
                  <c:v>53.846153846153854</c:v>
                </c:pt>
                <c:pt idx="345">
                  <c:v>53.846153846153854</c:v>
                </c:pt>
                <c:pt idx="346">
                  <c:v>53.846153846153854</c:v>
                </c:pt>
                <c:pt idx="347">
                  <c:v>53.846153846153854</c:v>
                </c:pt>
                <c:pt idx="348">
                  <c:v>53.846153846153854</c:v>
                </c:pt>
                <c:pt idx="349">
                  <c:v>53.846153846153854</c:v>
                </c:pt>
                <c:pt idx="350">
                  <c:v>53.846153846153854</c:v>
                </c:pt>
                <c:pt idx="351">
                  <c:v>53.846153846153854</c:v>
                </c:pt>
                <c:pt idx="352">
                  <c:v>53.846153846153854</c:v>
                </c:pt>
                <c:pt idx="353">
                  <c:v>53.846153846153854</c:v>
                </c:pt>
                <c:pt idx="354">
                  <c:v>53.846153846153854</c:v>
                </c:pt>
                <c:pt idx="355">
                  <c:v>53.846153846153854</c:v>
                </c:pt>
                <c:pt idx="356">
                  <c:v>53.846153846153854</c:v>
                </c:pt>
                <c:pt idx="357">
                  <c:v>53.846153846153854</c:v>
                </c:pt>
                <c:pt idx="358">
                  <c:v>53.846153846153854</c:v>
                </c:pt>
                <c:pt idx="359">
                  <c:v>53.846153846153854</c:v>
                </c:pt>
              </c:numCache>
            </c:numRef>
          </c:yVal>
          <c:smooth val="0"/>
          <c:extLst>
            <c:ext xmlns:c16="http://schemas.microsoft.com/office/drawing/2014/chart" uri="{C3380CC4-5D6E-409C-BE32-E72D297353CC}">
              <c16:uniqueId val="{00000000-133B-4B40-BCD5-2792F5401CAE}"/>
            </c:ext>
          </c:extLst>
        </c:ser>
        <c:ser>
          <c:idx val="1"/>
          <c:order val="1"/>
          <c:tx>
            <c:v>Displayed 10</c:v>
          </c:tx>
          <c:spPr>
            <a:ln w="28575">
              <a:noFill/>
            </a:ln>
          </c:spPr>
          <c:marker>
            <c:symbol val="circle"/>
            <c:size val="5"/>
            <c:spPr>
              <a:solidFill>
                <a:srgbClr val="C00000"/>
              </a:solidFill>
              <a:ln>
                <a:solidFill>
                  <a:schemeClr val="tx1">
                    <a:lumMod val="75000"/>
                    <a:lumOff val="25000"/>
                  </a:schemeClr>
                </a:solidFill>
              </a:ln>
            </c:spPr>
          </c:marker>
          <c:xVal>
            <c:numRef>
              <c:f>calculations!$AZ$20:$AZ$29</c:f>
              <c:numCache>
                <c:formatCode>General</c:formatCode>
                <c:ptCount val="10"/>
                <c:pt idx="0">
                  <c:v>71.111111111111114</c:v>
                </c:pt>
                <c:pt idx="1">
                  <c:v>26.051921079958461</c:v>
                </c:pt>
                <c:pt idx="2">
                  <c:v>79.45804195804196</c:v>
                </c:pt>
                <c:pt idx="3">
                  <c:v>95.842142353770271</c:v>
                </c:pt>
                <c:pt idx="4">
                  <c:v>96.5836711059641</c:v>
                </c:pt>
                <c:pt idx="5">
                  <c:v>101.42065976402601</c:v>
                </c:pt>
                <c:pt idx="6">
                  <c:v>92.785304139695569</c:v>
                </c:pt>
                <c:pt idx="7">
                  <c:v>118.81720430107525</c:v>
                </c:pt>
                <c:pt idx="8">
                  <c:v>92.238542419134745</c:v>
                </c:pt>
                <c:pt idx="9">
                  <c:v>95.884681788414611</c:v>
                </c:pt>
              </c:numCache>
            </c:numRef>
          </c:xVal>
          <c:yVal>
            <c:numRef>
              <c:f>calculations!$BA$20:$BA$29</c:f>
              <c:numCache>
                <c:formatCode>General</c:formatCode>
                <c:ptCount val="10"/>
                <c:pt idx="0">
                  <c:v>53.846153846153854</c:v>
                </c:pt>
                <c:pt idx="1">
                  <c:v>76.428571428571416</c:v>
                </c:pt>
                <c:pt idx="2">
                  <c:v>62.903225806451616</c:v>
                </c:pt>
                <c:pt idx="3">
                  <c:v>81.132075471698116</c:v>
                </c:pt>
                <c:pt idx="4">
                  <c:v>96.615384615384613</c:v>
                </c:pt>
                <c:pt idx="5">
                  <c:v>73.913043478260875</c:v>
                </c:pt>
                <c:pt idx="6">
                  <c:v>85</c:v>
                </c:pt>
                <c:pt idx="7">
                  <c:v>91.17647058823529</c:v>
                </c:pt>
                <c:pt idx="8">
                  <c:v>77.142857142857153</c:v>
                </c:pt>
                <c:pt idx="9">
                  <c:v>93.824884792626733</c:v>
                </c:pt>
              </c:numCache>
            </c:numRef>
          </c:yVal>
          <c:smooth val="0"/>
          <c:extLst>
            <c:ext xmlns:c16="http://schemas.microsoft.com/office/drawing/2014/chart" uri="{C3380CC4-5D6E-409C-BE32-E72D297353CC}">
              <c16:uniqueId val="{00000001-133B-4B40-BCD5-2792F5401CAE}"/>
            </c:ext>
          </c:extLst>
        </c:ser>
        <c:dLbls>
          <c:showLegendKey val="0"/>
          <c:showVal val="0"/>
          <c:showCatName val="0"/>
          <c:showSerName val="0"/>
          <c:showPercent val="0"/>
          <c:showBubbleSize val="0"/>
        </c:dLbls>
        <c:axId val="60882944"/>
        <c:axId val="60884864"/>
      </c:scatterChart>
      <c:valAx>
        <c:axId val="60882944"/>
        <c:scaling>
          <c:orientation val="minMax"/>
        </c:scaling>
        <c:delete val="0"/>
        <c:axPos val="b"/>
        <c:majorGridlines>
          <c:spPr>
            <a:ln w="3175">
              <a:solidFill>
                <a:schemeClr val="bg1">
                  <a:lumMod val="95000"/>
                </a:schemeClr>
              </a:solidFill>
            </a:ln>
          </c:spPr>
        </c:majorGridlines>
        <c:numFmt formatCode="General" sourceLinked="0"/>
        <c:majorTickMark val="out"/>
        <c:minorTickMark val="none"/>
        <c:tickLblPos val="nextTo"/>
        <c:spPr>
          <a:ln w="3175">
            <a:solidFill>
              <a:schemeClr val="bg1">
                <a:lumMod val="85000"/>
              </a:schemeClr>
            </a:solidFill>
          </a:ln>
        </c:spPr>
        <c:txPr>
          <a:bodyPr/>
          <a:lstStyle/>
          <a:p>
            <a:pPr>
              <a:defRPr sz="900">
                <a:solidFill>
                  <a:schemeClr val="tx1">
                    <a:lumMod val="50000"/>
                    <a:lumOff val="50000"/>
                  </a:schemeClr>
                </a:solidFill>
              </a:defRPr>
            </a:pPr>
            <a:endParaRPr lang="de-DE"/>
          </a:p>
        </c:txPr>
        <c:crossAx val="60884864"/>
        <c:crosses val="autoZero"/>
        <c:crossBetween val="midCat"/>
      </c:valAx>
      <c:valAx>
        <c:axId val="60884864"/>
        <c:scaling>
          <c:orientation val="minMax"/>
        </c:scaling>
        <c:delete val="0"/>
        <c:axPos val="l"/>
        <c:majorGridlines>
          <c:spPr>
            <a:ln w="3175">
              <a:solidFill>
                <a:schemeClr val="bg1">
                  <a:lumMod val="95000"/>
                </a:schemeClr>
              </a:solidFill>
            </a:ln>
          </c:spPr>
        </c:majorGridlines>
        <c:numFmt formatCode="General" sourceLinked="0"/>
        <c:majorTickMark val="out"/>
        <c:minorTickMark val="none"/>
        <c:tickLblPos val="nextTo"/>
        <c:spPr>
          <a:ln w="3175">
            <a:solidFill>
              <a:schemeClr val="bg1">
                <a:lumMod val="85000"/>
              </a:schemeClr>
            </a:solidFill>
          </a:ln>
        </c:spPr>
        <c:txPr>
          <a:bodyPr/>
          <a:lstStyle/>
          <a:p>
            <a:pPr>
              <a:defRPr sz="900">
                <a:solidFill>
                  <a:schemeClr val="tx1">
                    <a:lumMod val="50000"/>
                    <a:lumOff val="50000"/>
                  </a:schemeClr>
                </a:solidFill>
              </a:defRPr>
            </a:pPr>
            <a:endParaRPr lang="de-DE"/>
          </a:p>
        </c:txPr>
        <c:crossAx val="60882944"/>
        <c:crosses val="autoZero"/>
        <c:crossBetween val="midCat"/>
      </c:valAx>
      <c:spPr>
        <a:noFill/>
      </c:spPr>
    </c:plotArea>
    <c:legend>
      <c:legendPos val="b"/>
      <c:overlay val="0"/>
      <c:txPr>
        <a:bodyPr/>
        <a:lstStyle/>
        <a:p>
          <a:pPr>
            <a:defRPr sz="900">
              <a:solidFill>
                <a:schemeClr val="tx1">
                  <a:lumMod val="50000"/>
                  <a:lumOff val="50000"/>
                </a:schemeClr>
              </a:solidFill>
            </a:defRPr>
          </a:pPr>
          <a:endParaRPr lang="de-DE"/>
        </a:p>
      </c:txPr>
    </c:legend>
    <c:plotVisOnly val="1"/>
    <c:dispBlanksAs val="gap"/>
    <c:showDLblsOverMax val="0"/>
  </c:chart>
  <c:spPr>
    <a:noFill/>
    <a:ln>
      <a:noFill/>
    </a:ln>
  </c:spPr>
  <c:printSettings>
    <c:headerFooter/>
    <c:pageMargins b="0.75000000000000377" l="0.70000000000000062" r="0.70000000000000062" t="0.75000000000000377"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calculations!$H$5</c:f>
              <c:strCache>
                <c:ptCount val="1"/>
                <c:pt idx="0">
                  <c:v>Labour Productivity</c:v>
                </c:pt>
              </c:strCache>
            </c:strRef>
          </c:tx>
          <c:invertIfNegative val="0"/>
          <c:cat>
            <c:strRef>
              <c:f>calculations!$C$6:$C$15</c:f>
              <c:strCache>
                <c:ptCount val="10"/>
                <c:pt idx="0">
                  <c:v>Product 9</c:v>
                </c:pt>
                <c:pt idx="1">
                  <c:v>Product 9</c:v>
                </c:pt>
                <c:pt idx="2">
                  <c:v>Product 17</c:v>
                </c:pt>
                <c:pt idx="3">
                  <c:v>Product 17</c:v>
                </c:pt>
                <c:pt idx="4">
                  <c:v>Product 17</c:v>
                </c:pt>
                <c:pt idx="5">
                  <c:v>Product 10</c:v>
                </c:pt>
                <c:pt idx="6">
                  <c:v>Product 16</c:v>
                </c:pt>
                <c:pt idx="7">
                  <c:v>Product 7</c:v>
                </c:pt>
                <c:pt idx="8">
                  <c:v>Product 10</c:v>
                </c:pt>
                <c:pt idx="9">
                  <c:v>Product 17</c:v>
                </c:pt>
              </c:strCache>
            </c:strRef>
          </c:cat>
          <c:val>
            <c:numRef>
              <c:f>calculations!$H$6:$H$15</c:f>
              <c:numCache>
                <c:formatCode>General</c:formatCode>
                <c:ptCount val="10"/>
                <c:pt idx="0">
                  <c:v>103.38461538461539</c:v>
                </c:pt>
                <c:pt idx="1">
                  <c:v>53.76</c:v>
                </c:pt>
                <c:pt idx="2">
                  <c:v>175.93548387096774</c:v>
                </c:pt>
                <c:pt idx="3">
                  <c:v>256.6037735849057</c:v>
                </c:pt>
                <c:pt idx="4">
                  <c:v>307.93846153846152</c:v>
                </c:pt>
                <c:pt idx="5">
                  <c:v>259.43478260869563</c:v>
                </c:pt>
                <c:pt idx="6">
                  <c:v>218.59444444444443</c:v>
                </c:pt>
                <c:pt idx="7">
                  <c:v>253.5</c:v>
                </c:pt>
                <c:pt idx="8">
                  <c:v>24.625714285714285</c:v>
                </c:pt>
                <c:pt idx="9">
                  <c:v>296.88018433179724</c:v>
                </c:pt>
              </c:numCache>
            </c:numRef>
          </c:val>
          <c:extLst>
            <c:ext xmlns:c16="http://schemas.microsoft.com/office/drawing/2014/chart" uri="{C3380CC4-5D6E-409C-BE32-E72D297353CC}">
              <c16:uniqueId val="{00000000-6903-4988-9780-4AEE75CAF3F1}"/>
            </c:ext>
          </c:extLst>
        </c:ser>
        <c:dLbls>
          <c:showLegendKey val="0"/>
          <c:showVal val="0"/>
          <c:showCatName val="0"/>
          <c:showSerName val="0"/>
          <c:showPercent val="0"/>
          <c:showBubbleSize val="0"/>
        </c:dLbls>
        <c:gapWidth val="50"/>
        <c:axId val="60914304"/>
        <c:axId val="60920576"/>
      </c:barChart>
      <c:scatterChart>
        <c:scatterStyle val="lineMarker"/>
        <c:varyColors val="0"/>
        <c:ser>
          <c:idx val="1"/>
          <c:order val="1"/>
          <c:tx>
            <c:strRef>
              <c:f>calculations!$U$5</c:f>
              <c:strCache>
                <c:ptCount val="1"/>
                <c:pt idx="0">
                  <c:v>t Labour Productivity</c:v>
                </c:pt>
              </c:strCache>
            </c:strRef>
          </c:tx>
          <c:spPr>
            <a:ln w="28575">
              <a:noFill/>
            </a:ln>
          </c:spPr>
          <c:marker>
            <c:symbol val="diamond"/>
            <c:size val="5"/>
            <c:spPr>
              <a:solidFill>
                <a:schemeClr val="bg1">
                  <a:lumMod val="75000"/>
                </a:schemeClr>
              </a:solidFill>
              <a:ln>
                <a:solidFill>
                  <a:srgbClr val="002060"/>
                </a:solidFill>
              </a:ln>
            </c:spPr>
          </c:marker>
          <c:xVal>
            <c:numRef>
              <c:f>calculations!$U$6:$U$15</c:f>
              <c:numCache>
                <c:formatCode>0</c:formatCode>
                <c:ptCount val="10"/>
                <c:pt idx="0">
                  <c:v>270</c:v>
                </c:pt>
                <c:pt idx="1">
                  <c:v>270</c:v>
                </c:pt>
                <c:pt idx="2">
                  <c:v>352</c:v>
                </c:pt>
                <c:pt idx="3">
                  <c:v>330</c:v>
                </c:pt>
                <c:pt idx="4">
                  <c:v>330</c:v>
                </c:pt>
                <c:pt idx="5">
                  <c:v>346.08333333333331</c:v>
                </c:pt>
                <c:pt idx="6">
                  <c:v>277.16666666666669</c:v>
                </c:pt>
                <c:pt idx="7">
                  <c:v>234</c:v>
                </c:pt>
                <c:pt idx="8">
                  <c:v>346.08333333333331</c:v>
                </c:pt>
                <c:pt idx="9">
                  <c:v>330</c:v>
                </c:pt>
              </c:numCache>
            </c:numRef>
          </c:xVal>
          <c:yVal>
            <c:numRef>
              <c:f>calculations!$B$20:$B$29</c:f>
              <c:numCache>
                <c:formatCode>General</c:formatCode>
                <c:ptCount val="10"/>
                <c:pt idx="0">
                  <c:v>1</c:v>
                </c:pt>
                <c:pt idx="1">
                  <c:v>2</c:v>
                </c:pt>
                <c:pt idx="2">
                  <c:v>3</c:v>
                </c:pt>
                <c:pt idx="3">
                  <c:v>4</c:v>
                </c:pt>
                <c:pt idx="4">
                  <c:v>5</c:v>
                </c:pt>
                <c:pt idx="5">
                  <c:v>6</c:v>
                </c:pt>
                <c:pt idx="6">
                  <c:v>7</c:v>
                </c:pt>
                <c:pt idx="7">
                  <c:v>8</c:v>
                </c:pt>
                <c:pt idx="8">
                  <c:v>9</c:v>
                </c:pt>
                <c:pt idx="9">
                  <c:v>10</c:v>
                </c:pt>
              </c:numCache>
            </c:numRef>
          </c:yVal>
          <c:smooth val="0"/>
          <c:extLst>
            <c:ext xmlns:c16="http://schemas.microsoft.com/office/drawing/2014/chart" uri="{C3380CC4-5D6E-409C-BE32-E72D297353CC}">
              <c16:uniqueId val="{00000001-6903-4988-9780-4AEE75CAF3F1}"/>
            </c:ext>
          </c:extLst>
        </c:ser>
        <c:dLbls>
          <c:showLegendKey val="0"/>
          <c:showVal val="0"/>
          <c:showCatName val="0"/>
          <c:showSerName val="0"/>
          <c:showPercent val="0"/>
          <c:showBubbleSize val="0"/>
        </c:dLbls>
        <c:axId val="60923904"/>
        <c:axId val="60922112"/>
      </c:scatterChart>
      <c:catAx>
        <c:axId val="60914304"/>
        <c:scaling>
          <c:orientation val="maxMin"/>
        </c:scaling>
        <c:delete val="1"/>
        <c:axPos val="l"/>
        <c:numFmt formatCode="General" sourceLinked="1"/>
        <c:majorTickMark val="out"/>
        <c:minorTickMark val="none"/>
        <c:tickLblPos val="none"/>
        <c:crossAx val="60920576"/>
        <c:crosses val="autoZero"/>
        <c:auto val="1"/>
        <c:lblAlgn val="ctr"/>
        <c:lblOffset val="100"/>
        <c:noMultiLvlLbl val="0"/>
      </c:catAx>
      <c:valAx>
        <c:axId val="60920576"/>
        <c:scaling>
          <c:orientation val="minMax"/>
          <c:max val="1500"/>
          <c:min val="0"/>
        </c:scaling>
        <c:delete val="1"/>
        <c:axPos val="t"/>
        <c:numFmt formatCode="General" sourceLinked="1"/>
        <c:majorTickMark val="out"/>
        <c:minorTickMark val="none"/>
        <c:tickLblPos val="none"/>
        <c:crossAx val="60914304"/>
        <c:crosses val="autoZero"/>
        <c:crossBetween val="between"/>
      </c:valAx>
      <c:valAx>
        <c:axId val="60922112"/>
        <c:scaling>
          <c:orientation val="maxMin"/>
          <c:max val="10.5"/>
          <c:min val="0.5"/>
        </c:scaling>
        <c:delete val="1"/>
        <c:axPos val="r"/>
        <c:numFmt formatCode="General" sourceLinked="1"/>
        <c:majorTickMark val="out"/>
        <c:minorTickMark val="none"/>
        <c:tickLblPos val="none"/>
        <c:crossAx val="60923904"/>
        <c:crosses val="max"/>
        <c:crossBetween val="midCat"/>
      </c:valAx>
      <c:valAx>
        <c:axId val="60923904"/>
        <c:scaling>
          <c:orientation val="minMax"/>
        </c:scaling>
        <c:delete val="1"/>
        <c:axPos val="t"/>
        <c:numFmt formatCode="0" sourceLinked="1"/>
        <c:majorTickMark val="out"/>
        <c:minorTickMark val="none"/>
        <c:tickLblPos val="none"/>
        <c:crossAx val="60922112"/>
        <c:crosses val="autoZero"/>
        <c:crossBetween val="midCat"/>
      </c:valAx>
      <c:spPr>
        <a:noFill/>
      </c:spPr>
    </c:plotArea>
    <c:plotVisOnly val="1"/>
    <c:dispBlanksAs val="gap"/>
    <c:showDLblsOverMax val="0"/>
  </c:chart>
  <c:spPr>
    <a:noFill/>
    <a:ln>
      <a:noFill/>
    </a:ln>
  </c:spPr>
  <c:printSettings>
    <c:headerFooter/>
    <c:pageMargins b="0.75000000000000466" l="0.70000000000000062" r="0.70000000000000062" t="0.75000000000000466"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calculations!$K$5</c:f>
              <c:strCache>
                <c:ptCount val="1"/>
                <c:pt idx="0">
                  <c:v>Throughput in 10kg/ hour</c:v>
                </c:pt>
              </c:strCache>
            </c:strRef>
          </c:tx>
          <c:invertIfNegative val="0"/>
          <c:cat>
            <c:strRef>
              <c:f>calculations!$C$6:$C$15</c:f>
              <c:strCache>
                <c:ptCount val="10"/>
                <c:pt idx="0">
                  <c:v>Product 9</c:v>
                </c:pt>
                <c:pt idx="1">
                  <c:v>Product 9</c:v>
                </c:pt>
                <c:pt idx="2">
                  <c:v>Product 17</c:v>
                </c:pt>
                <c:pt idx="3">
                  <c:v>Product 17</c:v>
                </c:pt>
                <c:pt idx="4">
                  <c:v>Product 17</c:v>
                </c:pt>
                <c:pt idx="5">
                  <c:v>Product 10</c:v>
                </c:pt>
                <c:pt idx="6">
                  <c:v>Product 16</c:v>
                </c:pt>
                <c:pt idx="7">
                  <c:v>Product 7</c:v>
                </c:pt>
                <c:pt idx="8">
                  <c:v>Product 10</c:v>
                </c:pt>
                <c:pt idx="9">
                  <c:v>Product 17</c:v>
                </c:pt>
              </c:strCache>
            </c:strRef>
          </c:cat>
          <c:val>
            <c:numRef>
              <c:f>calculations!$K$6:$K$15</c:f>
              <c:numCache>
                <c:formatCode>General</c:formatCode>
                <c:ptCount val="10"/>
                <c:pt idx="0">
                  <c:v>124.06153846153848</c:v>
                </c:pt>
                <c:pt idx="1">
                  <c:v>64.511999999999986</c:v>
                </c:pt>
                <c:pt idx="2">
                  <c:v>211.12258064516126</c:v>
                </c:pt>
                <c:pt idx="3">
                  <c:v>307.92452830188682</c:v>
                </c:pt>
                <c:pt idx="4">
                  <c:v>369.52615384615382</c:v>
                </c:pt>
                <c:pt idx="5">
                  <c:v>311.32173913043482</c:v>
                </c:pt>
                <c:pt idx="6">
                  <c:v>262.31333333333333</c:v>
                </c:pt>
                <c:pt idx="7">
                  <c:v>304.2</c:v>
                </c:pt>
                <c:pt idx="8">
                  <c:v>295.50857142857137</c:v>
                </c:pt>
                <c:pt idx="9">
                  <c:v>356.25622119815671</c:v>
                </c:pt>
              </c:numCache>
            </c:numRef>
          </c:val>
          <c:extLst>
            <c:ext xmlns:c16="http://schemas.microsoft.com/office/drawing/2014/chart" uri="{C3380CC4-5D6E-409C-BE32-E72D297353CC}">
              <c16:uniqueId val="{00000000-0473-495C-BE3C-F0490BF2CD77}"/>
            </c:ext>
          </c:extLst>
        </c:ser>
        <c:dLbls>
          <c:showLegendKey val="0"/>
          <c:showVal val="0"/>
          <c:showCatName val="0"/>
          <c:showSerName val="0"/>
          <c:showPercent val="0"/>
          <c:showBubbleSize val="0"/>
        </c:dLbls>
        <c:gapWidth val="50"/>
        <c:axId val="61342464"/>
        <c:axId val="61344384"/>
      </c:barChart>
      <c:scatterChart>
        <c:scatterStyle val="lineMarker"/>
        <c:varyColors val="0"/>
        <c:ser>
          <c:idx val="1"/>
          <c:order val="1"/>
          <c:tx>
            <c:strRef>
              <c:f>calculations!$X$5</c:f>
              <c:strCache>
                <c:ptCount val="1"/>
                <c:pt idx="0">
                  <c:v>t Throughput in 10 kg/ hour</c:v>
                </c:pt>
              </c:strCache>
            </c:strRef>
          </c:tx>
          <c:spPr>
            <a:ln w="28575">
              <a:noFill/>
            </a:ln>
          </c:spPr>
          <c:marker>
            <c:symbol val="diamond"/>
            <c:size val="5"/>
            <c:spPr>
              <a:solidFill>
                <a:schemeClr val="bg1">
                  <a:lumMod val="75000"/>
                </a:schemeClr>
              </a:solidFill>
              <a:ln>
                <a:solidFill>
                  <a:srgbClr val="002060"/>
                </a:solidFill>
              </a:ln>
            </c:spPr>
          </c:marker>
          <c:xVal>
            <c:numRef>
              <c:f>calculations!$X$6:$X$15</c:f>
              <c:numCache>
                <c:formatCode>0</c:formatCode>
                <c:ptCount val="10"/>
                <c:pt idx="0">
                  <c:v>324</c:v>
                </c:pt>
                <c:pt idx="1">
                  <c:v>324</c:v>
                </c:pt>
                <c:pt idx="2">
                  <c:v>422.4</c:v>
                </c:pt>
                <c:pt idx="3">
                  <c:v>396</c:v>
                </c:pt>
                <c:pt idx="4">
                  <c:v>396</c:v>
                </c:pt>
                <c:pt idx="5">
                  <c:v>415.3</c:v>
                </c:pt>
                <c:pt idx="6">
                  <c:v>332.6</c:v>
                </c:pt>
                <c:pt idx="7">
                  <c:v>280.8</c:v>
                </c:pt>
                <c:pt idx="8">
                  <c:v>415.3</c:v>
                </c:pt>
                <c:pt idx="9">
                  <c:v>396.00000000000006</c:v>
                </c:pt>
              </c:numCache>
            </c:numRef>
          </c:xVal>
          <c:yVal>
            <c:numRef>
              <c:f>calculations!$B$20:$B$29</c:f>
              <c:numCache>
                <c:formatCode>General</c:formatCode>
                <c:ptCount val="10"/>
                <c:pt idx="0">
                  <c:v>1</c:v>
                </c:pt>
                <c:pt idx="1">
                  <c:v>2</c:v>
                </c:pt>
                <c:pt idx="2">
                  <c:v>3</c:v>
                </c:pt>
                <c:pt idx="3">
                  <c:v>4</c:v>
                </c:pt>
                <c:pt idx="4">
                  <c:v>5</c:v>
                </c:pt>
                <c:pt idx="5">
                  <c:v>6</c:v>
                </c:pt>
                <c:pt idx="6">
                  <c:v>7</c:v>
                </c:pt>
                <c:pt idx="7">
                  <c:v>8</c:v>
                </c:pt>
                <c:pt idx="8">
                  <c:v>9</c:v>
                </c:pt>
                <c:pt idx="9">
                  <c:v>10</c:v>
                </c:pt>
              </c:numCache>
            </c:numRef>
          </c:yVal>
          <c:smooth val="0"/>
          <c:extLst>
            <c:ext xmlns:c16="http://schemas.microsoft.com/office/drawing/2014/chart" uri="{C3380CC4-5D6E-409C-BE32-E72D297353CC}">
              <c16:uniqueId val="{00000001-0473-495C-BE3C-F0490BF2CD77}"/>
            </c:ext>
          </c:extLst>
        </c:ser>
        <c:dLbls>
          <c:showLegendKey val="0"/>
          <c:showVal val="0"/>
          <c:showCatName val="0"/>
          <c:showSerName val="0"/>
          <c:showPercent val="0"/>
          <c:showBubbleSize val="0"/>
        </c:dLbls>
        <c:axId val="61351808"/>
        <c:axId val="61350272"/>
      </c:scatterChart>
      <c:catAx>
        <c:axId val="61342464"/>
        <c:scaling>
          <c:orientation val="maxMin"/>
        </c:scaling>
        <c:delete val="1"/>
        <c:axPos val="l"/>
        <c:numFmt formatCode="General" sourceLinked="1"/>
        <c:majorTickMark val="out"/>
        <c:minorTickMark val="none"/>
        <c:tickLblPos val="none"/>
        <c:crossAx val="61344384"/>
        <c:crosses val="autoZero"/>
        <c:auto val="1"/>
        <c:lblAlgn val="ctr"/>
        <c:lblOffset val="100"/>
        <c:noMultiLvlLbl val="0"/>
      </c:catAx>
      <c:valAx>
        <c:axId val="61344384"/>
        <c:scaling>
          <c:orientation val="minMax"/>
          <c:max val="1500"/>
          <c:min val="0"/>
        </c:scaling>
        <c:delete val="1"/>
        <c:axPos val="t"/>
        <c:numFmt formatCode="General" sourceLinked="1"/>
        <c:majorTickMark val="out"/>
        <c:minorTickMark val="none"/>
        <c:tickLblPos val="none"/>
        <c:crossAx val="61342464"/>
        <c:crosses val="autoZero"/>
        <c:crossBetween val="between"/>
      </c:valAx>
      <c:valAx>
        <c:axId val="61350272"/>
        <c:scaling>
          <c:orientation val="maxMin"/>
          <c:max val="10.5"/>
          <c:min val="0.5"/>
        </c:scaling>
        <c:delete val="1"/>
        <c:axPos val="r"/>
        <c:numFmt formatCode="General" sourceLinked="1"/>
        <c:majorTickMark val="out"/>
        <c:minorTickMark val="none"/>
        <c:tickLblPos val="none"/>
        <c:crossAx val="61351808"/>
        <c:crosses val="max"/>
        <c:crossBetween val="midCat"/>
      </c:valAx>
      <c:valAx>
        <c:axId val="61351808"/>
        <c:scaling>
          <c:orientation val="minMax"/>
        </c:scaling>
        <c:delete val="1"/>
        <c:axPos val="t"/>
        <c:numFmt formatCode="0" sourceLinked="1"/>
        <c:majorTickMark val="out"/>
        <c:minorTickMark val="none"/>
        <c:tickLblPos val="none"/>
        <c:crossAx val="61350272"/>
        <c:crosses val="autoZero"/>
        <c:crossBetween val="midCat"/>
      </c:valAx>
      <c:spPr>
        <a:noFill/>
      </c:spPr>
    </c:plotArea>
    <c:plotVisOnly val="1"/>
    <c:dispBlanksAs val="gap"/>
    <c:showDLblsOverMax val="0"/>
  </c:chart>
  <c:spPr>
    <a:noFill/>
    <a:ln>
      <a:noFill/>
    </a:ln>
  </c:spPr>
  <c:printSettings>
    <c:headerFooter/>
    <c:pageMargins b="0.75000000000000533" l="0.70000000000000062" r="0.70000000000000062" t="0.75000000000000533"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Dashboard!$D$215:$G$215</c:f>
              <c:strCache>
                <c:ptCount val="4"/>
                <c:pt idx="0">
                  <c:v>OEE</c:v>
                </c:pt>
                <c:pt idx="1">
                  <c:v>EA</c:v>
                </c:pt>
                <c:pt idx="2">
                  <c:v>EEP</c:v>
                </c:pt>
                <c:pt idx="3">
                  <c:v>EQP</c:v>
                </c:pt>
              </c:strCache>
            </c:strRef>
          </c:cat>
          <c:val>
            <c:numRef>
              <c:f>Dashboard!$D$216:$G$216</c:f>
              <c:numCache>
                <c:formatCode>0.00</c:formatCode>
                <c:ptCount val="4"/>
                <c:pt idx="0">
                  <c:v>81.027262145509894</c:v>
                </c:pt>
                <c:pt idx="1">
                  <c:v>83.693277979508494</c:v>
                </c:pt>
                <c:pt idx="2">
                  <c:v>98.182830877402381</c:v>
                </c:pt>
                <c:pt idx="3">
                  <c:v>98.028392897046189</c:v>
                </c:pt>
              </c:numCache>
            </c:numRef>
          </c:val>
          <c:extLst>
            <c:ext xmlns:c16="http://schemas.microsoft.com/office/drawing/2014/chart" uri="{C3380CC4-5D6E-409C-BE32-E72D297353CC}">
              <c16:uniqueId val="{00000000-BA6A-4026-809F-2B6AD0061805}"/>
            </c:ext>
          </c:extLst>
        </c:ser>
        <c:dLbls>
          <c:showLegendKey val="0"/>
          <c:showVal val="1"/>
          <c:showCatName val="0"/>
          <c:showSerName val="0"/>
          <c:showPercent val="0"/>
          <c:showBubbleSize val="0"/>
        </c:dLbls>
        <c:gapWidth val="150"/>
        <c:shape val="box"/>
        <c:axId val="61404288"/>
        <c:axId val="61405824"/>
        <c:axId val="0"/>
      </c:bar3DChart>
      <c:catAx>
        <c:axId val="61404288"/>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1405824"/>
        <c:crosses val="autoZero"/>
        <c:auto val="1"/>
        <c:lblAlgn val="ctr"/>
        <c:lblOffset val="100"/>
        <c:noMultiLvlLbl val="0"/>
      </c:catAx>
      <c:valAx>
        <c:axId val="61405824"/>
        <c:scaling>
          <c:orientation val="minMax"/>
        </c:scaling>
        <c:delete val="1"/>
        <c:axPos val="l"/>
        <c:numFmt formatCode="0.00" sourceLinked="1"/>
        <c:majorTickMark val="none"/>
        <c:minorTickMark val="none"/>
        <c:tickLblPos val="nextTo"/>
        <c:crossAx val="6140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18" r="0.70000000000000018" t="0.78740157499999996" header="0.3000000000000001" footer="0.300000000000000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calculations!$AK$19</c:f>
              <c:strCache>
                <c:ptCount val="1"/>
                <c:pt idx="0">
                  <c:v>Total Down Times</c:v>
                </c:pt>
              </c:strCache>
            </c:strRef>
          </c:tx>
          <c:spPr>
            <a:solidFill>
              <a:schemeClr val="bg1">
                <a:lumMod val="75000"/>
              </a:schemeClr>
            </a:solidFill>
          </c:spPr>
          <c:val>
            <c:numRef>
              <c:f>calculations!$AK$20:$AK$379</c:f>
              <c:numCache>
                <c:formatCode>General</c:formatCode>
                <c:ptCount val="360"/>
                <c:pt idx="0">
                  <c:v>98</c:v>
                </c:pt>
                <c:pt idx="1">
                  <c:v>98</c:v>
                </c:pt>
                <c:pt idx="2">
                  <c:v>102</c:v>
                </c:pt>
                <c:pt idx="3">
                  <c:v>71</c:v>
                </c:pt>
                <c:pt idx="4">
                  <c:v>74</c:v>
                </c:pt>
                <c:pt idx="5">
                  <c:v>59</c:v>
                </c:pt>
                <c:pt idx="6">
                  <c:v>117</c:v>
                </c:pt>
                <c:pt idx="7">
                  <c:v>76</c:v>
                </c:pt>
                <c:pt idx="8">
                  <c:v>86</c:v>
                </c:pt>
                <c:pt idx="9">
                  <c:v>120</c:v>
                </c:pt>
                <c:pt idx="10">
                  <c:v>83</c:v>
                </c:pt>
                <c:pt idx="11">
                  <c:v>72</c:v>
                </c:pt>
                <c:pt idx="12">
                  <c:v>83</c:v>
                </c:pt>
                <c:pt idx="13">
                  <c:v>125</c:v>
                </c:pt>
                <c:pt idx="14">
                  <c:v>65</c:v>
                </c:pt>
                <c:pt idx="15">
                  <c:v>101</c:v>
                </c:pt>
                <c:pt idx="16">
                  <c:v>96</c:v>
                </c:pt>
                <c:pt idx="17">
                  <c:v>44</c:v>
                </c:pt>
                <c:pt idx="18">
                  <c:v>134</c:v>
                </c:pt>
                <c:pt idx="19">
                  <c:v>58</c:v>
                </c:pt>
                <c:pt idx="20">
                  <c:v>75</c:v>
                </c:pt>
                <c:pt idx="21">
                  <c:v>108</c:v>
                </c:pt>
                <c:pt idx="22">
                  <c:v>79</c:v>
                </c:pt>
                <c:pt idx="23">
                  <c:v>106</c:v>
                </c:pt>
                <c:pt idx="24">
                  <c:v>82</c:v>
                </c:pt>
                <c:pt idx="25">
                  <c:v>95</c:v>
                </c:pt>
                <c:pt idx="26">
                  <c:v>86</c:v>
                </c:pt>
                <c:pt idx="27">
                  <c:v>79</c:v>
                </c:pt>
                <c:pt idx="28">
                  <c:v>93</c:v>
                </c:pt>
                <c:pt idx="29">
                  <c:v>77</c:v>
                </c:pt>
                <c:pt idx="30">
                  <c:v>108</c:v>
                </c:pt>
                <c:pt idx="31">
                  <c:v>72</c:v>
                </c:pt>
                <c:pt idx="32">
                  <c:v>85</c:v>
                </c:pt>
                <c:pt idx="33">
                  <c:v>64</c:v>
                </c:pt>
                <c:pt idx="34">
                  <c:v>59</c:v>
                </c:pt>
                <c:pt idx="35">
                  <c:v>57</c:v>
                </c:pt>
                <c:pt idx="36">
                  <c:v>79</c:v>
                </c:pt>
                <c:pt idx="37">
                  <c:v>71</c:v>
                </c:pt>
                <c:pt idx="38">
                  <c:v>115</c:v>
                </c:pt>
                <c:pt idx="39">
                  <c:v>62</c:v>
                </c:pt>
                <c:pt idx="40">
                  <c:v>138</c:v>
                </c:pt>
                <c:pt idx="41">
                  <c:v>88</c:v>
                </c:pt>
                <c:pt idx="42">
                  <c:v>74</c:v>
                </c:pt>
                <c:pt idx="43">
                  <c:v>94</c:v>
                </c:pt>
                <c:pt idx="44">
                  <c:v>111</c:v>
                </c:pt>
                <c:pt idx="45">
                  <c:v>100</c:v>
                </c:pt>
                <c:pt idx="46">
                  <c:v>111</c:v>
                </c:pt>
                <c:pt idx="47">
                  <c:v>90</c:v>
                </c:pt>
                <c:pt idx="48">
                  <c:v>61</c:v>
                </c:pt>
                <c:pt idx="49">
                  <c:v>117</c:v>
                </c:pt>
                <c:pt idx="50">
                  <c:v>46</c:v>
                </c:pt>
                <c:pt idx="51">
                  <c:v>122</c:v>
                </c:pt>
                <c:pt idx="52">
                  <c:v>122</c:v>
                </c:pt>
                <c:pt idx="53">
                  <c:v>95</c:v>
                </c:pt>
                <c:pt idx="54">
                  <c:v>41</c:v>
                </c:pt>
                <c:pt idx="55">
                  <c:v>102</c:v>
                </c:pt>
                <c:pt idx="56">
                  <c:v>75</c:v>
                </c:pt>
                <c:pt idx="57">
                  <c:v>86</c:v>
                </c:pt>
                <c:pt idx="58">
                  <c:v>104</c:v>
                </c:pt>
                <c:pt idx="59">
                  <c:v>119</c:v>
                </c:pt>
                <c:pt idx="60">
                  <c:v>62</c:v>
                </c:pt>
                <c:pt idx="61">
                  <c:v>105</c:v>
                </c:pt>
                <c:pt idx="62">
                  <c:v>96</c:v>
                </c:pt>
                <c:pt idx="63">
                  <c:v>78</c:v>
                </c:pt>
                <c:pt idx="64">
                  <c:v>49</c:v>
                </c:pt>
                <c:pt idx="65">
                  <c:v>48</c:v>
                </c:pt>
                <c:pt idx="66">
                  <c:v>74</c:v>
                </c:pt>
                <c:pt idx="67">
                  <c:v>76</c:v>
                </c:pt>
                <c:pt idx="68">
                  <c:v>66</c:v>
                </c:pt>
                <c:pt idx="69">
                  <c:v>84</c:v>
                </c:pt>
                <c:pt idx="70">
                  <c:v>78</c:v>
                </c:pt>
                <c:pt idx="71">
                  <c:v>72</c:v>
                </c:pt>
                <c:pt idx="72">
                  <c:v>99</c:v>
                </c:pt>
                <c:pt idx="73">
                  <c:v>111</c:v>
                </c:pt>
                <c:pt idx="74">
                  <c:v>107</c:v>
                </c:pt>
                <c:pt idx="75">
                  <c:v>41</c:v>
                </c:pt>
                <c:pt idx="76">
                  <c:v>82</c:v>
                </c:pt>
                <c:pt idx="77">
                  <c:v>126</c:v>
                </c:pt>
                <c:pt idx="78">
                  <c:v>80</c:v>
                </c:pt>
                <c:pt idx="79">
                  <c:v>108</c:v>
                </c:pt>
                <c:pt idx="80">
                  <c:v>83</c:v>
                </c:pt>
                <c:pt idx="81">
                  <c:v>77</c:v>
                </c:pt>
                <c:pt idx="82">
                  <c:v>61</c:v>
                </c:pt>
                <c:pt idx="83">
                  <c:v>61</c:v>
                </c:pt>
                <c:pt idx="84">
                  <c:v>92</c:v>
                </c:pt>
                <c:pt idx="85">
                  <c:v>112</c:v>
                </c:pt>
                <c:pt idx="86">
                  <c:v>99</c:v>
                </c:pt>
                <c:pt idx="87">
                  <c:v>73</c:v>
                </c:pt>
                <c:pt idx="88">
                  <c:v>87</c:v>
                </c:pt>
                <c:pt idx="89">
                  <c:v>100</c:v>
                </c:pt>
                <c:pt idx="90">
                  <c:v>81</c:v>
                </c:pt>
                <c:pt idx="91">
                  <c:v>106</c:v>
                </c:pt>
                <c:pt idx="92">
                  <c:v>113</c:v>
                </c:pt>
                <c:pt idx="93">
                  <c:v>61</c:v>
                </c:pt>
                <c:pt idx="94">
                  <c:v>79</c:v>
                </c:pt>
                <c:pt idx="95">
                  <c:v>87</c:v>
                </c:pt>
                <c:pt idx="96">
                  <c:v>56</c:v>
                </c:pt>
                <c:pt idx="97">
                  <c:v>64</c:v>
                </c:pt>
                <c:pt idx="98">
                  <c:v>76</c:v>
                </c:pt>
                <c:pt idx="99">
                  <c:v>118</c:v>
                </c:pt>
                <c:pt idx="100">
                  <c:v>53</c:v>
                </c:pt>
                <c:pt idx="101">
                  <c:v>61</c:v>
                </c:pt>
                <c:pt idx="102">
                  <c:v>65</c:v>
                </c:pt>
                <c:pt idx="103">
                  <c:v>78</c:v>
                </c:pt>
                <c:pt idx="104">
                  <c:v>99</c:v>
                </c:pt>
                <c:pt idx="105">
                  <c:v>73</c:v>
                </c:pt>
                <c:pt idx="106">
                  <c:v>64</c:v>
                </c:pt>
                <c:pt idx="107">
                  <c:v>84</c:v>
                </c:pt>
                <c:pt idx="108">
                  <c:v>69</c:v>
                </c:pt>
                <c:pt idx="109">
                  <c:v>115</c:v>
                </c:pt>
                <c:pt idx="110">
                  <c:v>86</c:v>
                </c:pt>
                <c:pt idx="111">
                  <c:v>86</c:v>
                </c:pt>
                <c:pt idx="112">
                  <c:v>110</c:v>
                </c:pt>
                <c:pt idx="113">
                  <c:v>67</c:v>
                </c:pt>
                <c:pt idx="114">
                  <c:v>65</c:v>
                </c:pt>
                <c:pt idx="115">
                  <c:v>84</c:v>
                </c:pt>
                <c:pt idx="116">
                  <c:v>113</c:v>
                </c:pt>
                <c:pt idx="117">
                  <c:v>58</c:v>
                </c:pt>
                <c:pt idx="118">
                  <c:v>66</c:v>
                </c:pt>
                <c:pt idx="119">
                  <c:v>99</c:v>
                </c:pt>
                <c:pt idx="120">
                  <c:v>90</c:v>
                </c:pt>
                <c:pt idx="121">
                  <c:v>85</c:v>
                </c:pt>
                <c:pt idx="122">
                  <c:v>89</c:v>
                </c:pt>
                <c:pt idx="123">
                  <c:v>70</c:v>
                </c:pt>
                <c:pt idx="124">
                  <c:v>93</c:v>
                </c:pt>
                <c:pt idx="125">
                  <c:v>61</c:v>
                </c:pt>
                <c:pt idx="126">
                  <c:v>71</c:v>
                </c:pt>
                <c:pt idx="127">
                  <c:v>108</c:v>
                </c:pt>
                <c:pt idx="128">
                  <c:v>62</c:v>
                </c:pt>
                <c:pt idx="129">
                  <c:v>106</c:v>
                </c:pt>
                <c:pt idx="130">
                  <c:v>114</c:v>
                </c:pt>
                <c:pt idx="131">
                  <c:v>121</c:v>
                </c:pt>
                <c:pt idx="132">
                  <c:v>116</c:v>
                </c:pt>
                <c:pt idx="133">
                  <c:v>89</c:v>
                </c:pt>
                <c:pt idx="134">
                  <c:v>128</c:v>
                </c:pt>
                <c:pt idx="135">
                  <c:v>84</c:v>
                </c:pt>
                <c:pt idx="136">
                  <c:v>112</c:v>
                </c:pt>
                <c:pt idx="137">
                  <c:v>54</c:v>
                </c:pt>
                <c:pt idx="138">
                  <c:v>112</c:v>
                </c:pt>
                <c:pt idx="139">
                  <c:v>106</c:v>
                </c:pt>
                <c:pt idx="140">
                  <c:v>91</c:v>
                </c:pt>
                <c:pt idx="141">
                  <c:v>67</c:v>
                </c:pt>
                <c:pt idx="142">
                  <c:v>79</c:v>
                </c:pt>
                <c:pt idx="143">
                  <c:v>103</c:v>
                </c:pt>
                <c:pt idx="144">
                  <c:v>109</c:v>
                </c:pt>
                <c:pt idx="145">
                  <c:v>88</c:v>
                </c:pt>
                <c:pt idx="146">
                  <c:v>55</c:v>
                </c:pt>
                <c:pt idx="147">
                  <c:v>68</c:v>
                </c:pt>
                <c:pt idx="148">
                  <c:v>96</c:v>
                </c:pt>
                <c:pt idx="149">
                  <c:v>79</c:v>
                </c:pt>
                <c:pt idx="150">
                  <c:v>71</c:v>
                </c:pt>
                <c:pt idx="151">
                  <c:v>41</c:v>
                </c:pt>
                <c:pt idx="152">
                  <c:v>86</c:v>
                </c:pt>
                <c:pt idx="153">
                  <c:v>86</c:v>
                </c:pt>
                <c:pt idx="154">
                  <c:v>69</c:v>
                </c:pt>
                <c:pt idx="155">
                  <c:v>91</c:v>
                </c:pt>
                <c:pt idx="156">
                  <c:v>95</c:v>
                </c:pt>
                <c:pt idx="157">
                  <c:v>109</c:v>
                </c:pt>
                <c:pt idx="158">
                  <c:v>73</c:v>
                </c:pt>
                <c:pt idx="159">
                  <c:v>90</c:v>
                </c:pt>
                <c:pt idx="160">
                  <c:v>86</c:v>
                </c:pt>
                <c:pt idx="161">
                  <c:v>103</c:v>
                </c:pt>
                <c:pt idx="162">
                  <c:v>105</c:v>
                </c:pt>
                <c:pt idx="163">
                  <c:v>93</c:v>
                </c:pt>
                <c:pt idx="164">
                  <c:v>111</c:v>
                </c:pt>
                <c:pt idx="165">
                  <c:v>89</c:v>
                </c:pt>
                <c:pt idx="166">
                  <c:v>77</c:v>
                </c:pt>
                <c:pt idx="167">
                  <c:v>39</c:v>
                </c:pt>
                <c:pt idx="168">
                  <c:v>87</c:v>
                </c:pt>
                <c:pt idx="169">
                  <c:v>74</c:v>
                </c:pt>
                <c:pt idx="170">
                  <c:v>79</c:v>
                </c:pt>
                <c:pt idx="171">
                  <c:v>100</c:v>
                </c:pt>
                <c:pt idx="172">
                  <c:v>83</c:v>
                </c:pt>
                <c:pt idx="173">
                  <c:v>97</c:v>
                </c:pt>
                <c:pt idx="174">
                  <c:v>120</c:v>
                </c:pt>
                <c:pt idx="175">
                  <c:v>81</c:v>
                </c:pt>
                <c:pt idx="176">
                  <c:v>62</c:v>
                </c:pt>
                <c:pt idx="177">
                  <c:v>87</c:v>
                </c:pt>
                <c:pt idx="178">
                  <c:v>67</c:v>
                </c:pt>
                <c:pt idx="179">
                  <c:v>104</c:v>
                </c:pt>
                <c:pt idx="180">
                  <c:v>86</c:v>
                </c:pt>
                <c:pt idx="181">
                  <c:v>89</c:v>
                </c:pt>
                <c:pt idx="182">
                  <c:v>100</c:v>
                </c:pt>
                <c:pt idx="183">
                  <c:v>95</c:v>
                </c:pt>
                <c:pt idx="184">
                  <c:v>52</c:v>
                </c:pt>
                <c:pt idx="185">
                  <c:v>91</c:v>
                </c:pt>
                <c:pt idx="186">
                  <c:v>112</c:v>
                </c:pt>
                <c:pt idx="187">
                  <c:v>139</c:v>
                </c:pt>
                <c:pt idx="188">
                  <c:v>121</c:v>
                </c:pt>
                <c:pt idx="189">
                  <c:v>72</c:v>
                </c:pt>
                <c:pt idx="190">
                  <c:v>73</c:v>
                </c:pt>
                <c:pt idx="191">
                  <c:v>70</c:v>
                </c:pt>
                <c:pt idx="192">
                  <c:v>44</c:v>
                </c:pt>
                <c:pt idx="193">
                  <c:v>84</c:v>
                </c:pt>
                <c:pt idx="194">
                  <c:v>116</c:v>
                </c:pt>
                <c:pt idx="195">
                  <c:v>96</c:v>
                </c:pt>
                <c:pt idx="196">
                  <c:v>92</c:v>
                </c:pt>
                <c:pt idx="197">
                  <c:v>95</c:v>
                </c:pt>
                <c:pt idx="198">
                  <c:v>97</c:v>
                </c:pt>
                <c:pt idx="199">
                  <c:v>49</c:v>
                </c:pt>
                <c:pt idx="200">
                  <c:v>86</c:v>
                </c:pt>
                <c:pt idx="201">
                  <c:v>63</c:v>
                </c:pt>
                <c:pt idx="202">
                  <c:v>71</c:v>
                </c:pt>
                <c:pt idx="203">
                  <c:v>104</c:v>
                </c:pt>
                <c:pt idx="204">
                  <c:v>83</c:v>
                </c:pt>
                <c:pt idx="205">
                  <c:v>99</c:v>
                </c:pt>
                <c:pt idx="206">
                  <c:v>68</c:v>
                </c:pt>
                <c:pt idx="207">
                  <c:v>70</c:v>
                </c:pt>
                <c:pt idx="208">
                  <c:v>78</c:v>
                </c:pt>
                <c:pt idx="209">
                  <c:v>100</c:v>
                </c:pt>
                <c:pt idx="210">
                  <c:v>58</c:v>
                </c:pt>
                <c:pt idx="211">
                  <c:v>140</c:v>
                </c:pt>
                <c:pt idx="212">
                  <c:v>79</c:v>
                </c:pt>
                <c:pt idx="213">
                  <c:v>98</c:v>
                </c:pt>
                <c:pt idx="214">
                  <c:v>86</c:v>
                </c:pt>
                <c:pt idx="215">
                  <c:v>68</c:v>
                </c:pt>
                <c:pt idx="216">
                  <c:v>101</c:v>
                </c:pt>
                <c:pt idx="217">
                  <c:v>65</c:v>
                </c:pt>
                <c:pt idx="218">
                  <c:v>108</c:v>
                </c:pt>
                <c:pt idx="219">
                  <c:v>100</c:v>
                </c:pt>
                <c:pt idx="220">
                  <c:v>79</c:v>
                </c:pt>
                <c:pt idx="221">
                  <c:v>66</c:v>
                </c:pt>
                <c:pt idx="222">
                  <c:v>120</c:v>
                </c:pt>
                <c:pt idx="223">
                  <c:v>80</c:v>
                </c:pt>
                <c:pt idx="224">
                  <c:v>130</c:v>
                </c:pt>
                <c:pt idx="225">
                  <c:v>96</c:v>
                </c:pt>
                <c:pt idx="226">
                  <c:v>104</c:v>
                </c:pt>
                <c:pt idx="227">
                  <c:v>104</c:v>
                </c:pt>
                <c:pt idx="228">
                  <c:v>85</c:v>
                </c:pt>
                <c:pt idx="229">
                  <c:v>60</c:v>
                </c:pt>
                <c:pt idx="230">
                  <c:v>65</c:v>
                </c:pt>
                <c:pt idx="231">
                  <c:v>77</c:v>
                </c:pt>
                <c:pt idx="232">
                  <c:v>97</c:v>
                </c:pt>
                <c:pt idx="233">
                  <c:v>103</c:v>
                </c:pt>
                <c:pt idx="234">
                  <c:v>99</c:v>
                </c:pt>
                <c:pt idx="235">
                  <c:v>107</c:v>
                </c:pt>
                <c:pt idx="236">
                  <c:v>130</c:v>
                </c:pt>
                <c:pt idx="237">
                  <c:v>79</c:v>
                </c:pt>
                <c:pt idx="238">
                  <c:v>82</c:v>
                </c:pt>
                <c:pt idx="239">
                  <c:v>83</c:v>
                </c:pt>
                <c:pt idx="240">
                  <c:v>44</c:v>
                </c:pt>
                <c:pt idx="241">
                  <c:v>75</c:v>
                </c:pt>
                <c:pt idx="242">
                  <c:v>68</c:v>
                </c:pt>
                <c:pt idx="243">
                  <c:v>74</c:v>
                </c:pt>
                <c:pt idx="244">
                  <c:v>114</c:v>
                </c:pt>
                <c:pt idx="245">
                  <c:v>71</c:v>
                </c:pt>
                <c:pt idx="246">
                  <c:v>56</c:v>
                </c:pt>
                <c:pt idx="247">
                  <c:v>63</c:v>
                </c:pt>
                <c:pt idx="248">
                  <c:v>77</c:v>
                </c:pt>
                <c:pt idx="249">
                  <c:v>90</c:v>
                </c:pt>
                <c:pt idx="250">
                  <c:v>95</c:v>
                </c:pt>
                <c:pt idx="251">
                  <c:v>111</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numCache>
            </c:numRef>
          </c:val>
          <c:extLst>
            <c:ext xmlns:c16="http://schemas.microsoft.com/office/drawing/2014/chart" uri="{C3380CC4-5D6E-409C-BE32-E72D297353CC}">
              <c16:uniqueId val="{00000000-B62E-4D29-9277-FCB8C6BEF3DC}"/>
            </c:ext>
          </c:extLst>
        </c:ser>
        <c:dLbls>
          <c:showLegendKey val="0"/>
          <c:showVal val="0"/>
          <c:showCatName val="0"/>
          <c:showSerName val="0"/>
          <c:showPercent val="0"/>
          <c:showBubbleSize val="0"/>
        </c:dLbls>
        <c:axId val="61742464"/>
        <c:axId val="61752448"/>
      </c:areaChart>
      <c:lineChart>
        <c:grouping val="standard"/>
        <c:varyColors val="0"/>
        <c:ser>
          <c:idx val="1"/>
          <c:order val="1"/>
          <c:tx>
            <c:strRef>
              <c:f>calculations!$BQ$19</c:f>
              <c:strCache>
                <c:ptCount val="1"/>
                <c:pt idx="0">
                  <c:v>Total Down Times</c:v>
                </c:pt>
              </c:strCache>
            </c:strRef>
          </c:tx>
          <c:spPr>
            <a:ln>
              <a:noFill/>
            </a:ln>
          </c:spPr>
          <c:marker>
            <c:symbol val="none"/>
          </c:marker>
          <c:errBars>
            <c:errDir val="y"/>
            <c:errBarType val="minus"/>
            <c:errValType val="percentage"/>
            <c:noEndCap val="1"/>
            <c:val val="100"/>
            <c:spPr>
              <a:ln w="3175">
                <a:solidFill>
                  <a:srgbClr val="C00000"/>
                </a:solidFill>
              </a:ln>
            </c:spPr>
          </c:errBars>
          <c:val>
            <c:numRef>
              <c:f>calculations!$BQ$20:$BQ$379</c:f>
              <c:numCache>
                <c:formatCode>0.00</c:formatCode>
                <c:ptCount val="3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75</c:v>
                </c:pt>
                <c:pt idx="21">
                  <c:v>#N/A</c:v>
                </c:pt>
                <c:pt idx="22">
                  <c:v>79</c:v>
                </c:pt>
                <c:pt idx="23">
                  <c:v>106</c:v>
                </c:pt>
                <c:pt idx="24">
                  <c:v>#N/A</c:v>
                </c:pt>
                <c:pt idx="25">
                  <c:v>#N/A</c:v>
                </c:pt>
                <c:pt idx="26">
                  <c:v>#N/A</c:v>
                </c:pt>
                <c:pt idx="27">
                  <c:v>#N/A</c:v>
                </c:pt>
                <c:pt idx="28">
                  <c:v>#N/A</c:v>
                </c:pt>
                <c:pt idx="29">
                  <c:v>#N/A</c:v>
                </c:pt>
                <c:pt idx="30">
                  <c:v>108</c:v>
                </c:pt>
                <c:pt idx="31">
                  <c:v>#N/A</c:v>
                </c:pt>
                <c:pt idx="32">
                  <c:v>#N/A</c:v>
                </c:pt>
                <c:pt idx="33">
                  <c:v>64</c:v>
                </c:pt>
                <c:pt idx="34">
                  <c:v>#N/A</c:v>
                </c:pt>
                <c:pt idx="35">
                  <c:v>#N/A</c:v>
                </c:pt>
                <c:pt idx="36">
                  <c:v>79</c:v>
                </c:pt>
                <c:pt idx="37">
                  <c:v>#N/A</c:v>
                </c:pt>
                <c:pt idx="38">
                  <c:v>#N/A</c:v>
                </c:pt>
                <c:pt idx="39">
                  <c:v>#N/A</c:v>
                </c:pt>
                <c:pt idx="40">
                  <c:v>138</c:v>
                </c:pt>
                <c:pt idx="41">
                  <c:v>#N/A</c:v>
                </c:pt>
                <c:pt idx="42">
                  <c:v>#N/A</c:v>
                </c:pt>
                <c:pt idx="43">
                  <c:v>94</c:v>
                </c:pt>
                <c:pt idx="44">
                  <c:v>111</c:v>
                </c:pt>
                <c:pt idx="45">
                  <c:v>#N/A</c:v>
                </c:pt>
                <c:pt idx="46">
                  <c:v>#N/A</c:v>
                </c:pt>
                <c:pt idx="47">
                  <c:v>#N/A</c:v>
                </c:pt>
                <c:pt idx="48">
                  <c:v>#N/A</c:v>
                </c:pt>
                <c:pt idx="49">
                  <c:v>117</c:v>
                </c:pt>
                <c:pt idx="50">
                  <c:v>#N/A</c:v>
                </c:pt>
                <c:pt idx="51">
                  <c:v>#N/A</c:v>
                </c:pt>
                <c:pt idx="52">
                  <c:v>#N/A</c:v>
                </c:pt>
                <c:pt idx="53">
                  <c:v>#N/A</c:v>
                </c:pt>
                <c:pt idx="54">
                  <c:v>#N/A</c:v>
                </c:pt>
                <c:pt idx="55">
                  <c:v>#N/A</c:v>
                </c:pt>
                <c:pt idx="56">
                  <c:v>#N/A</c:v>
                </c:pt>
                <c:pt idx="57">
                  <c:v>86</c:v>
                </c:pt>
                <c:pt idx="58">
                  <c:v>#N/A</c:v>
                </c:pt>
                <c:pt idx="59">
                  <c:v>119</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82</c:v>
                </c:pt>
                <c:pt idx="77">
                  <c:v>#N/A</c:v>
                </c:pt>
                <c:pt idx="78">
                  <c:v>80</c:v>
                </c:pt>
                <c:pt idx="79">
                  <c:v>#N/A</c:v>
                </c:pt>
                <c:pt idx="80">
                  <c:v>#N/A</c:v>
                </c:pt>
                <c:pt idx="81">
                  <c:v>#N/A</c:v>
                </c:pt>
                <c:pt idx="82">
                  <c:v>#N/A</c:v>
                </c:pt>
                <c:pt idx="83">
                  <c:v>#N/A</c:v>
                </c:pt>
                <c:pt idx="84">
                  <c:v>#N/A</c:v>
                </c:pt>
                <c:pt idx="85">
                  <c:v>#N/A</c:v>
                </c:pt>
                <c:pt idx="86">
                  <c:v>99</c:v>
                </c:pt>
                <c:pt idx="87">
                  <c:v>#N/A</c:v>
                </c:pt>
                <c:pt idx="88">
                  <c:v>#N/A</c:v>
                </c:pt>
                <c:pt idx="89">
                  <c:v>100</c:v>
                </c:pt>
                <c:pt idx="90">
                  <c:v>#N/A</c:v>
                </c:pt>
                <c:pt idx="91">
                  <c:v>#N/A</c:v>
                </c:pt>
                <c:pt idx="92">
                  <c:v>#N/A</c:v>
                </c:pt>
                <c:pt idx="93">
                  <c:v>#N/A</c:v>
                </c:pt>
                <c:pt idx="94">
                  <c:v>#N/A</c:v>
                </c:pt>
                <c:pt idx="95">
                  <c:v>#N/A</c:v>
                </c:pt>
                <c:pt idx="96">
                  <c:v>#N/A</c:v>
                </c:pt>
                <c:pt idx="97">
                  <c:v>#N/A</c:v>
                </c:pt>
                <c:pt idx="98">
                  <c:v>76</c:v>
                </c:pt>
                <c:pt idx="99">
                  <c:v>118</c:v>
                </c:pt>
                <c:pt idx="100">
                  <c:v>#N/A</c:v>
                </c:pt>
                <c:pt idx="101">
                  <c:v>61</c:v>
                </c:pt>
                <c:pt idx="102">
                  <c:v>#N/A</c:v>
                </c:pt>
                <c:pt idx="103">
                  <c:v>78</c:v>
                </c:pt>
                <c:pt idx="104">
                  <c:v>#N/A</c:v>
                </c:pt>
                <c:pt idx="105">
                  <c:v>#N/A</c:v>
                </c:pt>
                <c:pt idx="106">
                  <c:v>#N/A</c:v>
                </c:pt>
                <c:pt idx="107">
                  <c:v>#N/A</c:v>
                </c:pt>
                <c:pt idx="108">
                  <c:v>#N/A</c:v>
                </c:pt>
                <c:pt idx="109">
                  <c:v>#N/A</c:v>
                </c:pt>
                <c:pt idx="110">
                  <c:v>#N/A</c:v>
                </c:pt>
                <c:pt idx="111">
                  <c:v>#N/A</c:v>
                </c:pt>
                <c:pt idx="112">
                  <c:v>#N/A</c:v>
                </c:pt>
                <c:pt idx="113">
                  <c:v>#N/A</c:v>
                </c:pt>
                <c:pt idx="114">
                  <c:v>65</c:v>
                </c:pt>
                <c:pt idx="115">
                  <c:v>#N/A</c:v>
                </c:pt>
                <c:pt idx="116">
                  <c:v>113</c:v>
                </c:pt>
                <c:pt idx="117">
                  <c:v>#N/A</c:v>
                </c:pt>
                <c:pt idx="118">
                  <c:v>66</c:v>
                </c:pt>
                <c:pt idx="119">
                  <c:v>#N/A</c:v>
                </c:pt>
                <c:pt idx="120">
                  <c:v>90</c:v>
                </c:pt>
                <c:pt idx="121">
                  <c:v>#N/A</c:v>
                </c:pt>
                <c:pt idx="122">
                  <c:v>#N/A</c:v>
                </c:pt>
                <c:pt idx="123">
                  <c:v>#N/A</c:v>
                </c:pt>
                <c:pt idx="124">
                  <c:v>93</c:v>
                </c:pt>
                <c:pt idx="125">
                  <c:v>#N/A</c:v>
                </c:pt>
                <c:pt idx="126">
                  <c:v>#N/A</c:v>
                </c:pt>
                <c:pt idx="127">
                  <c:v>#N/A</c:v>
                </c:pt>
                <c:pt idx="128">
                  <c:v>#N/A</c:v>
                </c:pt>
                <c:pt idx="129">
                  <c:v>#N/A</c:v>
                </c:pt>
                <c:pt idx="130">
                  <c:v>#N/A</c:v>
                </c:pt>
                <c:pt idx="131">
                  <c:v>#N/A</c:v>
                </c:pt>
                <c:pt idx="132">
                  <c:v>116</c:v>
                </c:pt>
                <c:pt idx="133">
                  <c:v>#N/A</c:v>
                </c:pt>
                <c:pt idx="134">
                  <c:v>128</c:v>
                </c:pt>
                <c:pt idx="135">
                  <c:v>84</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79</c:v>
                </c:pt>
                <c:pt idx="150">
                  <c:v>#N/A</c:v>
                </c:pt>
                <c:pt idx="151">
                  <c:v>41</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77</c:v>
                </c:pt>
                <c:pt idx="167">
                  <c:v>#N/A</c:v>
                </c:pt>
                <c:pt idx="168">
                  <c:v>#N/A</c:v>
                </c:pt>
                <c:pt idx="169">
                  <c:v>74</c:v>
                </c:pt>
                <c:pt idx="170">
                  <c:v>#N/A</c:v>
                </c:pt>
                <c:pt idx="171">
                  <c:v>#N/A</c:v>
                </c:pt>
                <c:pt idx="172">
                  <c:v>#N/A</c:v>
                </c:pt>
                <c:pt idx="173">
                  <c:v>#N/A</c:v>
                </c:pt>
                <c:pt idx="174">
                  <c:v>#N/A</c:v>
                </c:pt>
                <c:pt idx="175">
                  <c:v>81</c:v>
                </c:pt>
                <c:pt idx="176">
                  <c:v>#N/A</c:v>
                </c:pt>
                <c:pt idx="177">
                  <c:v>#N/A</c:v>
                </c:pt>
                <c:pt idx="178">
                  <c:v>#N/A</c:v>
                </c:pt>
                <c:pt idx="179">
                  <c:v>#N/A</c:v>
                </c:pt>
                <c:pt idx="180">
                  <c:v>#N/A</c:v>
                </c:pt>
                <c:pt idx="181">
                  <c:v>#N/A</c:v>
                </c:pt>
                <c:pt idx="182">
                  <c:v>#N/A</c:v>
                </c:pt>
                <c:pt idx="183">
                  <c:v>#N/A</c:v>
                </c:pt>
                <c:pt idx="184">
                  <c:v>#N/A</c:v>
                </c:pt>
                <c:pt idx="185">
                  <c:v>91</c:v>
                </c:pt>
                <c:pt idx="186">
                  <c:v>#N/A</c:v>
                </c:pt>
                <c:pt idx="187">
                  <c:v>#N/A</c:v>
                </c:pt>
                <c:pt idx="188">
                  <c:v>121</c:v>
                </c:pt>
                <c:pt idx="189">
                  <c:v>#N/A</c:v>
                </c:pt>
                <c:pt idx="190">
                  <c:v>#N/A</c:v>
                </c:pt>
                <c:pt idx="191">
                  <c:v>#N/A</c:v>
                </c:pt>
                <c:pt idx="192">
                  <c:v>#N/A</c:v>
                </c:pt>
                <c:pt idx="193">
                  <c:v>#N/A</c:v>
                </c:pt>
                <c:pt idx="194">
                  <c:v>116</c:v>
                </c:pt>
                <c:pt idx="195">
                  <c:v>#N/A</c:v>
                </c:pt>
                <c:pt idx="196">
                  <c:v>#N/A</c:v>
                </c:pt>
                <c:pt idx="197">
                  <c:v>#N/A</c:v>
                </c:pt>
                <c:pt idx="198">
                  <c:v>97</c:v>
                </c:pt>
                <c:pt idx="199">
                  <c:v>#N/A</c:v>
                </c:pt>
                <c:pt idx="200">
                  <c:v>#N/A</c:v>
                </c:pt>
                <c:pt idx="201">
                  <c:v>#N/A</c:v>
                </c:pt>
                <c:pt idx="202">
                  <c:v>71</c:v>
                </c:pt>
                <c:pt idx="203">
                  <c:v>#N/A</c:v>
                </c:pt>
                <c:pt idx="204">
                  <c:v>#N/A</c:v>
                </c:pt>
                <c:pt idx="205">
                  <c:v>#N/A</c:v>
                </c:pt>
                <c:pt idx="206">
                  <c:v>#N/A</c:v>
                </c:pt>
                <c:pt idx="207">
                  <c:v>#N/A</c:v>
                </c:pt>
                <c:pt idx="208">
                  <c:v>#N/A</c:v>
                </c:pt>
                <c:pt idx="209">
                  <c:v>100</c:v>
                </c:pt>
                <c:pt idx="210">
                  <c:v>#N/A</c:v>
                </c:pt>
                <c:pt idx="211">
                  <c:v>#N/A</c:v>
                </c:pt>
                <c:pt idx="212">
                  <c:v>#N/A</c:v>
                </c:pt>
                <c:pt idx="213">
                  <c:v>#N/A</c:v>
                </c:pt>
                <c:pt idx="214">
                  <c:v>#N/A</c:v>
                </c:pt>
                <c:pt idx="215">
                  <c:v>#N/A</c:v>
                </c:pt>
                <c:pt idx="216">
                  <c:v>101</c:v>
                </c:pt>
                <c:pt idx="217">
                  <c:v>#N/A</c:v>
                </c:pt>
                <c:pt idx="218">
                  <c:v>#N/A</c:v>
                </c:pt>
                <c:pt idx="219">
                  <c:v>#N/A</c:v>
                </c:pt>
                <c:pt idx="220">
                  <c:v>#N/A</c:v>
                </c:pt>
                <c:pt idx="221">
                  <c:v>66</c:v>
                </c:pt>
                <c:pt idx="222">
                  <c:v>#N/A</c:v>
                </c:pt>
                <c:pt idx="223">
                  <c:v>#N/A</c:v>
                </c:pt>
                <c:pt idx="224">
                  <c:v>#N/A</c:v>
                </c:pt>
                <c:pt idx="225">
                  <c:v>#N/A</c:v>
                </c:pt>
                <c:pt idx="226">
                  <c:v>#N/A</c:v>
                </c:pt>
                <c:pt idx="227">
                  <c:v>#N/A</c:v>
                </c:pt>
                <c:pt idx="228">
                  <c:v>85</c:v>
                </c:pt>
                <c:pt idx="229">
                  <c:v>#N/A</c:v>
                </c:pt>
                <c:pt idx="230">
                  <c:v>65</c:v>
                </c:pt>
                <c:pt idx="231">
                  <c:v>#N/A</c:v>
                </c:pt>
                <c:pt idx="232">
                  <c:v>97</c:v>
                </c:pt>
                <c:pt idx="233">
                  <c:v>#N/A</c:v>
                </c:pt>
                <c:pt idx="234">
                  <c:v>#N/A</c:v>
                </c:pt>
                <c:pt idx="235">
                  <c:v>107</c:v>
                </c:pt>
                <c:pt idx="236">
                  <c:v>#N/A</c:v>
                </c:pt>
                <c:pt idx="237">
                  <c:v>79</c:v>
                </c:pt>
                <c:pt idx="238">
                  <c:v>#N/A</c:v>
                </c:pt>
                <c:pt idx="239">
                  <c:v>#N/A</c:v>
                </c:pt>
                <c:pt idx="240">
                  <c:v>#N/A</c:v>
                </c:pt>
                <c:pt idx="241">
                  <c:v>#N/A</c:v>
                </c:pt>
                <c:pt idx="242">
                  <c:v>#N/A</c:v>
                </c:pt>
                <c:pt idx="243">
                  <c:v>#N/A</c:v>
                </c:pt>
                <c:pt idx="244">
                  <c:v>#N/A</c:v>
                </c:pt>
                <c:pt idx="245">
                  <c:v>71</c:v>
                </c:pt>
                <c:pt idx="246">
                  <c:v>#N/A</c:v>
                </c:pt>
                <c:pt idx="247">
                  <c:v>#N/A</c:v>
                </c:pt>
                <c:pt idx="248">
                  <c:v>#N/A</c:v>
                </c:pt>
                <c:pt idx="249">
                  <c:v>90</c:v>
                </c:pt>
                <c:pt idx="250">
                  <c:v>#N/A</c:v>
                </c:pt>
                <c:pt idx="251">
                  <c:v>111</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numCache>
            </c:numRef>
          </c:val>
          <c:smooth val="0"/>
          <c:extLst>
            <c:ext xmlns:c16="http://schemas.microsoft.com/office/drawing/2014/chart" uri="{C3380CC4-5D6E-409C-BE32-E72D297353CC}">
              <c16:uniqueId val="{00000001-B62E-4D29-9277-FCB8C6BEF3DC}"/>
            </c:ext>
          </c:extLst>
        </c:ser>
        <c:dLbls>
          <c:showLegendKey val="0"/>
          <c:showVal val="0"/>
          <c:showCatName val="0"/>
          <c:showSerName val="0"/>
          <c:showPercent val="0"/>
          <c:showBubbleSize val="0"/>
        </c:dLbls>
        <c:marker val="1"/>
        <c:smooth val="0"/>
        <c:axId val="61742464"/>
        <c:axId val="61752448"/>
      </c:lineChart>
      <c:catAx>
        <c:axId val="61742464"/>
        <c:scaling>
          <c:orientation val="minMax"/>
        </c:scaling>
        <c:delete val="1"/>
        <c:axPos val="b"/>
        <c:majorTickMark val="out"/>
        <c:minorTickMark val="none"/>
        <c:tickLblPos val="none"/>
        <c:crossAx val="61752448"/>
        <c:crosses val="autoZero"/>
        <c:auto val="1"/>
        <c:lblAlgn val="ctr"/>
        <c:lblOffset val="100"/>
        <c:noMultiLvlLbl val="0"/>
      </c:catAx>
      <c:valAx>
        <c:axId val="61752448"/>
        <c:scaling>
          <c:orientation val="minMax"/>
        </c:scaling>
        <c:delete val="1"/>
        <c:axPos val="l"/>
        <c:numFmt formatCode="General" sourceLinked="1"/>
        <c:majorTickMark val="out"/>
        <c:minorTickMark val="none"/>
        <c:tickLblPos val="none"/>
        <c:crossAx val="61742464"/>
        <c:crosses val="autoZero"/>
        <c:crossBetween val="midCat"/>
      </c:valAx>
    </c:plotArea>
    <c:plotVisOnly val="1"/>
    <c:dispBlanksAs val="gap"/>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292121821565798E-2"/>
          <c:y val="5.5913978494623734E-2"/>
          <c:w val="0.83050909941759865"/>
          <c:h val="0.78064639088708243"/>
        </c:manualLayout>
      </c:layout>
      <c:lineChart>
        <c:grouping val="standard"/>
        <c:varyColors val="0"/>
        <c:ser>
          <c:idx val="0"/>
          <c:order val="0"/>
          <c:tx>
            <c:strRef>
              <c:f>XbarR!$B$57</c:f>
              <c:strCache>
                <c:ptCount val="1"/>
                <c:pt idx="0">
                  <c:v>X-bar</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XbarR!$B$58:$B$124</c:f>
              <c:numCache>
                <c:formatCode>0.00%</c:formatCode>
                <c:ptCount val="67"/>
                <c:pt idx="0">
                  <c:v>1</c:v>
                </c:pt>
                <c:pt idx="1">
                  <c:v>0.99133226324237556</c:v>
                </c:pt>
                <c:pt idx="2">
                  <c:v>0.99133226324237556</c:v>
                </c:pt>
                <c:pt idx="3">
                  <c:v>0.99133226324237556</c:v>
                </c:pt>
                <c:pt idx="4">
                  <c:v>0.99133226324237556</c:v>
                </c:pt>
                <c:pt idx="5">
                  <c:v>1</c:v>
                </c:pt>
                <c:pt idx="6">
                  <c:v>0.98587047939444916</c:v>
                </c:pt>
                <c:pt idx="7">
                  <c:v>0.99044368600682597</c:v>
                </c:pt>
                <c:pt idx="8">
                  <c:v>0.98678996036988109</c:v>
                </c:pt>
                <c:pt idx="9">
                  <c:v>0.94687779338526368</c:v>
                </c:pt>
                <c:pt idx="10">
                  <c:v>0.99287683823529416</c:v>
                </c:pt>
                <c:pt idx="11">
                  <c:v>0.99204946996466437</c:v>
                </c:pt>
                <c:pt idx="12">
                  <c:v>0.95757953836556453</c:v>
                </c:pt>
                <c:pt idx="13">
                  <c:v>0.96007354872603101</c:v>
                </c:pt>
                <c:pt idx="14">
                  <c:v>0.99211690059603919</c:v>
                </c:pt>
                <c:pt idx="15">
                  <c:v>1</c:v>
                </c:pt>
                <c:pt idx="16">
                  <c:v>0.98864158801417101</c:v>
                </c:pt>
                <c:pt idx="17">
                  <c:v>1</c:v>
                </c:pt>
                <c:pt idx="18">
                  <c:v>1</c:v>
                </c:pt>
                <c:pt idx="19">
                  <c:v>0.98113207547169812</c:v>
                </c:pt>
                <c:pt idx="20">
                  <c:v>1</c:v>
                </c:pt>
                <c:pt idx="21">
                  <c:v>0.96728156879327665</c:v>
                </c:pt>
                <c:pt idx="22">
                  <c:v>0.9674389480275517</c:v>
                </c:pt>
                <c:pt idx="23">
                  <c:v>0.96692933729492314</c:v>
                </c:pt>
                <c:pt idx="24">
                  <c:v>0.98745098039215684</c:v>
                </c:pt>
                <c:pt idx="25">
                  <c:v>0.97590361445783136</c:v>
                </c:pt>
                <c:pt idx="26">
                  <c:v>0.97784149166445145</c:v>
                </c:pt>
                <c:pt idx="27">
                  <c:v>0.97784107091996586</c:v>
                </c:pt>
                <c:pt idx="28">
                  <c:v>0.98374473208910296</c:v>
                </c:pt>
                <c:pt idx="29">
                  <c:v>0.95210022107590275</c:v>
                </c:pt>
                <c:pt idx="30">
                  <c:v>0.99414077557628555</c:v>
                </c:pt>
                <c:pt idx="31">
                  <c:v>0.8545454545454545</c:v>
                </c:pt>
                <c:pt idx="32">
                  <c:v>0.96274738067520371</c:v>
                </c:pt>
                <c:pt idx="33">
                  <c:v>0.99482237882928237</c:v>
                </c:pt>
                <c:pt idx="34">
                  <c:v>0.81558371528713935</c:v>
                </c:pt>
                <c:pt idx="35">
                  <c:v>0.95836506727595838</c:v>
                </c:pt>
                <c:pt idx="36">
                  <c:v>0.85553398058252428</c:v>
                </c:pt>
                <c:pt idx="37">
                  <c:v>0.98152399693888703</c:v>
                </c:pt>
                <c:pt idx="38">
                  <c:v>0.98663336258691692</c:v>
                </c:pt>
                <c:pt idx="39">
                  <c:v>0.9707446808510638</c:v>
                </c:pt>
                <c:pt idx="40">
                  <c:v>0.98486159169550169</c:v>
                </c:pt>
                <c:pt idx="41">
                  <c:v>1</c:v>
                </c:pt>
                <c:pt idx="42">
                  <c:v>1</c:v>
                </c:pt>
                <c:pt idx="43">
                  <c:v>0.9701678060907396</c:v>
                </c:pt>
                <c:pt idx="44">
                  <c:v>0.97652429083795245</c:v>
                </c:pt>
                <c:pt idx="45">
                  <c:v>1</c:v>
                </c:pt>
                <c:pt idx="46">
                  <c:v>0.96511971622819981</c:v>
                </c:pt>
                <c:pt idx="47">
                  <c:v>0.99152377240841783</c:v>
                </c:pt>
                <c:pt idx="48">
                  <c:v>0.9859413338049029</c:v>
                </c:pt>
                <c:pt idx="49">
                  <c:v>0.86933490288404947</c:v>
                </c:pt>
                <c:pt idx="50">
                  <c:v>0.95780983403133235</c:v>
                </c:pt>
                <c:pt idx="51">
                  <c:v>0.9932216155149689</c:v>
                </c:pt>
                <c:pt idx="52">
                  <c:v>1</c:v>
                </c:pt>
                <c:pt idx="53">
                  <c:v>1</c:v>
                </c:pt>
                <c:pt idx="54">
                  <c:v>0.99113016483110361</c:v>
                </c:pt>
                <c:pt idx="55">
                  <c:v>0.98548094373865702</c:v>
                </c:pt>
                <c:pt idx="56">
                  <c:v>0.94333197112110068</c:v>
                </c:pt>
                <c:pt idx="57">
                  <c:v>0.83041656396351982</c:v>
                </c:pt>
                <c:pt idx="58">
                  <c:v>0.96198367247471672</c:v>
                </c:pt>
                <c:pt idx="59">
                  <c:v>0.96690531852717709</c:v>
                </c:pt>
                <c:pt idx="60">
                  <c:v>0.95614665708123647</c:v>
                </c:pt>
                <c:pt idx="61">
                  <c:v>0.98341777982496548</c:v>
                </c:pt>
                <c:pt idx="62">
                  <c:v>0.9905301671568979</c:v>
                </c:pt>
                <c:pt idx="63">
                  <c:v>0.9834368530020704</c:v>
                </c:pt>
                <c:pt idx="64">
                  <c:v>0.97912740976953183</c:v>
                </c:pt>
                <c:pt idx="65">
                  <c:v>0.98559315674945602</c:v>
                </c:pt>
              </c:numCache>
            </c:numRef>
          </c:val>
          <c:smooth val="0"/>
          <c:extLst>
            <c:ext xmlns:c16="http://schemas.microsoft.com/office/drawing/2014/chart" uri="{C3380CC4-5D6E-409C-BE32-E72D297353CC}">
              <c16:uniqueId val="{00000000-C1B9-4ED3-A53C-ED8A72D4BB86}"/>
            </c:ext>
          </c:extLst>
        </c:ser>
        <c:ser>
          <c:idx val="1"/>
          <c:order val="1"/>
          <c:tx>
            <c:strRef>
              <c:f>XbarR!$D$57</c:f>
              <c:strCache>
                <c:ptCount val="1"/>
                <c:pt idx="0">
                  <c:v>CL</c:v>
                </c:pt>
              </c:strCache>
            </c:strRef>
          </c:tx>
          <c:spPr>
            <a:ln w="12700">
              <a:solidFill>
                <a:srgbClr val="0000FF"/>
              </a:solidFill>
              <a:prstDash val="sysDash"/>
            </a:ln>
          </c:spPr>
          <c:marker>
            <c:symbol val="none"/>
          </c:marker>
          <c:dLbls>
            <c:dLbl>
              <c:idx val="24"/>
              <c:layout>
                <c:manualLayout>
                  <c:x val="0.74273277422609585"/>
                  <c:y val="0"/>
                </c:manualLayout>
              </c:layout>
              <c:spPr>
                <a:noFill/>
                <a:ln w="25400">
                  <a:noFill/>
                </a:ln>
              </c:spPr>
              <c:txPr>
                <a:bodyPr/>
                <a:lstStyle/>
                <a:p>
                  <a:pPr>
                    <a:defRPr sz="875" b="0" i="0" u="none" strike="noStrike" baseline="0">
                      <a:solidFill>
                        <a:srgbClr val="000000"/>
                      </a:solidFill>
                      <a:latin typeface="Arial"/>
                      <a:ea typeface="Arial"/>
                      <a:cs typeface="Arial"/>
                    </a:defRPr>
                  </a:pPr>
                  <a:endParaRPr lang="de-D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C1B9-4ED3-A53C-ED8A72D4BB8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XbarR!$D$58:$D$124</c:f>
              <c:numCache>
                <c:formatCode>0.000</c:formatCode>
                <c:ptCount val="67"/>
                <c:pt idx="0">
                  <c:v>0.97155998804696597</c:v>
                </c:pt>
                <c:pt idx="1">
                  <c:v>0.97155998804696597</c:v>
                </c:pt>
                <c:pt idx="2">
                  <c:v>0.97155998804696597</c:v>
                </c:pt>
                <c:pt idx="3">
                  <c:v>0.97155998804696597</c:v>
                </c:pt>
                <c:pt idx="4">
                  <c:v>0.97155998804696597</c:v>
                </c:pt>
                <c:pt idx="5">
                  <c:v>0.97155998804696597</c:v>
                </c:pt>
                <c:pt idx="6">
                  <c:v>0.97155998804696597</c:v>
                </c:pt>
                <c:pt idx="7">
                  <c:v>0.97155998804696597</c:v>
                </c:pt>
                <c:pt idx="8">
                  <c:v>0.97155998804696597</c:v>
                </c:pt>
                <c:pt idx="9">
                  <c:v>0.97155998804696597</c:v>
                </c:pt>
                <c:pt idx="10">
                  <c:v>0.97155998804696597</c:v>
                </c:pt>
                <c:pt idx="11">
                  <c:v>0.97155998804696597</c:v>
                </c:pt>
                <c:pt idx="12">
                  <c:v>0.97155998804696597</c:v>
                </c:pt>
                <c:pt idx="13">
                  <c:v>0.97155998804696597</c:v>
                </c:pt>
                <c:pt idx="14">
                  <c:v>0.97155998804696597</c:v>
                </c:pt>
                <c:pt idx="15">
                  <c:v>0.97155998804696597</c:v>
                </c:pt>
                <c:pt idx="16">
                  <c:v>0.97155998804696597</c:v>
                </c:pt>
                <c:pt idx="17">
                  <c:v>0.97155998804696597</c:v>
                </c:pt>
                <c:pt idx="18">
                  <c:v>0.97155998804696597</c:v>
                </c:pt>
                <c:pt idx="19">
                  <c:v>0.97155998804696597</c:v>
                </c:pt>
                <c:pt idx="20">
                  <c:v>0.97155998804696597</c:v>
                </c:pt>
                <c:pt idx="21">
                  <c:v>0.97155998804696597</c:v>
                </c:pt>
                <c:pt idx="22">
                  <c:v>0.97155998804696597</c:v>
                </c:pt>
                <c:pt idx="23">
                  <c:v>0.97155998804696597</c:v>
                </c:pt>
                <c:pt idx="24">
                  <c:v>0.97155998804696597</c:v>
                </c:pt>
                <c:pt idx="25">
                  <c:v>0.97155998804696597</c:v>
                </c:pt>
                <c:pt idx="26">
                  <c:v>0.97155998804696597</c:v>
                </c:pt>
                <c:pt idx="27">
                  <c:v>0.97155998804696597</c:v>
                </c:pt>
                <c:pt idx="28">
                  <c:v>0.97155998804696597</c:v>
                </c:pt>
                <c:pt idx="29">
                  <c:v>0.97155998804696597</c:v>
                </c:pt>
                <c:pt idx="30">
                  <c:v>0.97155998804696597</c:v>
                </c:pt>
                <c:pt idx="31">
                  <c:v>0.97155998804696597</c:v>
                </c:pt>
                <c:pt idx="32">
                  <c:v>0.97155998804696597</c:v>
                </c:pt>
                <c:pt idx="33">
                  <c:v>0.97155998804696597</c:v>
                </c:pt>
                <c:pt idx="34">
                  <c:v>0.97155998804696597</c:v>
                </c:pt>
                <c:pt idx="35">
                  <c:v>0.97155998804696597</c:v>
                </c:pt>
                <c:pt idx="36">
                  <c:v>0.97155998804696597</c:v>
                </c:pt>
                <c:pt idx="37">
                  <c:v>0.97155998804696597</c:v>
                </c:pt>
                <c:pt idx="38">
                  <c:v>0.97155998804696597</c:v>
                </c:pt>
                <c:pt idx="39">
                  <c:v>0.97155998804696597</c:v>
                </c:pt>
                <c:pt idx="40">
                  <c:v>0.97155998804696597</c:v>
                </c:pt>
                <c:pt idx="41">
                  <c:v>0.97155998804696597</c:v>
                </c:pt>
                <c:pt idx="42">
                  <c:v>0.97155998804696597</c:v>
                </c:pt>
                <c:pt idx="43">
                  <c:v>0.97155998804696597</c:v>
                </c:pt>
                <c:pt idx="44">
                  <c:v>0.97155998804696597</c:v>
                </c:pt>
                <c:pt idx="45">
                  <c:v>0.97155998804696597</c:v>
                </c:pt>
                <c:pt idx="46">
                  <c:v>0.97155998804696597</c:v>
                </c:pt>
                <c:pt idx="47">
                  <c:v>0.97155998804696597</c:v>
                </c:pt>
                <c:pt idx="48">
                  <c:v>0.97155998804696597</c:v>
                </c:pt>
                <c:pt idx="49">
                  <c:v>0.97155998804696597</c:v>
                </c:pt>
                <c:pt idx="50">
                  <c:v>0.97155998804696597</c:v>
                </c:pt>
                <c:pt idx="51">
                  <c:v>0.97155998804696597</c:v>
                </c:pt>
                <c:pt idx="52">
                  <c:v>0.97155998804696597</c:v>
                </c:pt>
                <c:pt idx="53">
                  <c:v>0.97155998804696597</c:v>
                </c:pt>
                <c:pt idx="54">
                  <c:v>0.97155998804696597</c:v>
                </c:pt>
                <c:pt idx="55">
                  <c:v>0.97155998804696597</c:v>
                </c:pt>
                <c:pt idx="56">
                  <c:v>0.97155998804696597</c:v>
                </c:pt>
                <c:pt idx="57">
                  <c:v>0.97155998804696597</c:v>
                </c:pt>
                <c:pt idx="58">
                  <c:v>0.97155998804696597</c:v>
                </c:pt>
                <c:pt idx="59">
                  <c:v>0.97155998804696597</c:v>
                </c:pt>
                <c:pt idx="60">
                  <c:v>0.97155998804696597</c:v>
                </c:pt>
                <c:pt idx="61">
                  <c:v>0.97155998804696597</c:v>
                </c:pt>
                <c:pt idx="62">
                  <c:v>0.97155998804696597</c:v>
                </c:pt>
                <c:pt idx="63">
                  <c:v>0.97155998804696597</c:v>
                </c:pt>
                <c:pt idx="64">
                  <c:v>0.97155998804696597</c:v>
                </c:pt>
                <c:pt idx="65">
                  <c:v>0.97155998804696597</c:v>
                </c:pt>
                <c:pt idx="66">
                  <c:v>0.97155998804696597</c:v>
                </c:pt>
              </c:numCache>
            </c:numRef>
          </c:val>
          <c:smooth val="0"/>
          <c:extLst>
            <c:ext xmlns:c16="http://schemas.microsoft.com/office/drawing/2014/chart" uri="{C3380CC4-5D6E-409C-BE32-E72D297353CC}">
              <c16:uniqueId val="{00000002-C1B9-4ED3-A53C-ED8A72D4BB86}"/>
            </c:ext>
          </c:extLst>
        </c:ser>
        <c:ser>
          <c:idx val="2"/>
          <c:order val="2"/>
          <c:tx>
            <c:strRef>
              <c:f>XbarR!$E$57</c:f>
              <c:strCache>
                <c:ptCount val="1"/>
                <c:pt idx="0">
                  <c:v>UCL</c:v>
                </c:pt>
              </c:strCache>
            </c:strRef>
          </c:tx>
          <c:spPr>
            <a:ln w="12700">
              <a:solidFill>
                <a:srgbClr val="FF0000"/>
              </a:solidFill>
              <a:prstDash val="solid"/>
            </a:ln>
          </c:spPr>
          <c:marker>
            <c:symbol val="none"/>
          </c:marker>
          <c:dLbls>
            <c:dLbl>
              <c:idx val="24"/>
              <c:layout>
                <c:manualLayout>
                  <c:x val="0.7432450037255639"/>
                  <c:y val="-4.3010752688171965E-3"/>
                </c:manualLayout>
              </c:layout>
              <c:spPr>
                <a:noFill/>
                <a:ln w="25400">
                  <a:noFill/>
                </a:ln>
              </c:spPr>
              <c:txPr>
                <a:bodyPr/>
                <a:lstStyle/>
                <a:p>
                  <a:pPr>
                    <a:defRPr sz="875" b="0" i="0" u="none" strike="noStrike" baseline="0">
                      <a:solidFill>
                        <a:srgbClr val="000000"/>
                      </a:solidFill>
                      <a:latin typeface="Arial"/>
                      <a:ea typeface="Arial"/>
                      <a:cs typeface="Arial"/>
                    </a:defRPr>
                  </a:pPr>
                  <a:endParaRPr lang="de-D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C1B9-4ED3-A53C-ED8A72D4BB8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XbarR!$E$58:$E$124</c:f>
              <c:numCache>
                <c:formatCode>0.000</c:formatCode>
                <c:ptCount val="67"/>
                <c:pt idx="0">
                  <c:v>1.0932637467370767</c:v>
                </c:pt>
                <c:pt idx="1">
                  <c:v>1.0932637467370767</c:v>
                </c:pt>
                <c:pt idx="2">
                  <c:v>1.0932637467370767</c:v>
                </c:pt>
                <c:pt idx="3">
                  <c:v>1.0932637467370767</c:v>
                </c:pt>
                <c:pt idx="4">
                  <c:v>1.0932637467370767</c:v>
                </c:pt>
                <c:pt idx="5">
                  <c:v>1.0932637467370767</c:v>
                </c:pt>
                <c:pt idx="6">
                  <c:v>1.0932637467370767</c:v>
                </c:pt>
                <c:pt idx="7">
                  <c:v>1.0932637467370767</c:v>
                </c:pt>
                <c:pt idx="8">
                  <c:v>1.0932637467370767</c:v>
                </c:pt>
                <c:pt idx="9">
                  <c:v>1.0932637467370767</c:v>
                </c:pt>
                <c:pt idx="10">
                  <c:v>1.0932637467370767</c:v>
                </c:pt>
                <c:pt idx="11">
                  <c:v>1.0932637467370767</c:v>
                </c:pt>
                <c:pt idx="12">
                  <c:v>1.0932637467370767</c:v>
                </c:pt>
                <c:pt idx="13">
                  <c:v>1.0932637467370767</c:v>
                </c:pt>
                <c:pt idx="14">
                  <c:v>1.0932637467370767</c:v>
                </c:pt>
                <c:pt idx="15">
                  <c:v>1.0932637467370767</c:v>
                </c:pt>
                <c:pt idx="16">
                  <c:v>1.0932637467370767</c:v>
                </c:pt>
                <c:pt idx="17">
                  <c:v>1.0932637467370767</c:v>
                </c:pt>
                <c:pt idx="18">
                  <c:v>1.0932637467370767</c:v>
                </c:pt>
                <c:pt idx="19">
                  <c:v>1.0932637467370767</c:v>
                </c:pt>
                <c:pt idx="20">
                  <c:v>1.0932637467370767</c:v>
                </c:pt>
                <c:pt idx="21">
                  <c:v>1.0932637467370767</c:v>
                </c:pt>
                <c:pt idx="22">
                  <c:v>1.0932637467370767</c:v>
                </c:pt>
                <c:pt idx="23">
                  <c:v>1.0932637467370767</c:v>
                </c:pt>
                <c:pt idx="24">
                  <c:v>1.0932637467370767</c:v>
                </c:pt>
                <c:pt idx="25">
                  <c:v>1.0932637467370767</c:v>
                </c:pt>
                <c:pt idx="26">
                  <c:v>1.0932637467370767</c:v>
                </c:pt>
                <c:pt idx="27">
                  <c:v>1.0932637467370767</c:v>
                </c:pt>
                <c:pt idx="28">
                  <c:v>1.0932637467370767</c:v>
                </c:pt>
                <c:pt idx="29">
                  <c:v>1.0932637467370767</c:v>
                </c:pt>
                <c:pt idx="30">
                  <c:v>1.0932637467370767</c:v>
                </c:pt>
                <c:pt idx="31">
                  <c:v>1.0932637467370767</c:v>
                </c:pt>
                <c:pt idx="32">
                  <c:v>1.0932637467370767</c:v>
                </c:pt>
                <c:pt idx="33">
                  <c:v>1.0932637467370767</c:v>
                </c:pt>
                <c:pt idx="34">
                  <c:v>1.0932637467370767</c:v>
                </c:pt>
                <c:pt idx="35">
                  <c:v>1.0932637467370767</c:v>
                </c:pt>
                <c:pt idx="36">
                  <c:v>1.0932637467370767</c:v>
                </c:pt>
                <c:pt idx="37">
                  <c:v>1.0932637467370767</c:v>
                </c:pt>
                <c:pt idx="38">
                  <c:v>1.0932637467370767</c:v>
                </c:pt>
                <c:pt idx="39">
                  <c:v>1.0932637467370767</c:v>
                </c:pt>
                <c:pt idx="40">
                  <c:v>1.0932637467370767</c:v>
                </c:pt>
                <c:pt idx="41">
                  <c:v>1.0932637467370767</c:v>
                </c:pt>
                <c:pt idx="42">
                  <c:v>1.0932637467370767</c:v>
                </c:pt>
                <c:pt idx="43">
                  <c:v>1.0932637467370767</c:v>
                </c:pt>
                <c:pt idx="44">
                  <c:v>1.0932637467370767</c:v>
                </c:pt>
                <c:pt idx="45">
                  <c:v>1.0932637467370767</c:v>
                </c:pt>
                <c:pt idx="46">
                  <c:v>1.0932637467370767</c:v>
                </c:pt>
                <c:pt idx="47">
                  <c:v>1.0932637467370767</c:v>
                </c:pt>
                <c:pt idx="48">
                  <c:v>1.0932637467370767</c:v>
                </c:pt>
                <c:pt idx="49">
                  <c:v>1.0932637467370767</c:v>
                </c:pt>
                <c:pt idx="50">
                  <c:v>1.0932637467370767</c:v>
                </c:pt>
                <c:pt idx="51">
                  <c:v>1.0932637467370767</c:v>
                </c:pt>
                <c:pt idx="52">
                  <c:v>1.0932637467370767</c:v>
                </c:pt>
                <c:pt idx="53">
                  <c:v>1.0932637467370767</c:v>
                </c:pt>
                <c:pt idx="54">
                  <c:v>1.0932637467370767</c:v>
                </c:pt>
                <c:pt idx="55">
                  <c:v>1.0932637467370767</c:v>
                </c:pt>
                <c:pt idx="56">
                  <c:v>1.0932637467370767</c:v>
                </c:pt>
                <c:pt idx="57">
                  <c:v>1.0932637467370767</c:v>
                </c:pt>
                <c:pt idx="58">
                  <c:v>1.0932637467370767</c:v>
                </c:pt>
                <c:pt idx="59">
                  <c:v>1.0932637467370767</c:v>
                </c:pt>
                <c:pt idx="60">
                  <c:v>1.0932637467370767</c:v>
                </c:pt>
                <c:pt idx="61">
                  <c:v>1.0932637467370767</c:v>
                </c:pt>
                <c:pt idx="62">
                  <c:v>1.0932637467370767</c:v>
                </c:pt>
                <c:pt idx="63">
                  <c:v>1.0932637467370767</c:v>
                </c:pt>
                <c:pt idx="64">
                  <c:v>1.0932637467370767</c:v>
                </c:pt>
                <c:pt idx="65">
                  <c:v>1.0932637467370767</c:v>
                </c:pt>
                <c:pt idx="66">
                  <c:v>1.0932637467370767</c:v>
                </c:pt>
              </c:numCache>
            </c:numRef>
          </c:val>
          <c:smooth val="0"/>
          <c:extLst>
            <c:ext xmlns:c16="http://schemas.microsoft.com/office/drawing/2014/chart" uri="{C3380CC4-5D6E-409C-BE32-E72D297353CC}">
              <c16:uniqueId val="{00000004-C1B9-4ED3-A53C-ED8A72D4BB86}"/>
            </c:ext>
          </c:extLst>
        </c:ser>
        <c:ser>
          <c:idx val="3"/>
          <c:order val="3"/>
          <c:tx>
            <c:strRef>
              <c:f>XbarR!$F$57</c:f>
              <c:strCache>
                <c:ptCount val="1"/>
                <c:pt idx="0">
                  <c:v>LCL</c:v>
                </c:pt>
              </c:strCache>
            </c:strRef>
          </c:tx>
          <c:spPr>
            <a:ln w="12700">
              <a:solidFill>
                <a:srgbClr val="FF0000"/>
              </a:solidFill>
              <a:prstDash val="solid"/>
            </a:ln>
          </c:spPr>
          <c:marker>
            <c:symbol val="none"/>
          </c:marker>
          <c:dLbls>
            <c:dLbl>
              <c:idx val="24"/>
              <c:layout>
                <c:manualLayout>
                  <c:x val="0.74222054472662957"/>
                  <c:y val="-8.6028278723224248E-3"/>
                </c:manualLayout>
              </c:layout>
              <c:spPr>
                <a:noFill/>
                <a:ln w="25400">
                  <a:noFill/>
                </a:ln>
              </c:spPr>
              <c:txPr>
                <a:bodyPr/>
                <a:lstStyle/>
                <a:p>
                  <a:pPr>
                    <a:defRPr sz="875" b="0" i="0" u="none" strike="noStrike" baseline="0">
                      <a:solidFill>
                        <a:srgbClr val="000000"/>
                      </a:solidFill>
                      <a:latin typeface="Arial"/>
                      <a:ea typeface="Arial"/>
                      <a:cs typeface="Arial"/>
                    </a:defRPr>
                  </a:pPr>
                  <a:endParaRPr lang="de-D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1B9-4ED3-A53C-ED8A72D4BB8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XbarR!$F$58:$F$124</c:f>
              <c:numCache>
                <c:formatCode>0.000</c:formatCode>
                <c:ptCount val="67"/>
                <c:pt idx="0">
                  <c:v>0.84985622935685523</c:v>
                </c:pt>
                <c:pt idx="1">
                  <c:v>0.84985622935685523</c:v>
                </c:pt>
                <c:pt idx="2">
                  <c:v>0.84985622935685523</c:v>
                </c:pt>
                <c:pt idx="3">
                  <c:v>0.84985622935685523</c:v>
                </c:pt>
                <c:pt idx="4">
                  <c:v>0.84985622935685523</c:v>
                </c:pt>
                <c:pt idx="5">
                  <c:v>0.84985622935685523</c:v>
                </c:pt>
                <c:pt idx="6">
                  <c:v>0.84985622935685523</c:v>
                </c:pt>
                <c:pt idx="7">
                  <c:v>0.84985622935685523</c:v>
                </c:pt>
                <c:pt idx="8">
                  <c:v>0.84985622935685523</c:v>
                </c:pt>
                <c:pt idx="9">
                  <c:v>0.84985622935685523</c:v>
                </c:pt>
                <c:pt idx="10">
                  <c:v>0.84985622935685523</c:v>
                </c:pt>
                <c:pt idx="11">
                  <c:v>0.84985622935685523</c:v>
                </c:pt>
                <c:pt idx="12">
                  <c:v>0.84985622935685523</c:v>
                </c:pt>
                <c:pt idx="13">
                  <c:v>0.84985622935685523</c:v>
                </c:pt>
                <c:pt idx="14">
                  <c:v>0.84985622935685523</c:v>
                </c:pt>
                <c:pt idx="15">
                  <c:v>0.84985622935685523</c:v>
                </c:pt>
                <c:pt idx="16">
                  <c:v>0.84985622935685523</c:v>
                </c:pt>
                <c:pt idx="17">
                  <c:v>0.84985622935685523</c:v>
                </c:pt>
                <c:pt idx="18">
                  <c:v>0.84985622935685523</c:v>
                </c:pt>
                <c:pt idx="19">
                  <c:v>0.84985622935685523</c:v>
                </c:pt>
                <c:pt idx="20">
                  <c:v>0.84985622935685523</c:v>
                </c:pt>
                <c:pt idx="21">
                  <c:v>0.84985622935685523</c:v>
                </c:pt>
                <c:pt idx="22">
                  <c:v>0.84985622935685523</c:v>
                </c:pt>
                <c:pt idx="23">
                  <c:v>0.84985622935685523</c:v>
                </c:pt>
                <c:pt idx="24">
                  <c:v>0.84985622935685523</c:v>
                </c:pt>
                <c:pt idx="25">
                  <c:v>0.84985622935685523</c:v>
                </c:pt>
                <c:pt idx="26">
                  <c:v>0.84985622935685523</c:v>
                </c:pt>
                <c:pt idx="27">
                  <c:v>0.84985622935685523</c:v>
                </c:pt>
                <c:pt idx="28">
                  <c:v>0.84985622935685523</c:v>
                </c:pt>
                <c:pt idx="29">
                  <c:v>0.84985622935685523</c:v>
                </c:pt>
                <c:pt idx="30">
                  <c:v>0.84985622935685523</c:v>
                </c:pt>
                <c:pt idx="31">
                  <c:v>0.84985622935685523</c:v>
                </c:pt>
                <c:pt idx="32">
                  <c:v>0.84985622935685523</c:v>
                </c:pt>
                <c:pt idx="33">
                  <c:v>0.84985622935685523</c:v>
                </c:pt>
                <c:pt idx="34">
                  <c:v>0.84985622935685523</c:v>
                </c:pt>
                <c:pt idx="35">
                  <c:v>0.84985622935685523</c:v>
                </c:pt>
                <c:pt idx="36">
                  <c:v>0.84985622935685523</c:v>
                </c:pt>
                <c:pt idx="37">
                  <c:v>0.84985622935685523</c:v>
                </c:pt>
                <c:pt idx="38">
                  <c:v>0.84985622935685523</c:v>
                </c:pt>
                <c:pt idx="39">
                  <c:v>0.84985622935685523</c:v>
                </c:pt>
                <c:pt idx="40">
                  <c:v>0.84985622935685523</c:v>
                </c:pt>
                <c:pt idx="41">
                  <c:v>0.84985622935685523</c:v>
                </c:pt>
                <c:pt idx="42">
                  <c:v>0.84985622935685523</c:v>
                </c:pt>
                <c:pt idx="43">
                  <c:v>0.84985622935685523</c:v>
                </c:pt>
                <c:pt idx="44">
                  <c:v>0.84985622935685523</c:v>
                </c:pt>
                <c:pt idx="45">
                  <c:v>0.84985622935685523</c:v>
                </c:pt>
                <c:pt idx="46">
                  <c:v>0.84985622935685523</c:v>
                </c:pt>
                <c:pt idx="47">
                  <c:v>0.84985622935685523</c:v>
                </c:pt>
                <c:pt idx="48">
                  <c:v>0.84985622935685523</c:v>
                </c:pt>
                <c:pt idx="49">
                  <c:v>0.84985622935685523</c:v>
                </c:pt>
                <c:pt idx="50">
                  <c:v>0.84985622935685523</c:v>
                </c:pt>
                <c:pt idx="51">
                  <c:v>0.84985622935685523</c:v>
                </c:pt>
                <c:pt idx="52">
                  <c:v>0.84985622935685523</c:v>
                </c:pt>
                <c:pt idx="53">
                  <c:v>0.84985622935685523</c:v>
                </c:pt>
                <c:pt idx="54">
                  <c:v>0.84985622935685523</c:v>
                </c:pt>
                <c:pt idx="55">
                  <c:v>0.84985622935685523</c:v>
                </c:pt>
                <c:pt idx="56">
                  <c:v>0.84985622935685523</c:v>
                </c:pt>
                <c:pt idx="57">
                  <c:v>0.84985622935685523</c:v>
                </c:pt>
                <c:pt idx="58">
                  <c:v>0.84985622935685523</c:v>
                </c:pt>
                <c:pt idx="59">
                  <c:v>0.84985622935685523</c:v>
                </c:pt>
                <c:pt idx="60">
                  <c:v>0.84985622935685523</c:v>
                </c:pt>
                <c:pt idx="61">
                  <c:v>0.84985622935685523</c:v>
                </c:pt>
                <c:pt idx="62">
                  <c:v>0.84985622935685523</c:v>
                </c:pt>
                <c:pt idx="63">
                  <c:v>0.84985622935685523</c:v>
                </c:pt>
                <c:pt idx="64">
                  <c:v>0.84985622935685523</c:v>
                </c:pt>
                <c:pt idx="65">
                  <c:v>0.84985622935685523</c:v>
                </c:pt>
                <c:pt idx="66">
                  <c:v>0.84985622935685523</c:v>
                </c:pt>
              </c:numCache>
            </c:numRef>
          </c:val>
          <c:smooth val="0"/>
          <c:extLst>
            <c:ext xmlns:c16="http://schemas.microsoft.com/office/drawing/2014/chart" uri="{C3380CC4-5D6E-409C-BE32-E72D297353CC}">
              <c16:uniqueId val="{00000006-C1B9-4ED3-A53C-ED8A72D4BB86}"/>
            </c:ext>
          </c:extLst>
        </c:ser>
        <c:dLbls>
          <c:showLegendKey val="0"/>
          <c:showVal val="0"/>
          <c:showCatName val="0"/>
          <c:showSerName val="0"/>
          <c:showPercent val="0"/>
          <c:showBubbleSize val="0"/>
        </c:dLbls>
        <c:marker val="1"/>
        <c:smooth val="0"/>
        <c:axId val="448708608"/>
        <c:axId val="448710528"/>
      </c:lineChart>
      <c:catAx>
        <c:axId val="448708608"/>
        <c:scaling>
          <c:orientation val="minMax"/>
        </c:scaling>
        <c:delete val="0"/>
        <c:axPos val="b"/>
        <c:title>
          <c:tx>
            <c:rich>
              <a:bodyPr/>
              <a:lstStyle/>
              <a:p>
                <a:pPr>
                  <a:defRPr sz="875" b="0" i="0" u="none" strike="noStrike" baseline="0">
                    <a:solidFill>
                      <a:srgbClr val="000000"/>
                    </a:solidFill>
                    <a:latin typeface="Arial"/>
                    <a:ea typeface="Arial"/>
                    <a:cs typeface="Arial"/>
                  </a:defRPr>
                </a:pPr>
                <a:r>
                  <a:rPr lang="de-DE"/>
                  <a:t>Sample #</a:t>
                </a:r>
              </a:p>
            </c:rich>
          </c:tx>
          <c:layout>
            <c:manualLayout>
              <c:xMode val="edge"/>
              <c:yMode val="edge"/>
              <c:x val="0.45916829615295957"/>
              <c:y val="0.9161304752559149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de-DE"/>
          </a:p>
        </c:txPr>
        <c:crossAx val="448710528"/>
        <c:crosses val="autoZero"/>
        <c:auto val="1"/>
        <c:lblAlgn val="ctr"/>
        <c:lblOffset val="100"/>
        <c:tickLblSkip val="1"/>
        <c:tickMarkSkip val="1"/>
        <c:noMultiLvlLbl val="0"/>
      </c:catAx>
      <c:valAx>
        <c:axId val="448710528"/>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de-DE"/>
          </a:p>
        </c:txPr>
        <c:crossAx val="448708608"/>
        <c:crosses val="autoZero"/>
        <c:crossBetween val="between"/>
      </c:valAx>
      <c:spPr>
        <a:noFill/>
        <a:ln w="25400">
          <a:noFill/>
        </a:ln>
      </c:spPr>
    </c:plotArea>
    <c:plotVisOnly val="1"/>
    <c:dispBlanksAs val="gap"/>
    <c:showDLblsOverMax val="0"/>
  </c:chart>
  <c:spPr>
    <a:solidFill>
      <a:srgbClr val="FFFFFF"/>
    </a:solidFill>
    <a:ln w="9525">
      <a:solidFill>
        <a:schemeClr val="bg2"/>
      </a:solidFill>
    </a:ln>
  </c:spPr>
  <c:txPr>
    <a:bodyPr/>
    <a:lstStyle/>
    <a:p>
      <a:pPr>
        <a:defRPr sz="900" b="0" i="0" u="none" strike="noStrike" baseline="0">
          <a:solidFill>
            <a:srgbClr val="000000"/>
          </a:solidFill>
          <a:latin typeface="Arial"/>
          <a:ea typeface="Arial"/>
          <a:cs typeface="Arial"/>
        </a:defRPr>
      </a:pPr>
      <a:endParaRPr lang="de-DE"/>
    </a:p>
  </c:txPr>
  <c:printSettings>
    <c:headerFooter alignWithMargins="0"/>
    <c:pageMargins b="0.98425196899999956" l="0.78740157499999996" r="0.78740157499999996" t="0.98425196899999956"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822157040734156E-2"/>
          <c:y val="7.4450084602368904E-2"/>
          <c:w val="0.84024703618087671"/>
          <c:h val="0.67512690355330418"/>
        </c:manualLayout>
      </c:layout>
      <c:lineChart>
        <c:grouping val="standard"/>
        <c:varyColors val="0"/>
        <c:ser>
          <c:idx val="0"/>
          <c:order val="0"/>
          <c:tx>
            <c:strRef>
              <c:f>XbarR!$C$57</c:f>
              <c:strCache>
                <c:ptCount val="1"/>
                <c:pt idx="0">
                  <c:v>Range</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XbarR!$C$58:$C$124</c:f>
              <c:numCache>
                <c:formatCode>General</c:formatCode>
                <c:ptCount val="67"/>
                <c:pt idx="1">
                  <c:v>8.6677367576244446E-3</c:v>
                </c:pt>
                <c:pt idx="2">
                  <c:v>0</c:v>
                </c:pt>
                <c:pt idx="3">
                  <c:v>0</c:v>
                </c:pt>
                <c:pt idx="4">
                  <c:v>0</c:v>
                </c:pt>
                <c:pt idx="5">
                  <c:v>8.6677367576244446E-3</c:v>
                </c:pt>
                <c:pt idx="6">
                  <c:v>1.4129520605550838E-2</c:v>
                </c:pt>
                <c:pt idx="7">
                  <c:v>4.5732066123768123E-3</c:v>
                </c:pt>
                <c:pt idx="8">
                  <c:v>3.6537256369448823E-3</c:v>
                </c:pt>
                <c:pt idx="9">
                  <c:v>3.9912166984617414E-2</c:v>
                </c:pt>
                <c:pt idx="10">
                  <c:v>4.5999044850030479E-2</c:v>
                </c:pt>
                <c:pt idx="11">
                  <c:v>8.2736827062979135E-4</c:v>
                </c:pt>
                <c:pt idx="12">
                  <c:v>3.4469931599099835E-2</c:v>
                </c:pt>
                <c:pt idx="13">
                  <c:v>2.4940103604664809E-3</c:v>
                </c:pt>
                <c:pt idx="14">
                  <c:v>3.2043351870008174E-2</c:v>
                </c:pt>
                <c:pt idx="15">
                  <c:v>7.8830994039608138E-3</c:v>
                </c:pt>
                <c:pt idx="16">
                  <c:v>1.1358411985828987E-2</c:v>
                </c:pt>
                <c:pt idx="17">
                  <c:v>1.1358411985828987E-2</c:v>
                </c:pt>
                <c:pt idx="18">
                  <c:v>0</c:v>
                </c:pt>
                <c:pt idx="19">
                  <c:v>1.8867924528301883E-2</c:v>
                </c:pt>
                <c:pt idx="20">
                  <c:v>1.8867924528301883E-2</c:v>
                </c:pt>
                <c:pt idx="21">
                  <c:v>3.2718431206723353E-2</c:v>
                </c:pt>
                <c:pt idx="22">
                  <c:v>1.5737923427505685E-4</c:v>
                </c:pt>
                <c:pt idx="23">
                  <c:v>5.096107326285626E-4</c:v>
                </c:pt>
                <c:pt idx="24">
                  <c:v>2.0521643097233699E-2</c:v>
                </c:pt>
                <c:pt idx="25">
                  <c:v>1.1547365934325482E-2</c:v>
                </c:pt>
                <c:pt idx="26">
                  <c:v>1.9378772066200867E-3</c:v>
                </c:pt>
                <c:pt idx="27">
                  <c:v>4.2074448558526711E-7</c:v>
                </c:pt>
                <c:pt idx="28">
                  <c:v>5.9036611691370977E-3</c:v>
                </c:pt>
                <c:pt idx="29">
                  <c:v>3.1644511013200205E-2</c:v>
                </c:pt>
                <c:pt idx="30">
                  <c:v>4.2040554500382799E-2</c:v>
                </c:pt>
                <c:pt idx="31">
                  <c:v>0.13959532103083105</c:v>
                </c:pt>
                <c:pt idx="32">
                  <c:v>0.10820192612974922</c:v>
                </c:pt>
                <c:pt idx="33">
                  <c:v>3.207499815407866E-2</c:v>
                </c:pt>
                <c:pt idx="34">
                  <c:v>0.17923866354214302</c:v>
                </c:pt>
                <c:pt idx="35">
                  <c:v>0.14278135198881903</c:v>
                </c:pt>
                <c:pt idx="36">
                  <c:v>0.1028310866934341</c:v>
                </c:pt>
                <c:pt idx="37">
                  <c:v>0.12599001635636276</c:v>
                </c:pt>
                <c:pt idx="38">
                  <c:v>5.1093656480298844E-3</c:v>
                </c:pt>
                <c:pt idx="39">
                  <c:v>1.5888681735853116E-2</c:v>
                </c:pt>
                <c:pt idx="40">
                  <c:v>1.4116910844437891E-2</c:v>
                </c:pt>
                <c:pt idx="41">
                  <c:v>1.5138408304498308E-2</c:v>
                </c:pt>
                <c:pt idx="42">
                  <c:v>0</c:v>
                </c:pt>
                <c:pt idx="43">
                  <c:v>2.9832193909260396E-2</c:v>
                </c:pt>
                <c:pt idx="44">
                  <c:v>6.3564847472128427E-3</c:v>
                </c:pt>
                <c:pt idx="45">
                  <c:v>2.3475709162047553E-2</c:v>
                </c:pt>
                <c:pt idx="46">
                  <c:v>3.4880283771800191E-2</c:v>
                </c:pt>
                <c:pt idx="47">
                  <c:v>2.6404056180218016E-2</c:v>
                </c:pt>
                <c:pt idx="48">
                  <c:v>5.5824386035149276E-3</c:v>
                </c:pt>
                <c:pt idx="49">
                  <c:v>0.11660643092085343</c:v>
                </c:pt>
                <c:pt idx="50">
                  <c:v>8.8474931147282887E-2</c:v>
                </c:pt>
                <c:pt idx="51">
                  <c:v>3.5411781483636551E-2</c:v>
                </c:pt>
                <c:pt idx="52">
                  <c:v>6.778384485031097E-3</c:v>
                </c:pt>
                <c:pt idx="53">
                  <c:v>0</c:v>
                </c:pt>
                <c:pt idx="54">
                  <c:v>8.8698351688963895E-3</c:v>
                </c:pt>
                <c:pt idx="55">
                  <c:v>5.649221092446588E-3</c:v>
                </c:pt>
                <c:pt idx="56">
                  <c:v>4.2148972617556346E-2</c:v>
                </c:pt>
                <c:pt idx="57">
                  <c:v>0.11291540715758086</c:v>
                </c:pt>
                <c:pt idx="58">
                  <c:v>0.13156710851119691</c:v>
                </c:pt>
                <c:pt idx="59">
                  <c:v>4.9216460524603711E-3</c:v>
                </c:pt>
                <c:pt idx="60">
                  <c:v>1.075866144594062E-2</c:v>
                </c:pt>
                <c:pt idx="61">
                  <c:v>2.7271122743729004E-2</c:v>
                </c:pt>
                <c:pt idx="62">
                  <c:v>7.1123873319324238E-3</c:v>
                </c:pt>
                <c:pt idx="63">
                  <c:v>7.0933141548275014E-3</c:v>
                </c:pt>
                <c:pt idx="64">
                  <c:v>4.3094432325385679E-3</c:v>
                </c:pt>
                <c:pt idx="65">
                  <c:v>6.4657469799241918E-3</c:v>
                </c:pt>
                <c:pt idx="66">
                  <c:v>0.98559315674945602</c:v>
                </c:pt>
              </c:numCache>
            </c:numRef>
          </c:val>
          <c:smooth val="0"/>
          <c:extLst>
            <c:ext xmlns:c16="http://schemas.microsoft.com/office/drawing/2014/chart" uri="{C3380CC4-5D6E-409C-BE32-E72D297353CC}">
              <c16:uniqueId val="{00000000-4BC0-4BC2-9FB6-4DB4D5AAD0D8}"/>
            </c:ext>
          </c:extLst>
        </c:ser>
        <c:ser>
          <c:idx val="1"/>
          <c:order val="1"/>
          <c:tx>
            <c:strRef>
              <c:f>XbarR!$G$57</c:f>
              <c:strCache>
                <c:ptCount val="1"/>
                <c:pt idx="0">
                  <c:v>CL</c:v>
                </c:pt>
              </c:strCache>
            </c:strRef>
          </c:tx>
          <c:spPr>
            <a:ln w="12700">
              <a:solidFill>
                <a:srgbClr val="0000FF"/>
              </a:solidFill>
              <a:prstDash val="sysDash"/>
            </a:ln>
          </c:spPr>
          <c:marker>
            <c:symbol val="none"/>
          </c:marker>
          <c:dLbls>
            <c:dLbl>
              <c:idx val="24"/>
              <c:layout>
                <c:manualLayout>
                  <c:x val="0.7529173008625063"/>
                  <c:y val="-1.3536911946920339E-2"/>
                </c:manualLayout>
              </c:layout>
              <c:spPr>
                <a:noFill/>
                <a:ln w="25400">
                  <a:noFill/>
                </a:ln>
              </c:spPr>
              <c:txPr>
                <a:bodyPr/>
                <a:lstStyle/>
                <a:p>
                  <a:pPr>
                    <a:defRPr sz="900" b="0" i="0" u="none" strike="noStrike" baseline="0">
                      <a:solidFill>
                        <a:srgbClr val="000000"/>
                      </a:solidFill>
                      <a:latin typeface="Arial"/>
                      <a:ea typeface="Arial"/>
                      <a:cs typeface="Arial"/>
                    </a:defRPr>
                  </a:pPr>
                  <a:endParaRPr lang="de-D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4BC0-4BC2-9FB6-4DB4D5AAD0D8}"/>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XbarR!$G$58:$G$124</c:f>
              <c:numCache>
                <c:formatCode>0.000</c:formatCode>
                <c:ptCount val="67"/>
                <c:pt idx="0">
                  <c:v>4.576061326748164E-2</c:v>
                </c:pt>
                <c:pt idx="1">
                  <c:v>4.576061326748164E-2</c:v>
                </c:pt>
                <c:pt idx="2">
                  <c:v>4.576061326748164E-2</c:v>
                </c:pt>
                <c:pt idx="3">
                  <c:v>4.576061326748164E-2</c:v>
                </c:pt>
                <c:pt idx="4">
                  <c:v>4.576061326748164E-2</c:v>
                </c:pt>
                <c:pt idx="5">
                  <c:v>4.576061326748164E-2</c:v>
                </c:pt>
                <c:pt idx="6">
                  <c:v>4.576061326748164E-2</c:v>
                </c:pt>
                <c:pt idx="7">
                  <c:v>4.576061326748164E-2</c:v>
                </c:pt>
                <c:pt idx="8">
                  <c:v>4.576061326748164E-2</c:v>
                </c:pt>
                <c:pt idx="9">
                  <c:v>4.576061326748164E-2</c:v>
                </c:pt>
                <c:pt idx="10">
                  <c:v>4.576061326748164E-2</c:v>
                </c:pt>
                <c:pt idx="11">
                  <c:v>4.576061326748164E-2</c:v>
                </c:pt>
                <c:pt idx="12">
                  <c:v>4.576061326748164E-2</c:v>
                </c:pt>
                <c:pt idx="13">
                  <c:v>4.576061326748164E-2</c:v>
                </c:pt>
                <c:pt idx="14">
                  <c:v>4.576061326748164E-2</c:v>
                </c:pt>
                <c:pt idx="15">
                  <c:v>4.576061326748164E-2</c:v>
                </c:pt>
                <c:pt idx="16">
                  <c:v>4.576061326748164E-2</c:v>
                </c:pt>
                <c:pt idx="17">
                  <c:v>4.576061326748164E-2</c:v>
                </c:pt>
                <c:pt idx="18">
                  <c:v>4.576061326748164E-2</c:v>
                </c:pt>
                <c:pt idx="19">
                  <c:v>4.576061326748164E-2</c:v>
                </c:pt>
                <c:pt idx="20">
                  <c:v>4.576061326748164E-2</c:v>
                </c:pt>
                <c:pt idx="21">
                  <c:v>4.576061326748164E-2</c:v>
                </c:pt>
                <c:pt idx="22">
                  <c:v>4.576061326748164E-2</c:v>
                </c:pt>
                <c:pt idx="23">
                  <c:v>4.576061326748164E-2</c:v>
                </c:pt>
                <c:pt idx="24">
                  <c:v>4.576061326748164E-2</c:v>
                </c:pt>
                <c:pt idx="25">
                  <c:v>4.576061326748164E-2</c:v>
                </c:pt>
                <c:pt idx="26">
                  <c:v>4.576061326748164E-2</c:v>
                </c:pt>
                <c:pt idx="27">
                  <c:v>4.576061326748164E-2</c:v>
                </c:pt>
                <c:pt idx="28">
                  <c:v>4.576061326748164E-2</c:v>
                </c:pt>
                <c:pt idx="29">
                  <c:v>4.576061326748164E-2</c:v>
                </c:pt>
                <c:pt idx="30">
                  <c:v>4.576061326748164E-2</c:v>
                </c:pt>
                <c:pt idx="31">
                  <c:v>4.576061326748164E-2</c:v>
                </c:pt>
                <c:pt idx="32">
                  <c:v>4.576061326748164E-2</c:v>
                </c:pt>
                <c:pt idx="33">
                  <c:v>4.576061326748164E-2</c:v>
                </c:pt>
                <c:pt idx="34">
                  <c:v>4.576061326748164E-2</c:v>
                </c:pt>
                <c:pt idx="35">
                  <c:v>4.576061326748164E-2</c:v>
                </c:pt>
                <c:pt idx="36">
                  <c:v>4.576061326748164E-2</c:v>
                </c:pt>
                <c:pt idx="37">
                  <c:v>4.576061326748164E-2</c:v>
                </c:pt>
                <c:pt idx="38">
                  <c:v>4.576061326748164E-2</c:v>
                </c:pt>
                <c:pt idx="39">
                  <c:v>4.576061326748164E-2</c:v>
                </c:pt>
                <c:pt idx="40">
                  <c:v>4.576061326748164E-2</c:v>
                </c:pt>
                <c:pt idx="41">
                  <c:v>4.576061326748164E-2</c:v>
                </c:pt>
                <c:pt idx="42">
                  <c:v>4.576061326748164E-2</c:v>
                </c:pt>
                <c:pt idx="43">
                  <c:v>4.576061326748164E-2</c:v>
                </c:pt>
                <c:pt idx="44">
                  <c:v>4.576061326748164E-2</c:v>
                </c:pt>
                <c:pt idx="45">
                  <c:v>4.576061326748164E-2</c:v>
                </c:pt>
                <c:pt idx="46">
                  <c:v>4.576061326748164E-2</c:v>
                </c:pt>
                <c:pt idx="47">
                  <c:v>4.576061326748164E-2</c:v>
                </c:pt>
                <c:pt idx="48">
                  <c:v>4.576061326748164E-2</c:v>
                </c:pt>
                <c:pt idx="49">
                  <c:v>4.576061326748164E-2</c:v>
                </c:pt>
                <c:pt idx="50">
                  <c:v>4.576061326748164E-2</c:v>
                </c:pt>
                <c:pt idx="51">
                  <c:v>4.576061326748164E-2</c:v>
                </c:pt>
                <c:pt idx="52">
                  <c:v>4.576061326748164E-2</c:v>
                </c:pt>
                <c:pt idx="53">
                  <c:v>4.576061326748164E-2</c:v>
                </c:pt>
                <c:pt idx="54">
                  <c:v>4.576061326748164E-2</c:v>
                </c:pt>
                <c:pt idx="55">
                  <c:v>4.576061326748164E-2</c:v>
                </c:pt>
                <c:pt idx="56">
                  <c:v>4.576061326748164E-2</c:v>
                </c:pt>
                <c:pt idx="57">
                  <c:v>4.576061326748164E-2</c:v>
                </c:pt>
                <c:pt idx="58">
                  <c:v>4.576061326748164E-2</c:v>
                </c:pt>
                <c:pt idx="59">
                  <c:v>4.576061326748164E-2</c:v>
                </c:pt>
                <c:pt idx="60">
                  <c:v>4.576061326748164E-2</c:v>
                </c:pt>
                <c:pt idx="61">
                  <c:v>4.576061326748164E-2</c:v>
                </c:pt>
                <c:pt idx="62">
                  <c:v>4.576061326748164E-2</c:v>
                </c:pt>
                <c:pt idx="63">
                  <c:v>4.576061326748164E-2</c:v>
                </c:pt>
                <c:pt idx="64">
                  <c:v>4.576061326748164E-2</c:v>
                </c:pt>
                <c:pt idx="65">
                  <c:v>4.576061326748164E-2</c:v>
                </c:pt>
                <c:pt idx="66">
                  <c:v>4.576061326748164E-2</c:v>
                </c:pt>
              </c:numCache>
            </c:numRef>
          </c:val>
          <c:smooth val="0"/>
          <c:extLst>
            <c:ext xmlns:c16="http://schemas.microsoft.com/office/drawing/2014/chart" uri="{C3380CC4-5D6E-409C-BE32-E72D297353CC}">
              <c16:uniqueId val="{00000002-4BC0-4BC2-9FB6-4DB4D5AAD0D8}"/>
            </c:ext>
          </c:extLst>
        </c:ser>
        <c:ser>
          <c:idx val="2"/>
          <c:order val="2"/>
          <c:tx>
            <c:strRef>
              <c:f>XbarR!$H$57</c:f>
              <c:strCache>
                <c:ptCount val="1"/>
                <c:pt idx="0">
                  <c:v>UCL</c:v>
                </c:pt>
              </c:strCache>
            </c:strRef>
          </c:tx>
          <c:spPr>
            <a:ln w="12700">
              <a:solidFill>
                <a:srgbClr val="FF0000"/>
              </a:solidFill>
              <a:prstDash val="solid"/>
            </a:ln>
          </c:spPr>
          <c:marker>
            <c:symbol val="none"/>
          </c:marker>
          <c:dLbls>
            <c:dLbl>
              <c:idx val="24"/>
              <c:layout>
                <c:manualLayout>
                  <c:x val="0.75088787417554737"/>
                  <c:y val="1.3536379018612588E-2"/>
                </c:manualLayout>
              </c:layout>
              <c:spPr>
                <a:noFill/>
                <a:ln w="25400">
                  <a:noFill/>
                </a:ln>
              </c:spPr>
              <c:txPr>
                <a:bodyPr/>
                <a:lstStyle/>
                <a:p>
                  <a:pPr>
                    <a:defRPr sz="900" b="0" i="0" u="none" strike="noStrike" baseline="0">
                      <a:solidFill>
                        <a:srgbClr val="000000"/>
                      </a:solidFill>
                      <a:latin typeface="Arial"/>
                      <a:ea typeface="Arial"/>
                      <a:cs typeface="Arial"/>
                    </a:defRPr>
                  </a:pPr>
                  <a:endParaRPr lang="de-D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4BC0-4BC2-9FB6-4DB4D5AAD0D8}"/>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XbarR!$H$58:$H$124</c:f>
              <c:numCache>
                <c:formatCode>0.000</c:formatCode>
                <c:ptCount val="67"/>
                <c:pt idx="0">
                  <c:v>0.14957391943014611</c:v>
                </c:pt>
                <c:pt idx="1">
                  <c:v>0.14957391943014611</c:v>
                </c:pt>
                <c:pt idx="2">
                  <c:v>0.14957391943014611</c:v>
                </c:pt>
                <c:pt idx="3">
                  <c:v>0.14957391943014611</c:v>
                </c:pt>
                <c:pt idx="4">
                  <c:v>0.14957391943014611</c:v>
                </c:pt>
                <c:pt idx="5">
                  <c:v>0.14957391943014611</c:v>
                </c:pt>
                <c:pt idx="6">
                  <c:v>0.14957391943014611</c:v>
                </c:pt>
                <c:pt idx="7">
                  <c:v>0.14957391943014611</c:v>
                </c:pt>
                <c:pt idx="8">
                  <c:v>0.14957391943014611</c:v>
                </c:pt>
                <c:pt idx="9">
                  <c:v>0.14957391943014611</c:v>
                </c:pt>
                <c:pt idx="10">
                  <c:v>0.14957391943014611</c:v>
                </c:pt>
                <c:pt idx="11">
                  <c:v>0.14957391943014611</c:v>
                </c:pt>
                <c:pt idx="12">
                  <c:v>0.14957391943014611</c:v>
                </c:pt>
                <c:pt idx="13">
                  <c:v>0.14957391943014611</c:v>
                </c:pt>
                <c:pt idx="14">
                  <c:v>0.14957391943014611</c:v>
                </c:pt>
                <c:pt idx="15">
                  <c:v>0.14957391943014611</c:v>
                </c:pt>
                <c:pt idx="16">
                  <c:v>0.14957391943014611</c:v>
                </c:pt>
                <c:pt idx="17">
                  <c:v>0.14957391943014611</c:v>
                </c:pt>
                <c:pt idx="18">
                  <c:v>0.14957391943014611</c:v>
                </c:pt>
                <c:pt idx="19">
                  <c:v>0.14957391943014611</c:v>
                </c:pt>
                <c:pt idx="20">
                  <c:v>0.14957391943014611</c:v>
                </c:pt>
                <c:pt idx="21">
                  <c:v>0.14957391943014611</c:v>
                </c:pt>
                <c:pt idx="22">
                  <c:v>0.14957391943014611</c:v>
                </c:pt>
                <c:pt idx="23">
                  <c:v>0.14957391943014611</c:v>
                </c:pt>
                <c:pt idx="24">
                  <c:v>0.14957391943014611</c:v>
                </c:pt>
                <c:pt idx="25">
                  <c:v>0.14957391943014611</c:v>
                </c:pt>
                <c:pt idx="26">
                  <c:v>0.14957391943014611</c:v>
                </c:pt>
                <c:pt idx="27">
                  <c:v>0.14957391943014611</c:v>
                </c:pt>
                <c:pt idx="28">
                  <c:v>0.14957391943014611</c:v>
                </c:pt>
                <c:pt idx="29">
                  <c:v>0.14957391943014611</c:v>
                </c:pt>
                <c:pt idx="30">
                  <c:v>0.14957391943014611</c:v>
                </c:pt>
                <c:pt idx="31">
                  <c:v>0.14957391943014611</c:v>
                </c:pt>
                <c:pt idx="32">
                  <c:v>0.14957391943014611</c:v>
                </c:pt>
                <c:pt idx="33">
                  <c:v>0.14957391943014611</c:v>
                </c:pt>
                <c:pt idx="34">
                  <c:v>0.14957391943014611</c:v>
                </c:pt>
                <c:pt idx="35">
                  <c:v>0.14957391943014611</c:v>
                </c:pt>
                <c:pt idx="36">
                  <c:v>0.14957391943014611</c:v>
                </c:pt>
                <c:pt idx="37">
                  <c:v>0.14957391943014611</c:v>
                </c:pt>
                <c:pt idx="38">
                  <c:v>0.14957391943014611</c:v>
                </c:pt>
                <c:pt idx="39">
                  <c:v>0.14957391943014611</c:v>
                </c:pt>
                <c:pt idx="40">
                  <c:v>0.14957391943014611</c:v>
                </c:pt>
                <c:pt idx="41">
                  <c:v>0.14957391943014611</c:v>
                </c:pt>
                <c:pt idx="42">
                  <c:v>0.14957391943014611</c:v>
                </c:pt>
                <c:pt idx="43">
                  <c:v>0.14957391943014611</c:v>
                </c:pt>
                <c:pt idx="44">
                  <c:v>0.14957391943014611</c:v>
                </c:pt>
                <c:pt idx="45">
                  <c:v>0.14957391943014611</c:v>
                </c:pt>
                <c:pt idx="46">
                  <c:v>0.14957391943014611</c:v>
                </c:pt>
                <c:pt idx="47">
                  <c:v>0.14957391943014611</c:v>
                </c:pt>
                <c:pt idx="48">
                  <c:v>0.14957391943014611</c:v>
                </c:pt>
                <c:pt idx="49">
                  <c:v>0.14957391943014611</c:v>
                </c:pt>
                <c:pt idx="50">
                  <c:v>0.14957391943014611</c:v>
                </c:pt>
                <c:pt idx="51">
                  <c:v>0.14957391943014611</c:v>
                </c:pt>
                <c:pt idx="52">
                  <c:v>0.14957391943014611</c:v>
                </c:pt>
                <c:pt idx="53">
                  <c:v>0.14957391943014611</c:v>
                </c:pt>
                <c:pt idx="54">
                  <c:v>0.14957391943014611</c:v>
                </c:pt>
                <c:pt idx="55">
                  <c:v>0.14957391943014611</c:v>
                </c:pt>
                <c:pt idx="56">
                  <c:v>0.14957391943014611</c:v>
                </c:pt>
                <c:pt idx="57">
                  <c:v>0.14957391943014611</c:v>
                </c:pt>
                <c:pt idx="58">
                  <c:v>0.14957391943014611</c:v>
                </c:pt>
                <c:pt idx="59">
                  <c:v>0.14957391943014611</c:v>
                </c:pt>
                <c:pt idx="60">
                  <c:v>0.14957391943014611</c:v>
                </c:pt>
                <c:pt idx="61">
                  <c:v>0.14957391943014611</c:v>
                </c:pt>
                <c:pt idx="62">
                  <c:v>0.14957391943014611</c:v>
                </c:pt>
                <c:pt idx="63">
                  <c:v>0.14957391943014611</c:v>
                </c:pt>
                <c:pt idx="64">
                  <c:v>0.14957391943014611</c:v>
                </c:pt>
                <c:pt idx="65">
                  <c:v>0.14957391943014611</c:v>
                </c:pt>
                <c:pt idx="66">
                  <c:v>0.14957391943014611</c:v>
                </c:pt>
              </c:numCache>
            </c:numRef>
          </c:val>
          <c:smooth val="0"/>
          <c:extLst>
            <c:ext xmlns:c16="http://schemas.microsoft.com/office/drawing/2014/chart" uri="{C3380CC4-5D6E-409C-BE32-E72D297353CC}">
              <c16:uniqueId val="{00000004-4BC0-4BC2-9FB6-4DB4D5AAD0D8}"/>
            </c:ext>
          </c:extLst>
        </c:ser>
        <c:ser>
          <c:idx val="3"/>
          <c:order val="3"/>
          <c:tx>
            <c:strRef>
              <c:f>XbarR!$I$57</c:f>
              <c:strCache>
                <c:ptCount val="1"/>
                <c:pt idx="0">
                  <c:v>LCL</c:v>
                </c:pt>
              </c:strCache>
            </c:strRef>
          </c:tx>
          <c:spPr>
            <a:ln w="12700">
              <a:solidFill>
                <a:srgbClr val="FF0000"/>
              </a:solidFill>
              <a:prstDash val="solid"/>
            </a:ln>
          </c:spPr>
          <c:marker>
            <c:symbol val="none"/>
          </c:marker>
          <c:dLbls>
            <c:dLbl>
              <c:idx val="24"/>
              <c:layout>
                <c:manualLayout>
                  <c:x val="0.75697615423642861"/>
                  <c:y val="2.7072758037225111E-2"/>
                </c:manualLayout>
              </c:layout>
              <c:spPr>
                <a:noFill/>
                <a:ln w="25400">
                  <a:noFill/>
                </a:ln>
              </c:spPr>
              <c:txPr>
                <a:bodyPr/>
                <a:lstStyle/>
                <a:p>
                  <a:pPr>
                    <a:defRPr sz="900" b="0" i="0" u="none" strike="noStrike" baseline="0">
                      <a:solidFill>
                        <a:srgbClr val="000000"/>
                      </a:solidFill>
                      <a:latin typeface="Arial"/>
                      <a:ea typeface="Arial"/>
                      <a:cs typeface="Arial"/>
                    </a:defRPr>
                  </a:pPr>
                  <a:endParaRPr lang="de-D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4BC0-4BC2-9FB6-4DB4D5AAD0D8}"/>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XbarR!$I$58:$I$124</c:f>
              <c:numCache>
                <c:formatCode>0.000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6-4BC0-4BC2-9FB6-4DB4D5AAD0D8}"/>
            </c:ext>
          </c:extLst>
        </c:ser>
        <c:dLbls>
          <c:showLegendKey val="0"/>
          <c:showVal val="0"/>
          <c:showCatName val="0"/>
          <c:showSerName val="0"/>
          <c:showPercent val="0"/>
          <c:showBubbleSize val="0"/>
        </c:dLbls>
        <c:marker val="1"/>
        <c:smooth val="0"/>
        <c:axId val="208181504"/>
        <c:axId val="208191872"/>
      </c:lineChart>
      <c:catAx>
        <c:axId val="208181504"/>
        <c:scaling>
          <c:orientation val="minMax"/>
        </c:scaling>
        <c:delete val="0"/>
        <c:axPos val="b"/>
        <c:title>
          <c:tx>
            <c:rich>
              <a:bodyPr/>
              <a:lstStyle/>
              <a:p>
                <a:pPr>
                  <a:defRPr sz="900" b="0" i="0" u="none" strike="noStrike" baseline="0">
                    <a:solidFill>
                      <a:srgbClr val="000000"/>
                    </a:solidFill>
                    <a:latin typeface="Arial"/>
                    <a:ea typeface="Arial"/>
                    <a:cs typeface="Arial"/>
                  </a:defRPr>
                </a:pPr>
                <a:r>
                  <a:rPr lang="de-DE"/>
                  <a:t>Sample #</a:t>
                </a:r>
              </a:p>
            </c:rich>
          </c:tx>
          <c:layout>
            <c:manualLayout>
              <c:xMode val="edge"/>
              <c:yMode val="edge"/>
              <c:x val="0.45468578191871734"/>
              <c:y val="0.8680203045685328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08191872"/>
        <c:crosses val="autoZero"/>
        <c:auto val="1"/>
        <c:lblAlgn val="ctr"/>
        <c:lblOffset val="100"/>
        <c:tickLblSkip val="1"/>
        <c:tickMarkSkip val="1"/>
        <c:noMultiLvlLbl val="0"/>
      </c:catAx>
      <c:valAx>
        <c:axId val="208191872"/>
        <c:scaling>
          <c:orientation val="minMax"/>
          <c:max val="0.2"/>
          <c:min val="0"/>
        </c:scaling>
        <c:delete val="0"/>
        <c:axPos val="l"/>
        <c:title>
          <c:tx>
            <c:rich>
              <a:bodyPr/>
              <a:lstStyle/>
              <a:p>
                <a:pPr>
                  <a:defRPr sz="900" b="1" i="0" u="none" strike="noStrike" baseline="0">
                    <a:solidFill>
                      <a:srgbClr val="000000"/>
                    </a:solidFill>
                    <a:latin typeface="Arial"/>
                    <a:ea typeface="Arial"/>
                    <a:cs typeface="Arial"/>
                  </a:defRPr>
                </a:pPr>
                <a:r>
                  <a:rPr lang="de-DE"/>
                  <a:t>Moving </a:t>
                </a:r>
              </a:p>
              <a:p>
                <a:pPr>
                  <a:defRPr sz="900" b="1" i="0" u="none" strike="noStrike" baseline="0">
                    <a:solidFill>
                      <a:srgbClr val="000000"/>
                    </a:solidFill>
                    <a:latin typeface="Arial"/>
                    <a:ea typeface="Arial"/>
                    <a:cs typeface="Arial"/>
                  </a:defRPr>
                </a:pPr>
                <a:r>
                  <a:rPr lang="de-DE"/>
                  <a:t>Range</a:t>
                </a:r>
              </a:p>
            </c:rich>
          </c:tx>
          <c:layout>
            <c:manualLayout>
              <c:xMode val="edge"/>
              <c:yMode val="edge"/>
              <c:x val="2.2160549603430718E-3"/>
              <c:y val="0.544111421556176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08181504"/>
        <c:crosses val="autoZero"/>
        <c:crossBetween val="between"/>
      </c:valAx>
      <c:spPr>
        <a:noFill/>
        <a:ln w="25400">
          <a:noFill/>
        </a:ln>
      </c:spPr>
    </c:plotArea>
    <c:plotVisOnly val="1"/>
    <c:dispBlanksAs val="gap"/>
    <c:showDLblsOverMax val="0"/>
  </c:chart>
  <c:spPr>
    <a:solidFill>
      <a:srgbClr val="FFFFFF"/>
    </a:solidFill>
    <a:ln w="9525">
      <a:solidFill>
        <a:schemeClr val="bg2"/>
      </a:solidFill>
    </a:ln>
  </c:spPr>
  <c:txPr>
    <a:bodyPr/>
    <a:lstStyle/>
    <a:p>
      <a:pPr>
        <a:defRPr sz="900" b="0" i="0" u="none" strike="noStrike" baseline="0">
          <a:solidFill>
            <a:srgbClr val="000000"/>
          </a:solidFill>
          <a:latin typeface="Arial"/>
          <a:ea typeface="Arial"/>
          <a:cs typeface="Arial"/>
        </a:defRPr>
      </a:pPr>
      <a:endParaRPr lang="de-DE"/>
    </a:p>
  </c:txPr>
  <c:printSettings>
    <c:headerFooter alignWithMargins="0"/>
    <c:pageMargins b="0.98425196899999956" l="0.78740157499999996" r="0.78740157499999996" t="0.98425196899999956"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364847560144946E-2"/>
          <c:y val="5.5263157894736924E-2"/>
          <c:w val="0.92674486190956262"/>
          <c:h val="0.79210526315789564"/>
        </c:manualLayout>
      </c:layout>
      <c:barChart>
        <c:barDir val="col"/>
        <c:grouping val="stacked"/>
        <c:varyColors val="0"/>
        <c:ser>
          <c:idx val="0"/>
          <c:order val="1"/>
          <c:tx>
            <c:strRef>
              <c:f>BoxPlot!$A$29</c:f>
              <c:strCache>
                <c:ptCount val="1"/>
                <c:pt idx="0">
                  <c:v>Q1</c:v>
                </c:pt>
              </c:strCache>
            </c:strRef>
          </c:tx>
          <c:spPr>
            <a:noFill/>
            <a:ln w="25400">
              <a:noFill/>
            </a:ln>
          </c:spPr>
          <c:invertIfNegative val="0"/>
          <c:errBars>
            <c:errBarType val="minus"/>
            <c:errValType val="cust"/>
            <c:noEndCap val="0"/>
            <c:minus>
              <c:numRef>
                <c:f>BoxPlot!$B$45:$M$45</c:f>
                <c:numCache>
                  <c:formatCode>General</c:formatCode>
                  <c:ptCount val="12"/>
                  <c:pt idx="0">
                    <c:v>15.18158879318436</c:v>
                  </c:pt>
                  <c:pt idx="1">
                    <c:v>13.64887545636573</c:v>
                  </c:pt>
                  <c:pt idx="2">
                    <c:v>6</c:v>
                  </c:pt>
                  <c:pt idx="3">
                    <c:v>0</c:v>
                  </c:pt>
                  <c:pt idx="4">
                    <c:v>0</c:v>
                  </c:pt>
                  <c:pt idx="5">
                    <c:v>0</c:v>
                  </c:pt>
                  <c:pt idx="6">
                    <c:v>0</c:v>
                  </c:pt>
                  <c:pt idx="7">
                    <c:v>0</c:v>
                  </c:pt>
                  <c:pt idx="8">
                    <c:v>0</c:v>
                  </c:pt>
                  <c:pt idx="9">
                    <c:v>0</c:v>
                  </c:pt>
                  <c:pt idx="10">
                    <c:v>0</c:v>
                  </c:pt>
                  <c:pt idx="11">
                    <c:v>0</c:v>
                  </c:pt>
                </c:numCache>
              </c:numRef>
            </c:minus>
            <c:spPr>
              <a:ln w="12700">
                <a:solidFill>
                  <a:srgbClr val="000000"/>
                </a:solidFill>
                <a:prstDash val="solid"/>
              </a:ln>
            </c:spPr>
          </c:errBars>
          <c:cat>
            <c:strRef>
              <c:f>BoxPlot!$B$27:$M$27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BoxPlot!$B$29:$M$29</c:f>
              <c:numCache>
                <c:formatCode>General</c:formatCode>
                <c:ptCount val="12"/>
                <c:pt idx="0">
                  <c:v>96.739960321898295</c:v>
                </c:pt>
                <c:pt idx="1">
                  <c:v>96.690531852717712</c:v>
                </c:pt>
                <c:pt idx="2">
                  <c:v>83</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C81-4FBE-A57F-20CFEC086DE4}"/>
            </c:ext>
          </c:extLst>
        </c:ser>
        <c:ser>
          <c:idx val="1"/>
          <c:order val="2"/>
          <c:tx>
            <c:strRef>
              <c:f>BoxPlot!$A$37</c:f>
              <c:strCache>
                <c:ptCount val="1"/>
                <c:pt idx="0">
                  <c:v>Q2-Q1</c:v>
                </c:pt>
              </c:strCache>
            </c:strRef>
          </c:tx>
          <c:spPr>
            <a:noFill/>
            <a:ln w="12700">
              <a:solidFill>
                <a:srgbClr val="000000"/>
              </a:solidFill>
              <a:prstDash val="solid"/>
            </a:ln>
          </c:spPr>
          <c:invertIfNegative val="0"/>
          <c:cat>
            <c:strRef>
              <c:f>BoxPlot!$B$27:$M$27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BoxPlot!$B$37:$M$37</c:f>
              <c:numCache>
                <c:formatCode>General</c:formatCode>
                <c:ptCount val="12"/>
                <c:pt idx="0">
                  <c:v>1.9720867162036058</c:v>
                </c:pt>
                <c:pt idx="1">
                  <c:v>1.6531534474893306</c:v>
                </c:pt>
                <c:pt idx="2">
                  <c:v>3</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C81-4FBE-A57F-20CFEC086DE4}"/>
            </c:ext>
          </c:extLst>
        </c:ser>
        <c:ser>
          <c:idx val="2"/>
          <c:order val="3"/>
          <c:tx>
            <c:strRef>
              <c:f>BoxPlot!$A$38</c:f>
              <c:strCache>
                <c:ptCount val="1"/>
                <c:pt idx="0">
                  <c:v>Q3-Q2</c:v>
                </c:pt>
              </c:strCache>
            </c:strRef>
          </c:tx>
          <c:spPr>
            <a:noFill/>
            <a:ln w="12700">
              <a:solidFill>
                <a:srgbClr val="000000"/>
              </a:solidFill>
              <a:prstDash val="solid"/>
            </a:ln>
          </c:spPr>
          <c:invertIfNegative val="0"/>
          <c:errBars>
            <c:errBarType val="plus"/>
            <c:errValType val="cust"/>
            <c:noEndCap val="0"/>
            <c:plus>
              <c:numRef>
                <c:f>BoxPlot!$B$44:$M$44</c:f>
                <c:numCache>
                  <c:formatCode>General</c:formatCode>
                  <c:ptCount val="12"/>
                  <c:pt idx="0">
                    <c:v>0.76931149941469812</c:v>
                  </c:pt>
                  <c:pt idx="1">
                    <c:v>0.88698351688964294</c:v>
                  </c:pt>
                  <c:pt idx="2">
                    <c:v>4</c:v>
                  </c:pt>
                  <c:pt idx="3">
                    <c:v>0</c:v>
                  </c:pt>
                  <c:pt idx="4">
                    <c:v>0</c:v>
                  </c:pt>
                  <c:pt idx="5">
                    <c:v>0</c:v>
                  </c:pt>
                  <c:pt idx="6">
                    <c:v>0</c:v>
                  </c:pt>
                  <c:pt idx="7">
                    <c:v>0</c:v>
                  </c:pt>
                  <c:pt idx="8">
                    <c:v>0</c:v>
                  </c:pt>
                  <c:pt idx="9">
                    <c:v>0</c:v>
                  </c:pt>
                  <c:pt idx="10">
                    <c:v>0</c:v>
                  </c:pt>
                  <c:pt idx="11">
                    <c:v>0</c:v>
                  </c:pt>
                </c:numCache>
              </c:numRef>
            </c:plus>
            <c:spPr>
              <a:noFill/>
              <a:ln w="12700">
                <a:solidFill>
                  <a:srgbClr val="000000"/>
                </a:solidFill>
                <a:prstDash val="solid"/>
              </a:ln>
            </c:spPr>
          </c:errBars>
          <c:cat>
            <c:strRef>
              <c:f>BoxPlot!$B$27:$M$27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BoxPlot!$B$38:$M$38</c:f>
              <c:numCache>
                <c:formatCode>General</c:formatCode>
                <c:ptCount val="12"/>
                <c:pt idx="0">
                  <c:v>0.51864146248340148</c:v>
                </c:pt>
                <c:pt idx="1">
                  <c:v>0.76933118290331493</c:v>
                </c:pt>
                <c:pt idx="2">
                  <c:v>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2C81-4FBE-A57F-20CFEC086DE4}"/>
            </c:ext>
          </c:extLst>
        </c:ser>
        <c:dLbls>
          <c:showLegendKey val="0"/>
          <c:showVal val="0"/>
          <c:showCatName val="0"/>
          <c:showSerName val="0"/>
          <c:showPercent val="0"/>
          <c:showBubbleSize val="0"/>
        </c:dLbls>
        <c:gapWidth val="150"/>
        <c:overlap val="100"/>
        <c:axId val="449811584"/>
        <c:axId val="449813504"/>
      </c:barChart>
      <c:lineChart>
        <c:grouping val="standard"/>
        <c:varyColors val="0"/>
        <c:ser>
          <c:idx val="5"/>
          <c:order val="0"/>
          <c:tx>
            <c:strRef>
              <c:f>BoxPlot!$A$279</c:f>
              <c:strCache>
                <c:ptCount val="1"/>
                <c:pt idx="0">
                  <c:v>Target: QP</c:v>
                </c:pt>
              </c:strCache>
            </c:strRef>
          </c:tx>
          <c:spPr>
            <a:ln w="28575">
              <a:solidFill>
                <a:srgbClr val="FF0000"/>
              </a:solidFill>
            </a:ln>
          </c:spPr>
          <c:marker>
            <c:symbol val="none"/>
          </c:marker>
          <c:val>
            <c:numRef>
              <c:f>BoxPlot!$B$279:$M$279</c:f>
              <c:numCache>
                <c:formatCode>General</c:formatCode>
                <c:ptCount val="12"/>
                <c:pt idx="0">
                  <c:v>95</c:v>
                </c:pt>
                <c:pt idx="1">
                  <c:v>95</c:v>
                </c:pt>
                <c:pt idx="2">
                  <c:v>95</c:v>
                </c:pt>
                <c:pt idx="3">
                  <c:v>95</c:v>
                </c:pt>
                <c:pt idx="4">
                  <c:v>95</c:v>
                </c:pt>
                <c:pt idx="5">
                  <c:v>95</c:v>
                </c:pt>
                <c:pt idx="6">
                  <c:v>95</c:v>
                </c:pt>
                <c:pt idx="7">
                  <c:v>95</c:v>
                </c:pt>
                <c:pt idx="8">
                  <c:v>95</c:v>
                </c:pt>
                <c:pt idx="9">
                  <c:v>95</c:v>
                </c:pt>
                <c:pt idx="10">
                  <c:v>95</c:v>
                </c:pt>
                <c:pt idx="11">
                  <c:v>95</c:v>
                </c:pt>
              </c:numCache>
            </c:numRef>
          </c:val>
          <c:smooth val="0"/>
          <c:extLst>
            <c:ext xmlns:c16="http://schemas.microsoft.com/office/drawing/2014/chart" uri="{C3380CC4-5D6E-409C-BE32-E72D297353CC}">
              <c16:uniqueId val="{00000003-2C81-4FBE-A57F-20CFEC086DE4}"/>
            </c:ext>
          </c:extLst>
        </c:ser>
        <c:ser>
          <c:idx val="4"/>
          <c:order val="4"/>
          <c:tx>
            <c:v>Min Outlier</c:v>
          </c:tx>
          <c:spPr>
            <a:ln w="28575">
              <a:noFill/>
            </a:ln>
          </c:spPr>
          <c:marker>
            <c:symbol val="star"/>
            <c:size val="5"/>
            <c:spPr>
              <a:noFill/>
              <a:ln>
                <a:solidFill>
                  <a:srgbClr val="FF00FF"/>
                </a:solidFill>
                <a:prstDash val="solid"/>
              </a:ln>
            </c:spPr>
          </c:marker>
          <c:cat>
            <c:strRef>
              <c:f>BoxPlot!$B$27:$M$27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BoxPlot!$B$48:$M$48</c:f>
              <c:numCache>
                <c:formatCode>General</c:formatCode>
                <c:ptCount val="12"/>
                <c:pt idx="0">
                  <c:v>#N/A</c:v>
                </c:pt>
                <c:pt idx="1">
                  <c:v>#N/A</c:v>
                </c:pt>
                <c:pt idx="2">
                  <c:v>#N/A</c:v>
                </c:pt>
                <c:pt idx="3">
                  <c:v>#N/A</c:v>
                </c:pt>
                <c:pt idx="10">
                  <c:v>#N/A</c:v>
                </c:pt>
                <c:pt idx="11">
                  <c:v>#N/A</c:v>
                </c:pt>
              </c:numCache>
            </c:numRef>
          </c:val>
          <c:smooth val="0"/>
          <c:extLst>
            <c:ext xmlns:c16="http://schemas.microsoft.com/office/drawing/2014/chart" uri="{C3380CC4-5D6E-409C-BE32-E72D297353CC}">
              <c16:uniqueId val="{00000004-2C81-4FBE-A57F-20CFEC086DE4}"/>
            </c:ext>
          </c:extLst>
        </c:ser>
        <c:ser>
          <c:idx val="3"/>
          <c:order val="5"/>
          <c:tx>
            <c:v>Max Outlier</c:v>
          </c:tx>
          <c:spPr>
            <a:ln w="28575">
              <a:noFill/>
            </a:ln>
          </c:spPr>
          <c:marker>
            <c:symbol val="star"/>
            <c:size val="5"/>
            <c:spPr>
              <a:noFill/>
              <a:ln>
                <a:solidFill>
                  <a:srgbClr val="FF0000"/>
                </a:solidFill>
                <a:prstDash val="solid"/>
              </a:ln>
            </c:spPr>
          </c:marker>
          <c:cat>
            <c:strRef>
              <c:f>BoxPlot!$B$27:$M$27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BoxPlot!$B$47:$M$47</c:f>
              <c:numCache>
                <c:formatCode>General</c:formatCode>
                <c:ptCount val="12"/>
                <c:pt idx="0">
                  <c:v>97.550196408280101</c:v>
                </c:pt>
                <c:pt idx="1">
                  <c:v>97.151461729082499</c:v>
                </c:pt>
                <c:pt idx="2">
                  <c:v>86.310344827586206</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5-2C81-4FBE-A57F-20CFEC086DE4}"/>
            </c:ext>
          </c:extLst>
        </c:ser>
        <c:dLbls>
          <c:showLegendKey val="0"/>
          <c:showVal val="0"/>
          <c:showCatName val="0"/>
          <c:showSerName val="0"/>
          <c:showPercent val="0"/>
          <c:showBubbleSize val="0"/>
        </c:dLbls>
        <c:marker val="1"/>
        <c:smooth val="0"/>
        <c:axId val="449811584"/>
        <c:axId val="449813504"/>
      </c:lineChart>
      <c:catAx>
        <c:axId val="449811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de-DE" sz="1125" b="0" i="0" u="none" strike="noStrike" baseline="0">
                <a:solidFill>
                  <a:srgbClr val="000000"/>
                </a:solidFill>
                <a:latin typeface="Arial"/>
                <a:ea typeface="Arial"/>
                <a:cs typeface="Arial"/>
              </a:defRPr>
            </a:pPr>
            <a:endParaRPr lang="de-DE"/>
          </a:p>
        </c:txPr>
        <c:crossAx val="449813504"/>
        <c:crossesAt val="0"/>
        <c:auto val="1"/>
        <c:lblAlgn val="ctr"/>
        <c:lblOffset val="100"/>
        <c:tickLblSkip val="1"/>
        <c:tickMarkSkip val="1"/>
        <c:noMultiLvlLbl val="0"/>
      </c:catAx>
      <c:valAx>
        <c:axId val="449813504"/>
        <c:scaling>
          <c:orientation val="minMax"/>
          <c:min val="75"/>
        </c:scaling>
        <c:delete val="0"/>
        <c:axPos val="l"/>
        <c:numFmt formatCode="General" sourceLinked="1"/>
        <c:majorTickMark val="out"/>
        <c:minorTickMark val="none"/>
        <c:tickLblPos val="nextTo"/>
        <c:spPr>
          <a:gradFill>
            <a:gsLst>
              <a:gs pos="45000">
                <a:srgbClr val="4F81BD">
                  <a:tint val="66000"/>
                  <a:satMod val="160000"/>
                  <a:alpha val="0"/>
                </a:srgbClr>
              </a:gs>
              <a:gs pos="90000">
                <a:srgbClr val="1F497D">
                  <a:alpha val="0"/>
                </a:srgbClr>
              </a:gs>
              <a:gs pos="100000">
                <a:srgbClr val="4F81BD">
                  <a:tint val="23500"/>
                  <a:satMod val="160000"/>
                </a:srgbClr>
              </a:gs>
            </a:gsLst>
            <a:lin ang="5400000" scaled="0"/>
          </a:gradFill>
          <a:ln w="3175">
            <a:solidFill>
              <a:srgbClr val="000000"/>
            </a:solidFill>
            <a:prstDash val="solid"/>
          </a:ln>
        </c:spPr>
        <c:txPr>
          <a:bodyPr rot="0" vert="horz"/>
          <a:lstStyle/>
          <a:p>
            <a:pPr>
              <a:defRPr lang="de-DE" sz="1125" b="0" i="0" u="none" strike="noStrike" baseline="0">
                <a:solidFill>
                  <a:srgbClr val="000000"/>
                </a:solidFill>
                <a:latin typeface="Arial"/>
                <a:ea typeface="Arial"/>
                <a:cs typeface="Arial"/>
              </a:defRPr>
            </a:pPr>
            <a:endParaRPr lang="de-DE"/>
          </a:p>
        </c:txPr>
        <c:crossAx val="449811584"/>
        <c:crosses val="autoZero"/>
        <c:crossBetween val="between"/>
      </c:valAx>
      <c:spPr>
        <a:noFill/>
        <a:ln w="25400">
          <a:noFill/>
        </a:ln>
      </c:spPr>
    </c:plotArea>
    <c:plotVisOnly val="0"/>
    <c:dispBlanksAs val="gap"/>
    <c:showDLblsOverMax val="0"/>
  </c:chart>
  <c:spPr>
    <a:solidFill>
      <a:srgbClr val="FFFFFF"/>
    </a:solidFill>
    <a:ln w="9525">
      <a:solidFill>
        <a:schemeClr val="bg2"/>
      </a:solidFill>
    </a:ln>
  </c:spPr>
  <c:txPr>
    <a:bodyPr/>
    <a:lstStyle/>
    <a:p>
      <a:pPr>
        <a:defRPr sz="1050" b="0" i="0" u="none" strike="noStrike" baseline="0">
          <a:solidFill>
            <a:srgbClr val="000000"/>
          </a:solidFill>
          <a:latin typeface="Arial"/>
          <a:ea typeface="Arial"/>
          <a:cs typeface="Arial"/>
        </a:defRPr>
      </a:pPr>
      <a:endParaRPr lang="de-DE"/>
    </a:p>
  </c:txPr>
  <c:printSettings>
    <c:headerFooter alignWithMargins="0"/>
    <c:pageMargins b="0.98425196899999956" l="0.78740157499999996" r="0.78740157499999996" t="0.98425196899999956" header="0.5" footer="0.5"/>
    <c:pageSetup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292121821565798E-2"/>
          <c:y val="5.5913978494623734E-2"/>
          <c:w val="0.83050909941759865"/>
          <c:h val="0.78064639088708243"/>
        </c:manualLayout>
      </c:layout>
      <c:lineChart>
        <c:grouping val="standard"/>
        <c:varyColors val="0"/>
        <c:ser>
          <c:idx val="0"/>
          <c:order val="0"/>
          <c:tx>
            <c:strRef>
              <c:f>XbarR!$B$57</c:f>
              <c:strCache>
                <c:ptCount val="1"/>
                <c:pt idx="0">
                  <c:v>X-bar</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XbarR!$B$58:$B$124</c:f>
              <c:numCache>
                <c:formatCode>0.00%</c:formatCode>
                <c:ptCount val="67"/>
                <c:pt idx="0">
                  <c:v>1</c:v>
                </c:pt>
                <c:pt idx="1">
                  <c:v>0.99133226324237556</c:v>
                </c:pt>
                <c:pt idx="2">
                  <c:v>0.99133226324237556</c:v>
                </c:pt>
                <c:pt idx="3">
                  <c:v>0.99133226324237556</c:v>
                </c:pt>
                <c:pt idx="4">
                  <c:v>0.99133226324237556</c:v>
                </c:pt>
                <c:pt idx="5">
                  <c:v>1</c:v>
                </c:pt>
                <c:pt idx="6">
                  <c:v>0.98587047939444916</c:v>
                </c:pt>
                <c:pt idx="7">
                  <c:v>0.99044368600682597</c:v>
                </c:pt>
                <c:pt idx="8">
                  <c:v>0.98678996036988109</c:v>
                </c:pt>
                <c:pt idx="9">
                  <c:v>0.94687779338526368</c:v>
                </c:pt>
                <c:pt idx="10">
                  <c:v>0.99287683823529416</c:v>
                </c:pt>
                <c:pt idx="11">
                  <c:v>0.99204946996466437</c:v>
                </c:pt>
                <c:pt idx="12">
                  <c:v>0.95757953836556453</c:v>
                </c:pt>
                <c:pt idx="13">
                  <c:v>0.96007354872603101</c:v>
                </c:pt>
                <c:pt idx="14">
                  <c:v>0.99211690059603919</c:v>
                </c:pt>
                <c:pt idx="15">
                  <c:v>1</c:v>
                </c:pt>
                <c:pt idx="16">
                  <c:v>0.98864158801417101</c:v>
                </c:pt>
                <c:pt idx="17">
                  <c:v>1</c:v>
                </c:pt>
                <c:pt idx="18">
                  <c:v>1</c:v>
                </c:pt>
                <c:pt idx="19">
                  <c:v>0.98113207547169812</c:v>
                </c:pt>
                <c:pt idx="20">
                  <c:v>1</c:v>
                </c:pt>
                <c:pt idx="21">
                  <c:v>0.96728156879327665</c:v>
                </c:pt>
                <c:pt idx="22">
                  <c:v>0.9674389480275517</c:v>
                </c:pt>
                <c:pt idx="23">
                  <c:v>0.96692933729492314</c:v>
                </c:pt>
                <c:pt idx="24">
                  <c:v>0.98745098039215684</c:v>
                </c:pt>
                <c:pt idx="25">
                  <c:v>0.97590361445783136</c:v>
                </c:pt>
                <c:pt idx="26">
                  <c:v>0.97784149166445145</c:v>
                </c:pt>
                <c:pt idx="27">
                  <c:v>0.97784107091996586</c:v>
                </c:pt>
                <c:pt idx="28">
                  <c:v>0.98374473208910296</c:v>
                </c:pt>
                <c:pt idx="29">
                  <c:v>0.95210022107590275</c:v>
                </c:pt>
                <c:pt idx="30">
                  <c:v>0.99414077557628555</c:v>
                </c:pt>
                <c:pt idx="31">
                  <c:v>0.8545454545454545</c:v>
                </c:pt>
                <c:pt idx="32">
                  <c:v>0.96274738067520371</c:v>
                </c:pt>
                <c:pt idx="33">
                  <c:v>0.99482237882928237</c:v>
                </c:pt>
                <c:pt idx="34">
                  <c:v>0.81558371528713935</c:v>
                </c:pt>
                <c:pt idx="35">
                  <c:v>0.95836506727595838</c:v>
                </c:pt>
                <c:pt idx="36">
                  <c:v>0.85553398058252428</c:v>
                </c:pt>
                <c:pt idx="37">
                  <c:v>0.98152399693888703</c:v>
                </c:pt>
                <c:pt idx="38">
                  <c:v>0.98663336258691692</c:v>
                </c:pt>
                <c:pt idx="39">
                  <c:v>0.9707446808510638</c:v>
                </c:pt>
                <c:pt idx="40">
                  <c:v>0.98486159169550169</c:v>
                </c:pt>
                <c:pt idx="41">
                  <c:v>1</c:v>
                </c:pt>
                <c:pt idx="42">
                  <c:v>1</c:v>
                </c:pt>
                <c:pt idx="43">
                  <c:v>0.9701678060907396</c:v>
                </c:pt>
                <c:pt idx="44">
                  <c:v>0.97652429083795245</c:v>
                </c:pt>
                <c:pt idx="45">
                  <c:v>1</c:v>
                </c:pt>
                <c:pt idx="46">
                  <c:v>0.96511971622819981</c:v>
                </c:pt>
                <c:pt idx="47">
                  <c:v>0.99152377240841783</c:v>
                </c:pt>
                <c:pt idx="48">
                  <c:v>0.9859413338049029</c:v>
                </c:pt>
                <c:pt idx="49">
                  <c:v>0.86933490288404947</c:v>
                </c:pt>
                <c:pt idx="50">
                  <c:v>0.95780983403133235</c:v>
                </c:pt>
                <c:pt idx="51">
                  <c:v>0.9932216155149689</c:v>
                </c:pt>
                <c:pt idx="52">
                  <c:v>1</c:v>
                </c:pt>
                <c:pt idx="53">
                  <c:v>1</c:v>
                </c:pt>
                <c:pt idx="54">
                  <c:v>0.99113016483110361</c:v>
                </c:pt>
                <c:pt idx="55">
                  <c:v>0.98548094373865702</c:v>
                </c:pt>
                <c:pt idx="56">
                  <c:v>0.94333197112110068</c:v>
                </c:pt>
                <c:pt idx="57">
                  <c:v>0.83041656396351982</c:v>
                </c:pt>
                <c:pt idx="58">
                  <c:v>0.96198367247471672</c:v>
                </c:pt>
                <c:pt idx="59">
                  <c:v>0.96690531852717709</c:v>
                </c:pt>
                <c:pt idx="60">
                  <c:v>0.95614665708123647</c:v>
                </c:pt>
                <c:pt idx="61">
                  <c:v>0.98341777982496548</c:v>
                </c:pt>
                <c:pt idx="62">
                  <c:v>0.9905301671568979</c:v>
                </c:pt>
                <c:pt idx="63">
                  <c:v>0.9834368530020704</c:v>
                </c:pt>
                <c:pt idx="64">
                  <c:v>0.97912740976953183</c:v>
                </c:pt>
                <c:pt idx="65">
                  <c:v>0.98559315674945602</c:v>
                </c:pt>
              </c:numCache>
            </c:numRef>
          </c:val>
          <c:smooth val="0"/>
          <c:extLst>
            <c:ext xmlns:c16="http://schemas.microsoft.com/office/drawing/2014/chart" uri="{C3380CC4-5D6E-409C-BE32-E72D297353CC}">
              <c16:uniqueId val="{00000000-AAAB-4E35-B166-372CDCA6F989}"/>
            </c:ext>
          </c:extLst>
        </c:ser>
        <c:ser>
          <c:idx val="1"/>
          <c:order val="1"/>
          <c:tx>
            <c:strRef>
              <c:f>XbarR!$D$57</c:f>
              <c:strCache>
                <c:ptCount val="1"/>
                <c:pt idx="0">
                  <c:v>CL</c:v>
                </c:pt>
              </c:strCache>
            </c:strRef>
          </c:tx>
          <c:spPr>
            <a:ln w="12700">
              <a:solidFill>
                <a:srgbClr val="0000FF"/>
              </a:solidFill>
              <a:prstDash val="sysDash"/>
            </a:ln>
          </c:spPr>
          <c:marker>
            <c:symbol val="none"/>
          </c:marker>
          <c:dLbls>
            <c:dLbl>
              <c:idx val="24"/>
              <c:layout>
                <c:manualLayout>
                  <c:x val="0.74273277422609585"/>
                  <c:y val="0"/>
                </c:manualLayout>
              </c:layout>
              <c:spPr>
                <a:noFill/>
                <a:ln w="25400">
                  <a:noFill/>
                </a:ln>
              </c:spPr>
              <c:txPr>
                <a:bodyPr/>
                <a:lstStyle/>
                <a:p>
                  <a:pPr>
                    <a:defRPr sz="875" b="0" i="0" u="none" strike="noStrike" baseline="0">
                      <a:solidFill>
                        <a:srgbClr val="000000"/>
                      </a:solidFill>
                      <a:latin typeface="Arial"/>
                      <a:ea typeface="Arial"/>
                      <a:cs typeface="Arial"/>
                    </a:defRPr>
                  </a:pPr>
                  <a:endParaRPr lang="de-D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AAAB-4E35-B166-372CDCA6F98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XbarR!$D$58:$D$124</c:f>
              <c:numCache>
                <c:formatCode>0.000</c:formatCode>
                <c:ptCount val="67"/>
                <c:pt idx="0">
                  <c:v>0.97155998804696597</c:v>
                </c:pt>
                <c:pt idx="1">
                  <c:v>0.97155998804696597</c:v>
                </c:pt>
                <c:pt idx="2">
                  <c:v>0.97155998804696597</c:v>
                </c:pt>
                <c:pt idx="3">
                  <c:v>0.97155998804696597</c:v>
                </c:pt>
                <c:pt idx="4">
                  <c:v>0.97155998804696597</c:v>
                </c:pt>
                <c:pt idx="5">
                  <c:v>0.97155998804696597</c:v>
                </c:pt>
                <c:pt idx="6">
                  <c:v>0.97155998804696597</c:v>
                </c:pt>
                <c:pt idx="7">
                  <c:v>0.97155998804696597</c:v>
                </c:pt>
                <c:pt idx="8">
                  <c:v>0.97155998804696597</c:v>
                </c:pt>
                <c:pt idx="9">
                  <c:v>0.97155998804696597</c:v>
                </c:pt>
                <c:pt idx="10">
                  <c:v>0.97155998804696597</c:v>
                </c:pt>
                <c:pt idx="11">
                  <c:v>0.97155998804696597</c:v>
                </c:pt>
                <c:pt idx="12">
                  <c:v>0.97155998804696597</c:v>
                </c:pt>
                <c:pt idx="13">
                  <c:v>0.97155998804696597</c:v>
                </c:pt>
                <c:pt idx="14">
                  <c:v>0.97155998804696597</c:v>
                </c:pt>
                <c:pt idx="15">
                  <c:v>0.97155998804696597</c:v>
                </c:pt>
                <c:pt idx="16">
                  <c:v>0.97155998804696597</c:v>
                </c:pt>
                <c:pt idx="17">
                  <c:v>0.97155998804696597</c:v>
                </c:pt>
                <c:pt idx="18">
                  <c:v>0.97155998804696597</c:v>
                </c:pt>
                <c:pt idx="19">
                  <c:v>0.97155998804696597</c:v>
                </c:pt>
                <c:pt idx="20">
                  <c:v>0.97155998804696597</c:v>
                </c:pt>
                <c:pt idx="21">
                  <c:v>0.97155998804696597</c:v>
                </c:pt>
                <c:pt idx="22">
                  <c:v>0.97155998804696597</c:v>
                </c:pt>
                <c:pt idx="23">
                  <c:v>0.97155998804696597</c:v>
                </c:pt>
                <c:pt idx="24">
                  <c:v>0.97155998804696597</c:v>
                </c:pt>
                <c:pt idx="25">
                  <c:v>0.97155998804696597</c:v>
                </c:pt>
                <c:pt idx="26">
                  <c:v>0.97155998804696597</c:v>
                </c:pt>
                <c:pt idx="27">
                  <c:v>0.97155998804696597</c:v>
                </c:pt>
                <c:pt idx="28">
                  <c:v>0.97155998804696597</c:v>
                </c:pt>
                <c:pt idx="29">
                  <c:v>0.97155998804696597</c:v>
                </c:pt>
                <c:pt idx="30">
                  <c:v>0.97155998804696597</c:v>
                </c:pt>
                <c:pt idx="31">
                  <c:v>0.97155998804696597</c:v>
                </c:pt>
                <c:pt idx="32">
                  <c:v>0.97155998804696597</c:v>
                </c:pt>
                <c:pt idx="33">
                  <c:v>0.97155998804696597</c:v>
                </c:pt>
                <c:pt idx="34">
                  <c:v>0.97155998804696597</c:v>
                </c:pt>
                <c:pt idx="35">
                  <c:v>0.97155998804696597</c:v>
                </c:pt>
                <c:pt idx="36">
                  <c:v>0.97155998804696597</c:v>
                </c:pt>
                <c:pt idx="37">
                  <c:v>0.97155998804696597</c:v>
                </c:pt>
                <c:pt idx="38">
                  <c:v>0.97155998804696597</c:v>
                </c:pt>
                <c:pt idx="39">
                  <c:v>0.97155998804696597</c:v>
                </c:pt>
                <c:pt idx="40">
                  <c:v>0.97155998804696597</c:v>
                </c:pt>
                <c:pt idx="41">
                  <c:v>0.97155998804696597</c:v>
                </c:pt>
                <c:pt idx="42">
                  <c:v>0.97155998804696597</c:v>
                </c:pt>
                <c:pt idx="43">
                  <c:v>0.97155998804696597</c:v>
                </c:pt>
                <c:pt idx="44">
                  <c:v>0.97155998804696597</c:v>
                </c:pt>
                <c:pt idx="45">
                  <c:v>0.97155998804696597</c:v>
                </c:pt>
                <c:pt idx="46">
                  <c:v>0.97155998804696597</c:v>
                </c:pt>
                <c:pt idx="47">
                  <c:v>0.97155998804696597</c:v>
                </c:pt>
                <c:pt idx="48">
                  <c:v>0.97155998804696597</c:v>
                </c:pt>
                <c:pt idx="49">
                  <c:v>0.97155998804696597</c:v>
                </c:pt>
                <c:pt idx="50">
                  <c:v>0.97155998804696597</c:v>
                </c:pt>
                <c:pt idx="51">
                  <c:v>0.97155998804696597</c:v>
                </c:pt>
                <c:pt idx="52">
                  <c:v>0.97155998804696597</c:v>
                </c:pt>
                <c:pt idx="53">
                  <c:v>0.97155998804696597</c:v>
                </c:pt>
                <c:pt idx="54">
                  <c:v>0.97155998804696597</c:v>
                </c:pt>
                <c:pt idx="55">
                  <c:v>0.97155998804696597</c:v>
                </c:pt>
                <c:pt idx="56">
                  <c:v>0.97155998804696597</c:v>
                </c:pt>
                <c:pt idx="57">
                  <c:v>0.97155998804696597</c:v>
                </c:pt>
                <c:pt idx="58">
                  <c:v>0.97155998804696597</c:v>
                </c:pt>
                <c:pt idx="59">
                  <c:v>0.97155998804696597</c:v>
                </c:pt>
                <c:pt idx="60">
                  <c:v>0.97155998804696597</c:v>
                </c:pt>
                <c:pt idx="61">
                  <c:v>0.97155998804696597</c:v>
                </c:pt>
                <c:pt idx="62">
                  <c:v>0.97155998804696597</c:v>
                </c:pt>
                <c:pt idx="63">
                  <c:v>0.97155998804696597</c:v>
                </c:pt>
                <c:pt idx="64">
                  <c:v>0.97155998804696597</c:v>
                </c:pt>
                <c:pt idx="65">
                  <c:v>0.97155998804696597</c:v>
                </c:pt>
                <c:pt idx="66">
                  <c:v>0.97155998804696597</c:v>
                </c:pt>
              </c:numCache>
            </c:numRef>
          </c:val>
          <c:smooth val="0"/>
          <c:extLst>
            <c:ext xmlns:c16="http://schemas.microsoft.com/office/drawing/2014/chart" uri="{C3380CC4-5D6E-409C-BE32-E72D297353CC}">
              <c16:uniqueId val="{00000002-AAAB-4E35-B166-372CDCA6F989}"/>
            </c:ext>
          </c:extLst>
        </c:ser>
        <c:ser>
          <c:idx val="2"/>
          <c:order val="2"/>
          <c:tx>
            <c:strRef>
              <c:f>XbarR!$E$57</c:f>
              <c:strCache>
                <c:ptCount val="1"/>
                <c:pt idx="0">
                  <c:v>UCL</c:v>
                </c:pt>
              </c:strCache>
            </c:strRef>
          </c:tx>
          <c:spPr>
            <a:ln w="12700">
              <a:solidFill>
                <a:srgbClr val="FF0000"/>
              </a:solidFill>
              <a:prstDash val="solid"/>
            </a:ln>
          </c:spPr>
          <c:marker>
            <c:symbol val="none"/>
          </c:marker>
          <c:dLbls>
            <c:dLbl>
              <c:idx val="24"/>
              <c:layout>
                <c:manualLayout>
                  <c:x val="0.7432450037255639"/>
                  <c:y val="-4.3010752688171965E-3"/>
                </c:manualLayout>
              </c:layout>
              <c:spPr>
                <a:noFill/>
                <a:ln w="25400">
                  <a:noFill/>
                </a:ln>
              </c:spPr>
              <c:txPr>
                <a:bodyPr/>
                <a:lstStyle/>
                <a:p>
                  <a:pPr>
                    <a:defRPr sz="875" b="0" i="0" u="none" strike="noStrike" baseline="0">
                      <a:solidFill>
                        <a:srgbClr val="000000"/>
                      </a:solidFill>
                      <a:latin typeface="Arial"/>
                      <a:ea typeface="Arial"/>
                      <a:cs typeface="Arial"/>
                    </a:defRPr>
                  </a:pPr>
                  <a:endParaRPr lang="de-D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AAAB-4E35-B166-372CDCA6F98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XbarR!$E$58:$E$124</c:f>
              <c:numCache>
                <c:formatCode>0.000</c:formatCode>
                <c:ptCount val="67"/>
                <c:pt idx="0">
                  <c:v>1.0932637467370767</c:v>
                </c:pt>
                <c:pt idx="1">
                  <c:v>1.0932637467370767</c:v>
                </c:pt>
                <c:pt idx="2">
                  <c:v>1.0932637467370767</c:v>
                </c:pt>
                <c:pt idx="3">
                  <c:v>1.0932637467370767</c:v>
                </c:pt>
                <c:pt idx="4">
                  <c:v>1.0932637467370767</c:v>
                </c:pt>
                <c:pt idx="5">
                  <c:v>1.0932637467370767</c:v>
                </c:pt>
                <c:pt idx="6">
                  <c:v>1.0932637467370767</c:v>
                </c:pt>
                <c:pt idx="7">
                  <c:v>1.0932637467370767</c:v>
                </c:pt>
                <c:pt idx="8">
                  <c:v>1.0932637467370767</c:v>
                </c:pt>
                <c:pt idx="9">
                  <c:v>1.0932637467370767</c:v>
                </c:pt>
                <c:pt idx="10">
                  <c:v>1.0932637467370767</c:v>
                </c:pt>
                <c:pt idx="11">
                  <c:v>1.0932637467370767</c:v>
                </c:pt>
                <c:pt idx="12">
                  <c:v>1.0932637467370767</c:v>
                </c:pt>
                <c:pt idx="13">
                  <c:v>1.0932637467370767</c:v>
                </c:pt>
                <c:pt idx="14">
                  <c:v>1.0932637467370767</c:v>
                </c:pt>
                <c:pt idx="15">
                  <c:v>1.0932637467370767</c:v>
                </c:pt>
                <c:pt idx="16">
                  <c:v>1.0932637467370767</c:v>
                </c:pt>
                <c:pt idx="17">
                  <c:v>1.0932637467370767</c:v>
                </c:pt>
                <c:pt idx="18">
                  <c:v>1.0932637467370767</c:v>
                </c:pt>
                <c:pt idx="19">
                  <c:v>1.0932637467370767</c:v>
                </c:pt>
                <c:pt idx="20">
                  <c:v>1.0932637467370767</c:v>
                </c:pt>
                <c:pt idx="21">
                  <c:v>1.0932637467370767</c:v>
                </c:pt>
                <c:pt idx="22">
                  <c:v>1.0932637467370767</c:v>
                </c:pt>
                <c:pt idx="23">
                  <c:v>1.0932637467370767</c:v>
                </c:pt>
                <c:pt idx="24">
                  <c:v>1.0932637467370767</c:v>
                </c:pt>
                <c:pt idx="25">
                  <c:v>1.0932637467370767</c:v>
                </c:pt>
                <c:pt idx="26">
                  <c:v>1.0932637467370767</c:v>
                </c:pt>
                <c:pt idx="27">
                  <c:v>1.0932637467370767</c:v>
                </c:pt>
                <c:pt idx="28">
                  <c:v>1.0932637467370767</c:v>
                </c:pt>
                <c:pt idx="29">
                  <c:v>1.0932637467370767</c:v>
                </c:pt>
                <c:pt idx="30">
                  <c:v>1.0932637467370767</c:v>
                </c:pt>
                <c:pt idx="31">
                  <c:v>1.0932637467370767</c:v>
                </c:pt>
                <c:pt idx="32">
                  <c:v>1.0932637467370767</c:v>
                </c:pt>
                <c:pt idx="33">
                  <c:v>1.0932637467370767</c:v>
                </c:pt>
                <c:pt idx="34">
                  <c:v>1.0932637467370767</c:v>
                </c:pt>
                <c:pt idx="35">
                  <c:v>1.0932637467370767</c:v>
                </c:pt>
                <c:pt idx="36">
                  <c:v>1.0932637467370767</c:v>
                </c:pt>
                <c:pt idx="37">
                  <c:v>1.0932637467370767</c:v>
                </c:pt>
                <c:pt idx="38">
                  <c:v>1.0932637467370767</c:v>
                </c:pt>
                <c:pt idx="39">
                  <c:v>1.0932637467370767</c:v>
                </c:pt>
                <c:pt idx="40">
                  <c:v>1.0932637467370767</c:v>
                </c:pt>
                <c:pt idx="41">
                  <c:v>1.0932637467370767</c:v>
                </c:pt>
                <c:pt idx="42">
                  <c:v>1.0932637467370767</c:v>
                </c:pt>
                <c:pt idx="43">
                  <c:v>1.0932637467370767</c:v>
                </c:pt>
                <c:pt idx="44">
                  <c:v>1.0932637467370767</c:v>
                </c:pt>
                <c:pt idx="45">
                  <c:v>1.0932637467370767</c:v>
                </c:pt>
                <c:pt idx="46">
                  <c:v>1.0932637467370767</c:v>
                </c:pt>
                <c:pt idx="47">
                  <c:v>1.0932637467370767</c:v>
                </c:pt>
                <c:pt idx="48">
                  <c:v>1.0932637467370767</c:v>
                </c:pt>
                <c:pt idx="49">
                  <c:v>1.0932637467370767</c:v>
                </c:pt>
                <c:pt idx="50">
                  <c:v>1.0932637467370767</c:v>
                </c:pt>
                <c:pt idx="51">
                  <c:v>1.0932637467370767</c:v>
                </c:pt>
                <c:pt idx="52">
                  <c:v>1.0932637467370767</c:v>
                </c:pt>
                <c:pt idx="53">
                  <c:v>1.0932637467370767</c:v>
                </c:pt>
                <c:pt idx="54">
                  <c:v>1.0932637467370767</c:v>
                </c:pt>
                <c:pt idx="55">
                  <c:v>1.0932637467370767</c:v>
                </c:pt>
                <c:pt idx="56">
                  <c:v>1.0932637467370767</c:v>
                </c:pt>
                <c:pt idx="57">
                  <c:v>1.0932637467370767</c:v>
                </c:pt>
                <c:pt idx="58">
                  <c:v>1.0932637467370767</c:v>
                </c:pt>
                <c:pt idx="59">
                  <c:v>1.0932637467370767</c:v>
                </c:pt>
                <c:pt idx="60">
                  <c:v>1.0932637467370767</c:v>
                </c:pt>
                <c:pt idx="61">
                  <c:v>1.0932637467370767</c:v>
                </c:pt>
                <c:pt idx="62">
                  <c:v>1.0932637467370767</c:v>
                </c:pt>
                <c:pt idx="63">
                  <c:v>1.0932637467370767</c:v>
                </c:pt>
                <c:pt idx="64">
                  <c:v>1.0932637467370767</c:v>
                </c:pt>
                <c:pt idx="65">
                  <c:v>1.0932637467370767</c:v>
                </c:pt>
                <c:pt idx="66">
                  <c:v>1.0932637467370767</c:v>
                </c:pt>
              </c:numCache>
            </c:numRef>
          </c:val>
          <c:smooth val="0"/>
          <c:extLst>
            <c:ext xmlns:c16="http://schemas.microsoft.com/office/drawing/2014/chart" uri="{C3380CC4-5D6E-409C-BE32-E72D297353CC}">
              <c16:uniqueId val="{00000004-AAAB-4E35-B166-372CDCA6F989}"/>
            </c:ext>
          </c:extLst>
        </c:ser>
        <c:ser>
          <c:idx val="3"/>
          <c:order val="3"/>
          <c:tx>
            <c:strRef>
              <c:f>XbarR!$F$57</c:f>
              <c:strCache>
                <c:ptCount val="1"/>
                <c:pt idx="0">
                  <c:v>LCL</c:v>
                </c:pt>
              </c:strCache>
            </c:strRef>
          </c:tx>
          <c:spPr>
            <a:ln w="12700">
              <a:solidFill>
                <a:srgbClr val="FF0000"/>
              </a:solidFill>
              <a:prstDash val="solid"/>
            </a:ln>
          </c:spPr>
          <c:marker>
            <c:symbol val="none"/>
          </c:marker>
          <c:dLbls>
            <c:dLbl>
              <c:idx val="24"/>
              <c:layout>
                <c:manualLayout>
                  <c:x val="0.74222054472662957"/>
                  <c:y val="-8.6028278723224248E-3"/>
                </c:manualLayout>
              </c:layout>
              <c:spPr>
                <a:noFill/>
                <a:ln w="25400">
                  <a:noFill/>
                </a:ln>
              </c:spPr>
              <c:txPr>
                <a:bodyPr/>
                <a:lstStyle/>
                <a:p>
                  <a:pPr>
                    <a:defRPr sz="875" b="0" i="0" u="none" strike="noStrike" baseline="0">
                      <a:solidFill>
                        <a:srgbClr val="000000"/>
                      </a:solidFill>
                      <a:latin typeface="Arial"/>
                      <a:ea typeface="Arial"/>
                      <a:cs typeface="Arial"/>
                    </a:defRPr>
                  </a:pPr>
                  <a:endParaRPr lang="de-D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AAAB-4E35-B166-372CDCA6F98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XbarR!$F$58:$F$124</c:f>
              <c:numCache>
                <c:formatCode>0.000</c:formatCode>
                <c:ptCount val="67"/>
                <c:pt idx="0">
                  <c:v>0.84985622935685523</c:v>
                </c:pt>
                <c:pt idx="1">
                  <c:v>0.84985622935685523</c:v>
                </c:pt>
                <c:pt idx="2">
                  <c:v>0.84985622935685523</c:v>
                </c:pt>
                <c:pt idx="3">
                  <c:v>0.84985622935685523</c:v>
                </c:pt>
                <c:pt idx="4">
                  <c:v>0.84985622935685523</c:v>
                </c:pt>
                <c:pt idx="5">
                  <c:v>0.84985622935685523</c:v>
                </c:pt>
                <c:pt idx="6">
                  <c:v>0.84985622935685523</c:v>
                </c:pt>
                <c:pt idx="7">
                  <c:v>0.84985622935685523</c:v>
                </c:pt>
                <c:pt idx="8">
                  <c:v>0.84985622935685523</c:v>
                </c:pt>
                <c:pt idx="9">
                  <c:v>0.84985622935685523</c:v>
                </c:pt>
                <c:pt idx="10">
                  <c:v>0.84985622935685523</c:v>
                </c:pt>
                <c:pt idx="11">
                  <c:v>0.84985622935685523</c:v>
                </c:pt>
                <c:pt idx="12">
                  <c:v>0.84985622935685523</c:v>
                </c:pt>
                <c:pt idx="13">
                  <c:v>0.84985622935685523</c:v>
                </c:pt>
                <c:pt idx="14">
                  <c:v>0.84985622935685523</c:v>
                </c:pt>
                <c:pt idx="15">
                  <c:v>0.84985622935685523</c:v>
                </c:pt>
                <c:pt idx="16">
                  <c:v>0.84985622935685523</c:v>
                </c:pt>
                <c:pt idx="17">
                  <c:v>0.84985622935685523</c:v>
                </c:pt>
                <c:pt idx="18">
                  <c:v>0.84985622935685523</c:v>
                </c:pt>
                <c:pt idx="19">
                  <c:v>0.84985622935685523</c:v>
                </c:pt>
                <c:pt idx="20">
                  <c:v>0.84985622935685523</c:v>
                </c:pt>
                <c:pt idx="21">
                  <c:v>0.84985622935685523</c:v>
                </c:pt>
                <c:pt idx="22">
                  <c:v>0.84985622935685523</c:v>
                </c:pt>
                <c:pt idx="23">
                  <c:v>0.84985622935685523</c:v>
                </c:pt>
                <c:pt idx="24">
                  <c:v>0.84985622935685523</c:v>
                </c:pt>
                <c:pt idx="25">
                  <c:v>0.84985622935685523</c:v>
                </c:pt>
                <c:pt idx="26">
                  <c:v>0.84985622935685523</c:v>
                </c:pt>
                <c:pt idx="27">
                  <c:v>0.84985622935685523</c:v>
                </c:pt>
                <c:pt idx="28">
                  <c:v>0.84985622935685523</c:v>
                </c:pt>
                <c:pt idx="29">
                  <c:v>0.84985622935685523</c:v>
                </c:pt>
                <c:pt idx="30">
                  <c:v>0.84985622935685523</c:v>
                </c:pt>
                <c:pt idx="31">
                  <c:v>0.84985622935685523</c:v>
                </c:pt>
                <c:pt idx="32">
                  <c:v>0.84985622935685523</c:v>
                </c:pt>
                <c:pt idx="33">
                  <c:v>0.84985622935685523</c:v>
                </c:pt>
                <c:pt idx="34">
                  <c:v>0.84985622935685523</c:v>
                </c:pt>
                <c:pt idx="35">
                  <c:v>0.84985622935685523</c:v>
                </c:pt>
                <c:pt idx="36">
                  <c:v>0.84985622935685523</c:v>
                </c:pt>
                <c:pt idx="37">
                  <c:v>0.84985622935685523</c:v>
                </c:pt>
                <c:pt idx="38">
                  <c:v>0.84985622935685523</c:v>
                </c:pt>
                <c:pt idx="39">
                  <c:v>0.84985622935685523</c:v>
                </c:pt>
                <c:pt idx="40">
                  <c:v>0.84985622935685523</c:v>
                </c:pt>
                <c:pt idx="41">
                  <c:v>0.84985622935685523</c:v>
                </c:pt>
                <c:pt idx="42">
                  <c:v>0.84985622935685523</c:v>
                </c:pt>
                <c:pt idx="43">
                  <c:v>0.84985622935685523</c:v>
                </c:pt>
                <c:pt idx="44">
                  <c:v>0.84985622935685523</c:v>
                </c:pt>
                <c:pt idx="45">
                  <c:v>0.84985622935685523</c:v>
                </c:pt>
                <c:pt idx="46">
                  <c:v>0.84985622935685523</c:v>
                </c:pt>
                <c:pt idx="47">
                  <c:v>0.84985622935685523</c:v>
                </c:pt>
                <c:pt idx="48">
                  <c:v>0.84985622935685523</c:v>
                </c:pt>
                <c:pt idx="49">
                  <c:v>0.84985622935685523</c:v>
                </c:pt>
                <c:pt idx="50">
                  <c:v>0.84985622935685523</c:v>
                </c:pt>
                <c:pt idx="51">
                  <c:v>0.84985622935685523</c:v>
                </c:pt>
                <c:pt idx="52">
                  <c:v>0.84985622935685523</c:v>
                </c:pt>
                <c:pt idx="53">
                  <c:v>0.84985622935685523</c:v>
                </c:pt>
                <c:pt idx="54">
                  <c:v>0.84985622935685523</c:v>
                </c:pt>
                <c:pt idx="55">
                  <c:v>0.84985622935685523</c:v>
                </c:pt>
                <c:pt idx="56">
                  <c:v>0.84985622935685523</c:v>
                </c:pt>
                <c:pt idx="57">
                  <c:v>0.84985622935685523</c:v>
                </c:pt>
                <c:pt idx="58">
                  <c:v>0.84985622935685523</c:v>
                </c:pt>
                <c:pt idx="59">
                  <c:v>0.84985622935685523</c:v>
                </c:pt>
                <c:pt idx="60">
                  <c:v>0.84985622935685523</c:v>
                </c:pt>
                <c:pt idx="61">
                  <c:v>0.84985622935685523</c:v>
                </c:pt>
                <c:pt idx="62">
                  <c:v>0.84985622935685523</c:v>
                </c:pt>
                <c:pt idx="63">
                  <c:v>0.84985622935685523</c:v>
                </c:pt>
                <c:pt idx="64">
                  <c:v>0.84985622935685523</c:v>
                </c:pt>
                <c:pt idx="65">
                  <c:v>0.84985622935685523</c:v>
                </c:pt>
                <c:pt idx="66">
                  <c:v>0.84985622935685523</c:v>
                </c:pt>
              </c:numCache>
            </c:numRef>
          </c:val>
          <c:smooth val="0"/>
          <c:extLst>
            <c:ext xmlns:c16="http://schemas.microsoft.com/office/drawing/2014/chart" uri="{C3380CC4-5D6E-409C-BE32-E72D297353CC}">
              <c16:uniqueId val="{00000006-AAAB-4E35-B166-372CDCA6F989}"/>
            </c:ext>
          </c:extLst>
        </c:ser>
        <c:dLbls>
          <c:showLegendKey val="0"/>
          <c:showVal val="0"/>
          <c:showCatName val="0"/>
          <c:showSerName val="0"/>
          <c:showPercent val="0"/>
          <c:showBubbleSize val="0"/>
        </c:dLbls>
        <c:marker val="1"/>
        <c:smooth val="0"/>
        <c:axId val="448708608"/>
        <c:axId val="448710528"/>
      </c:lineChart>
      <c:catAx>
        <c:axId val="448708608"/>
        <c:scaling>
          <c:orientation val="minMax"/>
        </c:scaling>
        <c:delete val="0"/>
        <c:axPos val="b"/>
        <c:title>
          <c:tx>
            <c:rich>
              <a:bodyPr/>
              <a:lstStyle/>
              <a:p>
                <a:pPr>
                  <a:defRPr sz="875" b="0" i="0" u="none" strike="noStrike" baseline="0">
                    <a:solidFill>
                      <a:srgbClr val="000000"/>
                    </a:solidFill>
                    <a:latin typeface="Arial"/>
                    <a:ea typeface="Arial"/>
                    <a:cs typeface="Arial"/>
                  </a:defRPr>
                </a:pPr>
                <a:r>
                  <a:rPr lang="de-DE"/>
                  <a:t>Sample #</a:t>
                </a:r>
              </a:p>
            </c:rich>
          </c:tx>
          <c:layout>
            <c:manualLayout>
              <c:xMode val="edge"/>
              <c:yMode val="edge"/>
              <c:x val="0.45916829615295957"/>
              <c:y val="0.9161304752559149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de-DE"/>
          </a:p>
        </c:txPr>
        <c:crossAx val="448710528"/>
        <c:crosses val="autoZero"/>
        <c:auto val="1"/>
        <c:lblAlgn val="ctr"/>
        <c:lblOffset val="100"/>
        <c:tickLblSkip val="1"/>
        <c:tickMarkSkip val="1"/>
        <c:noMultiLvlLbl val="0"/>
      </c:catAx>
      <c:valAx>
        <c:axId val="448710528"/>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de-DE"/>
          </a:p>
        </c:txPr>
        <c:crossAx val="448708608"/>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900" b="0" i="0" u="none" strike="noStrike" baseline="0">
          <a:solidFill>
            <a:srgbClr val="000000"/>
          </a:solidFill>
          <a:latin typeface="Arial"/>
          <a:ea typeface="Arial"/>
          <a:cs typeface="Arial"/>
        </a:defRPr>
      </a:pPr>
      <a:endParaRPr lang="de-DE"/>
    </a:p>
  </c:txPr>
  <c:printSettings>
    <c:headerFooter alignWithMargins="0"/>
    <c:pageMargins b="0.98425196899999956" l="0.78740157499999996" r="0.78740157499999996" t="0.98425196899999956"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822157040734156E-2"/>
          <c:y val="7.4450084602368904E-2"/>
          <c:w val="0.84024703618087671"/>
          <c:h val="0.67512690355330418"/>
        </c:manualLayout>
      </c:layout>
      <c:lineChart>
        <c:grouping val="standard"/>
        <c:varyColors val="0"/>
        <c:ser>
          <c:idx val="0"/>
          <c:order val="0"/>
          <c:tx>
            <c:strRef>
              <c:f>XbarR!$C$57</c:f>
              <c:strCache>
                <c:ptCount val="1"/>
                <c:pt idx="0">
                  <c:v>Range</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XbarR!$C$58:$C$124</c:f>
              <c:numCache>
                <c:formatCode>General</c:formatCode>
                <c:ptCount val="67"/>
                <c:pt idx="1">
                  <c:v>8.6677367576244446E-3</c:v>
                </c:pt>
                <c:pt idx="2">
                  <c:v>0</c:v>
                </c:pt>
                <c:pt idx="3">
                  <c:v>0</c:v>
                </c:pt>
                <c:pt idx="4">
                  <c:v>0</c:v>
                </c:pt>
                <c:pt idx="5">
                  <c:v>8.6677367576244446E-3</c:v>
                </c:pt>
                <c:pt idx="6">
                  <c:v>1.4129520605550838E-2</c:v>
                </c:pt>
                <c:pt idx="7">
                  <c:v>4.5732066123768123E-3</c:v>
                </c:pt>
                <c:pt idx="8">
                  <c:v>3.6537256369448823E-3</c:v>
                </c:pt>
                <c:pt idx="9">
                  <c:v>3.9912166984617414E-2</c:v>
                </c:pt>
                <c:pt idx="10">
                  <c:v>4.5999044850030479E-2</c:v>
                </c:pt>
                <c:pt idx="11">
                  <c:v>8.2736827062979135E-4</c:v>
                </c:pt>
                <c:pt idx="12">
                  <c:v>3.4469931599099835E-2</c:v>
                </c:pt>
                <c:pt idx="13">
                  <c:v>2.4940103604664809E-3</c:v>
                </c:pt>
                <c:pt idx="14">
                  <c:v>3.2043351870008174E-2</c:v>
                </c:pt>
                <c:pt idx="15">
                  <c:v>7.8830994039608138E-3</c:v>
                </c:pt>
                <c:pt idx="16">
                  <c:v>1.1358411985828987E-2</c:v>
                </c:pt>
                <c:pt idx="17">
                  <c:v>1.1358411985828987E-2</c:v>
                </c:pt>
                <c:pt idx="18">
                  <c:v>0</c:v>
                </c:pt>
                <c:pt idx="19">
                  <c:v>1.8867924528301883E-2</c:v>
                </c:pt>
                <c:pt idx="20">
                  <c:v>1.8867924528301883E-2</c:v>
                </c:pt>
                <c:pt idx="21">
                  <c:v>3.2718431206723353E-2</c:v>
                </c:pt>
                <c:pt idx="22">
                  <c:v>1.5737923427505685E-4</c:v>
                </c:pt>
                <c:pt idx="23">
                  <c:v>5.096107326285626E-4</c:v>
                </c:pt>
                <c:pt idx="24">
                  <c:v>2.0521643097233699E-2</c:v>
                </c:pt>
                <c:pt idx="25">
                  <c:v>1.1547365934325482E-2</c:v>
                </c:pt>
                <c:pt idx="26">
                  <c:v>1.9378772066200867E-3</c:v>
                </c:pt>
                <c:pt idx="27">
                  <c:v>4.2074448558526711E-7</c:v>
                </c:pt>
                <c:pt idx="28">
                  <c:v>5.9036611691370977E-3</c:v>
                </c:pt>
                <c:pt idx="29">
                  <c:v>3.1644511013200205E-2</c:v>
                </c:pt>
                <c:pt idx="30">
                  <c:v>4.2040554500382799E-2</c:v>
                </c:pt>
                <c:pt idx="31">
                  <c:v>0.13959532103083105</c:v>
                </c:pt>
                <c:pt idx="32">
                  <c:v>0.10820192612974922</c:v>
                </c:pt>
                <c:pt idx="33">
                  <c:v>3.207499815407866E-2</c:v>
                </c:pt>
                <c:pt idx="34">
                  <c:v>0.17923866354214302</c:v>
                </c:pt>
                <c:pt idx="35">
                  <c:v>0.14278135198881903</c:v>
                </c:pt>
                <c:pt idx="36">
                  <c:v>0.1028310866934341</c:v>
                </c:pt>
                <c:pt idx="37">
                  <c:v>0.12599001635636276</c:v>
                </c:pt>
                <c:pt idx="38">
                  <c:v>5.1093656480298844E-3</c:v>
                </c:pt>
                <c:pt idx="39">
                  <c:v>1.5888681735853116E-2</c:v>
                </c:pt>
                <c:pt idx="40">
                  <c:v>1.4116910844437891E-2</c:v>
                </c:pt>
                <c:pt idx="41">
                  <c:v>1.5138408304498308E-2</c:v>
                </c:pt>
                <c:pt idx="42">
                  <c:v>0</c:v>
                </c:pt>
                <c:pt idx="43">
                  <c:v>2.9832193909260396E-2</c:v>
                </c:pt>
                <c:pt idx="44">
                  <c:v>6.3564847472128427E-3</c:v>
                </c:pt>
                <c:pt idx="45">
                  <c:v>2.3475709162047553E-2</c:v>
                </c:pt>
                <c:pt idx="46">
                  <c:v>3.4880283771800191E-2</c:v>
                </c:pt>
                <c:pt idx="47">
                  <c:v>2.6404056180218016E-2</c:v>
                </c:pt>
                <c:pt idx="48">
                  <c:v>5.5824386035149276E-3</c:v>
                </c:pt>
                <c:pt idx="49">
                  <c:v>0.11660643092085343</c:v>
                </c:pt>
                <c:pt idx="50">
                  <c:v>8.8474931147282887E-2</c:v>
                </c:pt>
                <c:pt idx="51">
                  <c:v>3.5411781483636551E-2</c:v>
                </c:pt>
                <c:pt idx="52">
                  <c:v>6.778384485031097E-3</c:v>
                </c:pt>
                <c:pt idx="53">
                  <c:v>0</c:v>
                </c:pt>
                <c:pt idx="54">
                  <c:v>8.8698351688963895E-3</c:v>
                </c:pt>
                <c:pt idx="55">
                  <c:v>5.649221092446588E-3</c:v>
                </c:pt>
                <c:pt idx="56">
                  <c:v>4.2148972617556346E-2</c:v>
                </c:pt>
                <c:pt idx="57">
                  <c:v>0.11291540715758086</c:v>
                </c:pt>
                <c:pt idx="58">
                  <c:v>0.13156710851119691</c:v>
                </c:pt>
                <c:pt idx="59">
                  <c:v>4.9216460524603711E-3</c:v>
                </c:pt>
                <c:pt idx="60">
                  <c:v>1.075866144594062E-2</c:v>
                </c:pt>
                <c:pt idx="61">
                  <c:v>2.7271122743729004E-2</c:v>
                </c:pt>
                <c:pt idx="62">
                  <c:v>7.1123873319324238E-3</c:v>
                </c:pt>
                <c:pt idx="63">
                  <c:v>7.0933141548275014E-3</c:v>
                </c:pt>
                <c:pt idx="64">
                  <c:v>4.3094432325385679E-3</c:v>
                </c:pt>
                <c:pt idx="65">
                  <c:v>6.4657469799241918E-3</c:v>
                </c:pt>
                <c:pt idx="66">
                  <c:v>0.98559315674945602</c:v>
                </c:pt>
              </c:numCache>
            </c:numRef>
          </c:val>
          <c:smooth val="0"/>
          <c:extLst>
            <c:ext xmlns:c16="http://schemas.microsoft.com/office/drawing/2014/chart" uri="{C3380CC4-5D6E-409C-BE32-E72D297353CC}">
              <c16:uniqueId val="{00000000-C9A6-4B14-BBA1-E595EB1DB5DD}"/>
            </c:ext>
          </c:extLst>
        </c:ser>
        <c:ser>
          <c:idx val="1"/>
          <c:order val="1"/>
          <c:tx>
            <c:strRef>
              <c:f>XbarR!$G$57</c:f>
              <c:strCache>
                <c:ptCount val="1"/>
                <c:pt idx="0">
                  <c:v>CL</c:v>
                </c:pt>
              </c:strCache>
            </c:strRef>
          </c:tx>
          <c:spPr>
            <a:ln w="12700">
              <a:solidFill>
                <a:srgbClr val="0000FF"/>
              </a:solidFill>
              <a:prstDash val="sysDash"/>
            </a:ln>
          </c:spPr>
          <c:marker>
            <c:symbol val="none"/>
          </c:marker>
          <c:dLbls>
            <c:dLbl>
              <c:idx val="24"/>
              <c:layout>
                <c:manualLayout>
                  <c:x val="0.7529173008625063"/>
                  <c:y val="-1.3536911946920339E-2"/>
                </c:manualLayout>
              </c:layout>
              <c:spPr>
                <a:noFill/>
                <a:ln w="25400">
                  <a:noFill/>
                </a:ln>
              </c:spPr>
              <c:txPr>
                <a:bodyPr/>
                <a:lstStyle/>
                <a:p>
                  <a:pPr>
                    <a:defRPr sz="900" b="0" i="0" u="none" strike="noStrike" baseline="0">
                      <a:solidFill>
                        <a:srgbClr val="000000"/>
                      </a:solidFill>
                      <a:latin typeface="Arial"/>
                      <a:ea typeface="Arial"/>
                      <a:cs typeface="Arial"/>
                    </a:defRPr>
                  </a:pPr>
                  <a:endParaRPr lang="de-D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C9A6-4B14-BBA1-E595EB1DB5D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XbarR!$G$58:$G$124</c:f>
              <c:numCache>
                <c:formatCode>0.000</c:formatCode>
                <c:ptCount val="67"/>
                <c:pt idx="0">
                  <c:v>4.576061326748164E-2</c:v>
                </c:pt>
                <c:pt idx="1">
                  <c:v>4.576061326748164E-2</c:v>
                </c:pt>
                <c:pt idx="2">
                  <c:v>4.576061326748164E-2</c:v>
                </c:pt>
                <c:pt idx="3">
                  <c:v>4.576061326748164E-2</c:v>
                </c:pt>
                <c:pt idx="4">
                  <c:v>4.576061326748164E-2</c:v>
                </c:pt>
                <c:pt idx="5">
                  <c:v>4.576061326748164E-2</c:v>
                </c:pt>
                <c:pt idx="6">
                  <c:v>4.576061326748164E-2</c:v>
                </c:pt>
                <c:pt idx="7">
                  <c:v>4.576061326748164E-2</c:v>
                </c:pt>
                <c:pt idx="8">
                  <c:v>4.576061326748164E-2</c:v>
                </c:pt>
                <c:pt idx="9">
                  <c:v>4.576061326748164E-2</c:v>
                </c:pt>
                <c:pt idx="10">
                  <c:v>4.576061326748164E-2</c:v>
                </c:pt>
                <c:pt idx="11">
                  <c:v>4.576061326748164E-2</c:v>
                </c:pt>
                <c:pt idx="12">
                  <c:v>4.576061326748164E-2</c:v>
                </c:pt>
                <c:pt idx="13">
                  <c:v>4.576061326748164E-2</c:v>
                </c:pt>
                <c:pt idx="14">
                  <c:v>4.576061326748164E-2</c:v>
                </c:pt>
                <c:pt idx="15">
                  <c:v>4.576061326748164E-2</c:v>
                </c:pt>
                <c:pt idx="16">
                  <c:v>4.576061326748164E-2</c:v>
                </c:pt>
                <c:pt idx="17">
                  <c:v>4.576061326748164E-2</c:v>
                </c:pt>
                <c:pt idx="18">
                  <c:v>4.576061326748164E-2</c:v>
                </c:pt>
                <c:pt idx="19">
                  <c:v>4.576061326748164E-2</c:v>
                </c:pt>
                <c:pt idx="20">
                  <c:v>4.576061326748164E-2</c:v>
                </c:pt>
                <c:pt idx="21">
                  <c:v>4.576061326748164E-2</c:v>
                </c:pt>
                <c:pt idx="22">
                  <c:v>4.576061326748164E-2</c:v>
                </c:pt>
                <c:pt idx="23">
                  <c:v>4.576061326748164E-2</c:v>
                </c:pt>
                <c:pt idx="24">
                  <c:v>4.576061326748164E-2</c:v>
                </c:pt>
                <c:pt idx="25">
                  <c:v>4.576061326748164E-2</c:v>
                </c:pt>
                <c:pt idx="26">
                  <c:v>4.576061326748164E-2</c:v>
                </c:pt>
                <c:pt idx="27">
                  <c:v>4.576061326748164E-2</c:v>
                </c:pt>
                <c:pt idx="28">
                  <c:v>4.576061326748164E-2</c:v>
                </c:pt>
                <c:pt idx="29">
                  <c:v>4.576061326748164E-2</c:v>
                </c:pt>
                <c:pt idx="30">
                  <c:v>4.576061326748164E-2</c:v>
                </c:pt>
                <c:pt idx="31">
                  <c:v>4.576061326748164E-2</c:v>
                </c:pt>
                <c:pt idx="32">
                  <c:v>4.576061326748164E-2</c:v>
                </c:pt>
                <c:pt idx="33">
                  <c:v>4.576061326748164E-2</c:v>
                </c:pt>
                <c:pt idx="34">
                  <c:v>4.576061326748164E-2</c:v>
                </c:pt>
                <c:pt idx="35">
                  <c:v>4.576061326748164E-2</c:v>
                </c:pt>
                <c:pt idx="36">
                  <c:v>4.576061326748164E-2</c:v>
                </c:pt>
                <c:pt idx="37">
                  <c:v>4.576061326748164E-2</c:v>
                </c:pt>
                <c:pt idx="38">
                  <c:v>4.576061326748164E-2</c:v>
                </c:pt>
                <c:pt idx="39">
                  <c:v>4.576061326748164E-2</c:v>
                </c:pt>
                <c:pt idx="40">
                  <c:v>4.576061326748164E-2</c:v>
                </c:pt>
                <c:pt idx="41">
                  <c:v>4.576061326748164E-2</c:v>
                </c:pt>
                <c:pt idx="42">
                  <c:v>4.576061326748164E-2</c:v>
                </c:pt>
                <c:pt idx="43">
                  <c:v>4.576061326748164E-2</c:v>
                </c:pt>
                <c:pt idx="44">
                  <c:v>4.576061326748164E-2</c:v>
                </c:pt>
                <c:pt idx="45">
                  <c:v>4.576061326748164E-2</c:v>
                </c:pt>
                <c:pt idx="46">
                  <c:v>4.576061326748164E-2</c:v>
                </c:pt>
                <c:pt idx="47">
                  <c:v>4.576061326748164E-2</c:v>
                </c:pt>
                <c:pt idx="48">
                  <c:v>4.576061326748164E-2</c:v>
                </c:pt>
                <c:pt idx="49">
                  <c:v>4.576061326748164E-2</c:v>
                </c:pt>
                <c:pt idx="50">
                  <c:v>4.576061326748164E-2</c:v>
                </c:pt>
                <c:pt idx="51">
                  <c:v>4.576061326748164E-2</c:v>
                </c:pt>
                <c:pt idx="52">
                  <c:v>4.576061326748164E-2</c:v>
                </c:pt>
                <c:pt idx="53">
                  <c:v>4.576061326748164E-2</c:v>
                </c:pt>
                <c:pt idx="54">
                  <c:v>4.576061326748164E-2</c:v>
                </c:pt>
                <c:pt idx="55">
                  <c:v>4.576061326748164E-2</c:v>
                </c:pt>
                <c:pt idx="56">
                  <c:v>4.576061326748164E-2</c:v>
                </c:pt>
                <c:pt idx="57">
                  <c:v>4.576061326748164E-2</c:v>
                </c:pt>
                <c:pt idx="58">
                  <c:v>4.576061326748164E-2</c:v>
                </c:pt>
                <c:pt idx="59">
                  <c:v>4.576061326748164E-2</c:v>
                </c:pt>
                <c:pt idx="60">
                  <c:v>4.576061326748164E-2</c:v>
                </c:pt>
                <c:pt idx="61">
                  <c:v>4.576061326748164E-2</c:v>
                </c:pt>
                <c:pt idx="62">
                  <c:v>4.576061326748164E-2</c:v>
                </c:pt>
                <c:pt idx="63">
                  <c:v>4.576061326748164E-2</c:v>
                </c:pt>
                <c:pt idx="64">
                  <c:v>4.576061326748164E-2</c:v>
                </c:pt>
                <c:pt idx="65">
                  <c:v>4.576061326748164E-2</c:v>
                </c:pt>
                <c:pt idx="66">
                  <c:v>4.576061326748164E-2</c:v>
                </c:pt>
              </c:numCache>
            </c:numRef>
          </c:val>
          <c:smooth val="0"/>
          <c:extLst>
            <c:ext xmlns:c16="http://schemas.microsoft.com/office/drawing/2014/chart" uri="{C3380CC4-5D6E-409C-BE32-E72D297353CC}">
              <c16:uniqueId val="{00000002-C9A6-4B14-BBA1-E595EB1DB5DD}"/>
            </c:ext>
          </c:extLst>
        </c:ser>
        <c:ser>
          <c:idx val="2"/>
          <c:order val="2"/>
          <c:tx>
            <c:strRef>
              <c:f>XbarR!$H$57</c:f>
              <c:strCache>
                <c:ptCount val="1"/>
                <c:pt idx="0">
                  <c:v>UCL</c:v>
                </c:pt>
              </c:strCache>
            </c:strRef>
          </c:tx>
          <c:spPr>
            <a:ln w="12700">
              <a:solidFill>
                <a:srgbClr val="FF0000"/>
              </a:solidFill>
              <a:prstDash val="solid"/>
            </a:ln>
          </c:spPr>
          <c:marker>
            <c:symbol val="none"/>
          </c:marker>
          <c:dLbls>
            <c:dLbl>
              <c:idx val="24"/>
              <c:layout>
                <c:manualLayout>
                  <c:x val="0.75088787417554737"/>
                  <c:y val="1.3536379018612588E-2"/>
                </c:manualLayout>
              </c:layout>
              <c:spPr>
                <a:noFill/>
                <a:ln w="25400">
                  <a:noFill/>
                </a:ln>
              </c:spPr>
              <c:txPr>
                <a:bodyPr/>
                <a:lstStyle/>
                <a:p>
                  <a:pPr>
                    <a:defRPr sz="900" b="0" i="0" u="none" strike="noStrike" baseline="0">
                      <a:solidFill>
                        <a:srgbClr val="000000"/>
                      </a:solidFill>
                      <a:latin typeface="Arial"/>
                      <a:ea typeface="Arial"/>
                      <a:cs typeface="Arial"/>
                    </a:defRPr>
                  </a:pPr>
                  <a:endParaRPr lang="de-D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C9A6-4B14-BBA1-E595EB1DB5D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XbarR!$H$58:$H$124</c:f>
              <c:numCache>
                <c:formatCode>0.000</c:formatCode>
                <c:ptCount val="67"/>
                <c:pt idx="0">
                  <c:v>0.14957391943014611</c:v>
                </c:pt>
                <c:pt idx="1">
                  <c:v>0.14957391943014611</c:v>
                </c:pt>
                <c:pt idx="2">
                  <c:v>0.14957391943014611</c:v>
                </c:pt>
                <c:pt idx="3">
                  <c:v>0.14957391943014611</c:v>
                </c:pt>
                <c:pt idx="4">
                  <c:v>0.14957391943014611</c:v>
                </c:pt>
                <c:pt idx="5">
                  <c:v>0.14957391943014611</c:v>
                </c:pt>
                <c:pt idx="6">
                  <c:v>0.14957391943014611</c:v>
                </c:pt>
                <c:pt idx="7">
                  <c:v>0.14957391943014611</c:v>
                </c:pt>
                <c:pt idx="8">
                  <c:v>0.14957391943014611</c:v>
                </c:pt>
                <c:pt idx="9">
                  <c:v>0.14957391943014611</c:v>
                </c:pt>
                <c:pt idx="10">
                  <c:v>0.14957391943014611</c:v>
                </c:pt>
                <c:pt idx="11">
                  <c:v>0.14957391943014611</c:v>
                </c:pt>
                <c:pt idx="12">
                  <c:v>0.14957391943014611</c:v>
                </c:pt>
                <c:pt idx="13">
                  <c:v>0.14957391943014611</c:v>
                </c:pt>
                <c:pt idx="14">
                  <c:v>0.14957391943014611</c:v>
                </c:pt>
                <c:pt idx="15">
                  <c:v>0.14957391943014611</c:v>
                </c:pt>
                <c:pt idx="16">
                  <c:v>0.14957391943014611</c:v>
                </c:pt>
                <c:pt idx="17">
                  <c:v>0.14957391943014611</c:v>
                </c:pt>
                <c:pt idx="18">
                  <c:v>0.14957391943014611</c:v>
                </c:pt>
                <c:pt idx="19">
                  <c:v>0.14957391943014611</c:v>
                </c:pt>
                <c:pt idx="20">
                  <c:v>0.14957391943014611</c:v>
                </c:pt>
                <c:pt idx="21">
                  <c:v>0.14957391943014611</c:v>
                </c:pt>
                <c:pt idx="22">
                  <c:v>0.14957391943014611</c:v>
                </c:pt>
                <c:pt idx="23">
                  <c:v>0.14957391943014611</c:v>
                </c:pt>
                <c:pt idx="24">
                  <c:v>0.14957391943014611</c:v>
                </c:pt>
                <c:pt idx="25">
                  <c:v>0.14957391943014611</c:v>
                </c:pt>
                <c:pt idx="26">
                  <c:v>0.14957391943014611</c:v>
                </c:pt>
                <c:pt idx="27">
                  <c:v>0.14957391943014611</c:v>
                </c:pt>
                <c:pt idx="28">
                  <c:v>0.14957391943014611</c:v>
                </c:pt>
                <c:pt idx="29">
                  <c:v>0.14957391943014611</c:v>
                </c:pt>
                <c:pt idx="30">
                  <c:v>0.14957391943014611</c:v>
                </c:pt>
                <c:pt idx="31">
                  <c:v>0.14957391943014611</c:v>
                </c:pt>
                <c:pt idx="32">
                  <c:v>0.14957391943014611</c:v>
                </c:pt>
                <c:pt idx="33">
                  <c:v>0.14957391943014611</c:v>
                </c:pt>
                <c:pt idx="34">
                  <c:v>0.14957391943014611</c:v>
                </c:pt>
                <c:pt idx="35">
                  <c:v>0.14957391943014611</c:v>
                </c:pt>
                <c:pt idx="36">
                  <c:v>0.14957391943014611</c:v>
                </c:pt>
                <c:pt idx="37">
                  <c:v>0.14957391943014611</c:v>
                </c:pt>
                <c:pt idx="38">
                  <c:v>0.14957391943014611</c:v>
                </c:pt>
                <c:pt idx="39">
                  <c:v>0.14957391943014611</c:v>
                </c:pt>
                <c:pt idx="40">
                  <c:v>0.14957391943014611</c:v>
                </c:pt>
                <c:pt idx="41">
                  <c:v>0.14957391943014611</c:v>
                </c:pt>
                <c:pt idx="42">
                  <c:v>0.14957391943014611</c:v>
                </c:pt>
                <c:pt idx="43">
                  <c:v>0.14957391943014611</c:v>
                </c:pt>
                <c:pt idx="44">
                  <c:v>0.14957391943014611</c:v>
                </c:pt>
                <c:pt idx="45">
                  <c:v>0.14957391943014611</c:v>
                </c:pt>
                <c:pt idx="46">
                  <c:v>0.14957391943014611</c:v>
                </c:pt>
                <c:pt idx="47">
                  <c:v>0.14957391943014611</c:v>
                </c:pt>
                <c:pt idx="48">
                  <c:v>0.14957391943014611</c:v>
                </c:pt>
                <c:pt idx="49">
                  <c:v>0.14957391943014611</c:v>
                </c:pt>
                <c:pt idx="50">
                  <c:v>0.14957391943014611</c:v>
                </c:pt>
                <c:pt idx="51">
                  <c:v>0.14957391943014611</c:v>
                </c:pt>
                <c:pt idx="52">
                  <c:v>0.14957391943014611</c:v>
                </c:pt>
                <c:pt idx="53">
                  <c:v>0.14957391943014611</c:v>
                </c:pt>
                <c:pt idx="54">
                  <c:v>0.14957391943014611</c:v>
                </c:pt>
                <c:pt idx="55">
                  <c:v>0.14957391943014611</c:v>
                </c:pt>
                <c:pt idx="56">
                  <c:v>0.14957391943014611</c:v>
                </c:pt>
                <c:pt idx="57">
                  <c:v>0.14957391943014611</c:v>
                </c:pt>
                <c:pt idx="58">
                  <c:v>0.14957391943014611</c:v>
                </c:pt>
                <c:pt idx="59">
                  <c:v>0.14957391943014611</c:v>
                </c:pt>
                <c:pt idx="60">
                  <c:v>0.14957391943014611</c:v>
                </c:pt>
                <c:pt idx="61">
                  <c:v>0.14957391943014611</c:v>
                </c:pt>
                <c:pt idx="62">
                  <c:v>0.14957391943014611</c:v>
                </c:pt>
                <c:pt idx="63">
                  <c:v>0.14957391943014611</c:v>
                </c:pt>
                <c:pt idx="64">
                  <c:v>0.14957391943014611</c:v>
                </c:pt>
                <c:pt idx="65">
                  <c:v>0.14957391943014611</c:v>
                </c:pt>
                <c:pt idx="66">
                  <c:v>0.14957391943014611</c:v>
                </c:pt>
              </c:numCache>
            </c:numRef>
          </c:val>
          <c:smooth val="0"/>
          <c:extLst>
            <c:ext xmlns:c16="http://schemas.microsoft.com/office/drawing/2014/chart" uri="{C3380CC4-5D6E-409C-BE32-E72D297353CC}">
              <c16:uniqueId val="{00000004-C9A6-4B14-BBA1-E595EB1DB5DD}"/>
            </c:ext>
          </c:extLst>
        </c:ser>
        <c:ser>
          <c:idx val="3"/>
          <c:order val="3"/>
          <c:tx>
            <c:strRef>
              <c:f>XbarR!$I$57</c:f>
              <c:strCache>
                <c:ptCount val="1"/>
                <c:pt idx="0">
                  <c:v>LCL</c:v>
                </c:pt>
              </c:strCache>
            </c:strRef>
          </c:tx>
          <c:spPr>
            <a:ln w="12700">
              <a:solidFill>
                <a:srgbClr val="FF0000"/>
              </a:solidFill>
              <a:prstDash val="solid"/>
            </a:ln>
          </c:spPr>
          <c:marker>
            <c:symbol val="none"/>
          </c:marker>
          <c:dLbls>
            <c:dLbl>
              <c:idx val="24"/>
              <c:layout>
                <c:manualLayout>
                  <c:x val="0.75697615423642861"/>
                  <c:y val="2.7072758037225111E-2"/>
                </c:manualLayout>
              </c:layout>
              <c:spPr>
                <a:noFill/>
                <a:ln w="25400">
                  <a:noFill/>
                </a:ln>
              </c:spPr>
              <c:txPr>
                <a:bodyPr/>
                <a:lstStyle/>
                <a:p>
                  <a:pPr>
                    <a:defRPr sz="900" b="0" i="0" u="none" strike="noStrike" baseline="0">
                      <a:solidFill>
                        <a:srgbClr val="000000"/>
                      </a:solidFill>
                      <a:latin typeface="Arial"/>
                      <a:ea typeface="Arial"/>
                      <a:cs typeface="Arial"/>
                    </a:defRPr>
                  </a:pPr>
                  <a:endParaRPr lang="de-DE"/>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9A6-4B14-BBA1-E595EB1DB5D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Ref>
              <c:f>XbarR!$A$58:$A$124</c:f>
              <c:strCache>
                <c:ptCount val="67"/>
                <c:pt idx="0">
                  <c:v>6.1</c:v>
                </c:pt>
                <c:pt idx="1">
                  <c:v>2.1</c:v>
                </c:pt>
                <c:pt idx="2">
                  <c:v>2.1</c:v>
                </c:pt>
                <c:pt idx="3">
                  <c:v>2.1</c:v>
                </c:pt>
                <c:pt idx="4">
                  <c:v>2.1</c:v>
                </c:pt>
                <c:pt idx="5">
                  <c:v>6.1</c:v>
                </c:pt>
                <c:pt idx="6">
                  <c:v>7.1</c:v>
                </c:pt>
                <c:pt idx="7">
                  <c:v>7.1</c:v>
                </c:pt>
                <c:pt idx="8">
                  <c:v>8.1</c:v>
                </c:pt>
                <c:pt idx="9">
                  <c:v>8.1</c:v>
                </c:pt>
                <c:pt idx="10">
                  <c:v>9.1</c:v>
                </c:pt>
                <c:pt idx="11">
                  <c:v>10.1</c:v>
                </c:pt>
                <c:pt idx="12">
                  <c:v>10.1</c:v>
                </c:pt>
                <c:pt idx="13">
                  <c:v>11.1</c:v>
                </c:pt>
                <c:pt idx="14">
                  <c:v>11.1</c:v>
                </c:pt>
                <c:pt idx="15">
                  <c:v>11.1</c:v>
                </c:pt>
                <c:pt idx="16">
                  <c:v>13.1</c:v>
                </c:pt>
                <c:pt idx="17">
                  <c:v>13.1</c:v>
                </c:pt>
                <c:pt idx="18">
                  <c:v>13.1</c:v>
                </c:pt>
                <c:pt idx="19">
                  <c:v>13.1</c:v>
                </c:pt>
                <c:pt idx="20">
                  <c:v>13.1</c:v>
                </c:pt>
                <c:pt idx="21">
                  <c:v>14.1</c:v>
                </c:pt>
                <c:pt idx="22">
                  <c:v>15.1</c:v>
                </c:pt>
                <c:pt idx="23">
                  <c:v>15.1</c:v>
                </c:pt>
                <c:pt idx="24">
                  <c:v>16.1</c:v>
                </c:pt>
                <c:pt idx="25">
                  <c:v>16.1</c:v>
                </c:pt>
                <c:pt idx="26">
                  <c:v>16.1</c:v>
                </c:pt>
                <c:pt idx="27">
                  <c:v>17.1</c:v>
                </c:pt>
                <c:pt idx="28">
                  <c:v>18.1</c:v>
                </c:pt>
                <c:pt idx="29">
                  <c:v>18.1</c:v>
                </c:pt>
                <c:pt idx="30">
                  <c:v>20.1</c:v>
                </c:pt>
                <c:pt idx="31">
                  <c:v>20.1</c:v>
                </c:pt>
                <c:pt idx="32">
                  <c:v>20.1</c:v>
                </c:pt>
                <c:pt idx="33">
                  <c:v>21.1</c:v>
                </c:pt>
                <c:pt idx="34">
                  <c:v>21.1</c:v>
                </c:pt>
                <c:pt idx="35">
                  <c:v>22.1</c:v>
                </c:pt>
                <c:pt idx="36">
                  <c:v>22.1</c:v>
                </c:pt>
                <c:pt idx="37">
                  <c:v>22.1</c:v>
                </c:pt>
                <c:pt idx="38">
                  <c:v>23.1</c:v>
                </c:pt>
                <c:pt idx="39">
                  <c:v>23.1</c:v>
                </c:pt>
                <c:pt idx="40">
                  <c:v>24.1</c:v>
                </c:pt>
                <c:pt idx="41">
                  <c:v>25.1</c:v>
                </c:pt>
                <c:pt idx="42">
                  <c:v>27.1</c:v>
                </c:pt>
                <c:pt idx="43">
                  <c:v>27.1</c:v>
                </c:pt>
                <c:pt idx="44">
                  <c:v>27.1</c:v>
                </c:pt>
                <c:pt idx="45">
                  <c:v>28.2</c:v>
                </c:pt>
                <c:pt idx="46">
                  <c:v>28.1</c:v>
                </c:pt>
                <c:pt idx="47">
                  <c:v>28.1</c:v>
                </c:pt>
                <c:pt idx="48">
                  <c:v>29.1</c:v>
                </c:pt>
                <c:pt idx="49">
                  <c:v>29.1</c:v>
                </c:pt>
                <c:pt idx="50">
                  <c:v>29.1</c:v>
                </c:pt>
                <c:pt idx="51">
                  <c:v>30.1</c:v>
                </c:pt>
                <c:pt idx="52">
                  <c:v>3.2</c:v>
                </c:pt>
                <c:pt idx="53">
                  <c:v>3.2</c:v>
                </c:pt>
                <c:pt idx="54">
                  <c:v>3.2</c:v>
                </c:pt>
                <c:pt idx="55">
                  <c:v>3.2</c:v>
                </c:pt>
                <c:pt idx="56">
                  <c:v>4.2</c:v>
                </c:pt>
                <c:pt idx="57">
                  <c:v>4.2</c:v>
                </c:pt>
                <c:pt idx="58">
                  <c:v>4.2</c:v>
                </c:pt>
                <c:pt idx="59">
                  <c:v>5.2</c:v>
                </c:pt>
                <c:pt idx="60">
                  <c:v>5.2</c:v>
                </c:pt>
                <c:pt idx="61">
                  <c:v>6.2</c:v>
                </c:pt>
                <c:pt idx="62">
                  <c:v>6.2</c:v>
                </c:pt>
                <c:pt idx="63">
                  <c:v>6.2</c:v>
                </c:pt>
                <c:pt idx="64">
                  <c:v>6.2</c:v>
                </c:pt>
                <c:pt idx="65">
                  <c:v>7.2</c:v>
                </c:pt>
                <c:pt idx="66">
                  <c:v>*</c:v>
                </c:pt>
              </c:strCache>
            </c:strRef>
          </c:cat>
          <c:val>
            <c:numRef>
              <c:f>XbarR!$I$58:$I$124</c:f>
              <c:numCache>
                <c:formatCode>0.000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extLst>
            <c:ext xmlns:c16="http://schemas.microsoft.com/office/drawing/2014/chart" uri="{C3380CC4-5D6E-409C-BE32-E72D297353CC}">
              <c16:uniqueId val="{00000006-C9A6-4B14-BBA1-E595EB1DB5DD}"/>
            </c:ext>
          </c:extLst>
        </c:ser>
        <c:dLbls>
          <c:showLegendKey val="0"/>
          <c:showVal val="0"/>
          <c:showCatName val="0"/>
          <c:showSerName val="0"/>
          <c:showPercent val="0"/>
          <c:showBubbleSize val="0"/>
        </c:dLbls>
        <c:marker val="1"/>
        <c:smooth val="0"/>
        <c:axId val="208181504"/>
        <c:axId val="208191872"/>
      </c:lineChart>
      <c:catAx>
        <c:axId val="208181504"/>
        <c:scaling>
          <c:orientation val="minMax"/>
        </c:scaling>
        <c:delete val="0"/>
        <c:axPos val="b"/>
        <c:title>
          <c:tx>
            <c:rich>
              <a:bodyPr/>
              <a:lstStyle/>
              <a:p>
                <a:pPr>
                  <a:defRPr sz="900" b="0" i="0" u="none" strike="noStrike" baseline="0">
                    <a:solidFill>
                      <a:srgbClr val="000000"/>
                    </a:solidFill>
                    <a:latin typeface="Arial"/>
                    <a:ea typeface="Arial"/>
                    <a:cs typeface="Arial"/>
                  </a:defRPr>
                </a:pPr>
                <a:r>
                  <a:rPr lang="de-DE"/>
                  <a:t>Sample #</a:t>
                </a:r>
              </a:p>
            </c:rich>
          </c:tx>
          <c:layout>
            <c:manualLayout>
              <c:xMode val="edge"/>
              <c:yMode val="edge"/>
              <c:x val="0.45468578191871734"/>
              <c:y val="0.8680203045685328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08191872"/>
        <c:crosses val="autoZero"/>
        <c:auto val="1"/>
        <c:lblAlgn val="ctr"/>
        <c:lblOffset val="100"/>
        <c:tickLblSkip val="1"/>
        <c:tickMarkSkip val="1"/>
        <c:noMultiLvlLbl val="0"/>
      </c:catAx>
      <c:valAx>
        <c:axId val="208191872"/>
        <c:scaling>
          <c:orientation val="minMax"/>
          <c:max val="0.2"/>
          <c:min val="0"/>
        </c:scaling>
        <c:delete val="0"/>
        <c:axPos val="l"/>
        <c:title>
          <c:tx>
            <c:rich>
              <a:bodyPr/>
              <a:lstStyle/>
              <a:p>
                <a:pPr>
                  <a:defRPr sz="900" b="1" i="0" u="none" strike="noStrike" baseline="0">
                    <a:solidFill>
                      <a:srgbClr val="000000"/>
                    </a:solidFill>
                    <a:latin typeface="Arial"/>
                    <a:ea typeface="Arial"/>
                    <a:cs typeface="Arial"/>
                  </a:defRPr>
                </a:pPr>
                <a:r>
                  <a:rPr lang="de-DE"/>
                  <a:t>Moving </a:t>
                </a:r>
              </a:p>
              <a:p>
                <a:pPr>
                  <a:defRPr sz="900" b="1" i="0" u="none" strike="noStrike" baseline="0">
                    <a:solidFill>
                      <a:srgbClr val="000000"/>
                    </a:solidFill>
                    <a:latin typeface="Arial"/>
                    <a:ea typeface="Arial"/>
                    <a:cs typeface="Arial"/>
                  </a:defRPr>
                </a:pPr>
                <a:r>
                  <a:rPr lang="de-DE"/>
                  <a:t>Range</a:t>
                </a:r>
              </a:p>
            </c:rich>
          </c:tx>
          <c:layout>
            <c:manualLayout>
              <c:xMode val="edge"/>
              <c:yMode val="edge"/>
              <c:x val="2.2160549603430718E-3"/>
              <c:y val="0.544111421556176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08181504"/>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900" b="0" i="0" u="none" strike="noStrike" baseline="0">
          <a:solidFill>
            <a:srgbClr val="000000"/>
          </a:solidFill>
          <a:latin typeface="Arial"/>
          <a:ea typeface="Arial"/>
          <a:cs typeface="Arial"/>
        </a:defRPr>
      </a:pPr>
      <a:endParaRPr lang="de-DE"/>
    </a:p>
  </c:txPr>
  <c:printSettings>
    <c:headerFooter alignWithMargins="0"/>
    <c:pageMargins b="0.98425196899999956" l="0.78740157499999996" r="0.78740157499999996" t="0.98425196899999956"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364847560144946E-2"/>
          <c:y val="5.5263157894736924E-2"/>
          <c:w val="0.92674486190956262"/>
          <c:h val="0.79210526315789564"/>
        </c:manualLayout>
      </c:layout>
      <c:barChart>
        <c:barDir val="col"/>
        <c:grouping val="stacked"/>
        <c:varyColors val="0"/>
        <c:ser>
          <c:idx val="0"/>
          <c:order val="1"/>
          <c:tx>
            <c:strRef>
              <c:f>BoxPlot!$A$29</c:f>
              <c:strCache>
                <c:ptCount val="1"/>
                <c:pt idx="0">
                  <c:v>Q1</c:v>
                </c:pt>
              </c:strCache>
            </c:strRef>
          </c:tx>
          <c:spPr>
            <a:noFill/>
            <a:ln w="25400">
              <a:noFill/>
            </a:ln>
          </c:spPr>
          <c:invertIfNegative val="0"/>
          <c:errBars>
            <c:errBarType val="minus"/>
            <c:errValType val="cust"/>
            <c:noEndCap val="0"/>
            <c:minus>
              <c:numRef>
                <c:f>BoxPlot!$B$45:$M$45</c:f>
                <c:numCache>
                  <c:formatCode>General</c:formatCode>
                  <c:ptCount val="12"/>
                  <c:pt idx="0">
                    <c:v>15.18158879318436</c:v>
                  </c:pt>
                  <c:pt idx="1">
                    <c:v>13.64887545636573</c:v>
                  </c:pt>
                  <c:pt idx="2">
                    <c:v>6</c:v>
                  </c:pt>
                  <c:pt idx="3">
                    <c:v>0</c:v>
                  </c:pt>
                  <c:pt idx="4">
                    <c:v>0</c:v>
                  </c:pt>
                  <c:pt idx="5">
                    <c:v>0</c:v>
                  </c:pt>
                  <c:pt idx="6">
                    <c:v>0</c:v>
                  </c:pt>
                  <c:pt idx="7">
                    <c:v>0</c:v>
                  </c:pt>
                  <c:pt idx="8">
                    <c:v>0</c:v>
                  </c:pt>
                  <c:pt idx="9">
                    <c:v>0</c:v>
                  </c:pt>
                  <c:pt idx="10">
                    <c:v>0</c:v>
                  </c:pt>
                  <c:pt idx="11">
                    <c:v>0</c:v>
                  </c:pt>
                </c:numCache>
              </c:numRef>
            </c:minus>
            <c:spPr>
              <a:ln w="12700">
                <a:solidFill>
                  <a:srgbClr val="000000"/>
                </a:solidFill>
                <a:prstDash val="solid"/>
              </a:ln>
            </c:spPr>
          </c:errBars>
          <c:cat>
            <c:strRef>
              <c:f>BoxPlot!$B$27:$M$27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BoxPlot!$B$29:$M$29</c:f>
              <c:numCache>
                <c:formatCode>General</c:formatCode>
                <c:ptCount val="12"/>
                <c:pt idx="0">
                  <c:v>96.739960321898295</c:v>
                </c:pt>
                <c:pt idx="1">
                  <c:v>96.690531852717712</c:v>
                </c:pt>
                <c:pt idx="2">
                  <c:v>83</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A42-4CDB-A89B-556584AE4FF5}"/>
            </c:ext>
          </c:extLst>
        </c:ser>
        <c:ser>
          <c:idx val="1"/>
          <c:order val="2"/>
          <c:tx>
            <c:strRef>
              <c:f>BoxPlot!$A$37</c:f>
              <c:strCache>
                <c:ptCount val="1"/>
                <c:pt idx="0">
                  <c:v>Q2-Q1</c:v>
                </c:pt>
              </c:strCache>
            </c:strRef>
          </c:tx>
          <c:spPr>
            <a:noFill/>
            <a:ln w="12700">
              <a:solidFill>
                <a:srgbClr val="000000"/>
              </a:solidFill>
              <a:prstDash val="solid"/>
            </a:ln>
          </c:spPr>
          <c:invertIfNegative val="0"/>
          <c:cat>
            <c:strRef>
              <c:f>BoxPlot!$B$27:$M$27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BoxPlot!$B$37:$M$37</c:f>
              <c:numCache>
                <c:formatCode>General</c:formatCode>
                <c:ptCount val="12"/>
                <c:pt idx="0">
                  <c:v>1.9720867162036058</c:v>
                </c:pt>
                <c:pt idx="1">
                  <c:v>1.6531534474893306</c:v>
                </c:pt>
                <c:pt idx="2">
                  <c:v>3</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7A42-4CDB-A89B-556584AE4FF5}"/>
            </c:ext>
          </c:extLst>
        </c:ser>
        <c:ser>
          <c:idx val="2"/>
          <c:order val="3"/>
          <c:tx>
            <c:strRef>
              <c:f>BoxPlot!$A$38</c:f>
              <c:strCache>
                <c:ptCount val="1"/>
                <c:pt idx="0">
                  <c:v>Q3-Q2</c:v>
                </c:pt>
              </c:strCache>
            </c:strRef>
          </c:tx>
          <c:spPr>
            <a:noFill/>
            <a:ln w="12700">
              <a:solidFill>
                <a:srgbClr val="000000"/>
              </a:solidFill>
              <a:prstDash val="solid"/>
            </a:ln>
          </c:spPr>
          <c:invertIfNegative val="0"/>
          <c:errBars>
            <c:errBarType val="plus"/>
            <c:errValType val="cust"/>
            <c:noEndCap val="0"/>
            <c:plus>
              <c:numRef>
                <c:f>BoxPlot!$B$44:$M$44</c:f>
                <c:numCache>
                  <c:formatCode>General</c:formatCode>
                  <c:ptCount val="12"/>
                  <c:pt idx="0">
                    <c:v>0.76931149941469812</c:v>
                  </c:pt>
                  <c:pt idx="1">
                    <c:v>0.88698351688964294</c:v>
                  </c:pt>
                  <c:pt idx="2">
                    <c:v>4</c:v>
                  </c:pt>
                  <c:pt idx="3">
                    <c:v>0</c:v>
                  </c:pt>
                  <c:pt idx="4">
                    <c:v>0</c:v>
                  </c:pt>
                  <c:pt idx="5">
                    <c:v>0</c:v>
                  </c:pt>
                  <c:pt idx="6">
                    <c:v>0</c:v>
                  </c:pt>
                  <c:pt idx="7">
                    <c:v>0</c:v>
                  </c:pt>
                  <c:pt idx="8">
                    <c:v>0</c:v>
                  </c:pt>
                  <c:pt idx="9">
                    <c:v>0</c:v>
                  </c:pt>
                  <c:pt idx="10">
                    <c:v>0</c:v>
                  </c:pt>
                  <c:pt idx="11">
                    <c:v>0</c:v>
                  </c:pt>
                </c:numCache>
              </c:numRef>
            </c:plus>
            <c:spPr>
              <a:noFill/>
              <a:ln w="12700">
                <a:solidFill>
                  <a:srgbClr val="000000"/>
                </a:solidFill>
                <a:prstDash val="solid"/>
              </a:ln>
            </c:spPr>
          </c:errBars>
          <c:cat>
            <c:strRef>
              <c:f>BoxPlot!$B$27:$M$27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BoxPlot!$B$38:$M$38</c:f>
              <c:numCache>
                <c:formatCode>General</c:formatCode>
                <c:ptCount val="12"/>
                <c:pt idx="0">
                  <c:v>0.51864146248340148</c:v>
                </c:pt>
                <c:pt idx="1">
                  <c:v>0.76933118290331493</c:v>
                </c:pt>
                <c:pt idx="2">
                  <c:v>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7A42-4CDB-A89B-556584AE4FF5}"/>
            </c:ext>
          </c:extLst>
        </c:ser>
        <c:dLbls>
          <c:showLegendKey val="0"/>
          <c:showVal val="0"/>
          <c:showCatName val="0"/>
          <c:showSerName val="0"/>
          <c:showPercent val="0"/>
          <c:showBubbleSize val="0"/>
        </c:dLbls>
        <c:gapWidth val="150"/>
        <c:overlap val="100"/>
        <c:axId val="449811584"/>
        <c:axId val="449813504"/>
      </c:barChart>
      <c:lineChart>
        <c:grouping val="standard"/>
        <c:varyColors val="0"/>
        <c:ser>
          <c:idx val="5"/>
          <c:order val="0"/>
          <c:tx>
            <c:strRef>
              <c:f>BoxPlot!$A$279</c:f>
              <c:strCache>
                <c:ptCount val="1"/>
                <c:pt idx="0">
                  <c:v>Target: QP</c:v>
                </c:pt>
              </c:strCache>
            </c:strRef>
          </c:tx>
          <c:spPr>
            <a:ln w="28575">
              <a:solidFill>
                <a:srgbClr val="FF0000"/>
              </a:solidFill>
            </a:ln>
          </c:spPr>
          <c:marker>
            <c:symbol val="none"/>
          </c:marker>
          <c:val>
            <c:numRef>
              <c:f>BoxPlot!$B$279:$M$279</c:f>
              <c:numCache>
                <c:formatCode>General</c:formatCode>
                <c:ptCount val="12"/>
                <c:pt idx="0">
                  <c:v>95</c:v>
                </c:pt>
                <c:pt idx="1">
                  <c:v>95</c:v>
                </c:pt>
                <c:pt idx="2">
                  <c:v>95</c:v>
                </c:pt>
                <c:pt idx="3">
                  <c:v>95</c:v>
                </c:pt>
                <c:pt idx="4">
                  <c:v>95</c:v>
                </c:pt>
                <c:pt idx="5">
                  <c:v>95</c:v>
                </c:pt>
                <c:pt idx="6">
                  <c:v>95</c:v>
                </c:pt>
                <c:pt idx="7">
                  <c:v>95</c:v>
                </c:pt>
                <c:pt idx="8">
                  <c:v>95</c:v>
                </c:pt>
                <c:pt idx="9">
                  <c:v>95</c:v>
                </c:pt>
                <c:pt idx="10">
                  <c:v>95</c:v>
                </c:pt>
                <c:pt idx="11">
                  <c:v>95</c:v>
                </c:pt>
              </c:numCache>
            </c:numRef>
          </c:val>
          <c:smooth val="0"/>
          <c:extLst>
            <c:ext xmlns:c16="http://schemas.microsoft.com/office/drawing/2014/chart" uri="{C3380CC4-5D6E-409C-BE32-E72D297353CC}">
              <c16:uniqueId val="{00000003-7A42-4CDB-A89B-556584AE4FF5}"/>
            </c:ext>
          </c:extLst>
        </c:ser>
        <c:ser>
          <c:idx val="4"/>
          <c:order val="4"/>
          <c:tx>
            <c:v>Min Outlier</c:v>
          </c:tx>
          <c:spPr>
            <a:ln w="28575">
              <a:noFill/>
            </a:ln>
          </c:spPr>
          <c:marker>
            <c:symbol val="star"/>
            <c:size val="5"/>
            <c:spPr>
              <a:noFill/>
              <a:ln>
                <a:solidFill>
                  <a:srgbClr val="FF00FF"/>
                </a:solidFill>
                <a:prstDash val="solid"/>
              </a:ln>
            </c:spPr>
          </c:marker>
          <c:cat>
            <c:strRef>
              <c:f>BoxPlot!$B$27:$M$27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BoxPlot!$B$48:$M$48</c:f>
              <c:numCache>
                <c:formatCode>General</c:formatCode>
                <c:ptCount val="12"/>
                <c:pt idx="0">
                  <c:v>#N/A</c:v>
                </c:pt>
                <c:pt idx="1">
                  <c:v>#N/A</c:v>
                </c:pt>
                <c:pt idx="2">
                  <c:v>#N/A</c:v>
                </c:pt>
                <c:pt idx="3">
                  <c:v>#N/A</c:v>
                </c:pt>
                <c:pt idx="10">
                  <c:v>#N/A</c:v>
                </c:pt>
                <c:pt idx="11">
                  <c:v>#N/A</c:v>
                </c:pt>
              </c:numCache>
            </c:numRef>
          </c:val>
          <c:smooth val="0"/>
          <c:extLst>
            <c:ext xmlns:c16="http://schemas.microsoft.com/office/drawing/2014/chart" uri="{C3380CC4-5D6E-409C-BE32-E72D297353CC}">
              <c16:uniqueId val="{00000004-7A42-4CDB-A89B-556584AE4FF5}"/>
            </c:ext>
          </c:extLst>
        </c:ser>
        <c:ser>
          <c:idx val="3"/>
          <c:order val="5"/>
          <c:tx>
            <c:v>Max Outlier</c:v>
          </c:tx>
          <c:spPr>
            <a:ln w="28575">
              <a:noFill/>
            </a:ln>
          </c:spPr>
          <c:marker>
            <c:symbol val="star"/>
            <c:size val="5"/>
            <c:spPr>
              <a:noFill/>
              <a:ln>
                <a:solidFill>
                  <a:srgbClr val="FF0000"/>
                </a:solidFill>
                <a:prstDash val="solid"/>
              </a:ln>
            </c:spPr>
          </c:marker>
          <c:cat>
            <c:strRef>
              <c:f>BoxPlot!$B$27:$M$27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BoxPlot!$B$47:$M$47</c:f>
              <c:numCache>
                <c:formatCode>General</c:formatCode>
                <c:ptCount val="12"/>
                <c:pt idx="0">
                  <c:v>97.550196408280101</c:v>
                </c:pt>
                <c:pt idx="1">
                  <c:v>97.151461729082499</c:v>
                </c:pt>
                <c:pt idx="2">
                  <c:v>86.310344827586206</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5-7A42-4CDB-A89B-556584AE4FF5}"/>
            </c:ext>
          </c:extLst>
        </c:ser>
        <c:dLbls>
          <c:showLegendKey val="0"/>
          <c:showVal val="0"/>
          <c:showCatName val="0"/>
          <c:showSerName val="0"/>
          <c:showPercent val="0"/>
          <c:showBubbleSize val="0"/>
        </c:dLbls>
        <c:marker val="1"/>
        <c:smooth val="0"/>
        <c:axId val="449811584"/>
        <c:axId val="449813504"/>
      </c:lineChart>
      <c:catAx>
        <c:axId val="449811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de-DE" sz="1125" b="0" i="0" u="none" strike="noStrike" baseline="0">
                <a:solidFill>
                  <a:srgbClr val="000000"/>
                </a:solidFill>
                <a:latin typeface="Arial"/>
                <a:ea typeface="Arial"/>
                <a:cs typeface="Arial"/>
              </a:defRPr>
            </a:pPr>
            <a:endParaRPr lang="de-DE"/>
          </a:p>
        </c:txPr>
        <c:crossAx val="449813504"/>
        <c:crossesAt val="0"/>
        <c:auto val="1"/>
        <c:lblAlgn val="ctr"/>
        <c:lblOffset val="100"/>
        <c:tickLblSkip val="1"/>
        <c:tickMarkSkip val="1"/>
        <c:noMultiLvlLbl val="0"/>
      </c:catAx>
      <c:valAx>
        <c:axId val="449813504"/>
        <c:scaling>
          <c:orientation val="minMax"/>
          <c:min val="75"/>
        </c:scaling>
        <c:delete val="0"/>
        <c:axPos val="l"/>
        <c:numFmt formatCode="General" sourceLinked="1"/>
        <c:majorTickMark val="out"/>
        <c:minorTickMark val="none"/>
        <c:tickLblPos val="nextTo"/>
        <c:spPr>
          <a:gradFill>
            <a:gsLst>
              <a:gs pos="45000">
                <a:srgbClr val="4F81BD">
                  <a:tint val="66000"/>
                  <a:satMod val="160000"/>
                  <a:alpha val="0"/>
                </a:srgbClr>
              </a:gs>
              <a:gs pos="90000">
                <a:srgbClr val="1F497D">
                  <a:alpha val="0"/>
                </a:srgbClr>
              </a:gs>
              <a:gs pos="100000">
                <a:srgbClr val="4F81BD">
                  <a:tint val="23500"/>
                  <a:satMod val="160000"/>
                </a:srgbClr>
              </a:gs>
            </a:gsLst>
            <a:lin ang="5400000" scaled="0"/>
          </a:gradFill>
          <a:ln w="3175">
            <a:solidFill>
              <a:srgbClr val="000000"/>
            </a:solidFill>
            <a:prstDash val="solid"/>
          </a:ln>
        </c:spPr>
        <c:txPr>
          <a:bodyPr rot="0" vert="horz"/>
          <a:lstStyle/>
          <a:p>
            <a:pPr>
              <a:defRPr lang="de-DE" sz="1125" b="0" i="0" u="none" strike="noStrike" baseline="0">
                <a:solidFill>
                  <a:srgbClr val="000000"/>
                </a:solidFill>
                <a:latin typeface="Arial"/>
                <a:ea typeface="Arial"/>
                <a:cs typeface="Arial"/>
              </a:defRPr>
            </a:pPr>
            <a:endParaRPr lang="de-DE"/>
          </a:p>
        </c:txPr>
        <c:crossAx val="449811584"/>
        <c:crosses val="autoZero"/>
        <c:crossBetween val="between"/>
      </c:valAx>
      <c:spPr>
        <a:noFill/>
        <a:ln w="25400">
          <a:noFill/>
        </a:ln>
      </c:spPr>
    </c:plotArea>
    <c:plotVisOnly val="0"/>
    <c:dispBlanksAs val="gap"/>
    <c:showDLblsOverMax val="0"/>
  </c:chart>
  <c:spPr>
    <a:solidFill>
      <a:srgbClr val="FFFFFF"/>
    </a:solidFill>
    <a:ln w="9525">
      <a:noFill/>
    </a:ln>
  </c:spPr>
  <c:txPr>
    <a:bodyPr/>
    <a:lstStyle/>
    <a:p>
      <a:pPr>
        <a:defRPr sz="1050" b="0" i="0" u="none" strike="noStrike" baseline="0">
          <a:solidFill>
            <a:srgbClr val="000000"/>
          </a:solidFill>
          <a:latin typeface="Arial"/>
          <a:ea typeface="Arial"/>
          <a:cs typeface="Arial"/>
        </a:defRPr>
      </a:pPr>
      <a:endParaRPr lang="de-DE"/>
    </a:p>
  </c:txPr>
  <c:printSettings>
    <c:headerFooter alignWithMargins="0"/>
    <c:pageMargins b="0.98425196899999956" l="0.78740157499999996" r="0.78740157499999996" t="0.98425196899999956" header="0.5" footer="0.5"/>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16" fmlaLink="calculations!$C$2" max="351" min="1" page="10"/>
</file>

<file path=xl/ctrlProps/ctrlProp2.xml><?xml version="1.0" encoding="utf-8"?>
<formControlPr xmlns="http://schemas.microsoft.com/office/spreadsheetml/2009/9/main" objectType="Radio" firstButton="1" fmlaLink="calculations!$D$4"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checked="Checked" fmlaLink="calculations!$R$2"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Scroll" dx="16" fmlaLink="calculations!$C$2" max="351" min="1" page="10"/>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Drop" dropLines="9" dropStyle="combo" dx="16" fmlaLink="calculations!$AY$19" fmlaRange="lstKPIs" noThreeD="1" sel="2" val="0"/>
</file>

<file path=xl/ctrlProps/ctrlProp18.xml><?xml version="1.0" encoding="utf-8"?>
<formControlPr xmlns="http://schemas.microsoft.com/office/spreadsheetml/2009/9/main" objectType="Drop" dropLines="5" dropStyle="combo" dx="16" fmlaLink="calculations!$AX$19" fmlaRange="lstKPIs" noThreeD="1" sel="3" val="0"/>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chart" Target="../charts/chart10.xml"/><Relationship Id="rId18" Type="http://schemas.openxmlformats.org/officeDocument/2006/relationships/chart" Target="../charts/chart15.xml"/><Relationship Id="rId26" Type="http://schemas.openxmlformats.org/officeDocument/2006/relationships/chart" Target="../charts/chart23.xml"/><Relationship Id="rId3" Type="http://schemas.openxmlformats.org/officeDocument/2006/relationships/chart" Target="../charts/chart3.xml"/><Relationship Id="rId21" Type="http://schemas.openxmlformats.org/officeDocument/2006/relationships/chart" Target="../charts/chart18.xml"/><Relationship Id="rId7" Type="http://schemas.openxmlformats.org/officeDocument/2006/relationships/chart" Target="../charts/chart4.xml"/><Relationship Id="rId12" Type="http://schemas.openxmlformats.org/officeDocument/2006/relationships/chart" Target="../charts/chart9.xml"/><Relationship Id="rId17" Type="http://schemas.openxmlformats.org/officeDocument/2006/relationships/chart" Target="../charts/chart14.xml"/><Relationship Id="rId25" Type="http://schemas.openxmlformats.org/officeDocument/2006/relationships/chart" Target="../charts/chart22.xml"/><Relationship Id="rId2" Type="http://schemas.openxmlformats.org/officeDocument/2006/relationships/chart" Target="../charts/chart2.xml"/><Relationship Id="rId16" Type="http://schemas.openxmlformats.org/officeDocument/2006/relationships/chart" Target="../charts/chart13.xml"/><Relationship Id="rId20" Type="http://schemas.openxmlformats.org/officeDocument/2006/relationships/chart" Target="../charts/chart17.xml"/><Relationship Id="rId29" Type="http://schemas.openxmlformats.org/officeDocument/2006/relationships/chart" Target="../charts/chart26.xml"/><Relationship Id="rId1" Type="http://schemas.openxmlformats.org/officeDocument/2006/relationships/chart" Target="../charts/chart1.xml"/><Relationship Id="rId6" Type="http://schemas.openxmlformats.org/officeDocument/2006/relationships/image" Target="../media/image4.png"/><Relationship Id="rId11" Type="http://schemas.openxmlformats.org/officeDocument/2006/relationships/chart" Target="../charts/chart8.xml"/><Relationship Id="rId24" Type="http://schemas.openxmlformats.org/officeDocument/2006/relationships/chart" Target="../charts/chart21.xml"/><Relationship Id="rId32" Type="http://schemas.openxmlformats.org/officeDocument/2006/relationships/chart" Target="../charts/chart29.xml"/><Relationship Id="rId5" Type="http://schemas.openxmlformats.org/officeDocument/2006/relationships/image" Target="../media/image3.png"/><Relationship Id="rId15" Type="http://schemas.openxmlformats.org/officeDocument/2006/relationships/chart" Target="../charts/chart12.xml"/><Relationship Id="rId23" Type="http://schemas.openxmlformats.org/officeDocument/2006/relationships/chart" Target="../charts/chart20.xml"/><Relationship Id="rId28" Type="http://schemas.openxmlformats.org/officeDocument/2006/relationships/chart" Target="../charts/chart25.xml"/><Relationship Id="rId10" Type="http://schemas.openxmlformats.org/officeDocument/2006/relationships/chart" Target="../charts/chart7.xml"/><Relationship Id="rId19" Type="http://schemas.openxmlformats.org/officeDocument/2006/relationships/chart" Target="../charts/chart16.xml"/><Relationship Id="rId31" Type="http://schemas.openxmlformats.org/officeDocument/2006/relationships/chart" Target="../charts/chart28.xml"/><Relationship Id="rId4" Type="http://schemas.openxmlformats.org/officeDocument/2006/relationships/image" Target="../media/image2.png"/><Relationship Id="rId9" Type="http://schemas.openxmlformats.org/officeDocument/2006/relationships/chart" Target="../charts/chart6.xml"/><Relationship Id="rId14" Type="http://schemas.openxmlformats.org/officeDocument/2006/relationships/chart" Target="../charts/chart11.xml"/><Relationship Id="rId22" Type="http://schemas.openxmlformats.org/officeDocument/2006/relationships/chart" Target="../charts/chart19.xml"/><Relationship Id="rId27" Type="http://schemas.openxmlformats.org/officeDocument/2006/relationships/chart" Target="../charts/chart24.xml"/><Relationship Id="rId30" Type="http://schemas.openxmlformats.org/officeDocument/2006/relationships/chart" Target="../charts/chart27.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317500</xdr:colOff>
      <xdr:row>8</xdr:row>
      <xdr:rowOff>87842</xdr:rowOff>
    </xdr:from>
    <xdr:to>
      <xdr:col>13</xdr:col>
      <xdr:colOff>222250</xdr:colOff>
      <xdr:row>20</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31749</xdr:colOff>
      <xdr:row>8</xdr:row>
      <xdr:rowOff>87842</xdr:rowOff>
    </xdr:from>
    <xdr:to>
      <xdr:col>12</xdr:col>
      <xdr:colOff>137582</xdr:colOff>
      <xdr:row>20</xdr:row>
      <xdr:rowOff>21166</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xdr:colOff>
      <xdr:row>8</xdr:row>
      <xdr:rowOff>66676</xdr:rowOff>
    </xdr:from>
    <xdr:to>
      <xdr:col>20</xdr:col>
      <xdr:colOff>148167</xdr:colOff>
      <xdr:row>20</xdr:row>
      <xdr:rowOff>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32</xdr:row>
      <xdr:rowOff>29112</xdr:rowOff>
    </xdr:from>
    <xdr:to>
      <xdr:col>7</xdr:col>
      <xdr:colOff>329706</xdr:colOff>
      <xdr:row>33</xdr:row>
      <xdr:rowOff>10590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317500" y="6774223"/>
          <a:ext cx="5818928" cy="362478"/>
          <a:chOff x="2524125" y="3501186"/>
          <a:chExt cx="3298579" cy="239139"/>
        </a:xfrm>
      </xdr:grpSpPr>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2524125" y="3507120"/>
            <a:ext cx="3298579"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900">
                <a:solidFill>
                  <a:schemeClr val="tx1">
                    <a:lumMod val="50000"/>
                    <a:lumOff val="50000"/>
                  </a:schemeClr>
                </a:solidFill>
              </a:rPr>
              <a:t>Legend:                                       Target    </a:t>
            </a:r>
            <a:r>
              <a:rPr lang="en-US" sz="900" baseline="0">
                <a:solidFill>
                  <a:schemeClr val="tx1">
                    <a:lumMod val="50000"/>
                    <a:lumOff val="50000"/>
                  </a:schemeClr>
                </a:solidFill>
              </a:rPr>
              <a:t>                </a:t>
            </a:r>
            <a:r>
              <a:rPr lang="en-US" sz="900">
                <a:solidFill>
                  <a:schemeClr val="tx1">
                    <a:lumMod val="50000"/>
                    <a:lumOff val="50000"/>
                  </a:schemeClr>
                </a:solidFill>
              </a:rPr>
              <a:t>&lt;=10</a:t>
            </a:r>
            <a:r>
              <a:rPr lang="en-US" sz="900" baseline="0">
                <a:solidFill>
                  <a:schemeClr val="tx1">
                    <a:lumMod val="50000"/>
                    <a:lumOff val="50000"/>
                  </a:schemeClr>
                </a:solidFill>
              </a:rPr>
              <a:t> percentile                   &gt;=90 percentile</a:t>
            </a:r>
            <a:endParaRPr lang="en-US" sz="900">
              <a:solidFill>
                <a:schemeClr val="tx1">
                  <a:lumMod val="50000"/>
                  <a:lumOff val="50000"/>
                </a:schemeClr>
              </a:solidFill>
            </a:endParaRPr>
          </a:p>
        </xdr:txBody>
      </xdr:sp>
      <xdr:pic>
        <xdr:nvPicPr>
          <xdr:cNvPr id="8" name="Picture 7" descr="screenshot.33.png">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4" cstate="print"/>
          <a:stretch>
            <a:fillRect/>
          </a:stretch>
        </xdr:blipFill>
        <xdr:spPr>
          <a:xfrm>
            <a:off x="3242555" y="3532199"/>
            <a:ext cx="123810" cy="123810"/>
          </a:xfrm>
          <a:prstGeom prst="rect">
            <a:avLst/>
          </a:prstGeom>
        </xdr:spPr>
      </xdr:pic>
      <xdr:pic>
        <xdr:nvPicPr>
          <xdr:cNvPr id="9" name="Picture 8" descr="screenshot.34.png">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cstate="print"/>
          <a:stretch>
            <a:fillRect/>
          </a:stretch>
        </xdr:blipFill>
        <xdr:spPr>
          <a:xfrm>
            <a:off x="3767073" y="3509770"/>
            <a:ext cx="161905" cy="161905"/>
          </a:xfrm>
          <a:prstGeom prst="rect">
            <a:avLst/>
          </a:prstGeom>
        </xdr:spPr>
      </xdr:pic>
      <xdr:pic>
        <xdr:nvPicPr>
          <xdr:cNvPr id="10" name="Picture 9" descr="screenshot.35.png">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6" cstate="print"/>
          <a:stretch>
            <a:fillRect/>
          </a:stretch>
        </xdr:blipFill>
        <xdr:spPr>
          <a:xfrm>
            <a:off x="4505687" y="3501186"/>
            <a:ext cx="161905" cy="171429"/>
          </a:xfrm>
          <a:prstGeom prst="rect">
            <a:avLst/>
          </a:prstGeom>
        </xdr:spPr>
      </xdr:pic>
    </xdr:grpSp>
    <xdr:clientData/>
  </xdr:twoCellAnchor>
  <xdr:twoCellAnchor>
    <xdr:from>
      <xdr:col>0</xdr:col>
      <xdr:colOff>46037</xdr:colOff>
      <xdr:row>40</xdr:row>
      <xdr:rowOff>137584</xdr:rowOff>
    </xdr:from>
    <xdr:to>
      <xdr:col>21</xdr:col>
      <xdr:colOff>31750</xdr:colOff>
      <xdr:row>107</xdr:row>
      <xdr:rowOff>179917</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46037" y="9736667"/>
          <a:ext cx="13447713" cy="12700000"/>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xdr:col>
      <xdr:colOff>1722966</xdr:colOff>
      <xdr:row>44</xdr:row>
      <xdr:rowOff>140757</xdr:rowOff>
    </xdr:from>
    <xdr:to>
      <xdr:col>20</xdr:col>
      <xdr:colOff>338666</xdr:colOff>
      <xdr:row>50</xdr:row>
      <xdr:rowOff>63500</xdr:rowOff>
    </xdr:to>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1788583</xdr:colOff>
      <xdr:row>52</xdr:row>
      <xdr:rowOff>0</xdr:rowOff>
    </xdr:from>
    <xdr:to>
      <xdr:col>20</xdr:col>
      <xdr:colOff>634999</xdr:colOff>
      <xdr:row>55</xdr:row>
      <xdr:rowOff>78581</xdr:rowOff>
    </xdr:to>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1744132</xdr:colOff>
      <xdr:row>56</xdr:row>
      <xdr:rowOff>31750</xdr:rowOff>
    </xdr:from>
    <xdr:to>
      <xdr:col>20</xdr:col>
      <xdr:colOff>370415</xdr:colOff>
      <xdr:row>59</xdr:row>
      <xdr:rowOff>35454</xdr:rowOff>
    </xdr:to>
    <xdr:graphicFrame macro="">
      <xdr:nvGraphicFramePr>
        <xdr:cNvPr id="17" name="Chart 16">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1778000</xdr:colOff>
      <xdr:row>59</xdr:row>
      <xdr:rowOff>21960</xdr:rowOff>
    </xdr:from>
    <xdr:to>
      <xdr:col>20</xdr:col>
      <xdr:colOff>433917</xdr:colOff>
      <xdr:row>61</xdr:row>
      <xdr:rowOff>98160</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1807632</xdr:colOff>
      <xdr:row>62</xdr:row>
      <xdr:rowOff>44019</xdr:rowOff>
    </xdr:from>
    <xdr:to>
      <xdr:col>20</xdr:col>
      <xdr:colOff>349249</xdr:colOff>
      <xdr:row>64</xdr:row>
      <xdr:rowOff>120219</xdr:rowOff>
    </xdr:to>
    <xdr:graphicFrame macro="">
      <xdr:nvGraphicFramePr>
        <xdr:cNvPr id="19" name="Chart 18">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oneCellAnchor>
    <xdr:from>
      <xdr:col>2</xdr:col>
      <xdr:colOff>260350</xdr:colOff>
      <xdr:row>46</xdr:row>
      <xdr:rowOff>83423</xdr:rowOff>
    </xdr:from>
    <xdr:ext cx="543984" cy="551577"/>
    <xdr:sp macro="" textlink="$D$9">
      <xdr:nvSpPr>
        <xdr:cNvPr id="20" name="TextBox 19">
          <a:extLst>
            <a:ext uri="{FF2B5EF4-FFF2-40B4-BE49-F238E27FC236}">
              <a16:creationId xmlns:a16="http://schemas.microsoft.com/office/drawing/2014/main" id="{00000000-0008-0000-0000-000014000000}"/>
            </a:ext>
          </a:extLst>
        </xdr:cNvPr>
        <xdr:cNvSpPr txBox="1"/>
      </xdr:nvSpPr>
      <xdr:spPr>
        <a:xfrm>
          <a:off x="5763683" y="5417423"/>
          <a:ext cx="543984" cy="5515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fld id="{3B44E22E-AA4D-43E2-B169-715454AFD0BB}" type="TxLink">
            <a:rPr lang="en-US" sz="900" b="1" i="0" u="none" strike="noStrike">
              <a:solidFill>
                <a:schemeClr val="tx1">
                  <a:lumMod val="50000"/>
                  <a:lumOff val="50000"/>
                </a:schemeClr>
              </a:solidFill>
              <a:latin typeface="Calibri"/>
            </a:rPr>
            <a:pPr/>
            <a:t>OEE</a:t>
          </a:fld>
          <a:endParaRPr lang="en-US" sz="900">
            <a:solidFill>
              <a:schemeClr val="tx1">
                <a:lumMod val="50000"/>
                <a:lumOff val="50000"/>
              </a:schemeClr>
            </a:solidFill>
          </a:endParaRPr>
        </a:p>
      </xdr:txBody>
    </xdr:sp>
    <xdr:clientData/>
  </xdr:oneCellAnchor>
  <xdr:oneCellAnchor>
    <xdr:from>
      <xdr:col>2</xdr:col>
      <xdr:colOff>16934</xdr:colOff>
      <xdr:row>51</xdr:row>
      <xdr:rowOff>178301</xdr:rowOff>
    </xdr:from>
    <xdr:ext cx="840317" cy="604866"/>
    <xdr:sp macro="" textlink="$G$9">
      <xdr:nvSpPr>
        <xdr:cNvPr id="21" name="TextBox 20">
          <a:extLst>
            <a:ext uri="{FF2B5EF4-FFF2-40B4-BE49-F238E27FC236}">
              <a16:creationId xmlns:a16="http://schemas.microsoft.com/office/drawing/2014/main" id="{00000000-0008-0000-0000-000015000000}"/>
            </a:ext>
          </a:extLst>
        </xdr:cNvPr>
        <xdr:cNvSpPr txBox="1"/>
      </xdr:nvSpPr>
      <xdr:spPr>
        <a:xfrm>
          <a:off x="5520267" y="6464801"/>
          <a:ext cx="840317" cy="604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fld id="{FBD4F371-EADF-42CB-BB41-C87167747342}" type="TxLink">
            <a:rPr lang="en-US" sz="900" b="1" i="0" u="none" strike="noStrike">
              <a:solidFill>
                <a:schemeClr val="tx1">
                  <a:lumMod val="50000"/>
                  <a:lumOff val="50000"/>
                </a:schemeClr>
              </a:solidFill>
              <a:latin typeface="Calibri"/>
            </a:rPr>
            <a:pPr/>
            <a:t>Availability</a:t>
          </a:fld>
          <a:endParaRPr lang="en-US" sz="900">
            <a:solidFill>
              <a:schemeClr val="tx1">
                <a:lumMod val="50000"/>
                <a:lumOff val="50000"/>
              </a:schemeClr>
            </a:solidFill>
          </a:endParaRPr>
        </a:p>
      </xdr:txBody>
    </xdr:sp>
    <xdr:clientData/>
  </xdr:oneCellAnchor>
  <xdr:oneCellAnchor>
    <xdr:from>
      <xdr:col>2</xdr:col>
      <xdr:colOff>143934</xdr:colOff>
      <xdr:row>56</xdr:row>
      <xdr:rowOff>19179</xdr:rowOff>
    </xdr:from>
    <xdr:ext cx="804066" cy="233205"/>
    <xdr:sp macro="" textlink="$J$9">
      <xdr:nvSpPr>
        <xdr:cNvPr id="22" name="TextBox 21">
          <a:extLst>
            <a:ext uri="{FF2B5EF4-FFF2-40B4-BE49-F238E27FC236}">
              <a16:creationId xmlns:a16="http://schemas.microsoft.com/office/drawing/2014/main" id="{00000000-0008-0000-0000-000016000000}"/>
            </a:ext>
          </a:extLst>
        </xdr:cNvPr>
        <xdr:cNvSpPr txBox="1"/>
      </xdr:nvSpPr>
      <xdr:spPr>
        <a:xfrm>
          <a:off x="6377517" y="7480429"/>
          <a:ext cx="80406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ctr">
          <a:spAutoFit/>
        </a:bodyPr>
        <a:lstStyle/>
        <a:p>
          <a:fld id="{1E63C065-7404-4402-A72B-F390641D256A}" type="TxLink">
            <a:rPr lang="en-US" sz="900" b="1" i="0" u="none" strike="noStrike">
              <a:solidFill>
                <a:schemeClr val="tx1">
                  <a:lumMod val="50000"/>
                  <a:lumOff val="50000"/>
                </a:schemeClr>
              </a:solidFill>
              <a:latin typeface="Calibri"/>
            </a:rPr>
            <a:pPr/>
            <a:t>Performance</a:t>
          </a:fld>
          <a:endParaRPr lang="en-US" sz="900">
            <a:solidFill>
              <a:schemeClr val="tx1">
                <a:lumMod val="50000"/>
                <a:lumOff val="50000"/>
              </a:schemeClr>
            </a:solidFill>
          </a:endParaRPr>
        </a:p>
      </xdr:txBody>
    </xdr:sp>
    <xdr:clientData/>
  </xdr:oneCellAnchor>
  <xdr:oneCellAnchor>
    <xdr:from>
      <xdr:col>2</xdr:col>
      <xdr:colOff>122767</xdr:colOff>
      <xdr:row>59</xdr:row>
      <xdr:rowOff>18807</xdr:rowOff>
    </xdr:from>
    <xdr:ext cx="534185" cy="233205"/>
    <xdr:sp macro="" textlink="$M$9">
      <xdr:nvSpPr>
        <xdr:cNvPr id="23" name="TextBox 22">
          <a:extLst>
            <a:ext uri="{FF2B5EF4-FFF2-40B4-BE49-F238E27FC236}">
              <a16:creationId xmlns:a16="http://schemas.microsoft.com/office/drawing/2014/main" id="{00000000-0008-0000-0000-000017000000}"/>
            </a:ext>
          </a:extLst>
        </xdr:cNvPr>
        <xdr:cNvSpPr txBox="1"/>
      </xdr:nvSpPr>
      <xdr:spPr>
        <a:xfrm>
          <a:off x="6356350" y="8051557"/>
          <a:ext cx="53418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ctr">
          <a:spAutoFit/>
        </a:bodyPr>
        <a:lstStyle/>
        <a:p>
          <a:fld id="{0DDFCC18-46EC-49E7-B76E-318AA3A85DCC}" type="TxLink">
            <a:rPr lang="en-US" sz="900" b="1" i="0" u="none" strike="noStrike">
              <a:solidFill>
                <a:schemeClr val="tx1">
                  <a:lumMod val="50000"/>
                  <a:lumOff val="50000"/>
                </a:schemeClr>
              </a:solidFill>
              <a:latin typeface="Calibri"/>
            </a:rPr>
            <a:pPr/>
            <a:t>Quality</a:t>
          </a:fld>
          <a:endParaRPr lang="en-US" sz="900">
            <a:solidFill>
              <a:schemeClr val="tx1">
                <a:lumMod val="50000"/>
                <a:lumOff val="50000"/>
              </a:schemeClr>
            </a:solidFill>
          </a:endParaRPr>
        </a:p>
      </xdr:txBody>
    </xdr:sp>
    <xdr:clientData/>
  </xdr:oneCellAnchor>
  <xdr:oneCellAnchor>
    <xdr:from>
      <xdr:col>2</xdr:col>
      <xdr:colOff>133351</xdr:colOff>
      <xdr:row>62</xdr:row>
      <xdr:rowOff>7851</xdr:rowOff>
    </xdr:from>
    <xdr:ext cx="575734" cy="531899"/>
    <xdr:sp macro="" textlink="$P$9">
      <xdr:nvSpPr>
        <xdr:cNvPr id="24" name="TextBox 23">
          <a:extLst>
            <a:ext uri="{FF2B5EF4-FFF2-40B4-BE49-F238E27FC236}">
              <a16:creationId xmlns:a16="http://schemas.microsoft.com/office/drawing/2014/main" id="{00000000-0008-0000-0000-000018000000}"/>
            </a:ext>
          </a:extLst>
        </xdr:cNvPr>
        <xdr:cNvSpPr txBox="1"/>
      </xdr:nvSpPr>
      <xdr:spPr>
        <a:xfrm>
          <a:off x="5636684" y="8389851"/>
          <a:ext cx="575734" cy="5318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fld id="{A1B394F0-42A2-40F3-931A-48DE83DE7FFB}" type="TxLink">
            <a:rPr lang="en-US" sz="900" b="1" i="0" u="none" strike="noStrike">
              <a:solidFill>
                <a:schemeClr val="tx1">
                  <a:lumMod val="50000"/>
                  <a:lumOff val="50000"/>
                </a:schemeClr>
              </a:solidFill>
              <a:latin typeface="Calibri"/>
            </a:rPr>
            <a:pPr/>
            <a:t>Labour Productivity</a:t>
          </a:fld>
          <a:endParaRPr lang="en-US" sz="900">
            <a:solidFill>
              <a:schemeClr val="tx1">
                <a:lumMod val="50000"/>
                <a:lumOff val="50000"/>
              </a:schemeClr>
            </a:solidFill>
          </a:endParaRPr>
        </a:p>
      </xdr:txBody>
    </xdr:sp>
    <xdr:clientData/>
  </xdr:oneCellAnchor>
  <xdr:oneCellAnchor>
    <xdr:from>
      <xdr:col>1</xdr:col>
      <xdr:colOff>63500</xdr:colOff>
      <xdr:row>42</xdr:row>
      <xdr:rowOff>66675</xdr:rowOff>
    </xdr:from>
    <xdr:ext cx="1357872" cy="311496"/>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232833" y="10057342"/>
          <a:ext cx="135787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400" b="0"/>
            <a:t>KPI Distribution</a:t>
          </a:r>
        </a:p>
      </xdr:txBody>
    </xdr:sp>
    <xdr:clientData/>
  </xdr:oneCellAnchor>
  <xdr:oneCellAnchor>
    <xdr:from>
      <xdr:col>7</xdr:col>
      <xdr:colOff>140759</xdr:colOff>
      <xdr:row>41</xdr:row>
      <xdr:rowOff>16060</xdr:rowOff>
    </xdr:from>
    <xdr:ext cx="1262525" cy="264560"/>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4437592" y="9932643"/>
          <a:ext cx="12625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b="0">
              <a:solidFill>
                <a:schemeClr val="tx1">
                  <a:lumMod val="50000"/>
                  <a:lumOff val="50000"/>
                </a:schemeClr>
              </a:solidFill>
            </a:rPr>
            <a:t>Search by product:</a:t>
          </a:r>
        </a:p>
      </xdr:txBody>
    </xdr:sp>
    <xdr:clientData/>
  </xdr:oneCellAnchor>
  <xdr:twoCellAnchor>
    <xdr:from>
      <xdr:col>3</xdr:col>
      <xdr:colOff>0</xdr:colOff>
      <xdr:row>7</xdr:row>
      <xdr:rowOff>19050</xdr:rowOff>
    </xdr:from>
    <xdr:to>
      <xdr:col>21</xdr:col>
      <xdr:colOff>63500</xdr:colOff>
      <xdr:row>7</xdr:row>
      <xdr:rowOff>105834</xdr:rowOff>
    </xdr:to>
    <xdr:sp macro="" textlink="">
      <xdr:nvSpPr>
        <xdr:cNvPr id="40" name="Rectangle 39">
          <a:extLst>
            <a:ext uri="{FF2B5EF4-FFF2-40B4-BE49-F238E27FC236}">
              <a16:creationId xmlns:a16="http://schemas.microsoft.com/office/drawing/2014/main" id="{00000000-0008-0000-0000-000028000000}"/>
            </a:ext>
          </a:extLst>
        </xdr:cNvPr>
        <xdr:cNvSpPr/>
      </xdr:nvSpPr>
      <xdr:spPr>
        <a:xfrm>
          <a:off x="2381250" y="1892300"/>
          <a:ext cx="12223750" cy="86784"/>
        </a:xfrm>
        <a:prstGeom prst="rect">
          <a:avLst/>
        </a:prstGeom>
        <a:solidFill>
          <a:schemeClr val="bg1"/>
        </a:solidFill>
        <a:ln w="3175">
          <a:noFill/>
        </a:ln>
        <a:effectLst>
          <a:outerShdw blurRad="50800" dist="38100" dir="5400000" algn="t" rotWithShape="0">
            <a:schemeClr val="tx1">
              <a:lumMod val="75000"/>
              <a:lumOff val="2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10584</xdr:colOff>
      <xdr:row>2</xdr:row>
      <xdr:rowOff>19050</xdr:rowOff>
    </xdr:from>
    <xdr:to>
      <xdr:col>5</xdr:col>
      <xdr:colOff>1068916</xdr:colOff>
      <xdr:row>7</xdr:row>
      <xdr:rowOff>65087</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2497667" y="474133"/>
          <a:ext cx="2741082" cy="1453621"/>
        </a:xfrm>
        <a:prstGeom prst="rect">
          <a:avLst/>
        </a:prstGeom>
        <a:noFill/>
        <a:ln w="3175">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1820333</xdr:colOff>
      <xdr:row>64</xdr:row>
      <xdr:rowOff>190499</xdr:rowOff>
    </xdr:from>
    <xdr:to>
      <xdr:col>20</xdr:col>
      <xdr:colOff>317500</xdr:colOff>
      <xdr:row>69</xdr:row>
      <xdr:rowOff>76728</xdr:rowOff>
    </xdr:to>
    <xdr:graphicFrame macro="">
      <xdr:nvGraphicFramePr>
        <xdr:cNvPr id="47" name="Chart 18">
          <a:extLst>
            <a:ext uri="{FF2B5EF4-FFF2-40B4-BE49-F238E27FC236}">
              <a16:creationId xmlns:a16="http://schemas.microsoft.com/office/drawing/2014/main" id="{00000000-0008-0000-0000-00002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2</xdr:col>
      <xdr:colOff>79374</xdr:colOff>
      <xdr:row>67</xdr:row>
      <xdr:rowOff>161396</xdr:rowOff>
    </xdr:from>
    <xdr:ext cx="421334" cy="233205"/>
    <xdr:sp macro="" textlink="$D$22">
      <xdr:nvSpPr>
        <xdr:cNvPr id="48" name="TextBox 23">
          <a:extLst>
            <a:ext uri="{FF2B5EF4-FFF2-40B4-BE49-F238E27FC236}">
              <a16:creationId xmlns:a16="http://schemas.microsoft.com/office/drawing/2014/main" id="{00000000-0008-0000-0000-000030000000}"/>
            </a:ext>
          </a:extLst>
        </xdr:cNvPr>
        <xdr:cNvSpPr txBox="1"/>
      </xdr:nvSpPr>
      <xdr:spPr>
        <a:xfrm>
          <a:off x="481541" y="14798146"/>
          <a:ext cx="42133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ctr">
          <a:spAutoFit/>
        </a:bodyPr>
        <a:lstStyle/>
        <a:p>
          <a:fld id="{E3B7DC12-CDB2-4638-A166-51314037C01C}" type="TxLink">
            <a:rPr lang="en-US" sz="900" b="1" i="0" u="none" strike="noStrike">
              <a:solidFill>
                <a:schemeClr val="tx1">
                  <a:lumMod val="50000"/>
                  <a:lumOff val="50000"/>
                </a:schemeClr>
              </a:solidFill>
              <a:latin typeface="Calibri"/>
            </a:rPr>
            <a:pPr/>
            <a:t>Yield</a:t>
          </a:fld>
          <a:endParaRPr lang="en-US" sz="600" b="1">
            <a:solidFill>
              <a:schemeClr val="tx1">
                <a:lumMod val="50000"/>
                <a:lumOff val="50000"/>
              </a:schemeClr>
            </a:solidFill>
          </a:endParaRPr>
        </a:p>
      </xdr:txBody>
    </xdr:sp>
    <xdr:clientData/>
  </xdr:oneCellAnchor>
  <xdr:oneCellAnchor>
    <xdr:from>
      <xdr:col>2</xdr:col>
      <xdr:colOff>0</xdr:colOff>
      <xdr:row>71</xdr:row>
      <xdr:rowOff>174823</xdr:rowOff>
    </xdr:from>
    <xdr:ext cx="1436740" cy="264560"/>
    <xdr:sp macro="" textlink="$G$22">
      <xdr:nvSpPr>
        <xdr:cNvPr id="70" name="TextBox 23">
          <a:extLst>
            <a:ext uri="{FF2B5EF4-FFF2-40B4-BE49-F238E27FC236}">
              <a16:creationId xmlns:a16="http://schemas.microsoft.com/office/drawing/2014/main" id="{00000000-0008-0000-0000-000046000000}"/>
            </a:ext>
          </a:extLst>
        </xdr:cNvPr>
        <xdr:cNvSpPr txBox="1"/>
      </xdr:nvSpPr>
      <xdr:spPr>
        <a:xfrm>
          <a:off x="402167" y="15573573"/>
          <a:ext cx="143674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ctr">
          <a:spAutoFit/>
        </a:bodyPr>
        <a:lstStyle/>
        <a:p>
          <a:fld id="{8862F4E7-77FD-4F8B-96BD-F2E48C80FBAB}" type="TxLink">
            <a:rPr lang="en-US" sz="1100" b="0" i="0" u="none" strike="noStrike">
              <a:solidFill>
                <a:srgbClr val="000000"/>
              </a:solidFill>
              <a:latin typeface="Calibri"/>
            </a:rPr>
            <a:pPr/>
            <a:t>Share Of Frozen Meat</a:t>
          </a:fld>
          <a:endParaRPr lang="en-US" sz="600" b="0">
            <a:solidFill>
              <a:schemeClr val="tx1">
                <a:lumMod val="50000"/>
                <a:lumOff val="50000"/>
              </a:schemeClr>
            </a:solidFill>
          </a:endParaRPr>
        </a:p>
      </xdr:txBody>
    </xdr:sp>
    <xdr:clientData/>
  </xdr:oneCellAnchor>
  <xdr:twoCellAnchor>
    <xdr:from>
      <xdr:col>2</xdr:col>
      <xdr:colOff>1788584</xdr:colOff>
      <xdr:row>70</xdr:row>
      <xdr:rowOff>63499</xdr:rowOff>
    </xdr:from>
    <xdr:to>
      <xdr:col>20</xdr:col>
      <xdr:colOff>243417</xdr:colOff>
      <xdr:row>74</xdr:row>
      <xdr:rowOff>140228</xdr:rowOff>
    </xdr:to>
    <xdr:graphicFrame macro="">
      <xdr:nvGraphicFramePr>
        <xdr:cNvPr id="71" name="Chart 18">
          <a:extLst>
            <a:ext uri="{FF2B5EF4-FFF2-40B4-BE49-F238E27FC236}">
              <a16:creationId xmlns:a16="http://schemas.microsoft.com/office/drawing/2014/main" id="{00000000-0008-0000-0000-00004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1799166</xdr:colOff>
      <xdr:row>78</xdr:row>
      <xdr:rowOff>10583</xdr:rowOff>
    </xdr:from>
    <xdr:to>
      <xdr:col>20</xdr:col>
      <xdr:colOff>169332</xdr:colOff>
      <xdr:row>82</xdr:row>
      <xdr:rowOff>87312</xdr:rowOff>
    </xdr:to>
    <xdr:graphicFrame macro="">
      <xdr:nvGraphicFramePr>
        <xdr:cNvPr id="72" name="Chart 18">
          <a:extLst>
            <a:ext uri="{FF2B5EF4-FFF2-40B4-BE49-F238E27FC236}">
              <a16:creationId xmlns:a16="http://schemas.microsoft.com/office/drawing/2014/main" id="{00000000-0008-0000-0000-00004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0</xdr:colOff>
      <xdr:row>84</xdr:row>
      <xdr:rowOff>0</xdr:rowOff>
    </xdr:from>
    <xdr:to>
      <xdr:col>20</xdr:col>
      <xdr:colOff>74083</xdr:colOff>
      <xdr:row>88</xdr:row>
      <xdr:rowOff>76729</xdr:rowOff>
    </xdr:to>
    <xdr:graphicFrame macro="">
      <xdr:nvGraphicFramePr>
        <xdr:cNvPr id="73" name="Chart 18">
          <a:extLst>
            <a:ext uri="{FF2B5EF4-FFF2-40B4-BE49-F238E27FC236}">
              <a16:creationId xmlns:a16="http://schemas.microsoft.com/office/drawing/2014/main" id="{00000000-0008-0000-0000-00004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0</xdr:colOff>
      <xdr:row>90</xdr:row>
      <xdr:rowOff>0</xdr:rowOff>
    </xdr:from>
    <xdr:to>
      <xdr:col>20</xdr:col>
      <xdr:colOff>31750</xdr:colOff>
      <xdr:row>94</xdr:row>
      <xdr:rowOff>76729</xdr:rowOff>
    </xdr:to>
    <xdr:graphicFrame macro="">
      <xdr:nvGraphicFramePr>
        <xdr:cNvPr id="74" name="Chart 18">
          <a:extLst>
            <a:ext uri="{FF2B5EF4-FFF2-40B4-BE49-F238E27FC236}">
              <a16:creationId xmlns:a16="http://schemas.microsoft.com/office/drawing/2014/main" id="{00000000-0008-0000-0000-00004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oneCellAnchor>
    <xdr:from>
      <xdr:col>2</xdr:col>
      <xdr:colOff>0</xdr:colOff>
      <xdr:row>79</xdr:row>
      <xdr:rowOff>174823</xdr:rowOff>
    </xdr:from>
    <xdr:ext cx="1663212" cy="264560"/>
    <xdr:sp macro="" textlink="$J$22">
      <xdr:nvSpPr>
        <xdr:cNvPr id="75" name="TextBox 23">
          <a:extLst>
            <a:ext uri="{FF2B5EF4-FFF2-40B4-BE49-F238E27FC236}">
              <a16:creationId xmlns:a16="http://schemas.microsoft.com/office/drawing/2014/main" id="{00000000-0008-0000-0000-00004B000000}"/>
            </a:ext>
          </a:extLst>
        </xdr:cNvPr>
        <xdr:cNvSpPr txBox="1"/>
      </xdr:nvSpPr>
      <xdr:spPr>
        <a:xfrm>
          <a:off x="539750" y="16748323"/>
          <a:ext cx="166321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ctr">
          <a:spAutoFit/>
        </a:bodyPr>
        <a:lstStyle/>
        <a:p>
          <a:fld id="{E4446078-28BC-4D98-8E69-EAB94A06A8B8}" type="TxLink">
            <a:rPr lang="en-US" sz="1100" b="0" i="0" u="none" strike="noStrike">
              <a:solidFill>
                <a:srgbClr val="000000"/>
              </a:solidFill>
              <a:latin typeface="Calibri"/>
            </a:rPr>
            <a:pPr/>
            <a:t>Throughput in 10kg/ hour</a:t>
          </a:fld>
          <a:endParaRPr lang="en-US" sz="600" b="0">
            <a:solidFill>
              <a:schemeClr val="tx1">
                <a:lumMod val="50000"/>
                <a:lumOff val="50000"/>
              </a:schemeClr>
            </a:solidFill>
          </a:endParaRPr>
        </a:p>
      </xdr:txBody>
    </xdr:sp>
    <xdr:clientData/>
  </xdr:oneCellAnchor>
  <xdr:oneCellAnchor>
    <xdr:from>
      <xdr:col>2</xdr:col>
      <xdr:colOff>0</xdr:colOff>
      <xdr:row>85</xdr:row>
      <xdr:rowOff>174823</xdr:rowOff>
    </xdr:from>
    <xdr:ext cx="1390252" cy="264560"/>
    <xdr:sp macro="" textlink="$M$22">
      <xdr:nvSpPr>
        <xdr:cNvPr id="76" name="TextBox 23">
          <a:extLst>
            <a:ext uri="{FF2B5EF4-FFF2-40B4-BE49-F238E27FC236}">
              <a16:creationId xmlns:a16="http://schemas.microsoft.com/office/drawing/2014/main" id="{00000000-0008-0000-0000-00004C000000}"/>
            </a:ext>
          </a:extLst>
        </xdr:cNvPr>
        <xdr:cNvSpPr txBox="1"/>
      </xdr:nvSpPr>
      <xdr:spPr>
        <a:xfrm>
          <a:off x="539750" y="17838406"/>
          <a:ext cx="139025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ctr">
          <a:spAutoFit/>
        </a:bodyPr>
        <a:lstStyle/>
        <a:p>
          <a:fld id="{C5EDF9D5-2E42-4CA6-84B2-516A0C62A266}" type="TxLink">
            <a:rPr lang="en-US" sz="1100" b="0" i="0" u="none" strike="noStrike">
              <a:solidFill>
                <a:srgbClr val="000000"/>
              </a:solidFill>
              <a:latin typeface="Calibri"/>
            </a:rPr>
            <a:pPr/>
            <a:t>Nr of Line Workers/h</a:t>
          </a:fld>
          <a:endParaRPr lang="en-US" sz="600" b="0">
            <a:solidFill>
              <a:schemeClr val="tx1">
                <a:lumMod val="50000"/>
                <a:lumOff val="50000"/>
              </a:schemeClr>
            </a:solidFill>
          </a:endParaRPr>
        </a:p>
      </xdr:txBody>
    </xdr:sp>
    <xdr:clientData/>
  </xdr:oneCellAnchor>
  <xdr:oneCellAnchor>
    <xdr:from>
      <xdr:col>2</xdr:col>
      <xdr:colOff>0</xdr:colOff>
      <xdr:row>90</xdr:row>
      <xdr:rowOff>174823</xdr:rowOff>
    </xdr:from>
    <xdr:ext cx="638252" cy="264560"/>
    <xdr:sp macro="" textlink="$P$22">
      <xdr:nvSpPr>
        <xdr:cNvPr id="77" name="TextBox 23">
          <a:extLst>
            <a:ext uri="{FF2B5EF4-FFF2-40B4-BE49-F238E27FC236}">
              <a16:creationId xmlns:a16="http://schemas.microsoft.com/office/drawing/2014/main" id="{00000000-0008-0000-0000-00004D000000}"/>
            </a:ext>
          </a:extLst>
        </xdr:cNvPr>
        <xdr:cNvSpPr txBox="1"/>
      </xdr:nvSpPr>
      <xdr:spPr>
        <a:xfrm>
          <a:off x="6233583" y="14113073"/>
          <a:ext cx="63825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ctr">
          <a:spAutoFit/>
        </a:bodyPr>
        <a:lstStyle/>
        <a:p>
          <a:fld id="{441BF402-4485-478D-BEBC-6C05F7319AC4}" type="TxLink">
            <a:rPr lang="en-US" sz="1100" b="0" i="0" u="none" strike="noStrike">
              <a:solidFill>
                <a:srgbClr val="000000"/>
              </a:solidFill>
              <a:latin typeface="Calibri"/>
            </a:rPr>
            <a:pPr/>
            <a:t>Regrind</a:t>
          </a:fld>
          <a:endParaRPr lang="en-US" sz="600" b="0">
            <a:solidFill>
              <a:schemeClr val="tx1">
                <a:lumMod val="50000"/>
                <a:lumOff val="50000"/>
              </a:schemeClr>
            </a:solidFill>
          </a:endParaRPr>
        </a:p>
      </xdr:txBody>
    </xdr:sp>
    <xdr:clientData/>
  </xdr:oneCellAnchor>
  <xdr:oneCellAnchor>
    <xdr:from>
      <xdr:col>1</xdr:col>
      <xdr:colOff>179917</xdr:colOff>
      <xdr:row>98</xdr:row>
      <xdr:rowOff>21167</xdr:rowOff>
    </xdr:from>
    <xdr:ext cx="811248" cy="264560"/>
    <xdr:sp macro="" textlink="$S$22">
      <xdr:nvSpPr>
        <xdr:cNvPr id="78" name="TextBox 23">
          <a:extLst>
            <a:ext uri="{FF2B5EF4-FFF2-40B4-BE49-F238E27FC236}">
              <a16:creationId xmlns:a16="http://schemas.microsoft.com/office/drawing/2014/main" id="{00000000-0008-0000-0000-00004E000000}"/>
            </a:ext>
          </a:extLst>
        </xdr:cNvPr>
        <xdr:cNvSpPr txBox="1"/>
      </xdr:nvSpPr>
      <xdr:spPr>
        <a:xfrm>
          <a:off x="486834" y="20383500"/>
          <a:ext cx="81124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ctr">
          <a:spAutoFit/>
        </a:bodyPr>
        <a:lstStyle/>
        <a:p>
          <a:fld id="{76ADCDEA-51AD-4604-A854-E5C51BA1DB3E}" type="TxLink">
            <a:rPr lang="en-US" sz="1100" b="0" i="0" u="none" strike="noStrike">
              <a:solidFill>
                <a:srgbClr val="000000"/>
              </a:solidFill>
              <a:latin typeface="Calibri"/>
            </a:rPr>
            <a:pPr/>
            <a:t>Carry Over</a:t>
          </a:fld>
          <a:endParaRPr lang="en-US" sz="600" b="0">
            <a:solidFill>
              <a:schemeClr val="tx1">
                <a:lumMod val="50000"/>
                <a:lumOff val="50000"/>
              </a:schemeClr>
            </a:solidFill>
          </a:endParaRPr>
        </a:p>
      </xdr:txBody>
    </xdr:sp>
    <xdr:clientData/>
  </xdr:oneCellAnchor>
  <xdr:twoCellAnchor>
    <xdr:from>
      <xdr:col>2</xdr:col>
      <xdr:colOff>1788583</xdr:colOff>
      <xdr:row>97</xdr:row>
      <xdr:rowOff>127000</xdr:rowOff>
    </xdr:from>
    <xdr:to>
      <xdr:col>19</xdr:col>
      <xdr:colOff>359833</xdr:colOff>
      <xdr:row>102</xdr:row>
      <xdr:rowOff>13229</xdr:rowOff>
    </xdr:to>
    <xdr:graphicFrame macro="">
      <xdr:nvGraphicFramePr>
        <xdr:cNvPr id="79" name="Chart 18">
          <a:extLst>
            <a:ext uri="{FF2B5EF4-FFF2-40B4-BE49-F238E27FC236}">
              <a16:creationId xmlns:a16="http://schemas.microsoft.com/office/drawing/2014/main" id="{00000000-0008-0000-0000-00004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0</xdr:colOff>
      <xdr:row>8</xdr:row>
      <xdr:rowOff>52916</xdr:rowOff>
    </xdr:from>
    <xdr:to>
      <xdr:col>14</xdr:col>
      <xdr:colOff>455083</xdr:colOff>
      <xdr:row>20</xdr:row>
      <xdr:rowOff>0</xdr:rowOff>
    </xdr:to>
    <xdr:graphicFrame macro="">
      <xdr:nvGraphicFramePr>
        <xdr:cNvPr id="64" name="Chart 2">
          <a:extLst>
            <a:ext uri="{FF2B5EF4-FFF2-40B4-BE49-F238E27FC236}">
              <a16:creationId xmlns:a16="http://schemas.microsoft.com/office/drawing/2014/main" id="{00000000-0008-0000-0000-00004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21166</xdr:colOff>
      <xdr:row>7</xdr:row>
      <xdr:rowOff>201083</xdr:rowOff>
    </xdr:from>
    <xdr:to>
      <xdr:col>17</xdr:col>
      <xdr:colOff>381000</xdr:colOff>
      <xdr:row>19</xdr:row>
      <xdr:rowOff>10582</xdr:rowOff>
    </xdr:to>
    <xdr:graphicFrame macro="">
      <xdr:nvGraphicFramePr>
        <xdr:cNvPr id="65" name="Chart 2">
          <a:extLst>
            <a:ext uri="{FF2B5EF4-FFF2-40B4-BE49-F238E27FC236}">
              <a16:creationId xmlns:a16="http://schemas.microsoft.com/office/drawing/2014/main" id="{00000000-0008-0000-0000-00004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0</xdr:colOff>
      <xdr:row>21</xdr:row>
      <xdr:rowOff>116416</xdr:rowOff>
    </xdr:from>
    <xdr:to>
      <xdr:col>8</xdr:col>
      <xdr:colOff>52917</xdr:colOff>
      <xdr:row>32</xdr:row>
      <xdr:rowOff>137583</xdr:rowOff>
    </xdr:to>
    <xdr:graphicFrame macro="">
      <xdr:nvGraphicFramePr>
        <xdr:cNvPr id="83" name="Chart 5">
          <a:extLst>
            <a:ext uri="{FF2B5EF4-FFF2-40B4-BE49-F238E27FC236}">
              <a16:creationId xmlns:a16="http://schemas.microsoft.com/office/drawing/2014/main" id="{00000000-0008-0000-0000-00005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8</xdr:col>
      <xdr:colOff>0</xdr:colOff>
      <xdr:row>21</xdr:row>
      <xdr:rowOff>105834</xdr:rowOff>
    </xdr:from>
    <xdr:to>
      <xdr:col>11</xdr:col>
      <xdr:colOff>10584</xdr:colOff>
      <xdr:row>32</xdr:row>
      <xdr:rowOff>137583</xdr:rowOff>
    </xdr:to>
    <xdr:graphicFrame macro="">
      <xdr:nvGraphicFramePr>
        <xdr:cNvPr id="84" name="Chart 5">
          <a:extLst>
            <a:ext uri="{FF2B5EF4-FFF2-40B4-BE49-F238E27FC236}">
              <a16:creationId xmlns:a16="http://schemas.microsoft.com/office/drawing/2014/main" id="{00000000-0008-0000-0000-00005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14</xdr:col>
      <xdr:colOff>1</xdr:colOff>
      <xdr:row>21</xdr:row>
      <xdr:rowOff>105834</xdr:rowOff>
    </xdr:from>
    <xdr:to>
      <xdr:col>17</xdr:col>
      <xdr:colOff>52917</xdr:colOff>
      <xdr:row>32</xdr:row>
      <xdr:rowOff>169333</xdr:rowOff>
    </xdr:to>
    <xdr:graphicFrame macro="">
      <xdr:nvGraphicFramePr>
        <xdr:cNvPr id="86" name="Chart 5">
          <a:extLst>
            <a:ext uri="{FF2B5EF4-FFF2-40B4-BE49-F238E27FC236}">
              <a16:creationId xmlns:a16="http://schemas.microsoft.com/office/drawing/2014/main" id="{00000000-0008-0000-0000-00005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17</xdr:col>
      <xdr:colOff>0</xdr:colOff>
      <xdr:row>21</xdr:row>
      <xdr:rowOff>116417</xdr:rowOff>
    </xdr:from>
    <xdr:to>
      <xdr:col>19</xdr:col>
      <xdr:colOff>232833</xdr:colOff>
      <xdr:row>32</xdr:row>
      <xdr:rowOff>190499</xdr:rowOff>
    </xdr:to>
    <xdr:graphicFrame macro="">
      <xdr:nvGraphicFramePr>
        <xdr:cNvPr id="87" name="Chart 5">
          <a:extLst>
            <a:ext uri="{FF2B5EF4-FFF2-40B4-BE49-F238E27FC236}">
              <a16:creationId xmlns:a16="http://schemas.microsoft.com/office/drawing/2014/main" id="{00000000-0008-0000-0000-00005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20</xdr:col>
      <xdr:colOff>31750</xdr:colOff>
      <xdr:row>21</xdr:row>
      <xdr:rowOff>95250</xdr:rowOff>
    </xdr:from>
    <xdr:to>
      <xdr:col>23</xdr:col>
      <xdr:colOff>21166</xdr:colOff>
      <xdr:row>32</xdr:row>
      <xdr:rowOff>84665</xdr:rowOff>
    </xdr:to>
    <xdr:graphicFrame macro="">
      <xdr:nvGraphicFramePr>
        <xdr:cNvPr id="88" name="Chart 5">
          <a:extLst>
            <a:ext uri="{FF2B5EF4-FFF2-40B4-BE49-F238E27FC236}">
              <a16:creationId xmlns:a16="http://schemas.microsoft.com/office/drawing/2014/main" id="{00000000-0008-0000-0000-00005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232832</xdr:colOff>
      <xdr:row>108</xdr:row>
      <xdr:rowOff>137583</xdr:rowOff>
    </xdr:from>
    <xdr:to>
      <xdr:col>21</xdr:col>
      <xdr:colOff>42332</xdr:colOff>
      <xdr:row>146</xdr:row>
      <xdr:rowOff>63500</xdr:rowOff>
    </xdr:to>
    <xdr:sp macro="" textlink="">
      <xdr:nvSpPr>
        <xdr:cNvPr id="80" name="Rectangle 12">
          <a:extLst>
            <a:ext uri="{FF2B5EF4-FFF2-40B4-BE49-F238E27FC236}">
              <a16:creationId xmlns:a16="http://schemas.microsoft.com/office/drawing/2014/main" id="{00000000-0008-0000-0000-000050000000}"/>
            </a:ext>
          </a:extLst>
        </xdr:cNvPr>
        <xdr:cNvSpPr/>
      </xdr:nvSpPr>
      <xdr:spPr>
        <a:xfrm>
          <a:off x="539749" y="22235583"/>
          <a:ext cx="14044083" cy="7164917"/>
        </a:xfrm>
        <a:prstGeom prst="rect">
          <a:avLst/>
        </a:prstGeom>
        <a:noFill/>
        <a:ln w="317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2</xdr:col>
      <xdr:colOff>0</xdr:colOff>
      <xdr:row>110</xdr:row>
      <xdr:rowOff>52917</xdr:rowOff>
    </xdr:from>
    <xdr:to>
      <xdr:col>20</xdr:col>
      <xdr:colOff>349250</xdr:colOff>
      <xdr:row>144</xdr:row>
      <xdr:rowOff>31750</xdr:rowOff>
    </xdr:to>
    <xdr:graphicFrame macro="">
      <xdr:nvGraphicFramePr>
        <xdr:cNvPr id="81" name="Chart 11">
          <a:extLst>
            <a:ext uri="{FF2B5EF4-FFF2-40B4-BE49-F238E27FC236}">
              <a16:creationId xmlns:a16="http://schemas.microsoft.com/office/drawing/2014/main" id="{00000000-0008-0000-0000-00005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20</xdr:col>
      <xdr:colOff>42333</xdr:colOff>
      <xdr:row>8</xdr:row>
      <xdr:rowOff>95249</xdr:rowOff>
    </xdr:from>
    <xdr:to>
      <xdr:col>23</xdr:col>
      <xdr:colOff>433916</xdr:colOff>
      <xdr:row>20</xdr:row>
      <xdr:rowOff>0</xdr:rowOff>
    </xdr:to>
    <xdr:graphicFrame macro="">
      <xdr:nvGraphicFramePr>
        <xdr:cNvPr id="82" name="Chart 5">
          <a:extLst>
            <a:ext uri="{FF2B5EF4-FFF2-40B4-BE49-F238E27FC236}">
              <a16:creationId xmlns:a16="http://schemas.microsoft.com/office/drawing/2014/main" id="{00000000-0008-0000-0000-00005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11</xdr:col>
      <xdr:colOff>31750</xdr:colOff>
      <xdr:row>21</xdr:row>
      <xdr:rowOff>95250</xdr:rowOff>
    </xdr:from>
    <xdr:to>
      <xdr:col>14</xdr:col>
      <xdr:colOff>444500</xdr:colOff>
      <xdr:row>32</xdr:row>
      <xdr:rowOff>126999</xdr:rowOff>
    </xdr:to>
    <xdr:graphicFrame macro="">
      <xdr:nvGraphicFramePr>
        <xdr:cNvPr id="93" name="Chart 5">
          <a:extLst>
            <a:ext uri="{FF2B5EF4-FFF2-40B4-BE49-F238E27FC236}">
              <a16:creationId xmlns:a16="http://schemas.microsoft.com/office/drawing/2014/main" id="{00000000-0008-0000-0000-00005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5</xdr:col>
      <xdr:colOff>1143000</xdr:colOff>
      <xdr:row>2</xdr:row>
      <xdr:rowOff>21167</xdr:rowOff>
    </xdr:from>
    <xdr:to>
      <xdr:col>8</xdr:col>
      <xdr:colOff>1280583</xdr:colOff>
      <xdr:row>7</xdr:row>
      <xdr:rowOff>64029</xdr:rowOff>
    </xdr:to>
    <xdr:sp macro="" textlink="">
      <xdr:nvSpPr>
        <xdr:cNvPr id="102" name="Rectangle 26">
          <a:extLst>
            <a:ext uri="{FF2B5EF4-FFF2-40B4-BE49-F238E27FC236}">
              <a16:creationId xmlns:a16="http://schemas.microsoft.com/office/drawing/2014/main" id="{00000000-0008-0000-0000-000066000000}"/>
            </a:ext>
          </a:extLst>
        </xdr:cNvPr>
        <xdr:cNvSpPr/>
      </xdr:nvSpPr>
      <xdr:spPr>
        <a:xfrm>
          <a:off x="4434417" y="476250"/>
          <a:ext cx="1989666" cy="1461029"/>
        </a:xfrm>
        <a:prstGeom prst="rect">
          <a:avLst/>
        </a:prstGeom>
        <a:noFill/>
        <a:ln w="3175">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2</xdr:row>
      <xdr:rowOff>21166</xdr:rowOff>
    </xdr:from>
    <xdr:to>
      <xdr:col>11</xdr:col>
      <xdr:colOff>1100666</xdr:colOff>
      <xdr:row>7</xdr:row>
      <xdr:rowOff>64028</xdr:rowOff>
    </xdr:to>
    <xdr:sp macro="" textlink="">
      <xdr:nvSpPr>
        <xdr:cNvPr id="105" name="Rectangle 26">
          <a:extLst>
            <a:ext uri="{FF2B5EF4-FFF2-40B4-BE49-F238E27FC236}">
              <a16:creationId xmlns:a16="http://schemas.microsoft.com/office/drawing/2014/main" id="{00000000-0008-0000-0000-000069000000}"/>
            </a:ext>
          </a:extLst>
        </xdr:cNvPr>
        <xdr:cNvSpPr/>
      </xdr:nvSpPr>
      <xdr:spPr>
        <a:xfrm>
          <a:off x="6529917" y="476249"/>
          <a:ext cx="1989666" cy="1461029"/>
        </a:xfrm>
        <a:prstGeom prst="rect">
          <a:avLst/>
        </a:prstGeom>
        <a:noFill/>
        <a:ln w="3175">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2</xdr:row>
      <xdr:rowOff>21166</xdr:rowOff>
    </xdr:from>
    <xdr:to>
      <xdr:col>14</xdr:col>
      <xdr:colOff>1259416</xdr:colOff>
      <xdr:row>7</xdr:row>
      <xdr:rowOff>64028</xdr:rowOff>
    </xdr:to>
    <xdr:sp macro="" textlink="">
      <xdr:nvSpPr>
        <xdr:cNvPr id="107" name="Rectangle 26">
          <a:extLst>
            <a:ext uri="{FF2B5EF4-FFF2-40B4-BE49-F238E27FC236}">
              <a16:creationId xmlns:a16="http://schemas.microsoft.com/office/drawing/2014/main" id="{00000000-0008-0000-0000-00006B000000}"/>
            </a:ext>
          </a:extLst>
        </xdr:cNvPr>
        <xdr:cNvSpPr/>
      </xdr:nvSpPr>
      <xdr:spPr>
        <a:xfrm>
          <a:off x="8561917" y="476249"/>
          <a:ext cx="1989666" cy="1461029"/>
        </a:xfrm>
        <a:prstGeom prst="rect">
          <a:avLst/>
        </a:prstGeom>
        <a:noFill/>
        <a:ln w="3175">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2</xdr:row>
      <xdr:rowOff>21166</xdr:rowOff>
    </xdr:from>
    <xdr:to>
      <xdr:col>17</xdr:col>
      <xdr:colOff>963083</xdr:colOff>
      <xdr:row>7</xdr:row>
      <xdr:rowOff>64028</xdr:rowOff>
    </xdr:to>
    <xdr:sp macro="" textlink="">
      <xdr:nvSpPr>
        <xdr:cNvPr id="108" name="Rectangle 26">
          <a:extLst>
            <a:ext uri="{FF2B5EF4-FFF2-40B4-BE49-F238E27FC236}">
              <a16:creationId xmlns:a16="http://schemas.microsoft.com/office/drawing/2014/main" id="{00000000-0008-0000-0000-00006C000000}"/>
            </a:ext>
          </a:extLst>
        </xdr:cNvPr>
        <xdr:cNvSpPr/>
      </xdr:nvSpPr>
      <xdr:spPr>
        <a:xfrm>
          <a:off x="10689167" y="476249"/>
          <a:ext cx="1989666" cy="1461029"/>
        </a:xfrm>
        <a:prstGeom prst="rect">
          <a:avLst/>
        </a:prstGeom>
        <a:noFill/>
        <a:ln w="3175">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0</xdr:colOff>
      <xdr:row>2</xdr:row>
      <xdr:rowOff>21166</xdr:rowOff>
    </xdr:from>
    <xdr:to>
      <xdr:col>21</xdr:col>
      <xdr:colOff>10583</xdr:colOff>
      <xdr:row>7</xdr:row>
      <xdr:rowOff>64028</xdr:rowOff>
    </xdr:to>
    <xdr:sp macro="" textlink="">
      <xdr:nvSpPr>
        <xdr:cNvPr id="109" name="Rectangle 26">
          <a:extLst>
            <a:ext uri="{FF2B5EF4-FFF2-40B4-BE49-F238E27FC236}">
              <a16:creationId xmlns:a16="http://schemas.microsoft.com/office/drawing/2014/main" id="{00000000-0008-0000-0000-00006D000000}"/>
            </a:ext>
          </a:extLst>
        </xdr:cNvPr>
        <xdr:cNvSpPr/>
      </xdr:nvSpPr>
      <xdr:spPr>
        <a:xfrm>
          <a:off x="12816417" y="476249"/>
          <a:ext cx="1735666" cy="1461029"/>
        </a:xfrm>
        <a:prstGeom prst="rect">
          <a:avLst/>
        </a:prstGeom>
        <a:noFill/>
        <a:ln w="3175">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34</xdr:row>
      <xdr:rowOff>0</xdr:rowOff>
    </xdr:from>
    <xdr:to>
      <xdr:col>5</xdr:col>
      <xdr:colOff>1079499</xdr:colOff>
      <xdr:row>38</xdr:row>
      <xdr:rowOff>275696</xdr:rowOff>
    </xdr:to>
    <xdr:sp macro="" textlink="">
      <xdr:nvSpPr>
        <xdr:cNvPr id="112" name="Rectangle 26">
          <a:extLst>
            <a:ext uri="{FF2B5EF4-FFF2-40B4-BE49-F238E27FC236}">
              <a16:creationId xmlns:a16="http://schemas.microsoft.com/office/drawing/2014/main" id="{00000000-0008-0000-0000-000070000000}"/>
            </a:ext>
          </a:extLst>
        </xdr:cNvPr>
        <xdr:cNvSpPr/>
      </xdr:nvSpPr>
      <xdr:spPr>
        <a:xfrm>
          <a:off x="2381250" y="7207250"/>
          <a:ext cx="1989666" cy="1461029"/>
        </a:xfrm>
        <a:prstGeom prst="rect">
          <a:avLst/>
        </a:prstGeom>
        <a:noFill/>
        <a:ln w="3175">
          <a:solidFill>
            <a:schemeClr val="tx1">
              <a:lumMod val="50000"/>
              <a:lumOff val="50000"/>
            </a:schemeClr>
          </a:solidFill>
        </a:ln>
        <a:effectLst>
          <a:outerShdw blurRad="152400" dist="317500" dir="5400000" sx="90000" sy="-19000" rotWithShape="0">
            <a:prstClr val="black">
              <a:alpha val="1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34</xdr:row>
      <xdr:rowOff>0</xdr:rowOff>
    </xdr:from>
    <xdr:to>
      <xdr:col>8</xdr:col>
      <xdr:colOff>1291166</xdr:colOff>
      <xdr:row>38</xdr:row>
      <xdr:rowOff>275696</xdr:rowOff>
    </xdr:to>
    <xdr:sp macro="" textlink="">
      <xdr:nvSpPr>
        <xdr:cNvPr id="113" name="Rectangle 26">
          <a:extLst>
            <a:ext uri="{FF2B5EF4-FFF2-40B4-BE49-F238E27FC236}">
              <a16:creationId xmlns:a16="http://schemas.microsoft.com/office/drawing/2014/main" id="{00000000-0008-0000-0000-000071000000}"/>
            </a:ext>
          </a:extLst>
        </xdr:cNvPr>
        <xdr:cNvSpPr/>
      </xdr:nvSpPr>
      <xdr:spPr>
        <a:xfrm>
          <a:off x="4445000" y="7207250"/>
          <a:ext cx="1989666" cy="1461029"/>
        </a:xfrm>
        <a:prstGeom prst="rect">
          <a:avLst/>
        </a:prstGeom>
        <a:noFill/>
        <a:ln w="3175">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34</xdr:row>
      <xdr:rowOff>0</xdr:rowOff>
    </xdr:from>
    <xdr:to>
      <xdr:col>11</xdr:col>
      <xdr:colOff>1100666</xdr:colOff>
      <xdr:row>38</xdr:row>
      <xdr:rowOff>275696</xdr:rowOff>
    </xdr:to>
    <xdr:sp macro="" textlink="">
      <xdr:nvSpPr>
        <xdr:cNvPr id="114" name="Rectangle 26">
          <a:extLst>
            <a:ext uri="{FF2B5EF4-FFF2-40B4-BE49-F238E27FC236}">
              <a16:creationId xmlns:a16="http://schemas.microsoft.com/office/drawing/2014/main" id="{00000000-0008-0000-0000-000072000000}"/>
            </a:ext>
          </a:extLst>
        </xdr:cNvPr>
        <xdr:cNvSpPr/>
      </xdr:nvSpPr>
      <xdr:spPr>
        <a:xfrm>
          <a:off x="6529917" y="7207250"/>
          <a:ext cx="1989666" cy="1461029"/>
        </a:xfrm>
        <a:prstGeom prst="rect">
          <a:avLst/>
        </a:prstGeom>
        <a:noFill/>
        <a:ln w="3175">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34</xdr:row>
      <xdr:rowOff>0</xdr:rowOff>
    </xdr:from>
    <xdr:to>
      <xdr:col>14</xdr:col>
      <xdr:colOff>1259416</xdr:colOff>
      <xdr:row>38</xdr:row>
      <xdr:rowOff>275696</xdr:rowOff>
    </xdr:to>
    <xdr:sp macro="" textlink="">
      <xdr:nvSpPr>
        <xdr:cNvPr id="115" name="Rectangle 26">
          <a:extLst>
            <a:ext uri="{FF2B5EF4-FFF2-40B4-BE49-F238E27FC236}">
              <a16:creationId xmlns:a16="http://schemas.microsoft.com/office/drawing/2014/main" id="{00000000-0008-0000-0000-000073000000}"/>
            </a:ext>
          </a:extLst>
        </xdr:cNvPr>
        <xdr:cNvSpPr/>
      </xdr:nvSpPr>
      <xdr:spPr>
        <a:xfrm>
          <a:off x="8561917" y="7207250"/>
          <a:ext cx="1989666" cy="1461029"/>
        </a:xfrm>
        <a:prstGeom prst="rect">
          <a:avLst/>
        </a:prstGeom>
        <a:noFill/>
        <a:ln w="3175">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0</xdr:colOff>
      <xdr:row>34</xdr:row>
      <xdr:rowOff>0</xdr:rowOff>
    </xdr:from>
    <xdr:to>
      <xdr:col>17</xdr:col>
      <xdr:colOff>963083</xdr:colOff>
      <xdr:row>38</xdr:row>
      <xdr:rowOff>275696</xdr:rowOff>
    </xdr:to>
    <xdr:sp macro="" textlink="">
      <xdr:nvSpPr>
        <xdr:cNvPr id="116" name="Rectangle 26">
          <a:extLst>
            <a:ext uri="{FF2B5EF4-FFF2-40B4-BE49-F238E27FC236}">
              <a16:creationId xmlns:a16="http://schemas.microsoft.com/office/drawing/2014/main" id="{00000000-0008-0000-0000-000074000000}"/>
            </a:ext>
          </a:extLst>
        </xdr:cNvPr>
        <xdr:cNvSpPr/>
      </xdr:nvSpPr>
      <xdr:spPr>
        <a:xfrm>
          <a:off x="10689167" y="7207250"/>
          <a:ext cx="1989666" cy="1461029"/>
        </a:xfrm>
        <a:prstGeom prst="rect">
          <a:avLst/>
        </a:prstGeom>
        <a:noFill/>
        <a:ln w="3175">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0</xdr:colOff>
      <xdr:row>34</xdr:row>
      <xdr:rowOff>0</xdr:rowOff>
    </xdr:from>
    <xdr:to>
      <xdr:col>21</xdr:col>
      <xdr:colOff>10583</xdr:colOff>
      <xdr:row>38</xdr:row>
      <xdr:rowOff>275696</xdr:rowOff>
    </xdr:to>
    <xdr:sp macro="" textlink="">
      <xdr:nvSpPr>
        <xdr:cNvPr id="117" name="Rectangle 26">
          <a:extLst>
            <a:ext uri="{FF2B5EF4-FFF2-40B4-BE49-F238E27FC236}">
              <a16:creationId xmlns:a16="http://schemas.microsoft.com/office/drawing/2014/main" id="{00000000-0008-0000-0000-000075000000}"/>
            </a:ext>
          </a:extLst>
        </xdr:cNvPr>
        <xdr:cNvSpPr/>
      </xdr:nvSpPr>
      <xdr:spPr>
        <a:xfrm>
          <a:off x="12816417" y="7429500"/>
          <a:ext cx="1735666" cy="1461029"/>
        </a:xfrm>
        <a:prstGeom prst="rect">
          <a:avLst/>
        </a:prstGeom>
        <a:noFill/>
        <a:ln w="3175">
          <a:solidFill>
            <a:schemeClr val="tx1">
              <a:lumMod val="50000"/>
              <a:lumOff val="50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38</xdr:row>
      <xdr:rowOff>285751</xdr:rowOff>
    </xdr:from>
    <xdr:to>
      <xdr:col>21</xdr:col>
      <xdr:colOff>63500</xdr:colOff>
      <xdr:row>39</xdr:row>
      <xdr:rowOff>55035</xdr:rowOff>
    </xdr:to>
    <xdr:sp macro="" textlink="">
      <xdr:nvSpPr>
        <xdr:cNvPr id="119" name="Rectangle 39">
          <a:extLst>
            <a:ext uri="{FF2B5EF4-FFF2-40B4-BE49-F238E27FC236}">
              <a16:creationId xmlns:a16="http://schemas.microsoft.com/office/drawing/2014/main" id="{00000000-0008-0000-0000-000077000000}"/>
            </a:ext>
          </a:extLst>
        </xdr:cNvPr>
        <xdr:cNvSpPr/>
      </xdr:nvSpPr>
      <xdr:spPr>
        <a:xfrm>
          <a:off x="2381250" y="9069918"/>
          <a:ext cx="12223750" cy="86784"/>
        </a:xfrm>
        <a:prstGeom prst="rect">
          <a:avLst/>
        </a:prstGeom>
        <a:solidFill>
          <a:schemeClr val="bg1"/>
        </a:solidFill>
        <a:ln w="3175">
          <a:noFill/>
        </a:ln>
        <a:effectLst>
          <a:outerShdw blurRad="50800" dist="38100" dir="5400000" algn="t" rotWithShape="0">
            <a:schemeClr val="tx1">
              <a:lumMod val="75000"/>
              <a:lumOff val="2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127000</xdr:colOff>
      <xdr:row>205</xdr:row>
      <xdr:rowOff>179916</xdr:rowOff>
    </xdr:from>
    <xdr:to>
      <xdr:col>14</xdr:col>
      <xdr:colOff>550333</xdr:colOff>
      <xdr:row>220</xdr:row>
      <xdr:rowOff>63500</xdr:rowOff>
    </xdr:to>
    <xdr:graphicFrame macro="">
      <xdr:nvGraphicFramePr>
        <xdr:cNvPr id="120" name="Diagramm 119">
          <a:extLst>
            <a:ext uri="{FF2B5EF4-FFF2-40B4-BE49-F238E27FC236}">
              <a16:creationId xmlns:a16="http://schemas.microsoft.com/office/drawing/2014/main" id="{00000000-0008-0000-0000-00007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xdr:col>
      <xdr:colOff>10583</xdr:colOff>
      <xdr:row>101</xdr:row>
      <xdr:rowOff>105834</xdr:rowOff>
    </xdr:from>
    <xdr:to>
      <xdr:col>20</xdr:col>
      <xdr:colOff>467783</xdr:colOff>
      <xdr:row>107</xdr:row>
      <xdr:rowOff>28577</xdr:rowOff>
    </xdr:to>
    <xdr:graphicFrame macro="">
      <xdr:nvGraphicFramePr>
        <xdr:cNvPr id="89" name="Chart 14">
          <a:extLst>
            <a:ext uri="{FF2B5EF4-FFF2-40B4-BE49-F238E27FC236}">
              <a16:creationId xmlns:a16="http://schemas.microsoft.com/office/drawing/2014/main" id="{00000000-0008-0000-0000-00005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57150</xdr:colOff>
          <xdr:row>22</xdr:row>
          <xdr:rowOff>12700</xdr:rowOff>
        </xdr:from>
        <xdr:to>
          <xdr:col>0</xdr:col>
          <xdr:colOff>260350</xdr:colOff>
          <xdr:row>32</xdr:row>
          <xdr:rowOff>57150</xdr:rowOff>
        </xdr:to>
        <xdr:sp macro="" textlink="">
          <xdr:nvSpPr>
            <xdr:cNvPr id="2049" name="Scroll Bar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7</xdr:row>
          <xdr:rowOff>247650</xdr:rowOff>
        </xdr:from>
        <xdr:to>
          <xdr:col>5</xdr:col>
          <xdr:colOff>400050</xdr:colOff>
          <xdr:row>9</xdr:row>
          <xdr:rowOff>12700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247650</xdr:rowOff>
        </xdr:from>
        <xdr:to>
          <xdr:col>8</xdr:col>
          <xdr:colOff>1238250</xdr:colOff>
          <xdr:row>9</xdr:row>
          <xdr:rowOff>12700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247650</xdr:rowOff>
        </xdr:from>
        <xdr:to>
          <xdr:col>11</xdr:col>
          <xdr:colOff>952500</xdr:colOff>
          <xdr:row>9</xdr:row>
          <xdr:rowOff>12700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7</xdr:row>
          <xdr:rowOff>260350</xdr:rowOff>
        </xdr:from>
        <xdr:to>
          <xdr:col>14</xdr:col>
          <xdr:colOff>723900</xdr:colOff>
          <xdr:row>9</xdr:row>
          <xdr:rowOff>19050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7</xdr:row>
          <xdr:rowOff>247650</xdr:rowOff>
        </xdr:from>
        <xdr:to>
          <xdr:col>17</xdr:col>
          <xdr:colOff>717550</xdr:colOff>
          <xdr:row>9</xdr:row>
          <xdr:rowOff>12700</xdr:rowOff>
        </xdr:to>
        <xdr:sp macro="" textlink="">
          <xdr:nvSpPr>
            <xdr:cNvPr id="2054" name="Option 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32</xdr:row>
          <xdr:rowOff>50800</xdr:rowOff>
        </xdr:from>
        <xdr:to>
          <xdr:col>20</xdr:col>
          <xdr:colOff>184150</xdr:colOff>
          <xdr:row>32</xdr:row>
          <xdr:rowOff>266700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de-DE" sz="800" b="0" i="0" u="none" strike="noStrike" baseline="0">
                  <a:solidFill>
                    <a:srgbClr val="000000"/>
                  </a:solidFill>
                  <a:latin typeface="Tahoma"/>
                  <a:ea typeface="Tahoma"/>
                  <a:cs typeface="Tahoma"/>
                </a:rPr>
                <a:t>Show Targets?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946150</xdr:colOff>
          <xdr:row>41</xdr:row>
          <xdr:rowOff>57150</xdr:rowOff>
        </xdr:from>
        <xdr:to>
          <xdr:col>13</xdr:col>
          <xdr:colOff>298450</xdr:colOff>
          <xdr:row>43</xdr:row>
          <xdr:rowOff>57150</xdr:rowOff>
        </xdr:to>
        <xdr:sp macro="" textlink="">
          <xdr:nvSpPr>
            <xdr:cNvPr id="2059" name="TextBox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21</xdr:row>
          <xdr:rowOff>12700</xdr:rowOff>
        </xdr:from>
        <xdr:to>
          <xdr:col>5</xdr:col>
          <xdr:colOff>355600</xdr:colOff>
          <xdr:row>22</xdr:row>
          <xdr:rowOff>19050</xdr:rowOff>
        </xdr:to>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21</xdr:row>
          <xdr:rowOff>0</xdr:rowOff>
        </xdr:from>
        <xdr:to>
          <xdr:col>8</xdr:col>
          <xdr:colOff>971550</xdr:colOff>
          <xdr:row>22</xdr:row>
          <xdr:rowOff>12700</xdr:rowOff>
        </xdr:to>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184150</xdr:rowOff>
        </xdr:from>
        <xdr:to>
          <xdr:col>11</xdr:col>
          <xdr:colOff>895350</xdr:colOff>
          <xdr:row>22</xdr:row>
          <xdr:rowOff>19050</xdr:rowOff>
        </xdr:to>
        <xdr:sp macro="" textlink="">
          <xdr:nvSpPr>
            <xdr:cNvPr id="2062" name="Option 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21</xdr:row>
          <xdr:rowOff>12700</xdr:rowOff>
        </xdr:from>
        <xdr:to>
          <xdr:col>14</xdr:col>
          <xdr:colOff>584200</xdr:colOff>
          <xdr:row>22</xdr:row>
          <xdr:rowOff>0</xdr:rowOff>
        </xdr:to>
        <xdr:sp macro="" textlink="">
          <xdr:nvSpPr>
            <xdr:cNvPr id="2063" name="Option 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12700</xdr:colOff>
          <xdr:row>20</xdr:row>
          <xdr:rowOff>165100</xdr:rowOff>
        </xdr:from>
        <xdr:to>
          <xdr:col>17</xdr:col>
          <xdr:colOff>800100</xdr:colOff>
          <xdr:row>21</xdr:row>
          <xdr:rowOff>190500</xdr:rowOff>
        </xdr:to>
        <xdr:sp macro="" textlink="">
          <xdr:nvSpPr>
            <xdr:cNvPr id="2064" name="Option Button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20</xdr:row>
          <xdr:rowOff>165100</xdr:rowOff>
        </xdr:from>
        <xdr:to>
          <xdr:col>20</xdr:col>
          <xdr:colOff>666750</xdr:colOff>
          <xdr:row>21</xdr:row>
          <xdr:rowOff>190500</xdr:rowOff>
        </xdr:to>
        <xdr:sp macro="" textlink="">
          <xdr:nvSpPr>
            <xdr:cNvPr id="2065" name="Option 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7</xdr:row>
          <xdr:rowOff>260350</xdr:rowOff>
        </xdr:from>
        <xdr:to>
          <xdr:col>20</xdr:col>
          <xdr:colOff>666750</xdr:colOff>
          <xdr:row>9</xdr:row>
          <xdr:rowOff>19050</xdr:rowOff>
        </xdr:to>
        <xdr:sp macro="" textlink="">
          <xdr:nvSpPr>
            <xdr:cNvPr id="2066" name="Option Button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9</xdr:row>
          <xdr:rowOff>19050</xdr:rowOff>
        </xdr:from>
        <xdr:to>
          <xdr:col>0</xdr:col>
          <xdr:colOff>241300</xdr:colOff>
          <xdr:row>19</xdr:row>
          <xdr:rowOff>19050</xdr:rowOff>
        </xdr:to>
        <xdr:sp macro="" textlink="">
          <xdr:nvSpPr>
            <xdr:cNvPr id="2067" name="Scroll Bar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21</xdr:row>
          <xdr:rowOff>0</xdr:rowOff>
        </xdr:from>
        <xdr:to>
          <xdr:col>2</xdr:col>
          <xdr:colOff>1746250</xdr:colOff>
          <xdr:row>22</xdr:row>
          <xdr:rowOff>12700</xdr:rowOff>
        </xdr:to>
        <xdr:sp macro="" textlink="">
          <xdr:nvSpPr>
            <xdr:cNvPr id="2068" name="Option 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109</xdr:row>
          <xdr:rowOff>57150</xdr:rowOff>
        </xdr:from>
        <xdr:to>
          <xdr:col>2</xdr:col>
          <xdr:colOff>1536700</xdr:colOff>
          <xdr:row>110</xdr:row>
          <xdr:rowOff>69850</xdr:rowOff>
        </xdr:to>
        <xdr:sp macro="" textlink="">
          <xdr:nvSpPr>
            <xdr:cNvPr id="2069" name="Drop Dow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781050</xdr:colOff>
          <xdr:row>144</xdr:row>
          <xdr:rowOff>88900</xdr:rowOff>
        </xdr:from>
        <xdr:to>
          <xdr:col>20</xdr:col>
          <xdr:colOff>107950</xdr:colOff>
          <xdr:row>145</xdr:row>
          <xdr:rowOff>95250</xdr:rowOff>
        </xdr:to>
        <xdr:sp macro="" textlink="">
          <xdr:nvSpPr>
            <xdr:cNvPr id="2070" name="Drop Down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161925</xdr:colOff>
      <xdr:row>148</xdr:row>
      <xdr:rowOff>134408</xdr:rowOff>
    </xdr:from>
    <xdr:to>
      <xdr:col>21</xdr:col>
      <xdr:colOff>49742</xdr:colOff>
      <xdr:row>168</xdr:row>
      <xdr:rowOff>141816</xdr:rowOff>
    </xdr:to>
    <xdr:graphicFrame macro="">
      <xdr:nvGraphicFramePr>
        <xdr:cNvPr id="90" name="Chart 3">
          <a:extLst>
            <a:ext uri="{FF2B5EF4-FFF2-40B4-BE49-F238E27FC236}">
              <a16:creationId xmlns:a16="http://schemas.microsoft.com/office/drawing/2014/main" id="{00000000-0008-0000-00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179916</xdr:colOff>
      <xdr:row>172</xdr:row>
      <xdr:rowOff>102659</xdr:rowOff>
    </xdr:from>
    <xdr:to>
      <xdr:col>21</xdr:col>
      <xdr:colOff>25400</xdr:colOff>
      <xdr:row>190</xdr:row>
      <xdr:rowOff>148167</xdr:rowOff>
    </xdr:to>
    <xdr:graphicFrame macro="">
      <xdr:nvGraphicFramePr>
        <xdr:cNvPr id="91" name="Chart 4">
          <a:extLst>
            <a:ext uri="{FF2B5EF4-FFF2-40B4-BE49-F238E27FC236}">
              <a16:creationId xmlns:a16="http://schemas.microsoft.com/office/drawing/2014/main" id="{00000000-0008-0000-00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14</xdr:col>
      <xdr:colOff>885826</xdr:colOff>
      <xdr:row>206</xdr:row>
      <xdr:rowOff>52916</xdr:rowOff>
    </xdr:from>
    <xdr:to>
      <xdr:col>21</xdr:col>
      <xdr:colOff>28575</xdr:colOff>
      <xdr:row>220</xdr:row>
      <xdr:rowOff>95251</xdr:rowOff>
    </xdr:to>
    <xdr:graphicFrame macro="">
      <xdr:nvGraphicFramePr>
        <xdr:cNvPr id="92" name="Chart 2">
          <a:extLst>
            <a:ext uri="{FF2B5EF4-FFF2-40B4-BE49-F238E27FC236}">
              <a16:creationId xmlns:a16="http://schemas.microsoft.com/office/drawing/2014/main" id="{00000000-0008-0000-00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1</xdr:row>
      <xdr:rowOff>44450</xdr:rowOff>
    </xdr:from>
    <xdr:to>
      <xdr:col>1</xdr:col>
      <xdr:colOff>361950</xdr:colOff>
      <xdr:row>2</xdr:row>
      <xdr:rowOff>139700</xdr:rowOff>
    </xdr:to>
    <xdr:sp macro="[0]!SampleCall" textlink="">
      <xdr:nvSpPr>
        <xdr:cNvPr id="2" name="Rechteck: abgerundete Ecken 1">
          <a:extLst>
            <a:ext uri="{FF2B5EF4-FFF2-40B4-BE49-F238E27FC236}">
              <a16:creationId xmlns:a16="http://schemas.microsoft.com/office/drawing/2014/main" id="{840B31E2-E9A4-436B-9E29-9A69E7A54BB5}"/>
            </a:ext>
          </a:extLst>
        </xdr:cNvPr>
        <xdr:cNvSpPr/>
      </xdr:nvSpPr>
      <xdr:spPr>
        <a:xfrm>
          <a:off x="419100" y="228600"/>
          <a:ext cx="704850" cy="279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20</xdr:col>
      <xdr:colOff>19050</xdr:colOff>
      <xdr:row>26</xdr:row>
      <xdr:rowOff>38100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27</xdr:row>
      <xdr:rowOff>9525</xdr:rowOff>
    </xdr:from>
    <xdr:to>
      <xdr:col>19</xdr:col>
      <xdr:colOff>495300</xdr:colOff>
      <xdr:row>38</xdr:row>
      <xdr:rowOff>104775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323850</xdr:colOff>
      <xdr:row>1</xdr:row>
      <xdr:rowOff>28575</xdr:rowOff>
    </xdr:from>
    <xdr:to>
      <xdr:col>12</xdr:col>
      <xdr:colOff>714375</xdr:colOff>
      <xdr:row>25</xdr:row>
      <xdr:rowOff>47625</xdr:rowOff>
    </xdr:to>
    <xdr:graphicFrame macro="">
      <xdr:nvGraphicFramePr>
        <xdr:cNvPr id="2" name="Chart 2">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Beispiele\Beispiele%20f&#252;r%20Excel%202007\mapFunktione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ehbergJ/Desktop/Statistikfunktionen%20Beispie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erechnung der Rentenrate"/>
      <sheetName val="Abschreibungsmethoden"/>
      <sheetName val="Aufgelaufene Zinsen"/>
      <sheetName val="Datumsreihen"/>
      <sheetName val="Zeitreihen"/>
      <sheetName val="Falsche_Zeitberechnung"/>
      <sheetName val="Korrekte_Zeitberechnung"/>
      <sheetName val="Trigon_Funktionen"/>
      <sheetName val="HYPERB"/>
      <sheetName val="Textfunktionen"/>
      <sheetName val="Rückstand_Vorsprung"/>
      <sheetName val="Abweichung"/>
      <sheetName val="Trend"/>
      <sheetName val="Maßeinheiten"/>
      <sheetName val="Umwandlungsbeispiele"/>
      <sheetName val="Tabelle1"/>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HSENABSCHNITT"/>
      <sheetName val="ANZAHL()"/>
      <sheetName val="ANZAHLLEREZELLEN()"/>
      <sheetName val="BESTIMMTHEITSMASS"/>
      <sheetName val="BINOM.VERT"/>
      <sheetName val="EXPON.VERT"/>
      <sheetName val="FISHER"/>
      <sheetName val="FISHER (2)"/>
      <sheetName val="GEOMITTEL"/>
      <sheetName val="GESTUTZMITTEL()"/>
      <sheetName val="HÄUFIGKEIT()"/>
      <sheetName val="Histogramm"/>
      <sheetName val="HYPGEOMVERT"/>
      <sheetName val="KGRÖSSTE(), KKLEINSTE()"/>
      <sheetName val="Korrelationskoeffizient"/>
      <sheetName val="MAX() und MIN()"/>
      <sheetName val="MEDIAN()"/>
      <sheetName val="MITTELWERT()"/>
      <sheetName val="MITTELWERTWENN()"/>
      <sheetName val="MITTELWERTWENNS()"/>
      <sheetName val="QUARTILE"/>
      <sheetName val="RANG.GLEICH()"/>
      <sheetName val="RANG.GLEICH() 2"/>
      <sheetName val="RANG.MITTELW()"/>
      <sheetName val="RGP()"/>
      <sheetName val="RGP() 2"/>
      <sheetName val="SCHÄTZER"/>
      <sheetName val="TREND()"/>
      <sheetName val="WAHRSCHBEREICH"/>
      <sheetName val="ZÄHLENWENN()"/>
      <sheetName val="ZÄHLENWENNS"/>
      <sheetName val="A-Funktionen"/>
    </sheetNames>
    <sheetDataSet>
      <sheetData sheetId="0"/>
      <sheetData sheetId="1">
        <row r="3">
          <cell r="A3" t="str">
            <v>Datum</v>
          </cell>
          <cell r="B3" t="str">
            <v>Messung</v>
          </cell>
        </row>
        <row r="4">
          <cell r="A4">
            <v>40238</v>
          </cell>
          <cell r="B4">
            <v>13.2</v>
          </cell>
        </row>
        <row r="5">
          <cell r="A5">
            <v>40239</v>
          </cell>
          <cell r="B5">
            <v>15.3</v>
          </cell>
        </row>
        <row r="6">
          <cell r="A6">
            <v>40240</v>
          </cell>
          <cell r="B6">
            <v>15.5</v>
          </cell>
        </row>
        <row r="7">
          <cell r="A7">
            <v>40241</v>
          </cell>
          <cell r="B7">
            <v>21.2</v>
          </cell>
        </row>
        <row r="8">
          <cell r="A8">
            <v>40244</v>
          </cell>
          <cell r="B8" t="str">
            <v>k.A.</v>
          </cell>
        </row>
        <row r="9">
          <cell r="A9">
            <v>40245</v>
          </cell>
          <cell r="B9">
            <v>21.4</v>
          </cell>
        </row>
        <row r="10">
          <cell r="A10">
            <v>40246</v>
          </cell>
          <cell r="B10">
            <v>23.4</v>
          </cell>
        </row>
        <row r="11">
          <cell r="A11">
            <v>40247</v>
          </cell>
          <cell r="B11">
            <v>25.5</v>
          </cell>
        </row>
        <row r="12">
          <cell r="A12">
            <v>40248</v>
          </cell>
          <cell r="B12">
            <v>23.5</v>
          </cell>
        </row>
        <row r="13">
          <cell r="A13">
            <v>40251</v>
          </cell>
          <cell r="B13" t="str">
            <v>k.A.</v>
          </cell>
        </row>
        <row r="14">
          <cell r="A14">
            <v>40252</v>
          </cell>
          <cell r="B14">
            <v>27.6</v>
          </cell>
        </row>
        <row r="15">
          <cell r="A15">
            <v>40253</v>
          </cell>
          <cell r="B15">
            <v>23.5</v>
          </cell>
        </row>
        <row r="16">
          <cell r="A16">
            <v>40254</v>
          </cell>
          <cell r="B16">
            <v>24</v>
          </cell>
        </row>
        <row r="17">
          <cell r="A17">
            <v>40255</v>
          </cell>
          <cell r="B17">
            <v>25.6</v>
          </cell>
        </row>
        <row r="18">
          <cell r="A18">
            <v>40258</v>
          </cell>
          <cell r="B18">
            <v>22.5</v>
          </cell>
        </row>
      </sheetData>
      <sheetData sheetId="2"/>
      <sheetData sheetId="3"/>
      <sheetData sheetId="4"/>
      <sheetData sheetId="5"/>
      <sheetData sheetId="6"/>
      <sheetData sheetId="7"/>
      <sheetData sheetId="8"/>
      <sheetData sheetId="9"/>
      <sheetData sheetId="10">
        <row r="1">
          <cell r="A1" t="str">
            <v>Name</v>
          </cell>
          <cell r="B1" t="str">
            <v>Vorname</v>
          </cell>
          <cell r="C1" t="str">
            <v>Geburtsdatum</v>
          </cell>
          <cell r="D1" t="str">
            <v>Alter</v>
          </cell>
        </row>
        <row r="2">
          <cell r="A2" t="str">
            <v>Malle</v>
          </cell>
          <cell r="B2" t="str">
            <v>Rainer</v>
          </cell>
          <cell r="C2">
            <v>30228</v>
          </cell>
          <cell r="D2">
            <v>31</v>
          </cell>
        </row>
        <row r="3">
          <cell r="A3" t="str">
            <v>Glück</v>
          </cell>
          <cell r="B3" t="str">
            <v>Carsten</v>
          </cell>
          <cell r="C3">
            <v>29214</v>
          </cell>
          <cell r="D3">
            <v>34</v>
          </cell>
        </row>
        <row r="4">
          <cell r="A4" t="str">
            <v xml:space="preserve">Gärtner </v>
          </cell>
          <cell r="B4" t="str">
            <v>Brigitte</v>
          </cell>
          <cell r="C4">
            <v>28561</v>
          </cell>
          <cell r="D4">
            <v>36</v>
          </cell>
        </row>
        <row r="5">
          <cell r="A5" t="str">
            <v>Wüllf</v>
          </cell>
          <cell r="B5" t="str">
            <v>Wolfgang</v>
          </cell>
          <cell r="C5">
            <v>28842</v>
          </cell>
          <cell r="D5">
            <v>35</v>
          </cell>
        </row>
        <row r="6">
          <cell r="A6" t="str">
            <v>Höchel</v>
          </cell>
          <cell r="B6" t="str">
            <v>Dirk</v>
          </cell>
          <cell r="C6">
            <v>28491</v>
          </cell>
          <cell r="D6">
            <v>36</v>
          </cell>
        </row>
        <row r="7">
          <cell r="A7" t="str">
            <v>Wolf</v>
          </cell>
          <cell r="B7" t="str">
            <v>Uwe</v>
          </cell>
          <cell r="C7">
            <v>28345</v>
          </cell>
          <cell r="D7">
            <v>36</v>
          </cell>
        </row>
        <row r="8">
          <cell r="A8" t="str">
            <v>Reisner</v>
          </cell>
          <cell r="B8" t="str">
            <v>Stefan</v>
          </cell>
          <cell r="C8">
            <v>27777</v>
          </cell>
          <cell r="D8">
            <v>38</v>
          </cell>
        </row>
        <row r="9">
          <cell r="A9" t="str">
            <v>Pfaller</v>
          </cell>
          <cell r="B9" t="str">
            <v>Stefan</v>
          </cell>
          <cell r="C9">
            <v>27475</v>
          </cell>
          <cell r="D9">
            <v>39</v>
          </cell>
        </row>
        <row r="10">
          <cell r="A10" t="str">
            <v>Hofmann</v>
          </cell>
          <cell r="B10" t="str">
            <v>Josef</v>
          </cell>
          <cell r="C10">
            <v>27228</v>
          </cell>
          <cell r="D10">
            <v>39</v>
          </cell>
        </row>
        <row r="11">
          <cell r="A11" t="str">
            <v>Siegle</v>
          </cell>
          <cell r="B11" t="str">
            <v>Tanja</v>
          </cell>
          <cell r="C11">
            <v>27197</v>
          </cell>
          <cell r="D11">
            <v>39</v>
          </cell>
        </row>
        <row r="12">
          <cell r="A12" t="str">
            <v>Ücel</v>
          </cell>
          <cell r="B12" t="str">
            <v>Udo</v>
          </cell>
          <cell r="C12">
            <v>27197</v>
          </cell>
          <cell r="D12">
            <v>39</v>
          </cell>
        </row>
        <row r="13">
          <cell r="A13" t="str">
            <v>Volkmann</v>
          </cell>
          <cell r="B13" t="str">
            <v>Uli</v>
          </cell>
          <cell r="C13">
            <v>27198</v>
          </cell>
          <cell r="D13">
            <v>39</v>
          </cell>
        </row>
        <row r="14">
          <cell r="A14" t="str">
            <v>Weizenkeim</v>
          </cell>
          <cell r="B14" t="str">
            <v>Ute</v>
          </cell>
          <cell r="C14">
            <v>27199</v>
          </cell>
          <cell r="D14">
            <v>39</v>
          </cell>
        </row>
        <row r="15">
          <cell r="A15" t="str">
            <v>Kramm</v>
          </cell>
          <cell r="B15" t="str">
            <v>Monika</v>
          </cell>
          <cell r="C15">
            <v>25875</v>
          </cell>
          <cell r="D15">
            <v>43</v>
          </cell>
        </row>
        <row r="16">
          <cell r="A16" t="str">
            <v>Bichler</v>
          </cell>
          <cell r="B16" t="str">
            <v>Andrea</v>
          </cell>
          <cell r="C16">
            <v>25306</v>
          </cell>
          <cell r="D16">
            <v>44</v>
          </cell>
        </row>
        <row r="17">
          <cell r="A17" t="str">
            <v>Kreitmeier</v>
          </cell>
          <cell r="B17" t="str">
            <v>Nico</v>
          </cell>
          <cell r="C17">
            <v>25324</v>
          </cell>
          <cell r="D17">
            <v>44</v>
          </cell>
        </row>
        <row r="18">
          <cell r="A18" t="str">
            <v>Neubauer</v>
          </cell>
          <cell r="B18" t="str">
            <v>Regina</v>
          </cell>
          <cell r="C18">
            <v>25451</v>
          </cell>
          <cell r="D18">
            <v>44</v>
          </cell>
        </row>
        <row r="19">
          <cell r="A19" t="str">
            <v>Hebbel</v>
          </cell>
          <cell r="B19" t="str">
            <v>Hans</v>
          </cell>
          <cell r="C19">
            <v>25090</v>
          </cell>
          <cell r="D19">
            <v>45</v>
          </cell>
        </row>
        <row r="20">
          <cell r="A20" t="str">
            <v>Krüger</v>
          </cell>
          <cell r="B20" t="str">
            <v>Nicole</v>
          </cell>
          <cell r="C20">
            <v>25182</v>
          </cell>
          <cell r="D20">
            <v>45</v>
          </cell>
        </row>
        <row r="21">
          <cell r="A21" t="str">
            <v>Langer</v>
          </cell>
          <cell r="B21" t="str">
            <v>Olcay</v>
          </cell>
          <cell r="C21">
            <v>25182</v>
          </cell>
          <cell r="D21">
            <v>45</v>
          </cell>
        </row>
        <row r="22">
          <cell r="A22" t="str">
            <v>Müller</v>
          </cell>
          <cell r="B22" t="str">
            <v>Regina</v>
          </cell>
          <cell r="C22">
            <v>25181</v>
          </cell>
          <cell r="D22">
            <v>45</v>
          </cell>
        </row>
        <row r="23">
          <cell r="A23" t="str">
            <v>Dammel</v>
          </cell>
          <cell r="B23" t="str">
            <v>Angela</v>
          </cell>
          <cell r="C23">
            <v>24772</v>
          </cell>
          <cell r="D23">
            <v>46</v>
          </cell>
        </row>
        <row r="24">
          <cell r="A24" t="str">
            <v>Gerstner</v>
          </cell>
          <cell r="B24" t="str">
            <v>Armin</v>
          </cell>
          <cell r="C24">
            <v>24764</v>
          </cell>
          <cell r="D24">
            <v>46</v>
          </cell>
        </row>
        <row r="25">
          <cell r="A25" t="str">
            <v>Greininger</v>
          </cell>
          <cell r="B25" t="str">
            <v>Daniela</v>
          </cell>
          <cell r="C25">
            <v>24772</v>
          </cell>
          <cell r="D25">
            <v>46</v>
          </cell>
        </row>
        <row r="26">
          <cell r="A26" t="str">
            <v>Hüssel</v>
          </cell>
          <cell r="B26" t="str">
            <v>Markus</v>
          </cell>
          <cell r="C26">
            <v>24745</v>
          </cell>
          <cell r="D26">
            <v>46</v>
          </cell>
        </row>
        <row r="27">
          <cell r="A27" t="str">
            <v>Graupe</v>
          </cell>
          <cell r="B27" t="str">
            <v>Christian</v>
          </cell>
          <cell r="C27">
            <v>24348</v>
          </cell>
          <cell r="D27">
            <v>47</v>
          </cell>
        </row>
        <row r="28">
          <cell r="A28" t="str">
            <v>Jagelsberger</v>
          </cell>
          <cell r="B28" t="str">
            <v>Monika</v>
          </cell>
          <cell r="C28">
            <v>24329</v>
          </cell>
          <cell r="D28">
            <v>47</v>
          </cell>
        </row>
        <row r="29">
          <cell r="A29" t="str">
            <v>Schell</v>
          </cell>
          <cell r="B29" t="str">
            <v>Tanja</v>
          </cell>
          <cell r="C29">
            <v>23984</v>
          </cell>
          <cell r="D29">
            <v>48</v>
          </cell>
        </row>
        <row r="30">
          <cell r="A30" t="str">
            <v>Berg</v>
          </cell>
          <cell r="B30" t="str">
            <v>Alette</v>
          </cell>
          <cell r="C30">
            <v>23386</v>
          </cell>
          <cell r="D30">
            <v>50</v>
          </cell>
        </row>
        <row r="31">
          <cell r="A31" t="str">
            <v>Burg</v>
          </cell>
          <cell r="B31" t="str">
            <v>Andreas</v>
          </cell>
          <cell r="C31">
            <v>23090</v>
          </cell>
          <cell r="D31">
            <v>51</v>
          </cell>
        </row>
        <row r="32">
          <cell r="A32" t="str">
            <v>Hübner</v>
          </cell>
          <cell r="B32" t="str">
            <v>Joerg</v>
          </cell>
          <cell r="C32">
            <v>23306</v>
          </cell>
          <cell r="D32">
            <v>50</v>
          </cell>
        </row>
        <row r="33">
          <cell r="A33" t="str">
            <v>Riesner</v>
          </cell>
          <cell r="B33" t="str">
            <v>Stefan</v>
          </cell>
          <cell r="C33">
            <v>23158</v>
          </cell>
          <cell r="D33">
            <v>50</v>
          </cell>
        </row>
        <row r="34">
          <cell r="A34" t="str">
            <v>Steiner</v>
          </cell>
          <cell r="B34" t="str">
            <v>Thomas</v>
          </cell>
          <cell r="C34">
            <v>23073</v>
          </cell>
          <cell r="D34">
            <v>51</v>
          </cell>
        </row>
        <row r="35">
          <cell r="A35" t="str">
            <v>Scholl</v>
          </cell>
          <cell r="B35" t="str">
            <v>Sven</v>
          </cell>
          <cell r="C35">
            <v>22403</v>
          </cell>
          <cell r="D35">
            <v>52</v>
          </cell>
        </row>
        <row r="36">
          <cell r="A36" t="str">
            <v>Härtel</v>
          </cell>
          <cell r="B36" t="str">
            <v>Joachim</v>
          </cell>
          <cell r="C36">
            <v>20291</v>
          </cell>
          <cell r="D36">
            <v>58</v>
          </cell>
        </row>
        <row r="37">
          <cell r="A37" t="str">
            <v>Härtel</v>
          </cell>
          <cell r="B37" t="str">
            <v>Melita</v>
          </cell>
          <cell r="C37">
            <v>18084</v>
          </cell>
          <cell r="D37">
            <v>64</v>
          </cell>
        </row>
        <row r="38">
          <cell r="A38" t="str">
            <v>Leifheit</v>
          </cell>
          <cell r="B38" t="str">
            <v>Otmar</v>
          </cell>
          <cell r="C38">
            <v>18084</v>
          </cell>
          <cell r="D38">
            <v>64</v>
          </cell>
        </row>
        <row r="39">
          <cell r="A39" t="str">
            <v>Lüders</v>
          </cell>
          <cell r="B39" t="str">
            <v>Petra</v>
          </cell>
          <cell r="C39">
            <v>18084</v>
          </cell>
          <cell r="D39">
            <v>64</v>
          </cell>
        </row>
        <row r="40">
          <cell r="A40" t="str">
            <v>Paul</v>
          </cell>
          <cell r="B40" t="str">
            <v>Sonja</v>
          </cell>
          <cell r="C40">
            <v>18084</v>
          </cell>
          <cell r="D40">
            <v>64</v>
          </cell>
        </row>
        <row r="41">
          <cell r="A41" t="str">
            <v>Hüssel</v>
          </cell>
          <cell r="B41" t="str">
            <v>Karsten</v>
          </cell>
          <cell r="C41">
            <v>15719</v>
          </cell>
          <cell r="D41">
            <v>71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1">
          <cell r="A1" t="str">
            <v>Nachname</v>
          </cell>
          <cell r="B1" t="str">
            <v>Vorname</v>
          </cell>
          <cell r="C1" t="str">
            <v>Abteilung</v>
          </cell>
          <cell r="D1" t="str">
            <v>Arbeitszeit</v>
          </cell>
          <cell r="L1" t="str">
            <v>Finanzbuchhaltung</v>
          </cell>
          <cell r="M1" t="str">
            <v>LE</v>
          </cell>
        </row>
        <row r="2">
          <cell r="A2" t="str">
            <v>Abrecht</v>
          </cell>
          <cell r="B2" t="str">
            <v>Eugen</v>
          </cell>
          <cell r="C2" t="str">
            <v>Finanzbuchhaltung</v>
          </cell>
          <cell r="D2" t="str">
            <v>LE</v>
          </cell>
          <cell r="L2" t="str">
            <v>Entwicklung</v>
          </cell>
          <cell r="M2" t="str">
            <v>GE</v>
          </cell>
        </row>
        <row r="3">
          <cell r="A3" t="str">
            <v>Ament</v>
          </cell>
          <cell r="B3" t="str">
            <v>Erwin</v>
          </cell>
          <cell r="C3" t="str">
            <v>Entwicklung</v>
          </cell>
          <cell r="D3" t="str">
            <v>GE</v>
          </cell>
          <cell r="L3" t="str">
            <v>Verkauf</v>
          </cell>
        </row>
        <row r="4">
          <cell r="A4" t="str">
            <v>Apak</v>
          </cell>
          <cell r="B4" t="str">
            <v>Elisabeth</v>
          </cell>
          <cell r="C4" t="str">
            <v>Verkauf</v>
          </cell>
          <cell r="D4" t="str">
            <v>LE</v>
          </cell>
          <cell r="L4" t="str">
            <v>Produktion</v>
          </cell>
        </row>
        <row r="5">
          <cell r="A5" t="str">
            <v>Attemeier</v>
          </cell>
          <cell r="B5" t="str">
            <v>Claus</v>
          </cell>
          <cell r="C5" t="str">
            <v>Entwicklung</v>
          </cell>
          <cell r="D5" t="str">
            <v>LE</v>
          </cell>
          <cell r="L5" t="str">
            <v>Marketing</v>
          </cell>
        </row>
        <row r="6">
          <cell r="A6" t="str">
            <v>Attenbrunner</v>
          </cell>
          <cell r="B6" t="str">
            <v>Ernst</v>
          </cell>
          <cell r="C6" t="str">
            <v>Produktion</v>
          </cell>
          <cell r="D6" t="str">
            <v>LE</v>
          </cell>
          <cell r="L6" t="str">
            <v>Reklamation</v>
          </cell>
        </row>
        <row r="7">
          <cell r="A7" t="str">
            <v>Auch</v>
          </cell>
          <cell r="B7" t="str">
            <v>Amalie</v>
          </cell>
          <cell r="C7" t="str">
            <v>Produktion</v>
          </cell>
          <cell r="D7" t="str">
            <v>LE</v>
          </cell>
          <cell r="L7" t="str">
            <v>Service</v>
          </cell>
        </row>
        <row r="8">
          <cell r="A8" t="str">
            <v>Bartsch</v>
          </cell>
          <cell r="B8" t="str">
            <v>Alfred</v>
          </cell>
          <cell r="C8" t="str">
            <v>Produktion</v>
          </cell>
          <cell r="D8" t="str">
            <v>LE</v>
          </cell>
          <cell r="L8" t="str">
            <v>Controlling</v>
          </cell>
        </row>
        <row r="9">
          <cell r="A9" t="str">
            <v>Bastians</v>
          </cell>
          <cell r="B9" t="str">
            <v>Anni</v>
          </cell>
          <cell r="C9" t="str">
            <v>Marketing</v>
          </cell>
          <cell r="D9" t="str">
            <v>LE</v>
          </cell>
          <cell r="L9" t="str">
            <v>EDV-Betreuung</v>
          </cell>
        </row>
        <row r="10">
          <cell r="A10" t="str">
            <v>Baur</v>
          </cell>
          <cell r="B10" t="str">
            <v>Andreas</v>
          </cell>
          <cell r="C10" t="str">
            <v>Reklamation</v>
          </cell>
          <cell r="D10" t="str">
            <v>LE</v>
          </cell>
          <cell r="L10" t="str">
            <v>Geschäftsleitung</v>
          </cell>
        </row>
        <row r="11">
          <cell r="A11" t="str">
            <v>Bayreuther</v>
          </cell>
          <cell r="B11" t="str">
            <v>Dieter</v>
          </cell>
          <cell r="C11" t="str">
            <v>Service</v>
          </cell>
          <cell r="D11" t="str">
            <v>GE</v>
          </cell>
        </row>
        <row r="12">
          <cell r="A12" t="str">
            <v>Bazger</v>
          </cell>
          <cell r="B12" t="str">
            <v>Ewald</v>
          </cell>
          <cell r="C12" t="str">
            <v>Marketing</v>
          </cell>
          <cell r="D12" t="str">
            <v>GE</v>
          </cell>
        </row>
        <row r="13">
          <cell r="A13" t="str">
            <v>Beer</v>
          </cell>
          <cell r="B13" t="str">
            <v>Francesco</v>
          </cell>
          <cell r="C13" t="str">
            <v>Produktion</v>
          </cell>
          <cell r="D13" t="str">
            <v>GE</v>
          </cell>
        </row>
        <row r="14">
          <cell r="A14" t="str">
            <v>Benz</v>
          </cell>
          <cell r="B14" t="str">
            <v>Eckhard</v>
          </cell>
          <cell r="C14" t="str">
            <v>Produktion</v>
          </cell>
          <cell r="D14" t="str">
            <v>GE</v>
          </cell>
        </row>
        <row r="15">
          <cell r="A15" t="str">
            <v>Bertelshofer</v>
          </cell>
          <cell r="B15" t="str">
            <v>Emma</v>
          </cell>
          <cell r="C15" t="str">
            <v>Reklamation</v>
          </cell>
          <cell r="D15" t="str">
            <v>GE</v>
          </cell>
        </row>
        <row r="16">
          <cell r="A16" t="str">
            <v>Bertolini</v>
          </cell>
          <cell r="B16" t="str">
            <v>Anne</v>
          </cell>
          <cell r="C16" t="str">
            <v>Produktion</v>
          </cell>
          <cell r="D16" t="str">
            <v>GE</v>
          </cell>
        </row>
        <row r="17">
          <cell r="A17" t="str">
            <v>Beuthner</v>
          </cell>
          <cell r="B17" t="str">
            <v>Erich</v>
          </cell>
          <cell r="C17" t="str">
            <v>Produktion</v>
          </cell>
          <cell r="D17" t="str">
            <v>GE</v>
          </cell>
        </row>
        <row r="18">
          <cell r="A18" t="str">
            <v>Beuttenmüller</v>
          </cell>
          <cell r="B18" t="str">
            <v>Ewald</v>
          </cell>
          <cell r="C18" t="str">
            <v>Controlling</v>
          </cell>
          <cell r="D18" t="str">
            <v>GE</v>
          </cell>
        </row>
        <row r="19">
          <cell r="A19" t="str">
            <v>Biedermann</v>
          </cell>
          <cell r="B19" t="str">
            <v>Duane</v>
          </cell>
          <cell r="C19" t="str">
            <v>Produktion</v>
          </cell>
          <cell r="D19" t="str">
            <v>GE</v>
          </cell>
        </row>
        <row r="20">
          <cell r="A20" t="str">
            <v>Bley</v>
          </cell>
          <cell r="B20" t="str">
            <v>Armin</v>
          </cell>
          <cell r="C20" t="str">
            <v>Verkauf</v>
          </cell>
          <cell r="D20" t="str">
            <v>LE</v>
          </cell>
        </row>
        <row r="21">
          <cell r="A21" t="str">
            <v>Bock</v>
          </cell>
          <cell r="B21" t="str">
            <v>Werner</v>
          </cell>
          <cell r="C21" t="str">
            <v>Service</v>
          </cell>
          <cell r="D21" t="str">
            <v>LE</v>
          </cell>
        </row>
        <row r="22">
          <cell r="A22" t="str">
            <v>Brucker</v>
          </cell>
          <cell r="B22" t="str">
            <v>Wolfgang</v>
          </cell>
          <cell r="C22" t="str">
            <v>Verkauf</v>
          </cell>
          <cell r="D22" t="str">
            <v>LE</v>
          </cell>
        </row>
        <row r="23">
          <cell r="A23" t="str">
            <v>Bühler</v>
          </cell>
          <cell r="B23" t="str">
            <v>Wolfgang</v>
          </cell>
          <cell r="C23" t="str">
            <v>Controlling</v>
          </cell>
          <cell r="D23" t="str">
            <v>LE</v>
          </cell>
        </row>
        <row r="24">
          <cell r="A24" t="str">
            <v>Buyrukca</v>
          </cell>
          <cell r="B24" t="str">
            <v>Wolfgang</v>
          </cell>
          <cell r="C24" t="str">
            <v>Produktion</v>
          </cell>
          <cell r="D24" t="str">
            <v>LE</v>
          </cell>
        </row>
        <row r="25">
          <cell r="A25" t="str">
            <v>Cernjevic</v>
          </cell>
          <cell r="B25" t="str">
            <v>Werner</v>
          </cell>
          <cell r="C25" t="str">
            <v>Marketing</v>
          </cell>
          <cell r="D25" t="str">
            <v>LE</v>
          </cell>
        </row>
        <row r="26">
          <cell r="A26" t="str">
            <v>Clauß</v>
          </cell>
          <cell r="B26" t="str">
            <v>Wolfgang</v>
          </cell>
          <cell r="C26" t="str">
            <v>Produktion</v>
          </cell>
          <cell r="D26" t="str">
            <v>LE</v>
          </cell>
        </row>
        <row r="27">
          <cell r="A27" t="str">
            <v>Cotta</v>
          </cell>
          <cell r="B27" t="str">
            <v>Wolfgang</v>
          </cell>
          <cell r="C27" t="str">
            <v>Service</v>
          </cell>
          <cell r="D27" t="str">
            <v>LE</v>
          </cell>
        </row>
        <row r="28">
          <cell r="A28" t="str">
            <v>Dach</v>
          </cell>
          <cell r="B28" t="str">
            <v>Eugen</v>
          </cell>
          <cell r="C28" t="str">
            <v>Finanzbuchhaltung</v>
          </cell>
          <cell r="D28" t="str">
            <v>LE</v>
          </cell>
        </row>
        <row r="29">
          <cell r="A29" t="str">
            <v>Dalheimer</v>
          </cell>
          <cell r="B29" t="str">
            <v>Annemarie</v>
          </cell>
          <cell r="C29" t="str">
            <v>Produktion</v>
          </cell>
          <cell r="D29" t="str">
            <v>LE</v>
          </cell>
        </row>
        <row r="30">
          <cell r="A30" t="str">
            <v>Damm</v>
          </cell>
          <cell r="B30" t="str">
            <v>Alfred</v>
          </cell>
          <cell r="C30" t="str">
            <v>Marketing</v>
          </cell>
          <cell r="D30" t="str">
            <v>GE</v>
          </cell>
        </row>
        <row r="31">
          <cell r="A31" t="str">
            <v>Decker</v>
          </cell>
          <cell r="B31" t="str">
            <v>Helmut</v>
          </cell>
          <cell r="C31" t="str">
            <v>Produktion</v>
          </cell>
          <cell r="D31" t="str">
            <v>GE</v>
          </cell>
        </row>
        <row r="32">
          <cell r="A32" t="str">
            <v>Denk</v>
          </cell>
          <cell r="B32" t="str">
            <v>Anna</v>
          </cell>
          <cell r="C32" t="str">
            <v>Produktion</v>
          </cell>
          <cell r="D32" t="str">
            <v>GE</v>
          </cell>
        </row>
        <row r="33">
          <cell r="A33" t="str">
            <v>Deuschle</v>
          </cell>
          <cell r="B33" t="str">
            <v>Wolfgang</v>
          </cell>
          <cell r="C33" t="str">
            <v>Finanzbuchhaltung</v>
          </cell>
          <cell r="D33" t="str">
            <v>GE</v>
          </cell>
        </row>
        <row r="34">
          <cell r="A34" t="str">
            <v>Deuschle</v>
          </cell>
          <cell r="B34" t="str">
            <v>Werner</v>
          </cell>
          <cell r="C34" t="str">
            <v>Controlling</v>
          </cell>
          <cell r="D34" t="str">
            <v>GE</v>
          </cell>
        </row>
        <row r="35">
          <cell r="A35" t="str">
            <v>Drechsel</v>
          </cell>
          <cell r="B35" t="str">
            <v>Felix</v>
          </cell>
          <cell r="C35" t="str">
            <v>Service</v>
          </cell>
          <cell r="D35" t="str">
            <v>GE</v>
          </cell>
        </row>
        <row r="36">
          <cell r="A36" t="str">
            <v>Dyer</v>
          </cell>
          <cell r="B36" t="str">
            <v>Erich</v>
          </cell>
          <cell r="C36" t="str">
            <v>Produktion</v>
          </cell>
          <cell r="D36" t="str">
            <v>GE</v>
          </cell>
        </row>
        <row r="37">
          <cell r="A37" t="str">
            <v>Eichhorn</v>
          </cell>
          <cell r="B37" t="str">
            <v>Erich</v>
          </cell>
          <cell r="C37" t="str">
            <v>Finanzbuchhaltung</v>
          </cell>
          <cell r="D37" t="str">
            <v>GE</v>
          </cell>
        </row>
        <row r="38">
          <cell r="A38" t="str">
            <v>Eisele</v>
          </cell>
          <cell r="B38" t="str">
            <v>Fritz</v>
          </cell>
          <cell r="C38" t="str">
            <v>Produktion</v>
          </cell>
          <cell r="D38" t="str">
            <v>GE</v>
          </cell>
        </row>
        <row r="39">
          <cell r="A39" t="str">
            <v>Eismann</v>
          </cell>
          <cell r="B39" t="str">
            <v>Franz</v>
          </cell>
          <cell r="C39" t="str">
            <v>Controlling</v>
          </cell>
          <cell r="D39" t="str">
            <v>LE</v>
          </cell>
        </row>
        <row r="40">
          <cell r="A40" t="str">
            <v>Emhardt</v>
          </cell>
          <cell r="B40" t="str">
            <v>Gernot</v>
          </cell>
          <cell r="C40" t="str">
            <v>Service</v>
          </cell>
          <cell r="D40" t="str">
            <v>LE</v>
          </cell>
        </row>
        <row r="41">
          <cell r="A41" t="str">
            <v>Erhardt</v>
          </cell>
          <cell r="B41" t="str">
            <v>Herbert</v>
          </cell>
          <cell r="C41" t="str">
            <v>Reklamation</v>
          </cell>
          <cell r="D41" t="str">
            <v>LE</v>
          </cell>
        </row>
        <row r="42">
          <cell r="A42" t="str">
            <v>Esposito</v>
          </cell>
          <cell r="B42" t="str">
            <v>Günter</v>
          </cell>
          <cell r="C42" t="str">
            <v>Reklamation</v>
          </cell>
          <cell r="D42" t="str">
            <v>LE</v>
          </cell>
        </row>
        <row r="43">
          <cell r="A43" t="str">
            <v>Fahrion</v>
          </cell>
          <cell r="B43" t="str">
            <v>Hendrik</v>
          </cell>
          <cell r="C43" t="str">
            <v>Produktion</v>
          </cell>
          <cell r="D43" t="str">
            <v>LE</v>
          </cell>
        </row>
        <row r="44">
          <cell r="A44" t="str">
            <v>Feger</v>
          </cell>
          <cell r="B44" t="str">
            <v>Heinrich</v>
          </cell>
          <cell r="C44" t="str">
            <v>Produktion</v>
          </cell>
          <cell r="D44" t="str">
            <v>LE</v>
          </cell>
        </row>
        <row r="45">
          <cell r="A45" t="str">
            <v>Fertig</v>
          </cell>
          <cell r="B45" t="str">
            <v>Heinz</v>
          </cell>
          <cell r="C45" t="str">
            <v>Finanzbuchhaltung</v>
          </cell>
          <cell r="D45" t="str">
            <v>LE</v>
          </cell>
        </row>
        <row r="46">
          <cell r="A46" t="str">
            <v>Fessele</v>
          </cell>
          <cell r="B46" t="str">
            <v>Gerhard</v>
          </cell>
          <cell r="C46" t="str">
            <v>Reklamation</v>
          </cell>
          <cell r="D46" t="str">
            <v>GE</v>
          </cell>
        </row>
        <row r="47">
          <cell r="A47" t="str">
            <v>Feuchter</v>
          </cell>
          <cell r="B47" t="str">
            <v>Günther</v>
          </cell>
          <cell r="C47" t="str">
            <v>Controlling</v>
          </cell>
          <cell r="D47" t="str">
            <v>LE</v>
          </cell>
        </row>
        <row r="48">
          <cell r="A48" t="str">
            <v>Fingerhut</v>
          </cell>
          <cell r="B48" t="str">
            <v>Gisela</v>
          </cell>
          <cell r="C48" t="str">
            <v>Produktion</v>
          </cell>
          <cell r="D48" t="str">
            <v>LE</v>
          </cell>
        </row>
        <row r="49">
          <cell r="A49" t="str">
            <v>Fink</v>
          </cell>
          <cell r="B49" t="str">
            <v>Hans</v>
          </cell>
          <cell r="C49" t="str">
            <v>Service</v>
          </cell>
          <cell r="D49" t="str">
            <v>LE</v>
          </cell>
        </row>
        <row r="50">
          <cell r="A50" t="str">
            <v>Fioritto</v>
          </cell>
          <cell r="B50" t="str">
            <v>Gerda</v>
          </cell>
          <cell r="C50" t="str">
            <v>Produktion</v>
          </cell>
          <cell r="D50" t="str">
            <v>LE</v>
          </cell>
        </row>
        <row r="51">
          <cell r="A51" t="str">
            <v>Fischer</v>
          </cell>
          <cell r="B51" t="str">
            <v>Harald</v>
          </cell>
          <cell r="C51" t="str">
            <v>Produktion</v>
          </cell>
          <cell r="D51" t="str">
            <v>LE</v>
          </cell>
        </row>
        <row r="52">
          <cell r="A52" t="str">
            <v>Flaig</v>
          </cell>
          <cell r="B52" t="str">
            <v>Helene</v>
          </cell>
          <cell r="C52" t="str">
            <v>EDV-Betreuung</v>
          </cell>
          <cell r="D52" t="str">
            <v>LE</v>
          </cell>
        </row>
        <row r="53">
          <cell r="A53" t="str">
            <v>Fleckenstein</v>
          </cell>
          <cell r="B53" t="str">
            <v>German</v>
          </cell>
          <cell r="C53" t="str">
            <v>Geschäftsleitung</v>
          </cell>
          <cell r="D53" t="str">
            <v>LE</v>
          </cell>
        </row>
        <row r="54">
          <cell r="A54" t="str">
            <v>Friedl</v>
          </cell>
          <cell r="B54" t="str">
            <v>Fritz</v>
          </cell>
          <cell r="C54" t="str">
            <v>Produktion</v>
          </cell>
          <cell r="D54" t="str">
            <v>GE</v>
          </cell>
        </row>
        <row r="55">
          <cell r="A55" t="str">
            <v>Fritz</v>
          </cell>
          <cell r="B55" t="str">
            <v>Georg</v>
          </cell>
          <cell r="C55" t="str">
            <v>Produktion</v>
          </cell>
          <cell r="D55" t="str">
            <v>GE</v>
          </cell>
        </row>
        <row r="56">
          <cell r="A56" t="str">
            <v>Fritz</v>
          </cell>
          <cell r="B56" t="str">
            <v>Günter</v>
          </cell>
          <cell r="C56" t="str">
            <v>Produktion</v>
          </cell>
          <cell r="D56" t="str">
            <v>GE</v>
          </cell>
        </row>
        <row r="57">
          <cell r="A57" t="str">
            <v>Früchel</v>
          </cell>
          <cell r="B57" t="str">
            <v>Helga</v>
          </cell>
          <cell r="C57" t="str">
            <v>Entwicklung</v>
          </cell>
          <cell r="D57" t="str">
            <v>GE</v>
          </cell>
        </row>
        <row r="58">
          <cell r="A58" t="str">
            <v>Fuchs</v>
          </cell>
          <cell r="B58" t="str">
            <v>Hans</v>
          </cell>
          <cell r="C58" t="str">
            <v>Produktion</v>
          </cell>
          <cell r="D58" t="str">
            <v>GE</v>
          </cell>
        </row>
        <row r="59">
          <cell r="A59" t="str">
            <v>Geisel</v>
          </cell>
          <cell r="B59" t="str">
            <v>Gustav</v>
          </cell>
          <cell r="C59" t="str">
            <v>Service</v>
          </cell>
          <cell r="D59" t="str">
            <v>GE</v>
          </cell>
        </row>
        <row r="60">
          <cell r="A60" t="str">
            <v>Geißler</v>
          </cell>
          <cell r="B60" t="str">
            <v>Eugen</v>
          </cell>
          <cell r="C60" t="str">
            <v>Produktion</v>
          </cell>
          <cell r="D60" t="str">
            <v>GE</v>
          </cell>
        </row>
        <row r="61">
          <cell r="A61" t="str">
            <v>Gerowski</v>
          </cell>
          <cell r="B61" t="str">
            <v>Gerhard</v>
          </cell>
          <cell r="C61" t="str">
            <v>Produktion</v>
          </cell>
          <cell r="D61" t="str">
            <v>GE</v>
          </cell>
        </row>
        <row r="62">
          <cell r="A62" t="str">
            <v>Geysel</v>
          </cell>
          <cell r="B62" t="str">
            <v>Adolf</v>
          </cell>
          <cell r="C62" t="str">
            <v>Produktion</v>
          </cell>
          <cell r="D62" t="str">
            <v>GE</v>
          </cell>
        </row>
        <row r="63">
          <cell r="A63" t="str">
            <v>Glaser</v>
          </cell>
          <cell r="B63" t="str">
            <v>Herbert</v>
          </cell>
          <cell r="C63" t="str">
            <v>Produktion</v>
          </cell>
          <cell r="D63" t="str">
            <v>LE</v>
          </cell>
        </row>
        <row r="64">
          <cell r="A64" t="str">
            <v>Goehrke</v>
          </cell>
          <cell r="B64" t="str">
            <v>Günter</v>
          </cell>
          <cell r="C64" t="str">
            <v>Produktion</v>
          </cell>
          <cell r="D64" t="str">
            <v>LE</v>
          </cell>
        </row>
        <row r="65">
          <cell r="A65" t="str">
            <v>Grammlich</v>
          </cell>
          <cell r="B65" t="str">
            <v>Frieda</v>
          </cell>
          <cell r="C65" t="str">
            <v>Service</v>
          </cell>
          <cell r="D65" t="str">
            <v>LE</v>
          </cell>
        </row>
        <row r="66">
          <cell r="A66" t="str">
            <v>Grothe</v>
          </cell>
          <cell r="B66" t="str">
            <v>Friedrich</v>
          </cell>
          <cell r="C66" t="str">
            <v>Entwicklung</v>
          </cell>
          <cell r="D66" t="str">
            <v>LE</v>
          </cell>
        </row>
        <row r="67">
          <cell r="A67" t="str">
            <v>Gruber</v>
          </cell>
          <cell r="B67" t="str">
            <v>Gerhard</v>
          </cell>
          <cell r="C67" t="str">
            <v>Marketing</v>
          </cell>
          <cell r="D67" t="str">
            <v>LE</v>
          </cell>
        </row>
        <row r="68">
          <cell r="A68" t="str">
            <v>Gruhlke</v>
          </cell>
          <cell r="B68" t="str">
            <v>Fazli</v>
          </cell>
          <cell r="C68" t="str">
            <v>Controlling</v>
          </cell>
          <cell r="D68" t="str">
            <v>LE</v>
          </cell>
        </row>
        <row r="69">
          <cell r="A69" t="str">
            <v>Günther</v>
          </cell>
          <cell r="B69" t="str">
            <v>Elisabeth</v>
          </cell>
          <cell r="C69" t="str">
            <v>Marketing</v>
          </cell>
          <cell r="D69" t="str">
            <v>LE</v>
          </cell>
        </row>
        <row r="70">
          <cell r="A70" t="str">
            <v>Hamann</v>
          </cell>
          <cell r="B70" t="str">
            <v>Ernst</v>
          </cell>
          <cell r="C70" t="str">
            <v>Produktion</v>
          </cell>
          <cell r="D70" t="str">
            <v>GE</v>
          </cell>
        </row>
        <row r="71">
          <cell r="A71" t="str">
            <v>Hartig</v>
          </cell>
          <cell r="B71" t="str">
            <v>Georg</v>
          </cell>
          <cell r="C71" t="str">
            <v>Finanzbuchhaltung</v>
          </cell>
          <cell r="D71" t="str">
            <v>LE</v>
          </cell>
        </row>
        <row r="72">
          <cell r="A72" t="str">
            <v>Hartl</v>
          </cell>
          <cell r="B72" t="str">
            <v>Hans</v>
          </cell>
          <cell r="C72" t="str">
            <v>Produktion</v>
          </cell>
          <cell r="D72" t="str">
            <v>LE</v>
          </cell>
        </row>
        <row r="73">
          <cell r="A73" t="str">
            <v>Hartl</v>
          </cell>
          <cell r="B73" t="str">
            <v>Anna</v>
          </cell>
          <cell r="C73" t="str">
            <v>EDV-Betreuung</v>
          </cell>
          <cell r="D73" t="str">
            <v>LE</v>
          </cell>
        </row>
        <row r="74">
          <cell r="A74" t="str">
            <v>Hartmann</v>
          </cell>
          <cell r="B74" t="str">
            <v>Anita</v>
          </cell>
          <cell r="C74" t="str">
            <v>Geschäftsleitung</v>
          </cell>
          <cell r="D74" t="str">
            <v>LE</v>
          </cell>
        </row>
        <row r="75">
          <cell r="A75" t="str">
            <v>Hartmann</v>
          </cell>
          <cell r="B75" t="str">
            <v>Eduard</v>
          </cell>
          <cell r="C75" t="str">
            <v>EDV-Betreuung</v>
          </cell>
          <cell r="D75" t="str">
            <v>LE</v>
          </cell>
        </row>
        <row r="76">
          <cell r="A76" t="str">
            <v>Hasil</v>
          </cell>
          <cell r="B76" t="str">
            <v>Gesine</v>
          </cell>
          <cell r="C76" t="str">
            <v>Verkauf</v>
          </cell>
          <cell r="D76" t="str">
            <v>LE</v>
          </cell>
        </row>
        <row r="77">
          <cell r="A77" t="str">
            <v>Hauser</v>
          </cell>
          <cell r="B77" t="str">
            <v>Axel</v>
          </cell>
          <cell r="C77" t="str">
            <v>Verkauf</v>
          </cell>
          <cell r="D77" t="str">
            <v>LE</v>
          </cell>
        </row>
        <row r="78">
          <cell r="A78" t="str">
            <v>Heilmair</v>
          </cell>
          <cell r="B78" t="str">
            <v>Heinz</v>
          </cell>
          <cell r="C78" t="str">
            <v>Entwicklung</v>
          </cell>
          <cell r="D78" t="str">
            <v>GE</v>
          </cell>
        </row>
        <row r="79">
          <cell r="A79" t="str">
            <v>Heinl</v>
          </cell>
          <cell r="B79" t="str">
            <v>Günter</v>
          </cell>
          <cell r="C79" t="str">
            <v>Produktion</v>
          </cell>
          <cell r="D79" t="str">
            <v>GE</v>
          </cell>
        </row>
        <row r="80">
          <cell r="A80" t="str">
            <v>Helbig</v>
          </cell>
          <cell r="B80" t="str">
            <v>Christian</v>
          </cell>
          <cell r="C80" t="str">
            <v>Marketing</v>
          </cell>
          <cell r="D80" t="str">
            <v>GE</v>
          </cell>
        </row>
        <row r="81">
          <cell r="A81" t="str">
            <v>Helle</v>
          </cell>
          <cell r="B81" t="str">
            <v>Heinrich</v>
          </cell>
          <cell r="C81" t="str">
            <v>Produktion</v>
          </cell>
          <cell r="D81" t="str">
            <v>GE</v>
          </cell>
        </row>
        <row r="82">
          <cell r="A82" t="str">
            <v>Herbst</v>
          </cell>
          <cell r="B82" t="str">
            <v>Eberhard</v>
          </cell>
          <cell r="C82" t="str">
            <v>Reklamation</v>
          </cell>
          <cell r="D82" t="str">
            <v>GE</v>
          </cell>
        </row>
        <row r="83">
          <cell r="A83" t="str">
            <v>Hinke</v>
          </cell>
          <cell r="B83" t="str">
            <v>Hartwig</v>
          </cell>
          <cell r="C83" t="str">
            <v>Produktion</v>
          </cell>
          <cell r="D83" t="str">
            <v>GE</v>
          </cell>
        </row>
        <row r="84">
          <cell r="A84" t="str">
            <v>Horvath</v>
          </cell>
          <cell r="B84" t="str">
            <v>Manfred</v>
          </cell>
          <cell r="C84" t="str">
            <v>Entwicklung</v>
          </cell>
          <cell r="D84" t="str">
            <v>GE</v>
          </cell>
        </row>
        <row r="85">
          <cell r="A85" t="str">
            <v>Ilg</v>
          </cell>
          <cell r="B85" t="str">
            <v>Martin</v>
          </cell>
          <cell r="C85" t="str">
            <v>Produktion</v>
          </cell>
          <cell r="D85" t="str">
            <v>GE</v>
          </cell>
        </row>
        <row r="86">
          <cell r="A86" t="str">
            <v>Illmann</v>
          </cell>
          <cell r="B86" t="str">
            <v>Manfred</v>
          </cell>
          <cell r="C86" t="str">
            <v>Produktion</v>
          </cell>
          <cell r="D86" t="str">
            <v>GE</v>
          </cell>
        </row>
        <row r="87">
          <cell r="A87" t="str">
            <v>Jäger</v>
          </cell>
          <cell r="B87" t="str">
            <v>Thomas</v>
          </cell>
          <cell r="C87" t="str">
            <v>EDV-Betreuung</v>
          </cell>
          <cell r="D87" t="str">
            <v>LE</v>
          </cell>
        </row>
        <row r="88">
          <cell r="A88" t="str">
            <v>Jäger</v>
          </cell>
          <cell r="B88" t="str">
            <v>Rolf</v>
          </cell>
          <cell r="C88" t="str">
            <v>Produktion</v>
          </cell>
          <cell r="D88" t="str">
            <v>LE</v>
          </cell>
        </row>
        <row r="89">
          <cell r="A89" t="str">
            <v>Jell</v>
          </cell>
          <cell r="B89" t="str">
            <v>Siegfried</v>
          </cell>
          <cell r="C89" t="str">
            <v>Verkauf</v>
          </cell>
          <cell r="D89" t="str">
            <v>LE</v>
          </cell>
        </row>
        <row r="90">
          <cell r="A90" t="str">
            <v>Jeschonnek</v>
          </cell>
          <cell r="B90" t="str">
            <v>Johanna</v>
          </cell>
          <cell r="C90" t="str">
            <v>Produktion</v>
          </cell>
          <cell r="D90" t="str">
            <v>LE</v>
          </cell>
        </row>
        <row r="91">
          <cell r="A91" t="str">
            <v>Jessenberger</v>
          </cell>
          <cell r="B91" t="str">
            <v>Norbert</v>
          </cell>
          <cell r="C91" t="str">
            <v>Produktion</v>
          </cell>
          <cell r="D91" t="str">
            <v>LE</v>
          </cell>
        </row>
        <row r="92">
          <cell r="A92" t="str">
            <v>Kahdemann</v>
          </cell>
          <cell r="B92" t="str">
            <v>Ilse</v>
          </cell>
          <cell r="C92" t="str">
            <v>EDV-Betreuung</v>
          </cell>
          <cell r="D92" t="str">
            <v>LE</v>
          </cell>
        </row>
        <row r="93">
          <cell r="A93" t="str">
            <v>Kappel</v>
          </cell>
          <cell r="B93" t="str">
            <v>Johann</v>
          </cell>
          <cell r="C93" t="str">
            <v>Service</v>
          </cell>
          <cell r="D93" t="str">
            <v>LE</v>
          </cell>
        </row>
        <row r="94">
          <cell r="A94" t="str">
            <v>Karabetyan</v>
          </cell>
          <cell r="B94" t="str">
            <v>Ruth</v>
          </cell>
          <cell r="C94" t="str">
            <v>Reklamation</v>
          </cell>
          <cell r="D94" t="str">
            <v>GE</v>
          </cell>
        </row>
        <row r="95">
          <cell r="A95" t="str">
            <v>Karius</v>
          </cell>
          <cell r="B95" t="str">
            <v>Konrad</v>
          </cell>
          <cell r="C95" t="str">
            <v>Verkauf</v>
          </cell>
          <cell r="D95" t="str">
            <v>LE</v>
          </cell>
        </row>
        <row r="96">
          <cell r="A96" t="str">
            <v>Käser</v>
          </cell>
          <cell r="B96" t="str">
            <v>Ulrich</v>
          </cell>
          <cell r="C96" t="str">
            <v>Produktion</v>
          </cell>
          <cell r="D96" t="str">
            <v>LE</v>
          </cell>
        </row>
        <row r="97">
          <cell r="A97" t="str">
            <v>Kautz</v>
          </cell>
          <cell r="B97" t="str">
            <v>Hildegard</v>
          </cell>
          <cell r="C97" t="str">
            <v>Geschäftsleitung</v>
          </cell>
          <cell r="D97" t="str">
            <v>LE</v>
          </cell>
        </row>
        <row r="98">
          <cell r="A98" t="str">
            <v>Keller</v>
          </cell>
          <cell r="B98" t="str">
            <v>Thomas</v>
          </cell>
          <cell r="C98" t="str">
            <v>Produktion</v>
          </cell>
          <cell r="D98" t="str">
            <v>LE</v>
          </cell>
        </row>
        <row r="99">
          <cell r="A99" t="str">
            <v>Kellermann</v>
          </cell>
          <cell r="B99" t="str">
            <v>Milan</v>
          </cell>
          <cell r="C99" t="str">
            <v>Produktion</v>
          </cell>
          <cell r="D99" t="str">
            <v>LE</v>
          </cell>
        </row>
        <row r="100">
          <cell r="A100" t="str">
            <v>Kirchner</v>
          </cell>
          <cell r="B100" t="str">
            <v>Hubert</v>
          </cell>
          <cell r="C100" t="str">
            <v>Produktion</v>
          </cell>
          <cell r="D100" t="str">
            <v>LE</v>
          </cell>
        </row>
        <row r="101">
          <cell r="A101" t="str">
            <v>Kissling</v>
          </cell>
          <cell r="B101" t="str">
            <v>Siegfried</v>
          </cell>
          <cell r="C101" t="str">
            <v>Produktion</v>
          </cell>
          <cell r="D101" t="str">
            <v>LE</v>
          </cell>
        </row>
        <row r="102">
          <cell r="A102" t="str">
            <v>Klabinus</v>
          </cell>
          <cell r="B102" t="str">
            <v>Thomas</v>
          </cell>
          <cell r="C102" t="str">
            <v>Produktion</v>
          </cell>
          <cell r="D102" t="str">
            <v>GE</v>
          </cell>
        </row>
        <row r="103">
          <cell r="A103" t="str">
            <v>Klein</v>
          </cell>
          <cell r="B103" t="str">
            <v>Johanna</v>
          </cell>
          <cell r="C103" t="str">
            <v>Produktion</v>
          </cell>
          <cell r="D103" t="str">
            <v>GE</v>
          </cell>
        </row>
        <row r="104">
          <cell r="A104" t="str">
            <v>Klement</v>
          </cell>
          <cell r="B104" t="str">
            <v>Josef</v>
          </cell>
          <cell r="C104" t="str">
            <v>Produktion</v>
          </cell>
          <cell r="D104" t="str">
            <v>GE</v>
          </cell>
        </row>
        <row r="105">
          <cell r="A105" t="str">
            <v>Knödl</v>
          </cell>
          <cell r="B105" t="str">
            <v>Martha</v>
          </cell>
          <cell r="C105" t="str">
            <v>Produktion</v>
          </cell>
          <cell r="D105" t="str">
            <v>GE</v>
          </cell>
        </row>
        <row r="106">
          <cell r="A106" t="str">
            <v>Kocybik</v>
          </cell>
          <cell r="B106" t="str">
            <v>Reiner</v>
          </cell>
          <cell r="C106" t="str">
            <v>Finanzbuchhaltung</v>
          </cell>
          <cell r="D106" t="str">
            <v>GE</v>
          </cell>
        </row>
        <row r="107">
          <cell r="A107" t="str">
            <v>Kohlstedt</v>
          </cell>
          <cell r="B107" t="str">
            <v>Rudolf</v>
          </cell>
          <cell r="C107" t="str">
            <v>EDV-Betreuung</v>
          </cell>
          <cell r="D107" t="str">
            <v>GE</v>
          </cell>
        </row>
        <row r="108">
          <cell r="A108" t="str">
            <v>Krause</v>
          </cell>
          <cell r="B108" t="str">
            <v>Karin</v>
          </cell>
          <cell r="C108" t="str">
            <v>Finanzbuchhaltung</v>
          </cell>
          <cell r="D108" t="str">
            <v>GE</v>
          </cell>
        </row>
        <row r="109">
          <cell r="A109" t="str">
            <v>Ksiazek-Kubik</v>
          </cell>
          <cell r="B109" t="str">
            <v>Rudolf</v>
          </cell>
          <cell r="C109" t="str">
            <v>Entwicklung</v>
          </cell>
          <cell r="D109" t="str">
            <v>GE</v>
          </cell>
        </row>
        <row r="110">
          <cell r="A110" t="str">
            <v>Kuhn</v>
          </cell>
          <cell r="B110" t="str">
            <v>Liane</v>
          </cell>
          <cell r="C110" t="str">
            <v>Produktion</v>
          </cell>
          <cell r="D110" t="str">
            <v>GE</v>
          </cell>
        </row>
        <row r="111">
          <cell r="A111" t="str">
            <v>Kutzek</v>
          </cell>
          <cell r="B111" t="str">
            <v>Sieglinde</v>
          </cell>
          <cell r="C111" t="str">
            <v>Produktion</v>
          </cell>
          <cell r="D111" t="str">
            <v>LE</v>
          </cell>
        </row>
        <row r="112">
          <cell r="A112" t="str">
            <v>Lange</v>
          </cell>
          <cell r="B112" t="str">
            <v>Josef</v>
          </cell>
          <cell r="C112" t="str">
            <v>Finanzbuchhaltung</v>
          </cell>
          <cell r="D112" t="str">
            <v>LE</v>
          </cell>
        </row>
        <row r="113">
          <cell r="A113" t="str">
            <v>Langenhan</v>
          </cell>
          <cell r="B113" t="str">
            <v>Manfred</v>
          </cell>
          <cell r="C113" t="str">
            <v>Entwicklung</v>
          </cell>
          <cell r="D113" t="str">
            <v>LE</v>
          </cell>
        </row>
        <row r="114">
          <cell r="A114" t="str">
            <v>Larkin</v>
          </cell>
          <cell r="B114" t="str">
            <v>Sabine</v>
          </cell>
          <cell r="C114" t="str">
            <v>Produktion</v>
          </cell>
          <cell r="D114" t="str">
            <v>LE</v>
          </cell>
        </row>
        <row r="115">
          <cell r="A115" t="str">
            <v>Legel</v>
          </cell>
          <cell r="B115" t="str">
            <v>Jürgen</v>
          </cell>
          <cell r="C115" t="str">
            <v>Produktion</v>
          </cell>
          <cell r="D115" t="str">
            <v>LE</v>
          </cell>
        </row>
        <row r="116">
          <cell r="A116" t="str">
            <v>Leipold</v>
          </cell>
          <cell r="B116" t="str">
            <v>Rolf</v>
          </cell>
          <cell r="C116" t="str">
            <v>EDV-Betreuung</v>
          </cell>
          <cell r="D116" t="str">
            <v>LE</v>
          </cell>
        </row>
        <row r="117">
          <cell r="A117" t="str">
            <v>Lindner</v>
          </cell>
          <cell r="B117" t="str">
            <v>Luise</v>
          </cell>
          <cell r="C117" t="str">
            <v>Produktion</v>
          </cell>
          <cell r="D117" t="str">
            <v>LE</v>
          </cell>
        </row>
        <row r="118">
          <cell r="A118" t="str">
            <v>List</v>
          </cell>
          <cell r="B118" t="str">
            <v>Walter</v>
          </cell>
          <cell r="C118" t="str">
            <v>Verkauf</v>
          </cell>
          <cell r="D118" t="str">
            <v>GE</v>
          </cell>
        </row>
        <row r="119">
          <cell r="A119" t="str">
            <v>Litzlbeck</v>
          </cell>
          <cell r="B119" t="str">
            <v>Stawros</v>
          </cell>
          <cell r="C119" t="str">
            <v>Geschäftsleitung</v>
          </cell>
          <cell r="D119" t="str">
            <v>LE</v>
          </cell>
        </row>
        <row r="120">
          <cell r="A120" t="str">
            <v>Löw</v>
          </cell>
          <cell r="B120" t="str">
            <v>Rudolf</v>
          </cell>
          <cell r="C120" t="str">
            <v>Produktion</v>
          </cell>
          <cell r="D120" t="str">
            <v>LE</v>
          </cell>
        </row>
        <row r="121">
          <cell r="A121" t="str">
            <v>Ludwig</v>
          </cell>
          <cell r="B121" t="str">
            <v>Stefan</v>
          </cell>
          <cell r="C121" t="str">
            <v>Controlling</v>
          </cell>
          <cell r="D121" t="str">
            <v>LE</v>
          </cell>
        </row>
        <row r="122">
          <cell r="A122" t="str">
            <v>Maaß</v>
          </cell>
          <cell r="B122" t="str">
            <v>Reinhold</v>
          </cell>
          <cell r="C122" t="str">
            <v>Produktion</v>
          </cell>
          <cell r="D122" t="str">
            <v>LE</v>
          </cell>
        </row>
        <row r="123">
          <cell r="A123" t="str">
            <v>Mack</v>
          </cell>
          <cell r="B123" t="str">
            <v>Siegfried</v>
          </cell>
          <cell r="C123" t="str">
            <v>Finanzbuchhaltung</v>
          </cell>
          <cell r="D123" t="str">
            <v>LE</v>
          </cell>
        </row>
        <row r="124">
          <cell r="A124" t="str">
            <v>Maisch</v>
          </cell>
          <cell r="B124" t="str">
            <v>Maria</v>
          </cell>
          <cell r="C124" t="str">
            <v>Produktion</v>
          </cell>
          <cell r="D124" t="str">
            <v>LE</v>
          </cell>
        </row>
        <row r="125">
          <cell r="A125" t="str">
            <v>Marojevic-Glibo</v>
          </cell>
          <cell r="B125" t="str">
            <v>Reiner</v>
          </cell>
          <cell r="C125" t="str">
            <v>Produktion</v>
          </cell>
          <cell r="D125" t="str">
            <v>LE</v>
          </cell>
        </row>
        <row r="126">
          <cell r="A126" t="str">
            <v>Marquardt</v>
          </cell>
          <cell r="B126" t="str">
            <v>Paul</v>
          </cell>
          <cell r="C126" t="str">
            <v>Produktion</v>
          </cell>
          <cell r="D126" t="str">
            <v>GE</v>
          </cell>
        </row>
        <row r="127">
          <cell r="A127" t="str">
            <v>Maurer</v>
          </cell>
          <cell r="B127" t="str">
            <v>Nasr</v>
          </cell>
          <cell r="C127" t="str">
            <v>Verkauf</v>
          </cell>
          <cell r="D127" t="str">
            <v>GE</v>
          </cell>
        </row>
        <row r="128">
          <cell r="A128" t="str">
            <v>Mayer</v>
          </cell>
          <cell r="B128" t="str">
            <v>Marmi</v>
          </cell>
          <cell r="C128" t="str">
            <v>Produktion</v>
          </cell>
          <cell r="D128" t="str">
            <v>GE</v>
          </cell>
        </row>
        <row r="129">
          <cell r="A129" t="str">
            <v>Mehl</v>
          </cell>
          <cell r="B129" t="str">
            <v>Marianne</v>
          </cell>
          <cell r="C129" t="str">
            <v>Produktion</v>
          </cell>
          <cell r="D129" t="str">
            <v>GE</v>
          </cell>
        </row>
        <row r="130">
          <cell r="A130" t="str">
            <v>Messner</v>
          </cell>
          <cell r="B130" t="str">
            <v>Uschi</v>
          </cell>
          <cell r="C130" t="str">
            <v>Produktion</v>
          </cell>
          <cell r="D130" t="str">
            <v>GE</v>
          </cell>
        </row>
        <row r="131">
          <cell r="A131" t="str">
            <v>Mezger</v>
          </cell>
          <cell r="B131" t="str">
            <v>Roland</v>
          </cell>
          <cell r="C131" t="str">
            <v>Marketing</v>
          </cell>
          <cell r="D131" t="str">
            <v>GE</v>
          </cell>
        </row>
        <row r="132">
          <cell r="A132" t="str">
            <v>Mezger</v>
          </cell>
          <cell r="B132" t="str">
            <v>Johannes</v>
          </cell>
          <cell r="C132" t="str">
            <v>EDV-Betreuung</v>
          </cell>
          <cell r="D132" t="str">
            <v>GE</v>
          </cell>
        </row>
        <row r="133">
          <cell r="A133" t="str">
            <v>Michalski</v>
          </cell>
          <cell r="B133" t="str">
            <v>Maria</v>
          </cell>
          <cell r="C133" t="str">
            <v>Service</v>
          </cell>
          <cell r="D133" t="str">
            <v>GE</v>
          </cell>
        </row>
        <row r="134">
          <cell r="A134" t="str">
            <v>Mickeleit</v>
          </cell>
          <cell r="B134" t="str">
            <v>Mile</v>
          </cell>
          <cell r="C134" t="str">
            <v>Verkauf</v>
          </cell>
          <cell r="D134" t="str">
            <v>GE</v>
          </cell>
        </row>
        <row r="135">
          <cell r="A135" t="str">
            <v>Militzer</v>
          </cell>
          <cell r="B135" t="str">
            <v>Josef</v>
          </cell>
          <cell r="C135" t="str">
            <v>Controlling</v>
          </cell>
          <cell r="D135" t="str">
            <v>LE</v>
          </cell>
        </row>
        <row r="136">
          <cell r="A136" t="str">
            <v>Miller</v>
          </cell>
          <cell r="B136" t="str">
            <v>Siegfried</v>
          </cell>
          <cell r="C136" t="str">
            <v>Marketing</v>
          </cell>
          <cell r="D136" t="str">
            <v>LE</v>
          </cell>
        </row>
        <row r="137">
          <cell r="A137" t="str">
            <v>Miotk</v>
          </cell>
          <cell r="B137" t="str">
            <v>Magdalena</v>
          </cell>
          <cell r="C137" t="str">
            <v>Produktion</v>
          </cell>
          <cell r="D137" t="str">
            <v>LE</v>
          </cell>
        </row>
        <row r="138">
          <cell r="A138" t="str">
            <v>Müller</v>
          </cell>
          <cell r="B138" t="str">
            <v>Reinhard</v>
          </cell>
          <cell r="C138" t="str">
            <v>Produktion</v>
          </cell>
          <cell r="D138" t="str">
            <v>LE</v>
          </cell>
        </row>
        <row r="139">
          <cell r="A139" t="str">
            <v>Munz</v>
          </cell>
          <cell r="B139" t="str">
            <v>Justina</v>
          </cell>
          <cell r="C139" t="str">
            <v>Service</v>
          </cell>
          <cell r="D139" t="str">
            <v>LE</v>
          </cell>
        </row>
        <row r="140">
          <cell r="A140" t="str">
            <v>Murthum</v>
          </cell>
          <cell r="B140" t="str">
            <v>Jürgen</v>
          </cell>
          <cell r="C140" t="str">
            <v>Marketing</v>
          </cell>
          <cell r="D140" t="str">
            <v>LE</v>
          </cell>
        </row>
        <row r="141">
          <cell r="A141" t="str">
            <v>Nagy</v>
          </cell>
          <cell r="B141" t="str">
            <v>Josef</v>
          </cell>
          <cell r="C141" t="str">
            <v>Service</v>
          </cell>
          <cell r="D141" t="str">
            <v>LE</v>
          </cell>
        </row>
        <row r="142">
          <cell r="A142" t="str">
            <v>Nebel</v>
          </cell>
          <cell r="B142" t="str">
            <v>Martin</v>
          </cell>
          <cell r="C142" t="str">
            <v>Finanzbuchhaltung</v>
          </cell>
          <cell r="D142" t="str">
            <v>GE</v>
          </cell>
        </row>
        <row r="143">
          <cell r="A143" t="str">
            <v>Nehrenberg</v>
          </cell>
          <cell r="B143" t="str">
            <v>Thomas</v>
          </cell>
          <cell r="C143" t="str">
            <v>Entwicklung</v>
          </cell>
          <cell r="D143" t="str">
            <v>LE</v>
          </cell>
        </row>
        <row r="144">
          <cell r="A144" t="str">
            <v>Nemeth</v>
          </cell>
          <cell r="B144" t="str">
            <v>Maria</v>
          </cell>
          <cell r="C144" t="str">
            <v>Produktion</v>
          </cell>
          <cell r="D144" t="str">
            <v>LE</v>
          </cell>
        </row>
        <row r="145">
          <cell r="A145" t="str">
            <v>Nendel</v>
          </cell>
          <cell r="B145" t="str">
            <v>Karl</v>
          </cell>
          <cell r="C145" t="str">
            <v>Controlling</v>
          </cell>
          <cell r="D145" t="str">
            <v>LE</v>
          </cell>
        </row>
        <row r="146">
          <cell r="A146" t="str">
            <v>Nendel</v>
          </cell>
          <cell r="B146" t="str">
            <v>Robert</v>
          </cell>
          <cell r="C146" t="str">
            <v>Reklamation</v>
          </cell>
          <cell r="D146" t="str">
            <v>LE</v>
          </cell>
        </row>
        <row r="147">
          <cell r="A147" t="str">
            <v>Neumann</v>
          </cell>
          <cell r="B147" t="str">
            <v>Susanne</v>
          </cell>
          <cell r="C147" t="str">
            <v>EDV-Betreuung</v>
          </cell>
          <cell r="D147" t="str">
            <v>LE</v>
          </cell>
        </row>
        <row r="148">
          <cell r="A148" t="str">
            <v>Nödinger</v>
          </cell>
          <cell r="B148" t="str">
            <v>Ruth</v>
          </cell>
          <cell r="C148" t="str">
            <v>Produktion</v>
          </cell>
          <cell r="D148" t="str">
            <v>LE</v>
          </cell>
        </row>
        <row r="149">
          <cell r="A149" t="str">
            <v>Nording</v>
          </cell>
          <cell r="B149" t="str">
            <v>Karl</v>
          </cell>
          <cell r="C149" t="str">
            <v>Finanzbuchhaltung</v>
          </cell>
          <cell r="D149" t="str">
            <v>LE</v>
          </cell>
        </row>
        <row r="150">
          <cell r="A150" t="str">
            <v>Obergöker</v>
          </cell>
          <cell r="B150" t="str">
            <v>Robert</v>
          </cell>
          <cell r="C150" t="str">
            <v>Marketing</v>
          </cell>
          <cell r="D150" t="str">
            <v>GE</v>
          </cell>
        </row>
        <row r="151">
          <cell r="A151" t="str">
            <v>Östermann</v>
          </cell>
          <cell r="B151" t="str">
            <v>Nicole</v>
          </cell>
          <cell r="C151" t="str">
            <v>Reklamation</v>
          </cell>
          <cell r="D151" t="str">
            <v>GE</v>
          </cell>
        </row>
        <row r="152">
          <cell r="A152" t="str">
            <v>Oswald</v>
          </cell>
          <cell r="B152" t="str">
            <v>Otto</v>
          </cell>
          <cell r="C152" t="str">
            <v>Produktion</v>
          </cell>
          <cell r="D152" t="str">
            <v>GE</v>
          </cell>
        </row>
        <row r="153">
          <cell r="A153" t="str">
            <v>Oszoli</v>
          </cell>
          <cell r="B153" t="str">
            <v>Martina</v>
          </cell>
          <cell r="C153" t="str">
            <v>Produktion</v>
          </cell>
          <cell r="D153" t="str">
            <v>GE</v>
          </cell>
        </row>
        <row r="154">
          <cell r="A154" t="str">
            <v>Pavlovic</v>
          </cell>
          <cell r="B154" t="str">
            <v>Horst</v>
          </cell>
          <cell r="C154" t="str">
            <v>Controlling</v>
          </cell>
          <cell r="D154" t="str">
            <v>GE</v>
          </cell>
        </row>
        <row r="155">
          <cell r="A155" t="str">
            <v>Pertler</v>
          </cell>
          <cell r="B155" t="str">
            <v>Peter</v>
          </cell>
          <cell r="C155" t="str">
            <v>Service</v>
          </cell>
          <cell r="D155" t="str">
            <v>GE</v>
          </cell>
        </row>
        <row r="156">
          <cell r="A156" t="str">
            <v>Pfeiffer</v>
          </cell>
          <cell r="B156" t="str">
            <v>Peter</v>
          </cell>
          <cell r="C156" t="str">
            <v>Reklamation</v>
          </cell>
          <cell r="D156" t="str">
            <v>GE</v>
          </cell>
        </row>
        <row r="157">
          <cell r="A157" t="str">
            <v>Philipp</v>
          </cell>
          <cell r="B157" t="str">
            <v>Rainer</v>
          </cell>
          <cell r="C157" t="str">
            <v>Finanzbuchhaltung</v>
          </cell>
          <cell r="D157" t="str">
            <v>GE</v>
          </cell>
        </row>
        <row r="158">
          <cell r="A158" t="str">
            <v>Pollak</v>
          </cell>
          <cell r="B158" t="str">
            <v>Ingrid</v>
          </cell>
          <cell r="C158" t="str">
            <v>Produktion</v>
          </cell>
          <cell r="D158" t="str">
            <v>GE</v>
          </cell>
        </row>
        <row r="159">
          <cell r="A159" t="str">
            <v>Pösl</v>
          </cell>
          <cell r="B159" t="str">
            <v>Rüdiger</v>
          </cell>
          <cell r="C159" t="str">
            <v>Controlling</v>
          </cell>
          <cell r="D159" t="str">
            <v>LE</v>
          </cell>
        </row>
        <row r="160">
          <cell r="A160" t="str">
            <v>Prencipe</v>
          </cell>
          <cell r="B160" t="str">
            <v>Hermann</v>
          </cell>
          <cell r="C160" t="str">
            <v>Produktion</v>
          </cell>
          <cell r="D160" t="str">
            <v>LE</v>
          </cell>
        </row>
        <row r="161">
          <cell r="A161" t="str">
            <v>Putz</v>
          </cell>
          <cell r="B161" t="str">
            <v>Roland</v>
          </cell>
          <cell r="C161" t="str">
            <v>Produktion</v>
          </cell>
          <cell r="D161" t="str">
            <v>LE</v>
          </cell>
        </row>
        <row r="162">
          <cell r="A162" t="str">
            <v>Raiber</v>
          </cell>
          <cell r="B162" t="str">
            <v>Rudi</v>
          </cell>
          <cell r="C162" t="str">
            <v>Controlling</v>
          </cell>
          <cell r="D162" t="str">
            <v>LE</v>
          </cell>
        </row>
        <row r="163">
          <cell r="A163" t="str">
            <v>Raisch</v>
          </cell>
          <cell r="B163" t="str">
            <v>Susanne</v>
          </cell>
          <cell r="C163" t="str">
            <v>Finanzbuchhaltung</v>
          </cell>
          <cell r="D163" t="str">
            <v>LE</v>
          </cell>
        </row>
        <row r="164">
          <cell r="A164" t="str">
            <v>Rank</v>
          </cell>
          <cell r="B164" t="str">
            <v>Richard</v>
          </cell>
          <cell r="C164" t="str">
            <v>Service</v>
          </cell>
          <cell r="D164" t="str">
            <v>LE</v>
          </cell>
        </row>
        <row r="165">
          <cell r="A165" t="str">
            <v>Rapp</v>
          </cell>
          <cell r="B165" t="str">
            <v>Rolf</v>
          </cell>
          <cell r="C165" t="str">
            <v>Reklamation</v>
          </cell>
          <cell r="D165" t="str">
            <v>LE</v>
          </cell>
        </row>
        <row r="166">
          <cell r="A166" t="str">
            <v>Rebmann</v>
          </cell>
          <cell r="B166" t="str">
            <v>Roland</v>
          </cell>
          <cell r="C166" t="str">
            <v>Produktion</v>
          </cell>
          <cell r="D166" t="str">
            <v>GE</v>
          </cell>
        </row>
        <row r="167">
          <cell r="A167" t="str">
            <v>Reese</v>
          </cell>
          <cell r="B167" t="str">
            <v>Karl</v>
          </cell>
          <cell r="C167" t="str">
            <v>Entwicklung</v>
          </cell>
          <cell r="D167" t="str">
            <v>LE</v>
          </cell>
        </row>
        <row r="168">
          <cell r="A168" t="str">
            <v>Reicher</v>
          </cell>
          <cell r="B168" t="str">
            <v>Martin</v>
          </cell>
          <cell r="C168" t="str">
            <v>Produktion</v>
          </cell>
          <cell r="D168" t="str">
            <v>LE</v>
          </cell>
        </row>
        <row r="169">
          <cell r="A169" t="str">
            <v>Reutter</v>
          </cell>
          <cell r="B169" t="str">
            <v>Jörg</v>
          </cell>
          <cell r="C169" t="str">
            <v>Entwicklung</v>
          </cell>
          <cell r="D169" t="str">
            <v>LE</v>
          </cell>
        </row>
        <row r="170">
          <cell r="A170" t="str">
            <v>Rieger</v>
          </cell>
          <cell r="B170" t="str">
            <v>Sunay</v>
          </cell>
          <cell r="C170" t="str">
            <v>EDV-Betreuung</v>
          </cell>
          <cell r="D170" t="str">
            <v>LE</v>
          </cell>
        </row>
        <row r="171">
          <cell r="A171" t="str">
            <v>Rommel</v>
          </cell>
          <cell r="B171" t="str">
            <v>Joachim</v>
          </cell>
          <cell r="C171" t="str">
            <v>Entwicklung</v>
          </cell>
          <cell r="D171" t="str">
            <v>LE</v>
          </cell>
        </row>
        <row r="172">
          <cell r="A172" t="str">
            <v>Ruckh</v>
          </cell>
          <cell r="B172" t="str">
            <v>Paula</v>
          </cell>
          <cell r="C172" t="str">
            <v>Controlling</v>
          </cell>
          <cell r="D172" t="str">
            <v>LE</v>
          </cell>
        </row>
        <row r="173">
          <cell r="A173" t="str">
            <v>Russi</v>
          </cell>
          <cell r="B173" t="str">
            <v>Karin</v>
          </cell>
          <cell r="C173" t="str">
            <v>Entwicklung</v>
          </cell>
          <cell r="D173" t="str">
            <v>LE</v>
          </cell>
        </row>
        <row r="174">
          <cell r="A174" t="str">
            <v>Sadiki</v>
          </cell>
          <cell r="B174" t="str">
            <v>Orhan</v>
          </cell>
          <cell r="C174" t="str">
            <v>Entwicklung</v>
          </cell>
          <cell r="D174" t="str">
            <v>GE</v>
          </cell>
        </row>
        <row r="175">
          <cell r="A175" t="str">
            <v>Sager</v>
          </cell>
          <cell r="B175" t="str">
            <v>Sabrina</v>
          </cell>
          <cell r="C175" t="str">
            <v>Reklamation</v>
          </cell>
          <cell r="D175" t="str">
            <v>GE</v>
          </cell>
        </row>
        <row r="176">
          <cell r="A176" t="str">
            <v>Sailer</v>
          </cell>
          <cell r="B176" t="str">
            <v>Ludwig</v>
          </cell>
          <cell r="C176" t="str">
            <v>Produktion</v>
          </cell>
          <cell r="D176" t="str">
            <v>GE</v>
          </cell>
        </row>
        <row r="177">
          <cell r="A177" t="str">
            <v>Sailer</v>
          </cell>
          <cell r="B177" t="str">
            <v>Klaus</v>
          </cell>
          <cell r="C177" t="str">
            <v>Controlling</v>
          </cell>
          <cell r="D177" t="str">
            <v>GE</v>
          </cell>
        </row>
        <row r="178">
          <cell r="A178" t="str">
            <v>Salva's</v>
          </cell>
          <cell r="B178" t="str">
            <v>Klaus</v>
          </cell>
          <cell r="C178" t="str">
            <v>Produktion</v>
          </cell>
          <cell r="D178" t="str">
            <v>GE</v>
          </cell>
        </row>
        <row r="179">
          <cell r="A179" t="str">
            <v>Sammer</v>
          </cell>
          <cell r="B179" t="str">
            <v>Petra</v>
          </cell>
          <cell r="C179" t="str">
            <v>Controlling</v>
          </cell>
          <cell r="D179" t="str">
            <v>GE</v>
          </cell>
        </row>
        <row r="180">
          <cell r="A180" t="str">
            <v>Schaal</v>
          </cell>
          <cell r="B180" t="str">
            <v>Jakob</v>
          </cell>
          <cell r="C180" t="str">
            <v>Produktion</v>
          </cell>
          <cell r="D180" t="str">
            <v>GE</v>
          </cell>
        </row>
        <row r="181">
          <cell r="A181" t="str">
            <v>Schäffer</v>
          </cell>
          <cell r="B181" t="str">
            <v>Josef</v>
          </cell>
          <cell r="C181" t="str">
            <v>Verkauf</v>
          </cell>
          <cell r="D181" t="str">
            <v>GE</v>
          </cell>
        </row>
        <row r="182">
          <cell r="A182" t="str">
            <v>Scheurenbrand</v>
          </cell>
          <cell r="B182" t="str">
            <v>Peter</v>
          </cell>
          <cell r="C182" t="str">
            <v>Reklamation</v>
          </cell>
          <cell r="D182" t="str">
            <v>GE</v>
          </cell>
        </row>
        <row r="183">
          <cell r="A183" t="str">
            <v>Schienle</v>
          </cell>
          <cell r="B183" t="str">
            <v>Karl</v>
          </cell>
          <cell r="C183" t="str">
            <v>Geschäftsleitung</v>
          </cell>
          <cell r="D183" t="str">
            <v>LE</v>
          </cell>
        </row>
        <row r="184">
          <cell r="A184" t="str">
            <v>Schiller</v>
          </cell>
          <cell r="B184" t="str">
            <v>Maria</v>
          </cell>
          <cell r="C184" t="str">
            <v>Produktion</v>
          </cell>
          <cell r="D184" t="str">
            <v>LE</v>
          </cell>
        </row>
        <row r="185">
          <cell r="A185" t="str">
            <v>Schlagbauer</v>
          </cell>
          <cell r="B185" t="str">
            <v>Thomas</v>
          </cell>
          <cell r="C185" t="str">
            <v>Finanzbuchhaltung</v>
          </cell>
          <cell r="D185" t="str">
            <v>LE</v>
          </cell>
        </row>
        <row r="186">
          <cell r="A186" t="str">
            <v>Schmid</v>
          </cell>
          <cell r="B186" t="str">
            <v>Karl</v>
          </cell>
          <cell r="C186" t="str">
            <v>Produktion</v>
          </cell>
          <cell r="D186" t="str">
            <v>LE</v>
          </cell>
        </row>
        <row r="187">
          <cell r="A187" t="str">
            <v>Schmidt</v>
          </cell>
          <cell r="B187" t="str">
            <v>Maria</v>
          </cell>
          <cell r="C187" t="str">
            <v>Entwicklung</v>
          </cell>
          <cell r="D187" t="str">
            <v>LE</v>
          </cell>
        </row>
        <row r="188">
          <cell r="A188" t="str">
            <v>Schmucker</v>
          </cell>
          <cell r="B188" t="str">
            <v>Manfred</v>
          </cell>
          <cell r="C188" t="str">
            <v>Produktion</v>
          </cell>
          <cell r="D188" t="str">
            <v>LE</v>
          </cell>
        </row>
        <row r="189">
          <cell r="A189" t="str">
            <v>Schneider</v>
          </cell>
          <cell r="B189" t="str">
            <v>Renate</v>
          </cell>
          <cell r="C189" t="str">
            <v>Produktion</v>
          </cell>
          <cell r="D189" t="str">
            <v>GE</v>
          </cell>
        </row>
        <row r="190">
          <cell r="A190" t="str">
            <v>Schneider</v>
          </cell>
          <cell r="B190" t="str">
            <v>Johann</v>
          </cell>
          <cell r="C190" t="str">
            <v>Produktion</v>
          </cell>
          <cell r="D190" t="str">
            <v>LE</v>
          </cell>
        </row>
        <row r="191">
          <cell r="A191" t="str">
            <v>Schötz</v>
          </cell>
          <cell r="B191" t="str">
            <v>Serafino</v>
          </cell>
          <cell r="C191" t="str">
            <v>Reklamation</v>
          </cell>
          <cell r="D191" t="str">
            <v>LE</v>
          </cell>
        </row>
        <row r="192">
          <cell r="A192" t="str">
            <v>Schraid</v>
          </cell>
          <cell r="B192" t="str">
            <v>Tahir</v>
          </cell>
          <cell r="C192" t="str">
            <v>Controlling</v>
          </cell>
          <cell r="D192" t="str">
            <v>LE</v>
          </cell>
        </row>
        <row r="193">
          <cell r="A193" t="str">
            <v>Schuldt</v>
          </cell>
          <cell r="B193" t="str">
            <v>Michael</v>
          </cell>
          <cell r="C193" t="str">
            <v>EDV-Betreuung</v>
          </cell>
          <cell r="D193" t="str">
            <v>LE</v>
          </cell>
        </row>
        <row r="194">
          <cell r="A194" t="str">
            <v>Schulz</v>
          </cell>
          <cell r="B194" t="str">
            <v>Johann</v>
          </cell>
          <cell r="C194" t="str">
            <v>Marketing</v>
          </cell>
          <cell r="D194" t="str">
            <v>LE</v>
          </cell>
        </row>
        <row r="195">
          <cell r="A195" t="str">
            <v>Schulz</v>
          </cell>
          <cell r="B195" t="str">
            <v>Karl</v>
          </cell>
          <cell r="C195" t="str">
            <v>EDV-Betreuung</v>
          </cell>
          <cell r="D195" t="str">
            <v>LE</v>
          </cell>
        </row>
        <row r="196">
          <cell r="A196" t="str">
            <v>Schurig</v>
          </cell>
          <cell r="B196" t="str">
            <v>Reinhold</v>
          </cell>
          <cell r="C196" t="str">
            <v>Produktion</v>
          </cell>
          <cell r="D196" t="str">
            <v>LE</v>
          </cell>
        </row>
        <row r="197">
          <cell r="A197" t="str">
            <v>Schwäger</v>
          </cell>
          <cell r="B197" t="str">
            <v>Johann</v>
          </cell>
          <cell r="C197" t="str">
            <v>Entwicklung</v>
          </cell>
          <cell r="D197" t="str">
            <v>LE</v>
          </cell>
        </row>
        <row r="198">
          <cell r="A198" t="str">
            <v>Seidl</v>
          </cell>
          <cell r="B198" t="str">
            <v>Meta</v>
          </cell>
          <cell r="C198" t="str">
            <v>Produktion</v>
          </cell>
          <cell r="D198" t="str">
            <v>GE</v>
          </cell>
        </row>
        <row r="199">
          <cell r="A199" t="str">
            <v>Seitz</v>
          </cell>
          <cell r="B199" t="str">
            <v>Josef</v>
          </cell>
          <cell r="C199" t="str">
            <v>EDV-Betreuung</v>
          </cell>
          <cell r="D199" t="str">
            <v>GE</v>
          </cell>
        </row>
        <row r="200">
          <cell r="A200" t="str">
            <v>Seitz</v>
          </cell>
          <cell r="B200" t="str">
            <v>Theresia</v>
          </cell>
          <cell r="C200" t="str">
            <v>Produktion</v>
          </cell>
          <cell r="D200" t="str">
            <v>GE</v>
          </cell>
        </row>
        <row r="201">
          <cell r="A201" t="str">
            <v>Seitz</v>
          </cell>
          <cell r="B201" t="str">
            <v>Sabine</v>
          </cell>
          <cell r="C201" t="str">
            <v>Produktion</v>
          </cell>
          <cell r="D201" t="str">
            <v>GE</v>
          </cell>
        </row>
        <row r="202">
          <cell r="A202" t="str">
            <v>Serino</v>
          </cell>
          <cell r="B202" t="str">
            <v>Marta</v>
          </cell>
          <cell r="C202" t="str">
            <v>Produktion</v>
          </cell>
          <cell r="D202" t="str">
            <v>GE</v>
          </cell>
        </row>
        <row r="203">
          <cell r="A203" t="str">
            <v>Sertatas</v>
          </cell>
          <cell r="B203" t="str">
            <v>Wendelin</v>
          </cell>
          <cell r="C203" t="str">
            <v>Produktion</v>
          </cell>
          <cell r="D203" t="str">
            <v>GE</v>
          </cell>
        </row>
        <row r="204">
          <cell r="A204" t="str">
            <v>Sigel</v>
          </cell>
          <cell r="B204" t="str">
            <v>Peter</v>
          </cell>
          <cell r="C204" t="str">
            <v>Produktion</v>
          </cell>
          <cell r="D204" t="str">
            <v>GE</v>
          </cell>
        </row>
        <row r="205">
          <cell r="A205" t="str">
            <v>Simbeck</v>
          </cell>
          <cell r="B205" t="str">
            <v>Jürgen</v>
          </cell>
          <cell r="C205" t="str">
            <v>Verkauf</v>
          </cell>
          <cell r="D205" t="str">
            <v>GE</v>
          </cell>
        </row>
        <row r="206">
          <cell r="A206" t="str">
            <v>Sokoll</v>
          </cell>
          <cell r="B206" t="str">
            <v>Ulrich</v>
          </cell>
          <cell r="C206" t="str">
            <v>Entwicklung</v>
          </cell>
          <cell r="D206" t="str">
            <v>GE</v>
          </cell>
        </row>
        <row r="207">
          <cell r="A207" t="str">
            <v>Spang</v>
          </cell>
          <cell r="B207" t="str">
            <v>Manuel</v>
          </cell>
          <cell r="C207" t="str">
            <v>Finanzbuchhaltung</v>
          </cell>
          <cell r="D207" t="str">
            <v>LE</v>
          </cell>
        </row>
        <row r="208">
          <cell r="A208" t="str">
            <v>Spannbauer</v>
          </cell>
          <cell r="B208" t="str">
            <v>Jeanette</v>
          </cell>
          <cell r="C208" t="str">
            <v>Produktion</v>
          </cell>
          <cell r="D208" t="str">
            <v>LE</v>
          </cell>
        </row>
        <row r="209">
          <cell r="A209" t="str">
            <v>Spindlböck</v>
          </cell>
          <cell r="B209" t="str">
            <v>Peter</v>
          </cell>
          <cell r="C209" t="str">
            <v>EDV-Betreuung</v>
          </cell>
          <cell r="D209" t="str">
            <v>LE</v>
          </cell>
        </row>
        <row r="210">
          <cell r="A210" t="str">
            <v>Spitzenberger</v>
          </cell>
          <cell r="B210" t="str">
            <v>Peter</v>
          </cell>
          <cell r="C210" t="str">
            <v>Finanzbuchhaltung</v>
          </cell>
          <cell r="D210" t="str">
            <v>LE</v>
          </cell>
        </row>
        <row r="211">
          <cell r="A211" t="str">
            <v>Stehr</v>
          </cell>
          <cell r="B211" t="str">
            <v>Josef</v>
          </cell>
          <cell r="C211" t="str">
            <v>Service</v>
          </cell>
          <cell r="D211" t="str">
            <v>LE</v>
          </cell>
        </row>
        <row r="212">
          <cell r="A212" t="str">
            <v>Stephan</v>
          </cell>
          <cell r="B212" t="str">
            <v>Wolfgang</v>
          </cell>
          <cell r="C212" t="str">
            <v>Produktion</v>
          </cell>
          <cell r="D212" t="str">
            <v>LE</v>
          </cell>
        </row>
        <row r="213">
          <cell r="A213" t="str">
            <v>Straßl</v>
          </cell>
          <cell r="B213" t="str">
            <v>Ella</v>
          </cell>
          <cell r="C213" t="str">
            <v>Controlling</v>
          </cell>
          <cell r="D213" t="str">
            <v>LE</v>
          </cell>
        </row>
        <row r="214">
          <cell r="A214" t="str">
            <v>Stritzelberger</v>
          </cell>
          <cell r="B214" t="str">
            <v>Kreszenz</v>
          </cell>
          <cell r="C214" t="str">
            <v>EDV-Betreuung</v>
          </cell>
          <cell r="D214" t="str">
            <v>GE</v>
          </cell>
        </row>
        <row r="215">
          <cell r="A215" t="str">
            <v>Svezia</v>
          </cell>
          <cell r="B215" t="str">
            <v>Ernst</v>
          </cell>
          <cell r="C215" t="str">
            <v>Marketing</v>
          </cell>
          <cell r="D215" t="str">
            <v>LE</v>
          </cell>
        </row>
        <row r="216">
          <cell r="A216" t="str">
            <v>Tagscherer</v>
          </cell>
          <cell r="B216" t="str">
            <v>Elfriede</v>
          </cell>
          <cell r="C216" t="str">
            <v>Finanzbuchhaltung</v>
          </cell>
          <cell r="D216" t="str">
            <v>LE</v>
          </cell>
        </row>
        <row r="217">
          <cell r="A217" t="str">
            <v>Thamm</v>
          </cell>
          <cell r="B217" t="str">
            <v>Erwin</v>
          </cell>
          <cell r="C217" t="str">
            <v>Finanzbuchhaltung</v>
          </cell>
          <cell r="D217" t="str">
            <v>LE</v>
          </cell>
        </row>
        <row r="218">
          <cell r="A218" t="str">
            <v>Tonn</v>
          </cell>
          <cell r="B218" t="str">
            <v>Bernhard</v>
          </cell>
          <cell r="C218" t="str">
            <v>Produktion</v>
          </cell>
          <cell r="D218" t="str">
            <v>LE</v>
          </cell>
        </row>
        <row r="219">
          <cell r="A219" t="str">
            <v>Tremmel</v>
          </cell>
          <cell r="B219" t="str">
            <v>Ewald</v>
          </cell>
          <cell r="C219" t="str">
            <v>Reklamation</v>
          </cell>
          <cell r="D219" t="str">
            <v>LE</v>
          </cell>
        </row>
        <row r="220">
          <cell r="A220" t="str">
            <v>Truckenmüller</v>
          </cell>
          <cell r="B220" t="str">
            <v>Erwin</v>
          </cell>
          <cell r="C220" t="str">
            <v>Produktion</v>
          </cell>
          <cell r="D220" t="str">
            <v>LE</v>
          </cell>
        </row>
        <row r="221">
          <cell r="A221" t="str">
            <v>Trumme</v>
          </cell>
          <cell r="B221" t="str">
            <v>Alfred</v>
          </cell>
          <cell r="C221" t="str">
            <v>Produktion</v>
          </cell>
          <cell r="D221" t="str">
            <v>LE</v>
          </cell>
        </row>
        <row r="222">
          <cell r="A222" t="str">
            <v>Turcan</v>
          </cell>
          <cell r="B222" t="str">
            <v>Eugen</v>
          </cell>
          <cell r="C222" t="str">
            <v>Reklamation</v>
          </cell>
          <cell r="D222" t="str">
            <v>GE</v>
          </cell>
        </row>
        <row r="223">
          <cell r="A223" t="str">
            <v>Varlas</v>
          </cell>
          <cell r="B223" t="str">
            <v>Adolf</v>
          </cell>
          <cell r="C223" t="str">
            <v>EDV-Betreuung</v>
          </cell>
          <cell r="D223" t="str">
            <v>GE</v>
          </cell>
        </row>
        <row r="224">
          <cell r="A224" t="str">
            <v>Vasica</v>
          </cell>
          <cell r="B224" t="str">
            <v>Erika</v>
          </cell>
          <cell r="C224" t="str">
            <v>Entwicklung</v>
          </cell>
          <cell r="D224" t="str">
            <v>GE</v>
          </cell>
        </row>
        <row r="225">
          <cell r="A225" t="str">
            <v>Vatiero</v>
          </cell>
          <cell r="B225" t="str">
            <v>Eugen</v>
          </cell>
          <cell r="C225" t="str">
            <v>Produktion</v>
          </cell>
          <cell r="D225" t="str">
            <v>GE</v>
          </cell>
        </row>
        <row r="226">
          <cell r="A226" t="str">
            <v>Wacker</v>
          </cell>
          <cell r="B226" t="str">
            <v>Erika</v>
          </cell>
          <cell r="C226" t="str">
            <v>Produktion</v>
          </cell>
          <cell r="D226" t="str">
            <v>GE</v>
          </cell>
        </row>
        <row r="227">
          <cell r="A227" t="str">
            <v>Walzel</v>
          </cell>
          <cell r="B227" t="str">
            <v>Fritz</v>
          </cell>
          <cell r="C227" t="str">
            <v>Reklamation</v>
          </cell>
          <cell r="D227" t="str">
            <v>GE</v>
          </cell>
        </row>
        <row r="228">
          <cell r="A228" t="str">
            <v>Weber</v>
          </cell>
          <cell r="B228" t="str">
            <v>Ewald</v>
          </cell>
          <cell r="C228" t="str">
            <v>Produktion</v>
          </cell>
          <cell r="D228" t="str">
            <v>GE</v>
          </cell>
        </row>
        <row r="229">
          <cell r="A229" t="str">
            <v>Weigl</v>
          </cell>
          <cell r="B229" t="str">
            <v>Franz</v>
          </cell>
          <cell r="C229" t="str">
            <v>EDV-Betreuung</v>
          </cell>
          <cell r="D229" t="str">
            <v>GE</v>
          </cell>
        </row>
        <row r="230">
          <cell r="A230" t="str">
            <v>Weik</v>
          </cell>
          <cell r="B230" t="str">
            <v>Hans</v>
          </cell>
          <cell r="C230" t="str">
            <v>EDV-Betreuung</v>
          </cell>
          <cell r="D230" t="str">
            <v>GE</v>
          </cell>
        </row>
        <row r="231">
          <cell r="A231" t="str">
            <v>Weinfurter</v>
          </cell>
          <cell r="B231" t="str">
            <v>Albert</v>
          </cell>
          <cell r="C231" t="str">
            <v>Marketing</v>
          </cell>
          <cell r="D231" t="str">
            <v>LE</v>
          </cell>
        </row>
        <row r="232">
          <cell r="A232" t="str">
            <v>Weinmann</v>
          </cell>
          <cell r="B232" t="str">
            <v>Charlotte</v>
          </cell>
          <cell r="C232" t="str">
            <v>EDV-Betreuung</v>
          </cell>
          <cell r="D232" t="str">
            <v>LE</v>
          </cell>
        </row>
        <row r="233">
          <cell r="A233" t="str">
            <v>Weishäupl</v>
          </cell>
          <cell r="B233" t="str">
            <v>Ernst</v>
          </cell>
          <cell r="C233" t="str">
            <v>Controlling</v>
          </cell>
          <cell r="D233" t="str">
            <v>LE</v>
          </cell>
        </row>
        <row r="234">
          <cell r="A234" t="str">
            <v>Weißbeck</v>
          </cell>
          <cell r="B234" t="str">
            <v>Eugenie</v>
          </cell>
          <cell r="C234" t="str">
            <v>Produktion</v>
          </cell>
          <cell r="D234" t="str">
            <v>LE</v>
          </cell>
        </row>
        <row r="235">
          <cell r="A235" t="str">
            <v>Wenger</v>
          </cell>
          <cell r="B235" t="str">
            <v>Elma</v>
          </cell>
          <cell r="C235" t="str">
            <v>Service</v>
          </cell>
          <cell r="D235" t="str">
            <v>LE</v>
          </cell>
        </row>
        <row r="236">
          <cell r="A236" t="str">
            <v>Wenger</v>
          </cell>
          <cell r="B236" t="str">
            <v>Filippo</v>
          </cell>
          <cell r="C236" t="str">
            <v>EDV-Betreuung</v>
          </cell>
          <cell r="D236" t="str">
            <v>LE</v>
          </cell>
        </row>
        <row r="237">
          <cell r="A237" t="str">
            <v>Wild</v>
          </cell>
          <cell r="B237" t="str">
            <v>Georgios</v>
          </cell>
          <cell r="C237" t="str">
            <v>Finanzbuchhaltung</v>
          </cell>
          <cell r="D237" t="str">
            <v>LE</v>
          </cell>
        </row>
        <row r="238">
          <cell r="A238" t="str">
            <v>Wildermuth</v>
          </cell>
          <cell r="B238" t="str">
            <v>Harald</v>
          </cell>
          <cell r="C238" t="str">
            <v>Controlling</v>
          </cell>
          <cell r="D238" t="str">
            <v>GE</v>
          </cell>
        </row>
        <row r="239">
          <cell r="A239" t="str">
            <v>Wilhelm</v>
          </cell>
          <cell r="B239" t="str">
            <v>Hedwig</v>
          </cell>
          <cell r="C239" t="str">
            <v>EDV-Betreuung</v>
          </cell>
          <cell r="D239" t="str">
            <v>LE</v>
          </cell>
        </row>
        <row r="240">
          <cell r="A240" t="str">
            <v>Wolf</v>
          </cell>
          <cell r="B240" t="str">
            <v>Helmut</v>
          </cell>
          <cell r="C240" t="str">
            <v>Service</v>
          </cell>
          <cell r="D240" t="str">
            <v>LE</v>
          </cell>
        </row>
        <row r="241">
          <cell r="A241" t="str">
            <v>Wolpert</v>
          </cell>
          <cell r="B241" t="str">
            <v>Herbert</v>
          </cell>
          <cell r="C241" t="str">
            <v>Produktion</v>
          </cell>
          <cell r="D241" t="str">
            <v>LE</v>
          </cell>
        </row>
        <row r="242">
          <cell r="A242" t="str">
            <v>Zettwoch</v>
          </cell>
          <cell r="B242" t="str">
            <v>Franz</v>
          </cell>
          <cell r="C242" t="str">
            <v>EDV-Betreuung</v>
          </cell>
          <cell r="D242" t="str">
            <v>LE</v>
          </cell>
        </row>
        <row r="243">
          <cell r="A243" t="str">
            <v>Zöllmann</v>
          </cell>
          <cell r="B243" t="str">
            <v>Gabi</v>
          </cell>
          <cell r="C243" t="str">
            <v>Reklamation</v>
          </cell>
          <cell r="D243" t="str">
            <v>LE</v>
          </cell>
        </row>
        <row r="244">
          <cell r="A244" t="str">
            <v>Zupan</v>
          </cell>
          <cell r="B244" t="str">
            <v>Gerd</v>
          </cell>
          <cell r="C244" t="str">
            <v>Produktion</v>
          </cell>
          <cell r="D244" t="str">
            <v>LE</v>
          </cell>
        </row>
      </sheetData>
      <sheetData sheetId="3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KPIs" displayName="tblKPIs" ref="B4:AJ525" totalsRowShown="0">
  <autoFilter ref="B4:AJ525" xr:uid="{00000000-0009-0000-0100-000001000000}"/>
  <sortState xmlns:xlrd2="http://schemas.microsoft.com/office/spreadsheetml/2017/richdata2" ref="B5:P3087">
    <sortCondition ref="B4:B3087"/>
  </sortState>
  <tableColumns count="35">
    <tableColumn id="1" xr3:uid="{00000000-0010-0000-0000-000001000000}" name="No." dataDxfId="38"/>
    <tableColumn id="2" xr3:uid="{00000000-0010-0000-0000-000002000000}" name="Products"/>
    <tableColumn id="3" xr3:uid="{00000000-0010-0000-0000-000003000000}" name="OEE" dataDxfId="37" dataCellStyle="Standard 2 2"/>
    <tableColumn id="4" xr3:uid="{00000000-0010-0000-0000-000004000000}" name="Availability"/>
    <tableColumn id="5" xr3:uid="{00000000-0010-0000-0000-000005000000}" name="Performance" dataDxfId="36"/>
    <tableColumn id="6" xr3:uid="{00000000-0010-0000-0000-000006000000}" name="Quality"/>
    <tableColumn id="20" xr3:uid="{00000000-0010-0000-0000-000014000000}" name="Labour Productivity" dataDxfId="35" dataCellStyle="Standard 2 2"/>
    <tableColumn id="7" xr3:uid="{00000000-0010-0000-0000-000007000000}" name="Yield"/>
    <tableColumn id="14" xr3:uid="{00000000-0010-0000-0000-00000E000000}" name="Share Of Frozen Meat"/>
    <tableColumn id="19" xr3:uid="{00000000-0010-0000-0000-000013000000}" name="Throughput in 10kg/ hour" dataDxfId="34" dataCellStyle="Standard 2 2">
      <calculatedColumnFormula>IF(BB5="","",+BB5/10)</calculatedColumnFormula>
    </tableColumn>
    <tableColumn id="18" xr3:uid="{00000000-0010-0000-0000-000012000000}" name="No of Line Workers per Hour" dataDxfId="33" dataCellStyle="Standard 2 2"/>
    <tableColumn id="17" xr3:uid="{00000000-0010-0000-0000-000011000000}" name="Regrind" dataDxfId="32" dataCellStyle="Standard 2 2"/>
    <tableColumn id="16" xr3:uid="{00000000-0010-0000-0000-000010000000}" name="Carry Over" dataDxfId="31" dataCellStyle="Standard 2 2"/>
    <tableColumn id="26" xr3:uid="{00000000-0010-0000-0000-00001A000000}" name="Fat Content" dataDxfId="30" dataCellStyle="Standard 2 2"/>
    <tableColumn id="27" xr3:uid="{00000000-0010-0000-0000-00001B000000}" name="Production Start Date" dataDxfId="29" dataCellStyle="Standard 2 2"/>
    <tableColumn id="35" xr3:uid="{00000000-0010-0000-0000-000023000000}" name="Total Down Times" dataDxfId="28" dataCellStyle="Standard 2 2"/>
    <tableColumn id="8" xr3:uid="{00000000-0010-0000-0000-000008000000}" name="t OEE" dataDxfId="27"/>
    <tableColumn id="9" xr3:uid="{00000000-0010-0000-0000-000009000000}" name="t Availability" dataDxfId="26"/>
    <tableColumn id="10" xr3:uid="{00000000-0010-0000-0000-00000A000000}" name="t Performance" dataDxfId="25"/>
    <tableColumn id="11" xr3:uid="{00000000-0010-0000-0000-00000B000000}" name="t Quality" dataDxfId="24"/>
    <tableColumn id="12" xr3:uid="{00000000-0010-0000-0000-00000C000000}" name="t Labour Productivity" dataDxfId="23" dataCellStyle="Standard 2 2"/>
    <tableColumn id="13" xr3:uid="{00000000-0010-0000-0000-00000D000000}" name="t Yield" dataDxfId="22"/>
    <tableColumn id="25" xr3:uid="{00000000-0010-0000-0000-000019000000}" name="t Share Of Frozen Meat" dataDxfId="21"/>
    <tableColumn id="24" xr3:uid="{00000000-0010-0000-0000-000018000000}" name="t Throughput in 10 kg/ hour" dataDxfId="20">
      <calculatedColumnFormula>IF(BC5="","",+BC5/10)</calculatedColumnFormula>
    </tableColumn>
    <tableColumn id="23" xr3:uid="{00000000-0010-0000-0000-000017000000}" name="t No of Line Workers per Hour" dataDxfId="19"/>
    <tableColumn id="22" xr3:uid="{00000000-0010-0000-0000-000016000000}" name="t Regrind" dataDxfId="18"/>
    <tableColumn id="21" xr3:uid="{00000000-0010-0000-0000-000015000000}" name="Carry Over12" dataDxfId="17"/>
    <tableColumn id="15" xr3:uid="{00000000-0010-0000-0000-00000F000000}" name="Fat Content13" dataDxfId="16"/>
    <tableColumn id="28" xr3:uid="{00000000-0010-0000-0000-00001C000000}" name="KW" dataDxfId="15">
      <calculatedColumnFormula>WEEKNUM(tblKPIs[[#This Row],[Production Start Date]])</calculatedColumnFormula>
    </tableColumn>
    <tableColumn id="29" xr3:uid="{00000000-0010-0000-0000-00001D000000}" name="Total Down Time: Production" dataDxfId="14"/>
    <tableColumn id="30" xr3:uid="{00000000-0010-0000-0000-00001E000000}" name="Total Down Time: Machine Set up" dataDxfId="13"/>
    <tableColumn id="31" xr3:uid="{00000000-0010-0000-0000-00001F000000}" name="Total Down Time: Cleaning" dataDxfId="12"/>
    <tableColumn id="32" xr3:uid="{00000000-0010-0000-0000-000020000000}" name="Total Down Time: Freezer" dataDxfId="11"/>
    <tableColumn id="33" xr3:uid="{00000000-0010-0000-0000-000021000000}" name="Total Down Time: Engineering" dataDxfId="10"/>
    <tableColumn id="34" xr3:uid="{00000000-0010-0000-0000-000022000000}" name="Datefilter" dataDxfId="9"/>
  </tableColumns>
  <tableStyleInfo name="TableStyleMedium10"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23" Type="http://schemas.openxmlformats.org/officeDocument/2006/relationships/ctrlProp" Target="../ctrlProps/ctrlProp18.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256"/>
  <sheetViews>
    <sheetView showGridLines="0" zoomScale="90" zoomScaleNormal="90" workbookViewId="0">
      <selection activeCell="W214" sqref="W214"/>
    </sheetView>
  </sheetViews>
  <sheetFormatPr baseColWidth="10" defaultColWidth="9.1796875" defaultRowHeight="14.5" x14ac:dyDescent="0.35"/>
  <cols>
    <col min="1" max="1" width="4.54296875" customWidth="1"/>
    <col min="2" max="2" width="3.453125" customWidth="1"/>
    <col min="3" max="3" width="27.54296875" customWidth="1"/>
    <col min="4" max="4" width="12.26953125" customWidth="1"/>
    <col min="5" max="5" width="11.81640625" customWidth="1"/>
    <col min="6" max="6" width="17.26953125" customWidth="1"/>
    <col min="7" max="7" width="6.1796875" customWidth="1"/>
    <col min="8" max="8" width="7.7265625" customWidth="1"/>
    <col min="9" max="9" width="20.7265625" customWidth="1"/>
    <col min="10" max="10" width="2.7265625" customWidth="1"/>
    <col min="11" max="11" width="10.54296875" bestFit="1" customWidth="1"/>
    <col min="12" max="12" width="17.1796875" customWidth="1"/>
    <col min="13" max="13" width="4" customWidth="1"/>
    <col min="14" max="14" width="7" bestFit="1" customWidth="1"/>
    <col min="15" max="15" width="21" customWidth="1"/>
    <col min="16" max="16" width="5.81640625" customWidth="1"/>
    <col min="17" max="17" width="9.54296875" bestFit="1" customWidth="1"/>
    <col min="18" max="18" width="16.453125" customWidth="1"/>
    <col min="19" max="19" width="7.26953125" customWidth="1"/>
    <col min="20" max="20" width="7.1796875" bestFit="1" customWidth="1"/>
    <col min="21" max="21" width="11.453125" customWidth="1"/>
    <col min="22" max="22" width="12.54296875" customWidth="1"/>
    <col min="25" max="25" width="5.453125" customWidth="1"/>
    <col min="31" max="31" width="6.1796875" customWidth="1"/>
  </cols>
  <sheetData>
    <row r="1" spans="1:21" s="30" customFormat="1" ht="30.75" customHeight="1" x14ac:dyDescent="0.35">
      <c r="A1" s="37"/>
      <c r="B1" s="209" t="s">
        <v>173</v>
      </c>
      <c r="C1" s="209"/>
      <c r="D1" s="209"/>
      <c r="E1" s="209"/>
      <c r="F1" s="209"/>
      <c r="G1" s="209"/>
      <c r="H1" s="209"/>
      <c r="I1" s="209"/>
      <c r="J1" s="209"/>
      <c r="K1" s="209"/>
      <c r="L1" s="209"/>
      <c r="M1" s="209"/>
      <c r="N1" s="209"/>
      <c r="O1" s="209"/>
      <c r="P1" s="209"/>
      <c r="Q1" s="209"/>
      <c r="R1" s="209"/>
      <c r="S1" s="209"/>
      <c r="T1" s="209"/>
      <c r="U1" s="209"/>
    </row>
    <row r="2" spans="1:21" s="30" customFormat="1" ht="5.25" customHeight="1" x14ac:dyDescent="0.35">
      <c r="A2" s="38"/>
      <c r="B2" s="39"/>
      <c r="C2" s="38"/>
      <c r="D2" s="38"/>
      <c r="E2" s="38"/>
      <c r="F2" s="38"/>
      <c r="G2" s="38"/>
      <c r="H2" s="38"/>
      <c r="I2" s="38"/>
      <c r="J2" s="38"/>
      <c r="K2" s="38"/>
      <c r="L2" s="38"/>
      <c r="M2" s="38"/>
      <c r="N2" s="38"/>
      <c r="O2" s="38"/>
      <c r="P2" s="38"/>
      <c r="Q2" s="38"/>
      <c r="R2" s="38"/>
      <c r="S2" s="38"/>
      <c r="T2" s="38"/>
    </row>
    <row r="3" spans="1:21" ht="13.5" customHeight="1" x14ac:dyDescent="0.35">
      <c r="C3" s="81" t="s">
        <v>93</v>
      </c>
      <c r="D3" s="199" t="str">
        <f>D9</f>
        <v>OEE</v>
      </c>
      <c r="E3" s="199"/>
      <c r="F3" s="199"/>
      <c r="G3" s="203" t="str">
        <f>G9</f>
        <v>Availability</v>
      </c>
      <c r="H3" s="203"/>
      <c r="I3" s="203"/>
      <c r="J3" s="199" t="str">
        <f>J9</f>
        <v>Performance</v>
      </c>
      <c r="K3" s="199"/>
      <c r="L3" s="199"/>
      <c r="M3" s="203" t="str">
        <f>M9</f>
        <v>Quality</v>
      </c>
      <c r="N3" s="203"/>
      <c r="O3" s="203"/>
      <c r="P3" s="203" t="str">
        <f>P9</f>
        <v>Labour Productivity</v>
      </c>
      <c r="Q3" s="203"/>
      <c r="R3" s="203"/>
      <c r="S3" s="216" t="str">
        <f>S9</f>
        <v>Fat Content</v>
      </c>
      <c r="T3" s="216"/>
      <c r="U3" s="216"/>
    </row>
    <row r="4" spans="1:21" ht="52.5" customHeight="1" x14ac:dyDescent="0.35">
      <c r="D4" s="199"/>
      <c r="E4" s="199"/>
      <c r="F4" s="199"/>
      <c r="G4" s="203"/>
      <c r="H4" s="203"/>
      <c r="I4" s="203"/>
      <c r="J4" s="199"/>
      <c r="K4" s="199"/>
      <c r="L4" s="199"/>
      <c r="M4" s="203"/>
      <c r="N4" s="203"/>
      <c r="O4" s="203"/>
      <c r="P4" s="203"/>
      <c r="Q4" s="203"/>
      <c r="R4" s="203"/>
      <c r="S4" s="216"/>
      <c r="T4" s="216"/>
      <c r="U4" s="216"/>
    </row>
    <row r="5" spans="1:21" ht="15" customHeight="1" x14ac:dyDescent="0.35">
      <c r="D5" s="208" t="str">
        <f>calculations!BP10</f>
        <v>Product 22 [120,56]</v>
      </c>
      <c r="E5" s="208"/>
      <c r="F5" s="208"/>
      <c r="G5" s="200" t="str">
        <f>calculations!BQ10</f>
        <v>Product 6 [100,]</v>
      </c>
      <c r="H5" s="200"/>
      <c r="I5" s="200"/>
      <c r="J5" s="200" t="str">
        <f>calculations!BR10</f>
        <v>Product 22 [144,78]</v>
      </c>
      <c r="K5" s="200"/>
      <c r="L5" s="200"/>
      <c r="M5" s="200" t="str">
        <f>calculations!BS10</f>
        <v>Product 9 [100,]</v>
      </c>
      <c r="N5" s="200"/>
      <c r="O5" s="200"/>
      <c r="P5" s="200" t="str">
        <f>calculations!BT10</f>
        <v>Product 3 [364,63]</v>
      </c>
      <c r="Q5" s="200"/>
      <c r="R5" s="200"/>
      <c r="S5" s="200" t="str">
        <f>calculations!CA10</f>
        <v>Product 3 [30,]</v>
      </c>
      <c r="T5" s="200"/>
      <c r="U5" s="200"/>
    </row>
    <row r="6" spans="1:21" x14ac:dyDescent="0.35">
      <c r="B6" s="34"/>
      <c r="C6" s="34"/>
      <c r="D6" s="201" t="str">
        <f>calculations!BP11</f>
        <v>Product 23 [111,01]</v>
      </c>
      <c r="E6" s="201"/>
      <c r="F6" s="201"/>
      <c r="G6" s="201" t="str">
        <f>calculations!BQ11</f>
        <v>Product 6 [100,]</v>
      </c>
      <c r="H6" s="201"/>
      <c r="I6" s="201"/>
      <c r="J6" s="201" t="str">
        <f>calculations!BR11</f>
        <v>Product 23 [126,95]</v>
      </c>
      <c r="K6" s="201"/>
      <c r="L6" s="201"/>
      <c r="M6" s="201" t="str">
        <f>calculations!BS11</f>
        <v>Product 9 [100,]</v>
      </c>
      <c r="N6" s="201"/>
      <c r="O6" s="201"/>
      <c r="P6" s="201" t="str">
        <f>calculations!BT11</f>
        <v>Product 3 [360,36]</v>
      </c>
      <c r="Q6" s="201"/>
      <c r="R6" s="201"/>
      <c r="S6" s="201" t="str">
        <f>calculations!CA11</f>
        <v>Product 13 [30,]</v>
      </c>
      <c r="T6" s="201"/>
      <c r="U6" s="201"/>
    </row>
    <row r="7" spans="1:21" ht="15.75" customHeight="1" x14ac:dyDescent="0.35">
      <c r="B7" s="34"/>
      <c r="C7" s="34"/>
      <c r="D7" s="195" t="str">
        <f>calculations!BP12</f>
        <v>Product 7 [108,33]</v>
      </c>
      <c r="E7" s="195"/>
      <c r="F7" s="195"/>
      <c r="G7" s="195" t="str">
        <f>calculations!BQ12</f>
        <v>Product 5 [100,]</v>
      </c>
      <c r="H7" s="195"/>
      <c r="I7" s="195"/>
      <c r="J7" s="195" t="str">
        <f>calculations!BR12</f>
        <v>Product 7 [118,82]</v>
      </c>
      <c r="K7" s="195"/>
      <c r="L7" s="195"/>
      <c r="M7" s="195" t="str">
        <f>calculations!BS12</f>
        <v>Product 17 [100,]</v>
      </c>
      <c r="N7" s="195"/>
      <c r="O7" s="195"/>
      <c r="P7" s="195" t="str">
        <f>calculations!BT12</f>
        <v>Product 3 [357,92]</v>
      </c>
      <c r="Q7" s="195"/>
      <c r="R7" s="195"/>
      <c r="S7" s="195" t="str">
        <f>calculations!CA12</f>
        <v>Product 3 [30,]</v>
      </c>
      <c r="T7" s="195"/>
      <c r="U7" s="195"/>
    </row>
    <row r="8" spans="1:21" ht="21" customHeight="1" x14ac:dyDescent="0.35">
      <c r="B8" s="35"/>
      <c r="C8" s="35"/>
    </row>
    <row r="9" spans="1:21" x14ac:dyDescent="0.35">
      <c r="B9" s="4"/>
      <c r="C9" s="90" t="s">
        <v>125</v>
      </c>
      <c r="D9" s="196" t="str">
        <f>Data!D4</f>
        <v>OEE</v>
      </c>
      <c r="E9" s="197"/>
      <c r="F9" s="198"/>
      <c r="G9" s="205" t="str">
        <f>Data!E4</f>
        <v>Availability</v>
      </c>
      <c r="H9" s="206"/>
      <c r="I9" s="207"/>
      <c r="J9" s="196" t="str">
        <f>Data!F4</f>
        <v>Performance</v>
      </c>
      <c r="K9" s="197"/>
      <c r="L9" s="198"/>
      <c r="M9" s="196" t="str">
        <f>Data!G4</f>
        <v>Quality</v>
      </c>
      <c r="N9" s="197"/>
      <c r="O9" s="198"/>
      <c r="P9" s="196" t="str">
        <f>Data!H4</f>
        <v>Labour Productivity</v>
      </c>
      <c r="Q9" s="197"/>
      <c r="R9" s="198"/>
      <c r="S9" s="196" t="str">
        <f>+Data!O4</f>
        <v>Fat Content</v>
      </c>
      <c r="T9" s="197"/>
      <c r="U9" s="198"/>
    </row>
    <row r="10" spans="1:21" x14ac:dyDescent="0.35">
      <c r="B10" s="4">
        <f>ROWS($B$10:B10)</f>
        <v>1</v>
      </c>
      <c r="C10" s="4" t="str">
        <f>calculations!C6</f>
        <v>Product 9</v>
      </c>
      <c r="D10" s="27" t="str">
        <f>calculations!AP6</f>
        <v/>
      </c>
      <c r="E10" s="163">
        <f>calculations!D6</f>
        <v>38.290598290598297</v>
      </c>
      <c r="F10" s="19"/>
      <c r="G10" s="27" t="str">
        <f>calculations!AQ6</f>
        <v/>
      </c>
      <c r="H10" s="92">
        <f>calculations!E6</f>
        <v>53.846153846153854</v>
      </c>
      <c r="I10" s="19"/>
      <c r="J10" s="27" t="str">
        <f>calculations!AR6</f>
        <v/>
      </c>
      <c r="K10" s="163">
        <f>calculations!F6</f>
        <v>71.111111111111114</v>
      </c>
      <c r="L10" s="20"/>
      <c r="M10" s="27">
        <f>calculations!AS6</f>
        <v>2</v>
      </c>
      <c r="N10" s="92">
        <f>calculations!G6</f>
        <v>100</v>
      </c>
      <c r="O10" s="19"/>
      <c r="P10" s="27" t="str">
        <f>calculations!AT6</f>
        <v/>
      </c>
      <c r="Q10" s="92">
        <f>calculations!H6</f>
        <v>103.38461538461539</v>
      </c>
      <c r="R10" s="19"/>
      <c r="S10" s="27" t="str">
        <f>calculations!BA6</f>
        <v/>
      </c>
      <c r="T10" s="92">
        <f>calculations!O6</f>
        <v>18</v>
      </c>
      <c r="U10" s="19"/>
    </row>
    <row r="11" spans="1:21" x14ac:dyDescent="0.35">
      <c r="B11" s="4">
        <f>ROWS($B$10:B11)</f>
        <v>2</v>
      </c>
      <c r="C11" s="4" t="str">
        <f>calculations!C7</f>
        <v>Product 9</v>
      </c>
      <c r="D11" s="28" t="str">
        <f>calculations!AP7</f>
        <v/>
      </c>
      <c r="E11" s="163">
        <f>calculations!D7</f>
        <v>19.911111111111111</v>
      </c>
      <c r="F11" s="19"/>
      <c r="G11" s="28" t="str">
        <f>calculations!AQ7</f>
        <v/>
      </c>
      <c r="H11" s="92">
        <f>calculations!E7</f>
        <v>76.428571428571416</v>
      </c>
      <c r="I11" s="19"/>
      <c r="J11" s="27" t="str">
        <f>calculations!AR7</f>
        <v/>
      </c>
      <c r="K11" s="163">
        <f>calculations!F7</f>
        <v>26.051921079958461</v>
      </c>
      <c r="L11" s="20"/>
      <c r="M11" s="27">
        <f>calculations!AS7</f>
        <v>2</v>
      </c>
      <c r="N11" s="92">
        <f>calculations!G7</f>
        <v>100</v>
      </c>
      <c r="O11" s="19"/>
      <c r="P11" s="27" t="str">
        <f>calculations!AT7</f>
        <v/>
      </c>
      <c r="Q11" s="92">
        <f>calculations!H7</f>
        <v>53.76</v>
      </c>
      <c r="R11" s="19"/>
      <c r="S11" s="27" t="str">
        <f>calculations!BA7</f>
        <v/>
      </c>
      <c r="T11" s="92">
        <f>calculations!O7</f>
        <v>14</v>
      </c>
      <c r="U11" s="19"/>
    </row>
    <row r="12" spans="1:21" x14ac:dyDescent="0.35">
      <c r="B12" s="4">
        <f>ROWS($B$10:B12)</f>
        <v>3</v>
      </c>
      <c r="C12" s="4" t="str">
        <f>calculations!C8</f>
        <v>Product 17</v>
      </c>
      <c r="D12" s="28" t="str">
        <f>calculations!AP8</f>
        <v/>
      </c>
      <c r="E12" s="163">
        <f>calculations!D8</f>
        <v>49.981671554252202</v>
      </c>
      <c r="F12" s="19"/>
      <c r="G12" s="28" t="str">
        <f>calculations!AQ8</f>
        <v/>
      </c>
      <c r="H12" s="92">
        <f>calculations!E8</f>
        <v>62.903225806451616</v>
      </c>
      <c r="I12" s="19"/>
      <c r="J12" s="27" t="str">
        <f>calculations!AR8</f>
        <v/>
      </c>
      <c r="K12" s="163">
        <f>calculations!F8</f>
        <v>79.45804195804196</v>
      </c>
      <c r="L12" s="20"/>
      <c r="M12" s="27">
        <f>calculations!AS8</f>
        <v>2</v>
      </c>
      <c r="N12" s="92">
        <f>calculations!G8</f>
        <v>100</v>
      </c>
      <c r="O12" s="19"/>
      <c r="P12" s="27" t="str">
        <f>calculations!AT8</f>
        <v/>
      </c>
      <c r="Q12" s="92">
        <f>calculations!H8</f>
        <v>175.93548387096774</v>
      </c>
      <c r="R12" s="19"/>
      <c r="S12" s="27" t="str">
        <f>calculations!BA8</f>
        <v/>
      </c>
      <c r="T12" s="92">
        <f>calculations!O8</f>
        <v>26</v>
      </c>
      <c r="U12" s="19"/>
    </row>
    <row r="13" spans="1:21" x14ac:dyDescent="0.35">
      <c r="B13" s="4">
        <f>ROWS($B$10:B13)</f>
        <v>4</v>
      </c>
      <c r="C13" s="4" t="str">
        <f>calculations!C9</f>
        <v>Product 17</v>
      </c>
      <c r="D13" s="28" t="str">
        <f>calculations!AP9</f>
        <v/>
      </c>
      <c r="E13" s="163">
        <f>calculations!D9</f>
        <v>77.758719268153243</v>
      </c>
      <c r="F13" s="19"/>
      <c r="G13" s="28" t="str">
        <f>calculations!AQ9</f>
        <v/>
      </c>
      <c r="H13" s="92">
        <f>calculations!E9</f>
        <v>81.132075471698116</v>
      </c>
      <c r="I13" s="19"/>
      <c r="J13" s="27" t="str">
        <f>calculations!AR9</f>
        <v/>
      </c>
      <c r="K13" s="163">
        <f>calculations!F9</f>
        <v>95.842142353770271</v>
      </c>
      <c r="L13" s="20"/>
      <c r="M13" s="27">
        <f>calculations!AS9</f>
        <v>2</v>
      </c>
      <c r="N13" s="92">
        <f>calculations!G9</f>
        <v>100</v>
      </c>
      <c r="O13" s="19"/>
      <c r="P13" s="27" t="str">
        <f>calculations!AT9</f>
        <v/>
      </c>
      <c r="Q13" s="92">
        <f>calculations!H9</f>
        <v>256.6037735849057</v>
      </c>
      <c r="R13" s="19"/>
      <c r="S13" s="27" t="str">
        <f>calculations!BA9</f>
        <v/>
      </c>
      <c r="T13" s="92">
        <f>calculations!O9</f>
        <v>19</v>
      </c>
      <c r="U13" s="19"/>
    </row>
    <row r="14" spans="1:21" x14ac:dyDescent="0.35">
      <c r="B14" s="4">
        <f>ROWS($B$10:B14)</f>
        <v>5</v>
      </c>
      <c r="C14" s="4" t="str">
        <f>calculations!C10</f>
        <v>Product 17</v>
      </c>
      <c r="D14" s="28" t="str">
        <f>calculations!AP10</f>
        <v/>
      </c>
      <c r="E14" s="163">
        <f>calculations!D10</f>
        <v>93.314685314685306</v>
      </c>
      <c r="F14" s="19"/>
      <c r="G14" s="28" t="str">
        <f>calculations!AQ10</f>
        <v/>
      </c>
      <c r="H14" s="92">
        <f>calculations!E10</f>
        <v>96.615384615384613</v>
      </c>
      <c r="I14" s="19"/>
      <c r="J14" s="27" t="str">
        <f>calculations!AR10</f>
        <v/>
      </c>
      <c r="K14" s="163">
        <f>calculations!F10</f>
        <v>96.5836711059641</v>
      </c>
      <c r="L14" s="20"/>
      <c r="M14" s="27">
        <f>calculations!AS10</f>
        <v>2</v>
      </c>
      <c r="N14" s="92">
        <f>calculations!G10</f>
        <v>100</v>
      </c>
      <c r="O14" s="19"/>
      <c r="P14" s="27" t="str">
        <f>calculations!AT10</f>
        <v/>
      </c>
      <c r="Q14" s="92">
        <f>calculations!H10</f>
        <v>307.93846153846152</v>
      </c>
      <c r="R14" s="19"/>
      <c r="S14" s="27" t="str">
        <f>calculations!BA10</f>
        <v/>
      </c>
      <c r="T14" s="92">
        <f>calculations!O10</f>
        <v>22</v>
      </c>
      <c r="U14" s="19"/>
    </row>
    <row r="15" spans="1:21" x14ac:dyDescent="0.35">
      <c r="B15" s="4">
        <f>ROWS($B$10:B15)</f>
        <v>6</v>
      </c>
      <c r="C15" s="4" t="str">
        <f>calculations!C11</f>
        <v>Product 10</v>
      </c>
      <c r="D15" s="28" t="str">
        <f>calculations!AP11</f>
        <v/>
      </c>
      <c r="E15" s="163">
        <f>calculations!D11</f>
        <v>74.963096347323571</v>
      </c>
      <c r="F15" s="19"/>
      <c r="G15" s="28" t="str">
        <f>calculations!AQ11</f>
        <v/>
      </c>
      <c r="H15" s="92">
        <f>calculations!E11</f>
        <v>73.913043478260875</v>
      </c>
      <c r="I15" s="19"/>
      <c r="J15" s="27" t="str">
        <f>calculations!AR11</f>
        <v/>
      </c>
      <c r="K15" s="163">
        <f>calculations!F11</f>
        <v>101.42065976402601</v>
      </c>
      <c r="L15" s="20"/>
      <c r="M15" s="27">
        <f>calculations!AS11</f>
        <v>2</v>
      </c>
      <c r="N15" s="92">
        <f>calculations!G11</f>
        <v>100</v>
      </c>
      <c r="O15" s="19"/>
      <c r="P15" s="27" t="str">
        <f>calculations!AT11</f>
        <v/>
      </c>
      <c r="Q15" s="92">
        <f>calculations!H11</f>
        <v>259.43478260869563</v>
      </c>
      <c r="R15" s="19"/>
      <c r="S15" s="27" t="str">
        <f>calculations!BA11</f>
        <v/>
      </c>
      <c r="T15" s="92">
        <f>calculations!O11</f>
        <v>24</v>
      </c>
      <c r="U15" s="19"/>
    </row>
    <row r="16" spans="1:21" x14ac:dyDescent="0.35">
      <c r="B16" s="4">
        <f>ROWS($B$10:B16)</f>
        <v>7</v>
      </c>
      <c r="C16" s="4" t="str">
        <f>calculations!C12</f>
        <v>Product 16</v>
      </c>
      <c r="D16" s="28" t="str">
        <f>calculations!AP12</f>
        <v/>
      </c>
      <c r="E16" s="163">
        <f>calculations!D12</f>
        <v>78.867508518741232</v>
      </c>
      <c r="F16" s="19"/>
      <c r="G16" s="28" t="str">
        <f>calculations!AQ12</f>
        <v/>
      </c>
      <c r="H16" s="92">
        <f>calculations!E12</f>
        <v>85</v>
      </c>
      <c r="I16" s="19"/>
      <c r="J16" s="27" t="str">
        <f>calculations!AR12</f>
        <v/>
      </c>
      <c r="K16" s="163">
        <f>calculations!F12</f>
        <v>92.785304139695569</v>
      </c>
      <c r="L16" s="20"/>
      <c r="M16" s="27">
        <f>calculations!AS12</f>
        <v>2</v>
      </c>
      <c r="N16" s="92">
        <f>calculations!G12</f>
        <v>100</v>
      </c>
      <c r="O16" s="19"/>
      <c r="P16" s="27" t="str">
        <f>calculations!AT12</f>
        <v/>
      </c>
      <c r="Q16" s="92">
        <f>calculations!H12</f>
        <v>218.59444444444443</v>
      </c>
      <c r="R16" s="19"/>
      <c r="S16" s="27" t="str">
        <f>calculations!BA12</f>
        <v/>
      </c>
      <c r="T16" s="92">
        <f>calculations!O12</f>
        <v>21</v>
      </c>
      <c r="U16" s="19"/>
    </row>
    <row r="17" spans="2:22" x14ac:dyDescent="0.35">
      <c r="B17" s="4">
        <f>ROWS($B$10:B17)</f>
        <v>8</v>
      </c>
      <c r="C17" s="4" t="str">
        <f>calculations!C13</f>
        <v>Product 7</v>
      </c>
      <c r="D17" s="28">
        <f>calculations!AP13</f>
        <v>2</v>
      </c>
      <c r="E17" s="163">
        <f>calculations!D13</f>
        <v>108.33333333333333</v>
      </c>
      <c r="F17" s="19"/>
      <c r="G17" s="28" t="str">
        <f>calculations!AQ13</f>
        <v/>
      </c>
      <c r="H17" s="92">
        <f>calculations!E13</f>
        <v>91.17647058823529</v>
      </c>
      <c r="I17" s="19"/>
      <c r="J17" s="27">
        <f>calculations!AR13</f>
        <v>2</v>
      </c>
      <c r="K17" s="163">
        <f>calculations!F13</f>
        <v>118.81720430107525</v>
      </c>
      <c r="L17" s="20"/>
      <c r="M17" s="27">
        <f>calculations!AS13</f>
        <v>2</v>
      </c>
      <c r="N17" s="92">
        <f>calculations!G13</f>
        <v>100</v>
      </c>
      <c r="O17" s="19"/>
      <c r="P17" s="27" t="str">
        <f>calculations!AT13</f>
        <v/>
      </c>
      <c r="Q17" s="92">
        <f>calculations!H13</f>
        <v>253.5</v>
      </c>
      <c r="R17" s="19"/>
      <c r="S17" s="27" t="str">
        <f>calculations!BA13</f>
        <v/>
      </c>
      <c r="T17" s="92">
        <f>calculations!O13</f>
        <v>24</v>
      </c>
      <c r="U17" s="19"/>
    </row>
    <row r="18" spans="2:22" x14ac:dyDescent="0.35">
      <c r="B18" s="4">
        <f>ROWS($B$10:B18)</f>
        <v>9</v>
      </c>
      <c r="C18" s="4" t="str">
        <f>calculations!C14</f>
        <v>Product 10</v>
      </c>
      <c r="D18" s="28" t="str">
        <f>calculations!AP14</f>
        <v/>
      </c>
      <c r="E18" s="163">
        <f>calculations!D14</f>
        <v>71.15544700904681</v>
      </c>
      <c r="F18" s="19"/>
      <c r="G18" s="28" t="str">
        <f>calculations!AQ14</f>
        <v/>
      </c>
      <c r="H18" s="92">
        <f>calculations!E14</f>
        <v>77.142857142857153</v>
      </c>
      <c r="I18" s="19"/>
      <c r="J18" s="27" t="str">
        <f>calculations!AR14</f>
        <v/>
      </c>
      <c r="K18" s="163">
        <f>calculations!F14</f>
        <v>92.238542419134745</v>
      </c>
      <c r="L18" s="20"/>
      <c r="M18" s="27">
        <f>calculations!AS14</f>
        <v>2</v>
      </c>
      <c r="N18" s="92">
        <f>calculations!G14</f>
        <v>100</v>
      </c>
      <c r="O18" s="19"/>
      <c r="P18" s="27" t="str">
        <f>calculations!AT14</f>
        <v/>
      </c>
      <c r="Q18" s="92">
        <f>calculations!H14</f>
        <v>24.625714285714285</v>
      </c>
      <c r="R18" s="19"/>
      <c r="S18" s="27" t="str">
        <f>calculations!BA14</f>
        <v/>
      </c>
      <c r="T18" s="92">
        <f>calculations!O14</f>
        <v>16</v>
      </c>
      <c r="U18" s="19"/>
    </row>
    <row r="19" spans="2:22" x14ac:dyDescent="0.35">
      <c r="B19" s="4">
        <f>ROWS($B$10:B19)</f>
        <v>10</v>
      </c>
      <c r="C19" s="4" t="str">
        <f>calculations!C15</f>
        <v>Product 17</v>
      </c>
      <c r="D19" s="28" t="str">
        <f>calculations!AP15</f>
        <v/>
      </c>
      <c r="E19" s="163">
        <f>calculations!D15</f>
        <v>89.836614997905329</v>
      </c>
      <c r="F19" s="19"/>
      <c r="G19" s="28" t="str">
        <f>calculations!AQ15</f>
        <v/>
      </c>
      <c r="H19" s="92">
        <f>calculations!E15</f>
        <v>93.824884792626733</v>
      </c>
      <c r="I19" s="19"/>
      <c r="J19" s="27" t="str">
        <f>calculations!AR15</f>
        <v/>
      </c>
      <c r="K19" s="163">
        <f>calculations!F15</f>
        <v>95.884681788414611</v>
      </c>
      <c r="L19" s="20"/>
      <c r="M19" s="27">
        <f>calculations!AS15</f>
        <v>2</v>
      </c>
      <c r="N19" s="92">
        <f>calculations!G15</f>
        <v>99.858746099995344</v>
      </c>
      <c r="O19" s="19"/>
      <c r="P19" s="27" t="str">
        <f>calculations!AT15</f>
        <v/>
      </c>
      <c r="Q19" s="92">
        <f>calculations!H15</f>
        <v>296.88018433179724</v>
      </c>
      <c r="R19" s="19"/>
      <c r="S19" s="27" t="str">
        <f>calculations!BA15</f>
        <v/>
      </c>
      <c r="T19" s="92">
        <f>calculations!O15</f>
        <v>22</v>
      </c>
      <c r="U19" s="19"/>
    </row>
    <row r="20" spans="2:22" ht="6" customHeight="1" x14ac:dyDescent="0.35"/>
    <row r="21" spans="2:22" ht="15" customHeight="1" x14ac:dyDescent="0.35">
      <c r="B21" s="79"/>
      <c r="C21" s="79"/>
      <c r="D21" s="79"/>
      <c r="E21" s="79"/>
      <c r="F21" s="79"/>
      <c r="G21" s="79"/>
      <c r="H21" s="79"/>
      <c r="I21" s="79"/>
      <c r="J21" s="79"/>
      <c r="K21" s="79"/>
      <c r="L21" s="79"/>
      <c r="M21" s="79"/>
      <c r="N21" s="79"/>
      <c r="O21" s="79"/>
      <c r="P21" s="79"/>
      <c r="Q21" s="79"/>
      <c r="R21" s="79"/>
      <c r="S21" s="79"/>
      <c r="T21" s="83"/>
      <c r="U21" s="83"/>
      <c r="V21" s="80"/>
    </row>
    <row r="22" spans="2:22" ht="16.5" customHeight="1" x14ac:dyDescent="0.35">
      <c r="B22" s="4"/>
      <c r="C22" s="90" t="str">
        <f>Data!P4</f>
        <v>Production Start Date</v>
      </c>
      <c r="D22" s="210" t="str">
        <f>Data!I4</f>
        <v>Yield</v>
      </c>
      <c r="E22" s="211"/>
      <c r="F22" s="212"/>
      <c r="G22" s="210" t="str">
        <f>+Data!J4</f>
        <v>Share Of Frozen Meat</v>
      </c>
      <c r="H22" s="211"/>
      <c r="I22" s="212"/>
      <c r="J22" s="210" t="str">
        <f>+Data!K4</f>
        <v>Throughput in 10kg/ hour</v>
      </c>
      <c r="K22" s="211"/>
      <c r="L22" s="212"/>
      <c r="M22" s="213" t="s">
        <v>129</v>
      </c>
      <c r="N22" s="214"/>
      <c r="O22" s="215"/>
      <c r="P22" s="210" t="str">
        <f>Data!M4</f>
        <v>Regrind</v>
      </c>
      <c r="Q22" s="211"/>
      <c r="R22" s="212"/>
      <c r="S22" s="210" t="str">
        <f>Data!N4</f>
        <v>Carry Over</v>
      </c>
      <c r="T22" s="211"/>
      <c r="U22" s="211"/>
    </row>
    <row r="23" spans="2:22" ht="16.5" customHeight="1" x14ac:dyDescent="0.35">
      <c r="B23" s="4">
        <v>1</v>
      </c>
      <c r="C23" s="147">
        <f>calculations!P6</f>
        <v>41731</v>
      </c>
      <c r="D23" s="132" t="str">
        <f>calculations!AU6</f>
        <v/>
      </c>
      <c r="E23" s="164">
        <f>calculations!I6</f>
        <v>149.41634241245137</v>
      </c>
      <c r="F23" s="134"/>
      <c r="G23" s="132">
        <f>calculations!AV6</f>
        <v>0</v>
      </c>
      <c r="H23" s="133">
        <f>calculations!J6</f>
        <v>0</v>
      </c>
      <c r="I23" s="133"/>
      <c r="J23" s="142" t="str">
        <f>calculations!AW6</f>
        <v/>
      </c>
      <c r="K23" s="166">
        <f>calculations!K6</f>
        <v>124.06153846153848</v>
      </c>
      <c r="L23" s="79"/>
      <c r="M23" s="143" t="str">
        <f>calculations!AX6</f>
        <v/>
      </c>
      <c r="N23" s="133">
        <f>calculations!L6</f>
        <v>12</v>
      </c>
      <c r="O23" s="134"/>
      <c r="P23" s="132">
        <f>calculations!AY6</f>
        <v>0</v>
      </c>
      <c r="Q23" s="133">
        <f>calculations!M6</f>
        <v>0</v>
      </c>
      <c r="R23" s="133"/>
      <c r="S23" s="144">
        <f>calculations!AZ6</f>
        <v>0</v>
      </c>
      <c r="T23" s="145">
        <f>calculations!N6</f>
        <v>0</v>
      </c>
      <c r="U23" s="146"/>
    </row>
    <row r="24" spans="2:22" ht="16.5" customHeight="1" x14ac:dyDescent="0.35">
      <c r="B24" s="4">
        <v>2</v>
      </c>
      <c r="C24" s="139">
        <f>calculations!P7</f>
        <v>41710</v>
      </c>
      <c r="D24" s="128">
        <f>calculations!AU7</f>
        <v>2</v>
      </c>
      <c r="E24" s="165">
        <f>calculations!I7</f>
        <v>187.69077306733166</v>
      </c>
      <c r="F24" s="129"/>
      <c r="G24" s="142">
        <f>calculations!AV7</f>
        <v>0</v>
      </c>
      <c r="H24">
        <f>calculations!J7</f>
        <v>0</v>
      </c>
      <c r="J24" s="27" t="str">
        <f>calculations!AW7</f>
        <v/>
      </c>
      <c r="K24" s="29">
        <f>calculations!K7</f>
        <v>64.511999999999986</v>
      </c>
      <c r="L24" s="156"/>
      <c r="M24" s="135" t="str">
        <f>calculations!AX7</f>
        <v/>
      </c>
      <c r="N24">
        <f>calculations!L7</f>
        <v>12</v>
      </c>
      <c r="P24" s="135">
        <f>calculations!AY7</f>
        <v>0</v>
      </c>
      <c r="Q24">
        <f>calculations!M7</f>
        <v>0</v>
      </c>
      <c r="S24" s="141">
        <f>calculations!AZ7</f>
        <v>0</v>
      </c>
      <c r="T24">
        <f>calculations!N7</f>
        <v>0</v>
      </c>
    </row>
    <row r="25" spans="2:22" ht="16.5" customHeight="1" x14ac:dyDescent="0.35">
      <c r="B25" s="4">
        <v>3</v>
      </c>
      <c r="C25" s="147">
        <f>calculations!P8</f>
        <v>41704</v>
      </c>
      <c r="D25" s="151" t="str">
        <f>calculations!AU8</f>
        <v/>
      </c>
      <c r="E25" s="164">
        <f>calculations!I8</f>
        <v>164.88051151049777</v>
      </c>
      <c r="F25" s="134"/>
      <c r="G25" s="148" t="str">
        <f>calculations!AV8</f>
        <v/>
      </c>
      <c r="H25" s="145">
        <f>calculations!J8</f>
        <v>71.486617789947886</v>
      </c>
      <c r="I25" s="146"/>
      <c r="J25" s="155" t="str">
        <f>calculations!AW8</f>
        <v/>
      </c>
      <c r="K25" s="131">
        <f>calculations!K8</f>
        <v>211.12258064516126</v>
      </c>
      <c r="L25" s="131"/>
      <c r="M25" s="132" t="str">
        <f>calculations!AX8</f>
        <v/>
      </c>
      <c r="N25" s="133">
        <f>calculations!L8</f>
        <v>12</v>
      </c>
      <c r="O25" s="134"/>
      <c r="P25" s="143">
        <f>calculations!AY8</f>
        <v>0</v>
      </c>
      <c r="Q25" s="133">
        <f>calculations!M8</f>
        <v>0</v>
      </c>
      <c r="R25" s="133"/>
      <c r="S25" s="144">
        <f>calculations!AZ8</f>
        <v>0</v>
      </c>
      <c r="T25" s="145">
        <f>calculations!N8</f>
        <v>0</v>
      </c>
      <c r="U25" s="146"/>
    </row>
    <row r="26" spans="2:22" ht="16.5" customHeight="1" x14ac:dyDescent="0.35">
      <c r="B26" s="4">
        <v>4</v>
      </c>
      <c r="C26" s="139">
        <f>calculations!P9</f>
        <v>41691</v>
      </c>
      <c r="D26" s="150" t="str">
        <f>calculations!AU9</f>
        <v/>
      </c>
      <c r="E26" s="166">
        <f>calculations!I9</f>
        <v>64.786070994736136</v>
      </c>
      <c r="F26" s="130"/>
      <c r="G26" s="142" t="str">
        <f>calculations!AV9</f>
        <v/>
      </c>
      <c r="H26">
        <f>calculations!J9</f>
        <v>50.934220629639107</v>
      </c>
      <c r="J26" s="135" t="str">
        <f>calculations!AW9</f>
        <v/>
      </c>
      <c r="K26">
        <f>calculations!K9</f>
        <v>307.92452830188682</v>
      </c>
      <c r="M26" s="135" t="str">
        <f>calculations!AX9</f>
        <v/>
      </c>
      <c r="N26">
        <f>calculations!L9</f>
        <v>12</v>
      </c>
      <c r="P26" s="135">
        <f>calculations!AY9</f>
        <v>0</v>
      </c>
      <c r="Q26">
        <f>calculations!M9</f>
        <v>0</v>
      </c>
      <c r="S26" s="141">
        <f>calculations!AZ9</f>
        <v>0</v>
      </c>
      <c r="T26">
        <f>calculations!N9</f>
        <v>0</v>
      </c>
    </row>
    <row r="27" spans="2:22" ht="16.5" customHeight="1" x14ac:dyDescent="0.35">
      <c r="B27" s="4">
        <v>5</v>
      </c>
      <c r="C27" s="147">
        <f>calculations!P10</f>
        <v>41661</v>
      </c>
      <c r="D27" s="151" t="str">
        <f>calculations!AU10</f>
        <v/>
      </c>
      <c r="E27" s="164">
        <f>calculations!I10</f>
        <v>100.37107612075017</v>
      </c>
      <c r="F27" s="134"/>
      <c r="G27" s="148">
        <f>calculations!AV10</f>
        <v>2</v>
      </c>
      <c r="H27" s="145">
        <f>calculations!J10</f>
        <v>82.323206003439481</v>
      </c>
      <c r="I27" s="146"/>
      <c r="J27" s="143" t="str">
        <f>calculations!AW10</f>
        <v/>
      </c>
      <c r="K27" s="133">
        <f>calculations!K10</f>
        <v>369.52615384615382</v>
      </c>
      <c r="L27" s="133"/>
      <c r="M27" s="132" t="str">
        <f>calculations!AX10</f>
        <v/>
      </c>
      <c r="N27" s="133">
        <f>calculations!L10</f>
        <v>12</v>
      </c>
      <c r="O27" s="134"/>
      <c r="P27" s="143">
        <f>calculations!AY10</f>
        <v>0</v>
      </c>
      <c r="Q27" s="133">
        <f>calculations!M10</f>
        <v>0</v>
      </c>
      <c r="R27" s="133"/>
      <c r="S27" s="144">
        <f>calculations!AZ10</f>
        <v>0</v>
      </c>
      <c r="T27" s="145">
        <f>calculations!N10</f>
        <v>0</v>
      </c>
      <c r="U27" s="146"/>
    </row>
    <row r="28" spans="2:22" ht="16.5" customHeight="1" x14ac:dyDescent="0.35">
      <c r="B28" s="4">
        <v>6</v>
      </c>
      <c r="C28" s="139">
        <f>calculations!P11</f>
        <v>41659</v>
      </c>
      <c r="D28" s="150" t="str">
        <f>calculations!AU11</f>
        <v/>
      </c>
      <c r="E28" s="166">
        <f>calculations!I11</f>
        <v>113.16568047337279</v>
      </c>
      <c r="F28" s="130"/>
      <c r="G28" s="142">
        <f>calculations!AV11</f>
        <v>0</v>
      </c>
      <c r="H28">
        <f>calculations!J11</f>
        <v>0</v>
      </c>
      <c r="J28" s="135" t="str">
        <f>calculations!AW11</f>
        <v/>
      </c>
      <c r="K28">
        <f>calculations!K11</f>
        <v>311.32173913043482</v>
      </c>
      <c r="M28" s="152" t="str">
        <f>calculations!AX11</f>
        <v/>
      </c>
      <c r="N28">
        <f>calculations!L11</f>
        <v>12</v>
      </c>
      <c r="P28" s="135">
        <f>calculations!AY11</f>
        <v>0</v>
      </c>
      <c r="Q28">
        <f>calculations!M11</f>
        <v>0</v>
      </c>
      <c r="S28" s="141">
        <f>calculations!AZ11</f>
        <v>0</v>
      </c>
      <c r="T28">
        <f>calculations!N11</f>
        <v>0</v>
      </c>
    </row>
    <row r="29" spans="2:22" ht="16.5" customHeight="1" x14ac:dyDescent="0.35">
      <c r="B29" s="4">
        <v>7</v>
      </c>
      <c r="C29" s="147">
        <f>calculations!P12</f>
        <v>41652</v>
      </c>
      <c r="D29" s="151" t="str">
        <f>calculations!AU12</f>
        <v/>
      </c>
      <c r="E29" s="164">
        <f>calculations!I12</f>
        <v>106.82105091693927</v>
      </c>
      <c r="F29" s="133"/>
      <c r="G29" s="144">
        <f>calculations!AV12</f>
        <v>0</v>
      </c>
      <c r="H29" s="145">
        <f>calculations!J12</f>
        <v>0</v>
      </c>
      <c r="I29" s="146"/>
      <c r="J29" s="143" t="str">
        <f>calculations!AW12</f>
        <v/>
      </c>
      <c r="K29" s="133">
        <f>calculations!K12</f>
        <v>262.31333333333333</v>
      </c>
      <c r="L29" s="133"/>
      <c r="M29" s="132" t="str">
        <f>calculations!AX12</f>
        <v/>
      </c>
      <c r="N29" s="133">
        <f>calculations!L12</f>
        <v>12</v>
      </c>
      <c r="O29" s="134"/>
      <c r="P29" s="143">
        <f>calculations!AY12</f>
        <v>0</v>
      </c>
      <c r="Q29" s="133">
        <f>calculations!M12</f>
        <v>0</v>
      </c>
      <c r="R29" s="133"/>
      <c r="S29" s="144">
        <f>calculations!AZ12</f>
        <v>0</v>
      </c>
      <c r="T29" s="145">
        <f>calculations!N12</f>
        <v>0</v>
      </c>
      <c r="U29" s="146"/>
    </row>
    <row r="30" spans="2:22" ht="16.5" customHeight="1" x14ac:dyDescent="0.35">
      <c r="B30" s="4">
        <v>8</v>
      </c>
      <c r="C30" s="139">
        <f>calculations!P13</f>
        <v>41646</v>
      </c>
      <c r="D30" s="150" t="str">
        <f>calculations!AU13</f>
        <v/>
      </c>
      <c r="E30" s="166">
        <f>calculations!I13</f>
        <v>105.71082527174329</v>
      </c>
      <c r="F30" s="130"/>
      <c r="G30" s="142">
        <f>calculations!AV13</f>
        <v>0</v>
      </c>
      <c r="H30">
        <f>calculations!J13</f>
        <v>0</v>
      </c>
      <c r="J30" s="132" t="str">
        <f>calculations!AW13</f>
        <v/>
      </c>
      <c r="K30" s="133">
        <f>calculations!K13</f>
        <v>304.2</v>
      </c>
      <c r="L30" s="134"/>
      <c r="M30" s="142" t="str">
        <f>calculations!AX13</f>
        <v/>
      </c>
      <c r="N30">
        <f>calculations!L13</f>
        <v>12</v>
      </c>
      <c r="P30" s="135">
        <f>calculations!AY13</f>
        <v>0</v>
      </c>
      <c r="Q30">
        <f>calculations!M13</f>
        <v>0</v>
      </c>
      <c r="S30" s="141">
        <f>calculations!AZ13</f>
        <v>0</v>
      </c>
      <c r="T30">
        <f>calculations!N13</f>
        <v>0</v>
      </c>
    </row>
    <row r="31" spans="2:22" ht="16.5" customHeight="1" x14ac:dyDescent="0.35">
      <c r="B31" s="4">
        <v>9</v>
      </c>
      <c r="C31" s="147">
        <f>calculations!P14</f>
        <v>41645</v>
      </c>
      <c r="D31" s="151" t="str">
        <f>calculations!AU14</f>
        <v/>
      </c>
      <c r="E31" s="164">
        <f>calculations!I14</f>
        <v>97.503676609223561</v>
      </c>
      <c r="F31" s="133"/>
      <c r="G31" s="144">
        <f>calculations!AV14</f>
        <v>0</v>
      </c>
      <c r="H31" s="145">
        <f>calculations!J14</f>
        <v>0</v>
      </c>
      <c r="I31" s="146"/>
      <c r="J31" s="142" t="str">
        <f>calculations!AW14</f>
        <v/>
      </c>
      <c r="K31">
        <f>calculations!K14</f>
        <v>295.50857142857137</v>
      </c>
      <c r="M31" s="132" t="str">
        <f>calculations!AX14</f>
        <v/>
      </c>
      <c r="N31" s="133">
        <f>calculations!L14</f>
        <v>12</v>
      </c>
      <c r="O31" s="134"/>
      <c r="P31" s="143">
        <f>calculations!AY14</f>
        <v>0</v>
      </c>
      <c r="Q31" s="133">
        <f>calculations!M14</f>
        <v>0</v>
      </c>
      <c r="R31" s="133"/>
      <c r="S31" s="144">
        <f>calculations!AZ14</f>
        <v>0</v>
      </c>
      <c r="T31" s="145">
        <f>calculations!N14</f>
        <v>0</v>
      </c>
      <c r="U31" s="146"/>
    </row>
    <row r="32" spans="2:22" ht="16.5" customHeight="1" x14ac:dyDescent="0.35">
      <c r="B32" s="4">
        <v>10</v>
      </c>
      <c r="C32" s="139">
        <f>calculations!P15</f>
        <v>41669</v>
      </c>
      <c r="D32" s="149" t="str">
        <f>calculations!AU15</f>
        <v/>
      </c>
      <c r="E32" s="167">
        <f>calculations!I15</f>
        <v>116.33467142673983</v>
      </c>
      <c r="F32" s="131"/>
      <c r="G32" s="144">
        <f>calculations!AV15</f>
        <v>2</v>
      </c>
      <c r="H32" s="145">
        <f>calculations!J15</f>
        <v>78.348494994202085</v>
      </c>
      <c r="I32" s="146"/>
      <c r="J32" s="143" t="str">
        <f>calculations!AW15</f>
        <v/>
      </c>
      <c r="K32" s="133">
        <f>calculations!K15</f>
        <v>356.25622119815671</v>
      </c>
      <c r="L32" s="134"/>
      <c r="M32" s="136" t="str">
        <f>calculations!AX15</f>
        <v/>
      </c>
      <c r="N32">
        <f>calculations!L15</f>
        <v>12</v>
      </c>
      <c r="P32" s="132">
        <f>calculations!AY15</f>
        <v>0</v>
      </c>
      <c r="Q32" s="133">
        <f>calculations!M15</f>
        <v>0</v>
      </c>
      <c r="R32" s="133"/>
      <c r="S32" s="144">
        <f>calculations!AZ15</f>
        <v>0</v>
      </c>
      <c r="T32" s="145">
        <f>calculations!N15</f>
        <v>0</v>
      </c>
      <c r="U32" s="146"/>
    </row>
    <row r="33" spans="2:22" ht="30" customHeight="1" x14ac:dyDescent="0.35">
      <c r="B33" s="21"/>
      <c r="C33" s="29"/>
      <c r="D33" s="29"/>
      <c r="E33" s="29"/>
      <c r="F33" s="29"/>
      <c r="G33" s="29"/>
      <c r="H33" s="29"/>
      <c r="I33" s="29"/>
      <c r="J33" s="29"/>
      <c r="K33" s="29"/>
      <c r="L33" s="29"/>
      <c r="M33" s="29"/>
      <c r="N33" s="29"/>
      <c r="O33" s="29"/>
      <c r="P33" s="29"/>
      <c r="Q33" s="29"/>
      <c r="R33" s="29"/>
      <c r="S33" s="31"/>
      <c r="T33" s="32"/>
      <c r="U33" s="82"/>
      <c r="V33" s="80"/>
    </row>
    <row r="34" spans="2:22" ht="17.25" customHeight="1" x14ac:dyDescent="0.35">
      <c r="B34" s="79"/>
      <c r="C34" s="79"/>
      <c r="D34" s="79"/>
      <c r="E34" s="79"/>
      <c r="F34" s="79"/>
      <c r="G34" s="79"/>
      <c r="H34" s="79"/>
      <c r="I34" s="79"/>
      <c r="J34" s="79"/>
      <c r="K34" s="79"/>
      <c r="L34" s="79"/>
      <c r="M34" s="79"/>
      <c r="N34" s="79"/>
      <c r="O34" s="79"/>
      <c r="P34" s="79"/>
      <c r="Q34" s="79"/>
      <c r="R34" s="79"/>
      <c r="S34" s="83"/>
      <c r="T34" s="83"/>
      <c r="U34" s="80"/>
      <c r="V34" s="80"/>
    </row>
    <row r="35" spans="2:22" ht="38.25" customHeight="1" x14ac:dyDescent="0.35">
      <c r="C35" s="81" t="s">
        <v>93</v>
      </c>
      <c r="D35" s="199" t="str">
        <f>D22</f>
        <v>Yield</v>
      </c>
      <c r="E35" s="199"/>
      <c r="F35" s="199"/>
      <c r="G35" s="199" t="str">
        <f>G22</f>
        <v>Share Of Frozen Meat</v>
      </c>
      <c r="H35" s="199"/>
      <c r="I35" s="199"/>
      <c r="J35" s="199" t="s">
        <v>130</v>
      </c>
      <c r="K35" s="199"/>
      <c r="L35" s="199"/>
      <c r="M35" s="199" t="s">
        <v>128</v>
      </c>
      <c r="N35" s="199"/>
      <c r="O35" s="199"/>
      <c r="P35" s="199" t="str">
        <f>P22</f>
        <v>Regrind</v>
      </c>
      <c r="Q35" s="199"/>
      <c r="R35" s="199"/>
      <c r="S35" s="199" t="str">
        <f>S22</f>
        <v>Carry Over</v>
      </c>
      <c r="T35" s="199"/>
      <c r="U35" s="199"/>
      <c r="V35" s="80"/>
    </row>
    <row r="36" spans="2:22" ht="18" customHeight="1" x14ac:dyDescent="0.35">
      <c r="D36" s="199"/>
      <c r="E36" s="199"/>
      <c r="F36" s="199"/>
      <c r="G36" s="199"/>
      <c r="H36" s="199"/>
      <c r="I36" s="199"/>
      <c r="J36" s="199"/>
      <c r="K36" s="199"/>
      <c r="L36" s="199"/>
      <c r="M36" s="199"/>
      <c r="N36" s="199"/>
      <c r="O36" s="199"/>
      <c r="P36" s="199"/>
      <c r="Q36" s="199"/>
      <c r="R36" s="199"/>
      <c r="S36" s="199"/>
      <c r="T36" s="199"/>
      <c r="U36" s="199"/>
      <c r="V36" s="80"/>
    </row>
    <row r="37" spans="2:22" ht="24.75" customHeight="1" x14ac:dyDescent="0.35">
      <c r="D37" s="200" t="str">
        <f>calculations!BU10</f>
        <v>Product 27 [232,35]</v>
      </c>
      <c r="E37" s="200"/>
      <c r="F37" s="200"/>
      <c r="G37" s="200" t="str">
        <f>calculations!BV10</f>
        <v>Product 5 [100,]</v>
      </c>
      <c r="H37" s="200"/>
      <c r="I37" s="200"/>
      <c r="J37" s="200" t="str">
        <f>calculations!BW10</f>
        <v>Product 3 [437,56]</v>
      </c>
      <c r="K37" s="200"/>
      <c r="L37" s="200"/>
      <c r="M37" s="200" t="str">
        <f>calculations!BX10</f>
        <v>Product 17 [12,]</v>
      </c>
      <c r="N37" s="200"/>
      <c r="O37" s="200"/>
      <c r="P37" s="125"/>
      <c r="Q37" s="125" t="str">
        <f>calculations!BY10</f>
        <v>Product 3 [1,14]</v>
      </c>
      <c r="S37" s="200" t="str">
        <f>calculations!BZ10</f>
        <v>Product 17 [,]</v>
      </c>
      <c r="T37" s="200"/>
      <c r="U37" s="200"/>
      <c r="V37" s="80"/>
    </row>
    <row r="38" spans="2:22" ht="24.75" customHeight="1" x14ac:dyDescent="0.35">
      <c r="B38" s="34"/>
      <c r="C38" s="34"/>
      <c r="D38" s="201" t="str">
        <f>calculations!BU11</f>
        <v>Product 26 [216,72]</v>
      </c>
      <c r="E38" s="201"/>
      <c r="F38" s="201"/>
      <c r="G38" s="201" t="str">
        <f>calculations!BV11</f>
        <v>Product 5 [100,]</v>
      </c>
      <c r="H38" s="201"/>
      <c r="I38" s="201"/>
      <c r="J38" s="201" t="str">
        <f>calculations!BW11</f>
        <v>Product 3 [432,43]</v>
      </c>
      <c r="K38" s="201"/>
      <c r="L38" s="201"/>
      <c r="M38" s="201" t="str">
        <f>calculations!BX11</f>
        <v>Product 3 [12,]</v>
      </c>
      <c r="N38" s="201"/>
      <c r="O38" s="201"/>
      <c r="P38" s="126"/>
      <c r="Q38" s="126" t="str">
        <f>calculations!BY11</f>
        <v>Product 17 [,]</v>
      </c>
      <c r="S38" s="201" t="str">
        <f>calculations!BZ11</f>
        <v>Product 3 [,]</v>
      </c>
      <c r="T38" s="201"/>
      <c r="U38" s="201"/>
      <c r="V38" s="80"/>
    </row>
    <row r="39" spans="2:22" ht="24.75" customHeight="1" x14ac:dyDescent="0.35">
      <c r="B39" s="34"/>
      <c r="C39" s="34"/>
      <c r="D39" s="195" t="str">
        <f>calculations!BU12</f>
        <v>Product 3 [210,64]</v>
      </c>
      <c r="E39" s="195"/>
      <c r="F39" s="195"/>
      <c r="G39" s="195" t="str">
        <f>calculations!BV12</f>
        <v>Product 28 [100,]</v>
      </c>
      <c r="H39" s="195"/>
      <c r="I39" s="195"/>
      <c r="J39" s="195" t="str">
        <f>calculations!BW12</f>
        <v>Product 3 [429,51]</v>
      </c>
      <c r="K39" s="195"/>
      <c r="L39" s="195"/>
      <c r="M39" s="195" t="str">
        <f>calculations!BX12</f>
        <v>Product 3 [12,]</v>
      </c>
      <c r="N39" s="195"/>
      <c r="O39" s="195"/>
      <c r="P39" s="127"/>
      <c r="Q39" s="127" t="str">
        <f>calculations!BY12</f>
        <v>Product 3 [,]</v>
      </c>
      <c r="S39" s="195" t="str">
        <f>calculations!BZ12</f>
        <v>Product 3 [,]</v>
      </c>
      <c r="T39" s="195"/>
      <c r="U39" s="195"/>
      <c r="V39" s="80"/>
    </row>
    <row r="40" spans="2:22" ht="24.75" customHeight="1" x14ac:dyDescent="0.35">
      <c r="B40" s="154"/>
      <c r="C40" s="154"/>
      <c r="F40" s="80"/>
      <c r="S40" s="79"/>
      <c r="T40" s="83"/>
      <c r="U40" s="83"/>
      <c r="V40" s="80"/>
    </row>
    <row r="41" spans="2:22" ht="24.75" customHeight="1" x14ac:dyDescent="0.35">
      <c r="B41" s="79"/>
      <c r="C41" s="79"/>
      <c r="D41" s="79"/>
      <c r="E41" s="79"/>
      <c r="F41" s="79"/>
      <c r="G41" s="79"/>
      <c r="H41" s="79"/>
      <c r="I41" s="79"/>
      <c r="J41" s="79"/>
      <c r="K41" s="79"/>
      <c r="L41" s="79"/>
      <c r="M41" s="79"/>
      <c r="N41" s="79"/>
      <c r="O41" s="79"/>
      <c r="P41" s="79"/>
      <c r="Q41" s="79"/>
      <c r="R41" s="79"/>
      <c r="S41" s="79"/>
      <c r="T41" s="83"/>
      <c r="U41" s="83"/>
      <c r="V41" s="80"/>
    </row>
    <row r="42" spans="2:22" ht="6" customHeight="1" x14ac:dyDescent="0.35">
      <c r="T42" s="80"/>
      <c r="U42" s="80"/>
      <c r="V42" s="80"/>
    </row>
    <row r="43" spans="2:22" x14ac:dyDescent="0.35">
      <c r="D43" s="204"/>
      <c r="E43" s="204"/>
      <c r="F43" s="204"/>
      <c r="G43" s="204"/>
      <c r="L43" s="36" t="s">
        <v>146</v>
      </c>
    </row>
    <row r="44" spans="2:22" ht="6" customHeight="1" x14ac:dyDescent="0.35">
      <c r="D44" s="204"/>
      <c r="E44" s="204"/>
      <c r="F44" s="204"/>
      <c r="G44" s="204"/>
    </row>
    <row r="45" spans="2:22" x14ac:dyDescent="0.35">
      <c r="D45" s="204"/>
      <c r="E45" s="204"/>
      <c r="F45" s="204"/>
      <c r="G45" s="204"/>
    </row>
    <row r="60" spans="1:11" s="79" customFormat="1" x14ac:dyDescent="0.35">
      <c r="A60" s="83"/>
      <c r="B60" s="84"/>
      <c r="C60" s="84"/>
      <c r="D60" s="84"/>
      <c r="E60" s="124"/>
      <c r="F60" s="124"/>
      <c r="G60" s="124"/>
      <c r="H60" s="202"/>
      <c r="I60" s="202"/>
      <c r="J60" s="202"/>
      <c r="K60" s="83"/>
    </row>
    <row r="104" spans="3:3" x14ac:dyDescent="0.35">
      <c r="C104" t="s">
        <v>144</v>
      </c>
    </row>
    <row r="194" hidden="1" x14ac:dyDescent="0.35"/>
    <row r="195" hidden="1" x14ac:dyDescent="0.35"/>
    <row r="196" hidden="1" x14ac:dyDescent="0.35"/>
    <row r="197" hidden="1" x14ac:dyDescent="0.35"/>
    <row r="198" hidden="1" x14ac:dyDescent="0.35"/>
    <row r="199" hidden="1" x14ac:dyDescent="0.35"/>
    <row r="200" hidden="1" x14ac:dyDescent="0.35"/>
    <row r="201" hidden="1" x14ac:dyDescent="0.35"/>
    <row r="202" hidden="1" x14ac:dyDescent="0.35"/>
    <row r="203" hidden="1" x14ac:dyDescent="0.35"/>
    <row r="204" hidden="1" x14ac:dyDescent="0.35"/>
    <row r="209" spans="3:7" x14ac:dyDescent="0.35">
      <c r="D209">
        <v>1</v>
      </c>
      <c r="E209" s="180">
        <v>41640</v>
      </c>
    </row>
    <row r="210" spans="3:7" x14ac:dyDescent="0.35">
      <c r="C210" t="s">
        <v>175</v>
      </c>
      <c r="D210" s="140">
        <v>8</v>
      </c>
      <c r="E210" s="180">
        <v>41922</v>
      </c>
    </row>
    <row r="212" spans="3:7" x14ac:dyDescent="0.35">
      <c r="D212" t="s">
        <v>94</v>
      </c>
      <c r="E212" t="s">
        <v>133</v>
      </c>
      <c r="F212" t="s">
        <v>134</v>
      </c>
      <c r="G212" t="s">
        <v>135</v>
      </c>
    </row>
    <row r="213" spans="3:7" x14ac:dyDescent="0.35">
      <c r="D213" s="15">
        <f>+Data!AK3</f>
        <v>83.580428492225423</v>
      </c>
      <c r="E213" s="15">
        <f>+Data!AL3</f>
        <v>88.344333862186417</v>
      </c>
      <c r="F213" s="15">
        <f>+Data!AM3</f>
        <v>95.849970709703499</v>
      </c>
      <c r="G213" s="15">
        <f>+Data!AN3</f>
        <v>98.300332473914168</v>
      </c>
    </row>
    <row r="215" spans="3:7" x14ac:dyDescent="0.35">
      <c r="D215" t="s">
        <v>94</v>
      </c>
      <c r="E215" t="s">
        <v>133</v>
      </c>
      <c r="F215" t="s">
        <v>134</v>
      </c>
      <c r="G215" t="s">
        <v>135</v>
      </c>
    </row>
    <row r="216" spans="3:7" x14ac:dyDescent="0.35">
      <c r="D216" s="15">
        <f>+Data!AK2</f>
        <v>81.027262145509894</v>
      </c>
      <c r="E216" s="15">
        <f>+Data!AL2</f>
        <v>83.693277979508494</v>
      </c>
      <c r="F216" s="15">
        <f>+Data!AM2</f>
        <v>98.182830877402381</v>
      </c>
      <c r="G216" s="15">
        <f>+Data!AN2</f>
        <v>98.028392897046189</v>
      </c>
    </row>
    <row r="225" spans="4:7" x14ac:dyDescent="0.35">
      <c r="D225" s="15"/>
      <c r="E225" s="15"/>
      <c r="F225" s="15"/>
      <c r="G225" s="15"/>
    </row>
    <row r="232" spans="4:7" x14ac:dyDescent="0.35">
      <c r="D232" s="177"/>
      <c r="E232" s="15"/>
      <c r="F232" s="15"/>
      <c r="G232" s="15"/>
    </row>
    <row r="233" spans="4:7" x14ac:dyDescent="0.35">
      <c r="D233" s="15"/>
      <c r="E233" s="15"/>
      <c r="F233" s="15"/>
      <c r="G233" s="15"/>
    </row>
    <row r="237" spans="4:7" x14ac:dyDescent="0.35">
      <c r="D237" s="15"/>
      <c r="E237" s="15"/>
      <c r="F237" s="15"/>
      <c r="G237" s="15"/>
    </row>
    <row r="245" spans="4:4" x14ac:dyDescent="0.35">
      <c r="D245" s="15"/>
    </row>
    <row r="246" spans="4:4" x14ac:dyDescent="0.35">
      <c r="D246" s="15"/>
    </row>
    <row r="247" spans="4:4" x14ac:dyDescent="0.35">
      <c r="D247" s="15"/>
    </row>
    <row r="248" spans="4:4" x14ac:dyDescent="0.35">
      <c r="D248" s="15"/>
    </row>
    <row r="253" spans="4:4" x14ac:dyDescent="0.35">
      <c r="D253" s="15"/>
    </row>
    <row r="254" spans="4:4" x14ac:dyDescent="0.35">
      <c r="D254" s="15"/>
    </row>
    <row r="255" spans="4:4" x14ac:dyDescent="0.35">
      <c r="D255" s="15"/>
    </row>
    <row r="256" spans="4:4" x14ac:dyDescent="0.35">
      <c r="D256" s="15"/>
    </row>
  </sheetData>
  <sheetProtection selectLockedCells="1"/>
  <mergeCells count="60">
    <mergeCell ref="B1:U1"/>
    <mergeCell ref="D38:F38"/>
    <mergeCell ref="D39:F39"/>
    <mergeCell ref="D35:F36"/>
    <mergeCell ref="D37:F37"/>
    <mergeCell ref="D3:F4"/>
    <mergeCell ref="D22:F22"/>
    <mergeCell ref="G3:I4"/>
    <mergeCell ref="J3:L4"/>
    <mergeCell ref="J37:L37"/>
    <mergeCell ref="S22:U22"/>
    <mergeCell ref="P22:R22"/>
    <mergeCell ref="M22:O22"/>
    <mergeCell ref="J22:L22"/>
    <mergeCell ref="G22:I22"/>
    <mergeCell ref="S3:U4"/>
    <mergeCell ref="S5:U5"/>
    <mergeCell ref="S6:U6"/>
    <mergeCell ref="D43:G45"/>
    <mergeCell ref="D9:F9"/>
    <mergeCell ref="G9:I9"/>
    <mergeCell ref="J9:L9"/>
    <mergeCell ref="J5:L5"/>
    <mergeCell ref="J6:L6"/>
    <mergeCell ref="J7:L7"/>
    <mergeCell ref="D5:F5"/>
    <mergeCell ref="D6:F6"/>
    <mergeCell ref="D7:F7"/>
    <mergeCell ref="G5:I5"/>
    <mergeCell ref="G6:I6"/>
    <mergeCell ref="G7:I7"/>
    <mergeCell ref="G35:I36"/>
    <mergeCell ref="J35:L36"/>
    <mergeCell ref="G37:I37"/>
    <mergeCell ref="H60:J60"/>
    <mergeCell ref="M3:O4"/>
    <mergeCell ref="P3:R4"/>
    <mergeCell ref="P5:R5"/>
    <mergeCell ref="P6:R6"/>
    <mergeCell ref="P9:R9"/>
    <mergeCell ref="M9:O9"/>
    <mergeCell ref="M5:O5"/>
    <mergeCell ref="M6:O6"/>
    <mergeCell ref="M7:O7"/>
    <mergeCell ref="M35:O36"/>
    <mergeCell ref="M37:O37"/>
    <mergeCell ref="M38:O38"/>
    <mergeCell ref="P35:R36"/>
    <mergeCell ref="S38:U38"/>
    <mergeCell ref="S39:U39"/>
    <mergeCell ref="G38:I38"/>
    <mergeCell ref="J38:L38"/>
    <mergeCell ref="G39:I39"/>
    <mergeCell ref="J39:L39"/>
    <mergeCell ref="M39:O39"/>
    <mergeCell ref="S7:U7"/>
    <mergeCell ref="S9:U9"/>
    <mergeCell ref="S35:U36"/>
    <mergeCell ref="S37:U37"/>
    <mergeCell ref="P7:R7"/>
  </mergeCells>
  <conditionalFormatting sqref="D10:D19">
    <cfRule type="iconSet" priority="28">
      <iconSet showValue="0">
        <cfvo type="percent" val="0"/>
        <cfvo type="num" val="0" gte="0"/>
        <cfvo type="num" val="2"/>
      </iconSet>
    </cfRule>
  </conditionalFormatting>
  <conditionalFormatting sqref="G10:G19">
    <cfRule type="iconSet" priority="27">
      <iconSet showValue="0">
        <cfvo type="percent" val="0"/>
        <cfvo type="num" val="0" gte="0"/>
        <cfvo type="num" val="2"/>
      </iconSet>
    </cfRule>
  </conditionalFormatting>
  <conditionalFormatting sqref="J10:J19">
    <cfRule type="iconSet" priority="26">
      <iconSet showValue="0">
        <cfvo type="percent" val="0"/>
        <cfvo type="num" val="0" gte="0"/>
        <cfvo type="num" val="2"/>
      </iconSet>
    </cfRule>
  </conditionalFormatting>
  <conditionalFormatting sqref="M10:M19">
    <cfRule type="iconSet" priority="25">
      <iconSet showValue="0">
        <cfvo type="percent" val="0"/>
        <cfvo type="num" val="0" gte="0"/>
        <cfvo type="num" val="2"/>
      </iconSet>
    </cfRule>
  </conditionalFormatting>
  <conditionalFormatting sqref="P10:P19">
    <cfRule type="iconSet" priority="24">
      <iconSet showValue="0">
        <cfvo type="percent" val="0"/>
        <cfvo type="num" val="0" gte="0"/>
        <cfvo type="num" val="2"/>
      </iconSet>
    </cfRule>
  </conditionalFormatting>
  <conditionalFormatting sqref="D10:R19">
    <cfRule type="expression" dxfId="52" priority="23">
      <formula>INT((COLUMN(G$10)-COLUMN($G$10))/3)+1=valSortColNumber</formula>
    </cfRule>
  </conditionalFormatting>
  <conditionalFormatting sqref="D23:D32">
    <cfRule type="iconSet" priority="22">
      <iconSet showValue="0">
        <cfvo type="percent" val="0"/>
        <cfvo type="num" val="0" gte="0"/>
        <cfvo type="num" val="2"/>
      </iconSet>
    </cfRule>
  </conditionalFormatting>
  <conditionalFormatting sqref="G23:G32">
    <cfRule type="iconSet" priority="20">
      <iconSet showValue="0">
        <cfvo type="percent" val="0"/>
        <cfvo type="num" val="0" gte="0"/>
        <cfvo type="num" val="2"/>
      </iconSet>
    </cfRule>
  </conditionalFormatting>
  <conditionalFormatting sqref="J23:J32">
    <cfRule type="iconSet" priority="18">
      <iconSet showValue="0">
        <cfvo type="percent" val="0"/>
        <cfvo type="num" val="0" gte="0"/>
        <cfvo type="num" val="2"/>
      </iconSet>
    </cfRule>
  </conditionalFormatting>
  <conditionalFormatting sqref="M23:M32">
    <cfRule type="iconSet" priority="16">
      <iconSet showValue="0">
        <cfvo type="percent" val="0"/>
        <cfvo type="num" val="0" gte="0"/>
        <cfvo type="num" val="2"/>
      </iconSet>
    </cfRule>
  </conditionalFormatting>
  <conditionalFormatting sqref="P23:P32">
    <cfRule type="iconSet" priority="14">
      <iconSet showValue="0">
        <cfvo type="percent" val="0"/>
        <cfvo type="num" val="0" gte="0"/>
        <cfvo type="num" val="2"/>
      </iconSet>
    </cfRule>
  </conditionalFormatting>
  <conditionalFormatting sqref="S23:S32">
    <cfRule type="iconSet" priority="12">
      <iconSet showValue="0">
        <cfvo type="percent" val="0"/>
        <cfvo type="num" val="0" gte="0"/>
        <cfvo type="num" val="2"/>
      </iconSet>
    </cfRule>
  </conditionalFormatting>
  <conditionalFormatting sqref="D24:D32">
    <cfRule type="iconSet" priority="10">
      <iconSet showValue="0">
        <cfvo type="percent" val="0"/>
        <cfvo type="num" val="0" gte="0"/>
        <cfvo type="num" val="2"/>
      </iconSet>
    </cfRule>
  </conditionalFormatting>
  <conditionalFormatting sqref="G23:I32">
    <cfRule type="expression" dxfId="51" priority="8">
      <formula>INT((COLUMN(D$23)-COLUMN($D$23))/3)+7=valSortColNumber</formula>
    </cfRule>
  </conditionalFormatting>
  <conditionalFormatting sqref="D23:F32">
    <cfRule type="expression" dxfId="50" priority="7">
      <formula>INT((COLUMN(D$23)-COLUMN($D$23))/3)+6=valSortColNumber</formula>
    </cfRule>
  </conditionalFormatting>
  <conditionalFormatting sqref="J23:L32">
    <cfRule type="expression" dxfId="49" priority="6">
      <formula>INT((COLUMN(D$23)-COLUMN($D$23))/3)+8=valSortColNumber</formula>
    </cfRule>
  </conditionalFormatting>
  <conditionalFormatting sqref="M23:O32">
    <cfRule type="expression" dxfId="48" priority="5">
      <formula>INT((COLUMN(D$23)-COLUMN($D$23))/3)+9=valSortColNumber</formula>
    </cfRule>
  </conditionalFormatting>
  <conditionalFormatting sqref="P23:R32">
    <cfRule type="expression" dxfId="47" priority="4">
      <formula>INT((COLUMN(D$23)-COLUMN($D$23))/3)+10=valSortColNumber</formula>
    </cfRule>
  </conditionalFormatting>
  <conditionalFormatting sqref="S23:U32">
    <cfRule type="expression" dxfId="46" priority="3">
      <formula>INT((COLUMN(D$23)-COLUMN($D$23))/3)+11=valSortColNumber</formula>
    </cfRule>
  </conditionalFormatting>
  <conditionalFormatting sqref="S10:S19">
    <cfRule type="iconSet" priority="2">
      <iconSet showValue="0">
        <cfvo type="percent" val="0"/>
        <cfvo type="num" val="0" gte="0"/>
        <cfvo type="num" val="2"/>
      </iconSet>
    </cfRule>
  </conditionalFormatting>
  <conditionalFormatting sqref="S10:U19">
    <cfRule type="expression" dxfId="45" priority="1">
      <formula>INT((COLUMN(G$10)-COLUMN($G$10))/3)+12=valSortColNumber</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59" r:id="rId4" name="TextBox1">
          <controlPr autoLine="0" autoPict="0" linkedCell="L43" r:id="rId5">
            <anchor moveWithCells="1">
              <from>
                <xdr:col>8</xdr:col>
                <xdr:colOff>946150</xdr:colOff>
                <xdr:row>41</xdr:row>
                <xdr:rowOff>57150</xdr:rowOff>
              </from>
              <to>
                <xdr:col>13</xdr:col>
                <xdr:colOff>298450</xdr:colOff>
                <xdr:row>43</xdr:row>
                <xdr:rowOff>57150</xdr:rowOff>
              </to>
            </anchor>
          </controlPr>
        </control>
      </mc:Choice>
      <mc:Fallback>
        <control shapeId="2059" r:id="rId4" name="TextBox1"/>
      </mc:Fallback>
    </mc:AlternateContent>
    <mc:AlternateContent xmlns:mc="http://schemas.openxmlformats.org/markup-compatibility/2006">
      <mc:Choice Requires="x14">
        <control shapeId="2049" r:id="rId6" name="Scroll Bar 1">
          <controlPr defaultSize="0" autoPict="0">
            <anchor moveWithCells="1">
              <from>
                <xdr:col>0</xdr:col>
                <xdr:colOff>57150</xdr:colOff>
                <xdr:row>22</xdr:row>
                <xdr:rowOff>12700</xdr:rowOff>
              </from>
              <to>
                <xdr:col>0</xdr:col>
                <xdr:colOff>260350</xdr:colOff>
                <xdr:row>32</xdr:row>
                <xdr:rowOff>57150</xdr:rowOff>
              </to>
            </anchor>
          </controlPr>
        </control>
      </mc:Choice>
    </mc:AlternateContent>
    <mc:AlternateContent xmlns:mc="http://schemas.openxmlformats.org/markup-compatibility/2006">
      <mc:Choice Requires="x14">
        <control shapeId="2050" r:id="rId7" name="Option Button 2">
          <controlPr defaultSize="0" autoFill="0" autoLine="0" autoPict="0">
            <anchor moveWithCells="1">
              <from>
                <xdr:col>3</xdr:col>
                <xdr:colOff>69850</xdr:colOff>
                <xdr:row>7</xdr:row>
                <xdr:rowOff>247650</xdr:rowOff>
              </from>
              <to>
                <xdr:col>5</xdr:col>
                <xdr:colOff>400050</xdr:colOff>
                <xdr:row>9</xdr:row>
                <xdr:rowOff>12700</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7</xdr:col>
                <xdr:colOff>0</xdr:colOff>
                <xdr:row>7</xdr:row>
                <xdr:rowOff>247650</xdr:rowOff>
              </from>
              <to>
                <xdr:col>8</xdr:col>
                <xdr:colOff>1238250</xdr:colOff>
                <xdr:row>9</xdr:row>
                <xdr:rowOff>12700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10</xdr:col>
                <xdr:colOff>0</xdr:colOff>
                <xdr:row>7</xdr:row>
                <xdr:rowOff>247650</xdr:rowOff>
              </from>
              <to>
                <xdr:col>11</xdr:col>
                <xdr:colOff>952500</xdr:colOff>
                <xdr:row>9</xdr:row>
                <xdr:rowOff>12700</xdr:rowOff>
              </to>
            </anchor>
          </controlPr>
        </control>
      </mc:Choice>
    </mc:AlternateContent>
    <mc:AlternateContent xmlns:mc="http://schemas.openxmlformats.org/markup-compatibility/2006">
      <mc:Choice Requires="x14">
        <control shapeId="2053" r:id="rId10" name="Option Button 5">
          <controlPr defaultSize="0" autoFill="0" autoLine="0" autoPict="0">
            <anchor moveWithCells="1">
              <from>
                <xdr:col>12</xdr:col>
                <xdr:colOff>127000</xdr:colOff>
                <xdr:row>7</xdr:row>
                <xdr:rowOff>260350</xdr:rowOff>
              </from>
              <to>
                <xdr:col>14</xdr:col>
                <xdr:colOff>723900</xdr:colOff>
                <xdr:row>9</xdr:row>
                <xdr:rowOff>19050</xdr:rowOff>
              </to>
            </anchor>
          </controlPr>
        </control>
      </mc:Choice>
    </mc:AlternateContent>
    <mc:AlternateContent xmlns:mc="http://schemas.openxmlformats.org/markup-compatibility/2006">
      <mc:Choice Requires="x14">
        <control shapeId="2054" r:id="rId11" name="Option Button 6">
          <controlPr defaultSize="0" autoFill="0" autoLine="0" autoPict="0">
            <anchor moveWithCells="1">
              <from>
                <xdr:col>15</xdr:col>
                <xdr:colOff>95250</xdr:colOff>
                <xdr:row>7</xdr:row>
                <xdr:rowOff>247650</xdr:rowOff>
              </from>
              <to>
                <xdr:col>17</xdr:col>
                <xdr:colOff>717550</xdr:colOff>
                <xdr:row>9</xdr:row>
                <xdr:rowOff>12700</xdr:rowOff>
              </to>
            </anchor>
          </controlPr>
        </control>
      </mc:Choice>
    </mc:AlternateContent>
    <mc:AlternateContent xmlns:mc="http://schemas.openxmlformats.org/markup-compatibility/2006">
      <mc:Choice Requires="x14">
        <control shapeId="2056" r:id="rId12" name="Check Box 8">
          <controlPr defaultSize="0" autoFill="0" autoLine="0" autoPict="0">
            <anchor moveWithCells="1">
              <from>
                <xdr:col>18</xdr:col>
                <xdr:colOff>152400</xdr:colOff>
                <xdr:row>32</xdr:row>
                <xdr:rowOff>50800</xdr:rowOff>
              </from>
              <to>
                <xdr:col>20</xdr:col>
                <xdr:colOff>184150</xdr:colOff>
                <xdr:row>32</xdr:row>
                <xdr:rowOff>266700</xdr:rowOff>
              </to>
            </anchor>
          </controlPr>
        </control>
      </mc:Choice>
    </mc:AlternateContent>
    <mc:AlternateContent xmlns:mc="http://schemas.openxmlformats.org/markup-compatibility/2006">
      <mc:Choice Requires="x14">
        <control shapeId="2060" r:id="rId13" name="Option Button 12">
          <controlPr defaultSize="0" autoFill="0" autoLine="0" autoPict="0">
            <anchor moveWithCells="1">
              <from>
                <xdr:col>3</xdr:col>
                <xdr:colOff>31750</xdr:colOff>
                <xdr:row>21</xdr:row>
                <xdr:rowOff>12700</xdr:rowOff>
              </from>
              <to>
                <xdr:col>5</xdr:col>
                <xdr:colOff>355600</xdr:colOff>
                <xdr:row>22</xdr:row>
                <xdr:rowOff>19050</xdr:rowOff>
              </to>
            </anchor>
          </controlPr>
        </control>
      </mc:Choice>
    </mc:AlternateContent>
    <mc:AlternateContent xmlns:mc="http://schemas.openxmlformats.org/markup-compatibility/2006">
      <mc:Choice Requires="x14">
        <control shapeId="2061" r:id="rId14" name="Option Button 13">
          <controlPr defaultSize="0" autoFill="0" autoLine="0" autoPict="0">
            <anchor moveWithCells="1">
              <from>
                <xdr:col>6</xdr:col>
                <xdr:colOff>57150</xdr:colOff>
                <xdr:row>21</xdr:row>
                <xdr:rowOff>0</xdr:rowOff>
              </from>
              <to>
                <xdr:col>8</xdr:col>
                <xdr:colOff>971550</xdr:colOff>
                <xdr:row>22</xdr:row>
                <xdr:rowOff>12700</xdr:rowOff>
              </to>
            </anchor>
          </controlPr>
        </control>
      </mc:Choice>
    </mc:AlternateContent>
    <mc:AlternateContent xmlns:mc="http://schemas.openxmlformats.org/markup-compatibility/2006">
      <mc:Choice Requires="x14">
        <control shapeId="2062" r:id="rId15" name="Option Button 14">
          <controlPr defaultSize="0" autoFill="0" autoLine="0" autoPict="0">
            <anchor moveWithCells="1">
              <from>
                <xdr:col>9</xdr:col>
                <xdr:colOff>0</xdr:colOff>
                <xdr:row>20</xdr:row>
                <xdr:rowOff>184150</xdr:rowOff>
              </from>
              <to>
                <xdr:col>11</xdr:col>
                <xdr:colOff>895350</xdr:colOff>
                <xdr:row>22</xdr:row>
                <xdr:rowOff>19050</xdr:rowOff>
              </to>
            </anchor>
          </controlPr>
        </control>
      </mc:Choice>
    </mc:AlternateContent>
    <mc:AlternateContent xmlns:mc="http://schemas.openxmlformats.org/markup-compatibility/2006">
      <mc:Choice Requires="x14">
        <control shapeId="2063" r:id="rId16" name="Option Button 15">
          <controlPr defaultSize="0" autoFill="0" autoLine="0" autoPict="0">
            <anchor moveWithCells="1">
              <from>
                <xdr:col>12</xdr:col>
                <xdr:colOff>19050</xdr:colOff>
                <xdr:row>21</xdr:row>
                <xdr:rowOff>12700</xdr:rowOff>
              </from>
              <to>
                <xdr:col>14</xdr:col>
                <xdr:colOff>584200</xdr:colOff>
                <xdr:row>22</xdr:row>
                <xdr:rowOff>0</xdr:rowOff>
              </to>
            </anchor>
          </controlPr>
        </control>
      </mc:Choice>
    </mc:AlternateContent>
    <mc:AlternateContent xmlns:mc="http://schemas.openxmlformats.org/markup-compatibility/2006">
      <mc:Choice Requires="x14">
        <control shapeId="2064" r:id="rId17" name="Option Button 16">
          <controlPr defaultSize="0" autoFill="0" autoLine="0" autoPict="0">
            <anchor moveWithCells="1">
              <from>
                <xdr:col>15</xdr:col>
                <xdr:colOff>12700</xdr:colOff>
                <xdr:row>20</xdr:row>
                <xdr:rowOff>165100</xdr:rowOff>
              </from>
              <to>
                <xdr:col>17</xdr:col>
                <xdr:colOff>800100</xdr:colOff>
                <xdr:row>21</xdr:row>
                <xdr:rowOff>190500</xdr:rowOff>
              </to>
            </anchor>
          </controlPr>
        </control>
      </mc:Choice>
    </mc:AlternateContent>
    <mc:AlternateContent xmlns:mc="http://schemas.openxmlformats.org/markup-compatibility/2006">
      <mc:Choice Requires="x14">
        <control shapeId="2065" r:id="rId18" name="Option Button 17">
          <controlPr defaultSize="0" autoFill="0" autoLine="0" autoPict="0">
            <anchor moveWithCells="1">
              <from>
                <xdr:col>18</xdr:col>
                <xdr:colOff>0</xdr:colOff>
                <xdr:row>20</xdr:row>
                <xdr:rowOff>165100</xdr:rowOff>
              </from>
              <to>
                <xdr:col>20</xdr:col>
                <xdr:colOff>666750</xdr:colOff>
                <xdr:row>21</xdr:row>
                <xdr:rowOff>190500</xdr:rowOff>
              </to>
            </anchor>
          </controlPr>
        </control>
      </mc:Choice>
    </mc:AlternateContent>
    <mc:AlternateContent xmlns:mc="http://schemas.openxmlformats.org/markup-compatibility/2006">
      <mc:Choice Requires="x14">
        <control shapeId="2066" r:id="rId19" name="Option Button 18">
          <controlPr defaultSize="0" autoFill="0" autoLine="0" autoPict="0">
            <anchor moveWithCells="1">
              <from>
                <xdr:col>18</xdr:col>
                <xdr:colOff>95250</xdr:colOff>
                <xdr:row>7</xdr:row>
                <xdr:rowOff>260350</xdr:rowOff>
              </from>
              <to>
                <xdr:col>20</xdr:col>
                <xdr:colOff>666750</xdr:colOff>
                <xdr:row>9</xdr:row>
                <xdr:rowOff>19050</xdr:rowOff>
              </to>
            </anchor>
          </controlPr>
        </control>
      </mc:Choice>
    </mc:AlternateContent>
    <mc:AlternateContent xmlns:mc="http://schemas.openxmlformats.org/markup-compatibility/2006">
      <mc:Choice Requires="x14">
        <control shapeId="2067" r:id="rId20" name="Scroll Bar 19">
          <controlPr defaultSize="0" autoPict="0">
            <anchor moveWithCells="1">
              <from>
                <xdr:col>0</xdr:col>
                <xdr:colOff>38100</xdr:colOff>
                <xdr:row>9</xdr:row>
                <xdr:rowOff>19050</xdr:rowOff>
              </from>
              <to>
                <xdr:col>0</xdr:col>
                <xdr:colOff>241300</xdr:colOff>
                <xdr:row>19</xdr:row>
                <xdr:rowOff>19050</xdr:rowOff>
              </to>
            </anchor>
          </controlPr>
        </control>
      </mc:Choice>
    </mc:AlternateContent>
    <mc:AlternateContent xmlns:mc="http://schemas.openxmlformats.org/markup-compatibility/2006">
      <mc:Choice Requires="x14">
        <control shapeId="2068" r:id="rId21" name="Option Button 20">
          <controlPr defaultSize="0" autoFill="0" autoLine="0" autoPict="0">
            <anchor moveWithCells="1">
              <from>
                <xdr:col>1</xdr:col>
                <xdr:colOff>209550</xdr:colOff>
                <xdr:row>21</xdr:row>
                <xdr:rowOff>0</xdr:rowOff>
              </from>
              <to>
                <xdr:col>2</xdr:col>
                <xdr:colOff>1746250</xdr:colOff>
                <xdr:row>22</xdr:row>
                <xdr:rowOff>12700</xdr:rowOff>
              </to>
            </anchor>
          </controlPr>
        </control>
      </mc:Choice>
    </mc:AlternateContent>
    <mc:AlternateContent xmlns:mc="http://schemas.openxmlformats.org/markup-compatibility/2006">
      <mc:Choice Requires="x14">
        <control shapeId="2069" r:id="rId22" name="Drop Down 21">
          <controlPr defaultSize="0" autoLine="0" autoPict="0">
            <anchor moveWithCells="1">
              <from>
                <xdr:col>2</xdr:col>
                <xdr:colOff>152400</xdr:colOff>
                <xdr:row>109</xdr:row>
                <xdr:rowOff>57150</xdr:rowOff>
              </from>
              <to>
                <xdr:col>2</xdr:col>
                <xdr:colOff>1536700</xdr:colOff>
                <xdr:row>110</xdr:row>
                <xdr:rowOff>69850</xdr:rowOff>
              </to>
            </anchor>
          </controlPr>
        </control>
      </mc:Choice>
    </mc:AlternateContent>
    <mc:AlternateContent xmlns:mc="http://schemas.openxmlformats.org/markup-compatibility/2006">
      <mc:Choice Requires="x14">
        <control shapeId="2070" r:id="rId23" name="Drop Down 22">
          <controlPr defaultSize="0" autoLine="0" autoPict="0">
            <anchor moveWithCells="1">
              <from>
                <xdr:col>17</xdr:col>
                <xdr:colOff>781050</xdr:colOff>
                <xdr:row>144</xdr:row>
                <xdr:rowOff>88900</xdr:rowOff>
              </from>
              <to>
                <xdr:col>20</xdr:col>
                <xdr:colOff>107950</xdr:colOff>
                <xdr:row>145</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224D8-7A86-4AB2-B964-45930BC447C4}">
  <sheetPr codeName="Tabelle2"/>
  <dimension ref="A1"/>
  <sheetViews>
    <sheetView tabSelected="1" workbookViewId="0">
      <selection activeCell="J10" sqref="J10"/>
    </sheetView>
  </sheetViews>
  <sheetFormatPr baseColWidth="10" defaultRowHeight="14.5" x14ac:dyDescent="0.35"/>
  <sheetData/>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BC3332"/>
  <sheetViews>
    <sheetView workbookViewId="0">
      <pane ySplit="4" topLeftCell="A5" activePane="bottomLeft" state="frozen"/>
      <selection activeCell="T1" sqref="T1"/>
      <selection pane="bottomLeft" activeCell="BC1" sqref="BC1:BC1048576"/>
    </sheetView>
  </sheetViews>
  <sheetFormatPr baseColWidth="10" defaultColWidth="5" defaultRowHeight="14.5" x14ac:dyDescent="0.35"/>
  <cols>
    <col min="1" max="1" width="9.1796875" customWidth="1"/>
    <col min="2" max="2" width="6.26953125" style="1" customWidth="1"/>
    <col min="3" max="3" width="30.26953125" bestFit="1" customWidth="1"/>
    <col min="4" max="4" width="11.54296875" bestFit="1" customWidth="1"/>
    <col min="5" max="5" width="35.7265625" bestFit="1" customWidth="1"/>
    <col min="6" max="6" width="12" style="113" bestFit="1" customWidth="1"/>
    <col min="7" max="7" width="24.81640625" bestFit="1" customWidth="1"/>
    <col min="8" max="8" width="24.81640625" customWidth="1"/>
    <col min="9" max="9" width="26.54296875" bestFit="1" customWidth="1"/>
    <col min="10" max="10" width="15.54296875" bestFit="1" customWidth="1"/>
    <col min="11" max="17" width="15.54296875" customWidth="1"/>
    <col min="18" max="23" width="9.1796875" style="80" customWidth="1"/>
    <col min="24" max="24" width="9.1796875" style="187" customWidth="1"/>
    <col min="25" max="28" width="9.1796875" style="80" customWidth="1"/>
    <col min="29" max="29" width="15.54296875" style="80" bestFit="1" customWidth="1"/>
    <col min="30" max="30" width="6.453125" bestFit="1" customWidth="1"/>
    <col min="31" max="31" width="15.54296875" bestFit="1" customWidth="1"/>
    <col min="32" max="32" width="14.453125" bestFit="1" customWidth="1"/>
    <col min="33" max="33" width="15.26953125" bestFit="1" customWidth="1"/>
    <col min="34" max="34" width="15.7265625" bestFit="1" customWidth="1"/>
    <col min="35" max="36" width="15.7265625" customWidth="1"/>
    <col min="37" max="37" width="12" bestFit="1" customWidth="1"/>
    <col min="38" max="38" width="8.453125" bestFit="1" customWidth="1"/>
    <col min="39" max="40" width="7.7265625" bestFit="1" customWidth="1"/>
    <col min="54" max="55" width="24.54296875" bestFit="1" customWidth="1"/>
  </cols>
  <sheetData>
    <row r="1" spans="2:55" x14ac:dyDescent="0.35">
      <c r="C1" s="177"/>
      <c r="D1" s="177"/>
      <c r="E1" s="177"/>
      <c r="F1" s="177"/>
      <c r="G1" s="177"/>
      <c r="AK1" t="s">
        <v>94</v>
      </c>
      <c r="AL1" t="s">
        <v>133</v>
      </c>
      <c r="AM1" t="s">
        <v>134</v>
      </c>
      <c r="AN1" t="s">
        <v>135</v>
      </c>
    </row>
    <row r="2" spans="2:55" x14ac:dyDescent="0.35">
      <c r="D2" s="177"/>
      <c r="E2" s="177"/>
      <c r="F2" s="177"/>
      <c r="G2" s="177"/>
      <c r="AJ2" t="s">
        <v>176</v>
      </c>
      <c r="AK2" s="176">
        <f>AVERAGEIF($AD$5:$AD$256,Dashboard!$D$210,D5:D256)</f>
        <v>81.027262145509894</v>
      </c>
      <c r="AL2" s="176">
        <f>AVERAGEIF($AD$5:$AD$256,Dashboard!$D$210,E5:E256)</f>
        <v>83.693277979508494</v>
      </c>
      <c r="AM2" s="176">
        <f>AVERAGEIF($AD$5:$AD$256,Dashboard!$D$210,F5:F256)</f>
        <v>98.182830877402381</v>
      </c>
      <c r="AN2" s="176">
        <f>AVERAGEIF($AD$5:$AD$256,Dashboard!$D$210,G5:G256)</f>
        <v>98.028392897046189</v>
      </c>
    </row>
    <row r="3" spans="2:55" x14ac:dyDescent="0.35">
      <c r="D3" s="177"/>
      <c r="E3" s="177"/>
      <c r="F3" s="177"/>
      <c r="G3" s="177"/>
      <c r="AJ3" t="s">
        <v>143</v>
      </c>
      <c r="AK3">
        <f>AVERAGEIF($AJ$5:$AJ$256,1,D5:D256)</f>
        <v>83.580428492225423</v>
      </c>
      <c r="AL3">
        <f>AVERAGEIF($AJ$5:$AJ$256,1,E5:E256)</f>
        <v>88.344333862186417</v>
      </c>
      <c r="AM3">
        <f>AVERAGEIF($AJ$5:$AJ$256,1,F5:F256)</f>
        <v>95.849970709703499</v>
      </c>
      <c r="AN3">
        <f>AVERAGEIF($AJ$5:$AJ$256,1,G5:G256)</f>
        <v>98.300332473914168</v>
      </c>
    </row>
    <row r="4" spans="2:55" ht="15" thickBot="1" x14ac:dyDescent="0.4">
      <c r="B4" s="1" t="s">
        <v>0</v>
      </c>
      <c r="C4" t="s">
        <v>1</v>
      </c>
      <c r="D4" s="40" t="s">
        <v>94</v>
      </c>
      <c r="E4" t="s">
        <v>104</v>
      </c>
      <c r="F4" t="s">
        <v>105</v>
      </c>
      <c r="G4" t="s">
        <v>110</v>
      </c>
      <c r="H4" t="s">
        <v>111</v>
      </c>
      <c r="I4" t="s">
        <v>119</v>
      </c>
      <c r="J4" s="113" t="s">
        <v>120</v>
      </c>
      <c r="K4" t="s">
        <v>131</v>
      </c>
      <c r="L4" t="s">
        <v>107</v>
      </c>
      <c r="M4" t="s">
        <v>108</v>
      </c>
      <c r="N4" t="s">
        <v>109</v>
      </c>
      <c r="O4" t="s">
        <v>118</v>
      </c>
      <c r="P4" t="s">
        <v>96</v>
      </c>
      <c r="Q4" s="179" t="s">
        <v>141</v>
      </c>
      <c r="R4" s="188" t="s">
        <v>95</v>
      </c>
      <c r="S4" s="80" t="s">
        <v>112</v>
      </c>
      <c r="T4" s="80" t="s">
        <v>106</v>
      </c>
      <c r="U4" s="80" t="s">
        <v>113</v>
      </c>
      <c r="V4" s="80" t="s">
        <v>114</v>
      </c>
      <c r="W4" s="80" t="s">
        <v>123</v>
      </c>
      <c r="X4" s="187" t="s">
        <v>124</v>
      </c>
      <c r="Y4" s="80" t="s">
        <v>132</v>
      </c>
      <c r="Z4" s="80" t="s">
        <v>116</v>
      </c>
      <c r="AA4" s="80" t="s">
        <v>117</v>
      </c>
      <c r="AB4" s="80" t="s">
        <v>121</v>
      </c>
      <c r="AC4" s="80" t="s">
        <v>122</v>
      </c>
      <c r="AD4" t="s">
        <v>126</v>
      </c>
      <c r="AE4" s="178" t="s">
        <v>137</v>
      </c>
      <c r="AF4" s="178" t="s">
        <v>138</v>
      </c>
      <c r="AG4" s="178" t="s">
        <v>139</v>
      </c>
      <c r="AH4" s="178" t="s">
        <v>140</v>
      </c>
      <c r="AI4" s="178" t="s">
        <v>136</v>
      </c>
      <c r="AJ4" t="s">
        <v>142</v>
      </c>
      <c r="BB4" s="170" t="s">
        <v>127</v>
      </c>
      <c r="BC4" s="170" t="s">
        <v>115</v>
      </c>
    </row>
    <row r="5" spans="2:55" ht="15" thickTop="1" x14ac:dyDescent="0.35">
      <c r="B5" s="1">
        <v>1</v>
      </c>
      <c r="C5" s="158" t="s">
        <v>145</v>
      </c>
      <c r="D5" s="89">
        <v>11</v>
      </c>
      <c r="E5" s="89">
        <v>83.023255813953497</v>
      </c>
      <c r="F5" s="89">
        <v>105.76351752822339</v>
      </c>
      <c r="G5" s="89">
        <v>99.133226324237555</v>
      </c>
      <c r="H5" s="157">
        <v>289.76744186046511</v>
      </c>
      <c r="I5" s="89">
        <v>107.461965708766</v>
      </c>
      <c r="J5" s="89">
        <v>81.717537909796121</v>
      </c>
      <c r="K5" s="89">
        <f t="shared" ref="K5:K68" si="0">IF(BB5="","",+BB5/10)</f>
        <v>130</v>
      </c>
      <c r="L5" s="87">
        <v>12</v>
      </c>
      <c r="M5" s="116">
        <v>0</v>
      </c>
      <c r="N5" s="116">
        <v>0</v>
      </c>
      <c r="O5" s="88">
        <v>15</v>
      </c>
      <c r="P5" s="169">
        <v>41765</v>
      </c>
      <c r="Q5" s="16">
        <v>62</v>
      </c>
      <c r="R5" s="89">
        <v>87.494399999999999</v>
      </c>
      <c r="S5" s="89">
        <v>90</v>
      </c>
      <c r="T5" s="89">
        <v>98</v>
      </c>
      <c r="U5" s="89">
        <v>99.2</v>
      </c>
      <c r="V5" s="189">
        <v>330</v>
      </c>
      <c r="W5" s="80">
        <v>0</v>
      </c>
      <c r="X5" s="190">
        <v>40</v>
      </c>
      <c r="Y5" s="89">
        <f t="shared" ref="Y5:Y68" si="1">IF(BC5="","",+BC5/10)</f>
        <v>122</v>
      </c>
      <c r="Z5" s="87">
        <v>12</v>
      </c>
      <c r="AA5" s="116">
        <v>0</v>
      </c>
      <c r="AB5" s="116">
        <v>0</v>
      </c>
      <c r="AC5" s="191">
        <v>20</v>
      </c>
      <c r="AD5" s="16">
        <f>WEEKNUM(tblKPIs[[#This Row],[Production Start Date]])</f>
        <v>19</v>
      </c>
      <c r="AE5" s="16">
        <v>2</v>
      </c>
      <c r="AF5" s="16">
        <v>10</v>
      </c>
      <c r="AG5" s="16">
        <v>33</v>
      </c>
      <c r="AH5" s="16">
        <v>10</v>
      </c>
      <c r="AI5" s="16">
        <v>7</v>
      </c>
      <c r="AJ5" s="16" t="str">
        <f t="shared" ref="AJ5:AJ68" si="2">IF(AND(P2&gt;=BeginnDate,P2&lt;=EndDate),1,"")</f>
        <v/>
      </c>
      <c r="AL5" s="16"/>
      <c r="AM5" s="16"/>
      <c r="AN5" s="16"/>
      <c r="AO5" s="16"/>
      <c r="AP5" s="16"/>
      <c r="AQ5" s="16"/>
      <c r="AR5" s="16"/>
      <c r="AS5" s="16"/>
      <c r="BB5" s="171">
        <v>1300</v>
      </c>
      <c r="BC5" s="171">
        <v>1220</v>
      </c>
    </row>
    <row r="6" spans="2:55" x14ac:dyDescent="0.35">
      <c r="B6" s="1">
        <v>2</v>
      </c>
      <c r="C6" s="158" t="s">
        <v>146</v>
      </c>
      <c r="D6" s="89">
        <v>76.578947368421041</v>
      </c>
      <c r="E6" s="89">
        <v>84.1796875</v>
      </c>
      <c r="F6" s="89">
        <v>92.20417633410672</v>
      </c>
      <c r="G6" s="89">
        <v>98.66235795830795</v>
      </c>
      <c r="H6" s="157">
        <v>221.20898437499997</v>
      </c>
      <c r="I6" s="89">
        <v>184.06819326843379</v>
      </c>
      <c r="J6" s="89">
        <v>0</v>
      </c>
      <c r="K6" s="89">
        <f t="shared" si="0"/>
        <v>265.45078124999998</v>
      </c>
      <c r="L6" s="87">
        <v>12</v>
      </c>
      <c r="M6" s="116">
        <v>0</v>
      </c>
      <c r="N6" s="116">
        <v>0</v>
      </c>
      <c r="O6" s="88">
        <v>19</v>
      </c>
      <c r="P6" s="168">
        <v>41641</v>
      </c>
      <c r="Q6" s="16">
        <v>113</v>
      </c>
      <c r="R6" s="89">
        <v>87.317999999999998</v>
      </c>
      <c r="S6" s="89">
        <v>90</v>
      </c>
      <c r="T6" s="89">
        <v>98</v>
      </c>
      <c r="U6" s="89">
        <v>99</v>
      </c>
      <c r="V6" s="189">
        <v>285</v>
      </c>
      <c r="W6" s="80">
        <v>0</v>
      </c>
      <c r="X6" s="190">
        <v>40</v>
      </c>
      <c r="Y6" s="89">
        <f t="shared" si="1"/>
        <v>342</v>
      </c>
      <c r="Z6" s="87">
        <v>12</v>
      </c>
      <c r="AA6" s="116">
        <v>0</v>
      </c>
      <c r="AB6" s="116">
        <v>0</v>
      </c>
      <c r="AC6" s="191">
        <v>20</v>
      </c>
      <c r="AD6" s="16">
        <f>WEEKNUM(tblKPIs[[#This Row],[Production Start Date]])</f>
        <v>1</v>
      </c>
      <c r="AE6" s="16">
        <v>12</v>
      </c>
      <c r="AF6" s="16">
        <v>22</v>
      </c>
      <c r="AG6" s="16">
        <v>28</v>
      </c>
      <c r="AH6" s="16">
        <v>17</v>
      </c>
      <c r="AI6" s="16">
        <v>34</v>
      </c>
      <c r="AJ6" s="16" t="str">
        <f t="shared" si="2"/>
        <v/>
      </c>
      <c r="AL6" s="16"/>
      <c r="AM6" s="16"/>
      <c r="AN6" s="16"/>
      <c r="AO6" s="16"/>
      <c r="AP6" s="16"/>
      <c r="AQ6" s="16"/>
      <c r="AR6" s="16"/>
      <c r="AS6" s="16"/>
      <c r="BB6" s="172">
        <v>2654.5078125</v>
      </c>
      <c r="BC6" s="172">
        <v>3420</v>
      </c>
    </row>
    <row r="7" spans="2:55" x14ac:dyDescent="0.35">
      <c r="B7" s="1">
        <v>3</v>
      </c>
      <c r="C7" s="158" t="s">
        <v>147</v>
      </c>
      <c r="D7" s="89">
        <v>86.117196479925866</v>
      </c>
      <c r="E7" s="89">
        <v>86.037735849056602</v>
      </c>
      <c r="F7" s="89">
        <v>101.5339260141686</v>
      </c>
      <c r="G7" s="89">
        <v>98.580208100926924</v>
      </c>
      <c r="H7" s="157">
        <v>302.32971698113209</v>
      </c>
      <c r="I7" s="89">
        <v>135.91828858135304</v>
      </c>
      <c r="J7" s="89">
        <v>35.268844785020356</v>
      </c>
      <c r="K7" s="89">
        <f t="shared" si="0"/>
        <v>362.7956603773585</v>
      </c>
      <c r="L7" s="87">
        <v>12</v>
      </c>
      <c r="M7" s="116">
        <v>0</v>
      </c>
      <c r="N7" s="116">
        <v>0</v>
      </c>
      <c r="O7" s="88">
        <v>28</v>
      </c>
      <c r="P7" s="168">
        <v>41641</v>
      </c>
      <c r="Q7" s="16">
        <v>106</v>
      </c>
      <c r="R7" s="89">
        <v>87.494399999999999</v>
      </c>
      <c r="S7" s="89">
        <v>90</v>
      </c>
      <c r="T7" s="89">
        <v>98</v>
      </c>
      <c r="U7" s="89">
        <v>99.2</v>
      </c>
      <c r="V7" s="189">
        <v>346.08333333333331</v>
      </c>
      <c r="W7" s="80">
        <v>0</v>
      </c>
      <c r="X7" s="190">
        <v>40</v>
      </c>
      <c r="Y7" s="89">
        <f t="shared" si="1"/>
        <v>415.3</v>
      </c>
      <c r="Z7" s="87">
        <v>12</v>
      </c>
      <c r="AA7" s="116">
        <v>0</v>
      </c>
      <c r="AB7" s="116">
        <v>0</v>
      </c>
      <c r="AC7" s="191">
        <v>20</v>
      </c>
      <c r="AD7" s="16">
        <f>WEEKNUM(tblKPIs[[#This Row],[Production Start Date]])</f>
        <v>1</v>
      </c>
      <c r="AE7" s="16">
        <v>28</v>
      </c>
      <c r="AF7" s="16">
        <v>19</v>
      </c>
      <c r="AG7" s="16">
        <v>26</v>
      </c>
      <c r="AH7" s="16">
        <v>26</v>
      </c>
      <c r="AI7" s="16">
        <v>7</v>
      </c>
      <c r="AJ7" s="16" t="str">
        <f t="shared" si="2"/>
        <v/>
      </c>
      <c r="AL7" s="16"/>
      <c r="AM7" s="16"/>
      <c r="AN7" s="16"/>
      <c r="AO7" s="16"/>
      <c r="AP7" s="16"/>
      <c r="AQ7" s="16"/>
      <c r="AR7" s="16"/>
      <c r="AS7" s="16"/>
      <c r="BB7" s="171">
        <v>3627.9566037735849</v>
      </c>
      <c r="BC7" s="171">
        <v>4153</v>
      </c>
    </row>
    <row r="8" spans="2:55" x14ac:dyDescent="0.35">
      <c r="B8" s="1">
        <v>4</v>
      </c>
      <c r="C8" s="158" t="s">
        <v>148</v>
      </c>
      <c r="D8" s="89">
        <v>90.590659340659343</v>
      </c>
      <c r="E8" s="89">
        <v>94.523809523809533</v>
      </c>
      <c r="F8" s="89">
        <v>96.178066266227475</v>
      </c>
      <c r="G8" s="89">
        <v>99.647443968773615</v>
      </c>
      <c r="H8" s="157">
        <v>236.36904761904762</v>
      </c>
      <c r="I8" s="89">
        <v>96.324110863690819</v>
      </c>
      <c r="J8" s="89">
        <v>19.42449213413828</v>
      </c>
      <c r="K8" s="89">
        <f t="shared" si="0"/>
        <v>283.64285714285717</v>
      </c>
      <c r="L8" s="87">
        <v>12</v>
      </c>
      <c r="M8" s="116">
        <v>0</v>
      </c>
      <c r="N8" s="116">
        <v>0</v>
      </c>
      <c r="O8" s="88">
        <v>28</v>
      </c>
      <c r="P8" s="168">
        <v>41641</v>
      </c>
      <c r="Q8" s="16">
        <v>108</v>
      </c>
      <c r="R8" s="89">
        <v>87.097500000000011</v>
      </c>
      <c r="S8" s="89">
        <v>90</v>
      </c>
      <c r="T8" s="89">
        <v>98</v>
      </c>
      <c r="U8" s="89">
        <v>98.75</v>
      </c>
      <c r="V8" s="189">
        <v>260</v>
      </c>
      <c r="W8" s="80">
        <v>0</v>
      </c>
      <c r="X8" s="190">
        <v>40</v>
      </c>
      <c r="Y8" s="89">
        <f t="shared" si="1"/>
        <v>312</v>
      </c>
      <c r="Z8" s="87">
        <v>12</v>
      </c>
      <c r="AA8" s="116">
        <v>0</v>
      </c>
      <c r="AB8" s="116">
        <v>0</v>
      </c>
      <c r="AC8" s="191">
        <v>20</v>
      </c>
      <c r="AD8" s="16">
        <f>WEEKNUM(tblKPIs[[#This Row],[Production Start Date]])</f>
        <v>1</v>
      </c>
      <c r="AE8" s="16">
        <v>20</v>
      </c>
      <c r="AF8" s="16">
        <v>25</v>
      </c>
      <c r="AG8" s="16">
        <v>25</v>
      </c>
      <c r="AH8" s="16">
        <v>34</v>
      </c>
      <c r="AI8" s="16">
        <v>4</v>
      </c>
      <c r="AJ8" s="16">
        <f t="shared" si="2"/>
        <v>1</v>
      </c>
      <c r="AL8" s="16"/>
      <c r="AM8" s="16"/>
      <c r="AN8" s="16"/>
      <c r="AO8" s="16"/>
      <c r="AP8" s="16"/>
      <c r="AQ8" s="16"/>
      <c r="AR8" s="16"/>
      <c r="AS8" s="16"/>
      <c r="BB8" s="172">
        <v>2836.4285714285716</v>
      </c>
      <c r="BC8" s="172">
        <v>3120</v>
      </c>
    </row>
    <row r="9" spans="2:55" x14ac:dyDescent="0.35">
      <c r="B9" s="1">
        <v>5</v>
      </c>
      <c r="C9" s="158" t="s">
        <v>147</v>
      </c>
      <c r="D9" s="89">
        <v>94.892505404756193</v>
      </c>
      <c r="E9" s="89">
        <v>95.797101449275374</v>
      </c>
      <c r="F9" s="89">
        <v>100.62290519136417</v>
      </c>
      <c r="G9" s="89">
        <v>98.442513160763795</v>
      </c>
      <c r="H9" s="157">
        <v>348.94565217391306</v>
      </c>
      <c r="I9" s="89">
        <v>117.55206960189824</v>
      </c>
      <c r="J9" s="89">
        <v>43.893427115097829</v>
      </c>
      <c r="K9" s="89">
        <f t="shared" si="0"/>
        <v>418.7347826086957</v>
      </c>
      <c r="L9" s="87">
        <v>12</v>
      </c>
      <c r="M9" s="116">
        <v>0</v>
      </c>
      <c r="N9" s="116">
        <v>0</v>
      </c>
      <c r="O9" s="88">
        <v>14</v>
      </c>
      <c r="P9" s="168">
        <v>41643</v>
      </c>
      <c r="Q9" s="16">
        <v>71</v>
      </c>
      <c r="R9" s="89">
        <v>87.494399999999999</v>
      </c>
      <c r="S9" s="89">
        <v>90</v>
      </c>
      <c r="T9" s="89">
        <v>98</v>
      </c>
      <c r="U9" s="89">
        <v>99.2</v>
      </c>
      <c r="V9" s="189">
        <v>362</v>
      </c>
      <c r="W9" s="80">
        <v>0</v>
      </c>
      <c r="X9" s="190">
        <v>40</v>
      </c>
      <c r="Y9" s="89">
        <f t="shared" si="1"/>
        <v>434.4</v>
      </c>
      <c r="Z9" s="87">
        <v>12</v>
      </c>
      <c r="AA9" s="116">
        <v>0</v>
      </c>
      <c r="AB9" s="116">
        <v>0</v>
      </c>
      <c r="AC9" s="191">
        <v>20</v>
      </c>
      <c r="AD9" s="16">
        <f>WEEKNUM(tblKPIs[[#This Row],[Production Start Date]])</f>
        <v>1</v>
      </c>
      <c r="AE9" s="16">
        <v>19</v>
      </c>
      <c r="AF9" s="16">
        <v>22</v>
      </c>
      <c r="AG9" s="16">
        <v>13</v>
      </c>
      <c r="AH9" s="16">
        <v>4</v>
      </c>
      <c r="AI9" s="16">
        <v>13</v>
      </c>
      <c r="AJ9" s="16">
        <f t="shared" si="2"/>
        <v>1</v>
      </c>
      <c r="AL9" s="16"/>
      <c r="AM9" s="16"/>
      <c r="AN9" s="16"/>
      <c r="AO9" s="16"/>
      <c r="AP9" s="16"/>
      <c r="AQ9" s="16"/>
      <c r="AR9" s="16"/>
      <c r="AS9" s="16"/>
      <c r="BB9" s="171">
        <v>4187.347826086957</v>
      </c>
      <c r="BC9" s="171">
        <v>4344</v>
      </c>
    </row>
    <row r="10" spans="2:55" x14ac:dyDescent="0.35">
      <c r="B10" s="1">
        <v>6</v>
      </c>
      <c r="C10" s="158" t="s">
        <v>147</v>
      </c>
      <c r="D10" s="89">
        <v>100.85312869690846</v>
      </c>
      <c r="E10" s="89">
        <v>97.101449275362313</v>
      </c>
      <c r="F10" s="89">
        <v>105.22646818879355</v>
      </c>
      <c r="G10" s="89">
        <v>98.704890166694156</v>
      </c>
      <c r="H10" s="157">
        <v>353.61557971014491</v>
      </c>
      <c r="I10" s="89">
        <v>122.93165558242643</v>
      </c>
      <c r="J10" s="89">
        <v>43.715755222000631</v>
      </c>
      <c r="K10" s="89">
        <f t="shared" si="0"/>
        <v>424.3386956521739</v>
      </c>
      <c r="L10" s="87">
        <v>12</v>
      </c>
      <c r="M10" s="116">
        <v>0</v>
      </c>
      <c r="N10" s="116">
        <v>0</v>
      </c>
      <c r="O10" s="88">
        <v>20</v>
      </c>
      <c r="P10" s="168">
        <v>41643</v>
      </c>
      <c r="Q10" s="16">
        <v>67</v>
      </c>
      <c r="R10" s="89">
        <v>87.494399999999999</v>
      </c>
      <c r="S10" s="89">
        <v>90</v>
      </c>
      <c r="T10" s="89">
        <v>98</v>
      </c>
      <c r="U10" s="89">
        <v>99.2</v>
      </c>
      <c r="V10" s="189">
        <v>346.08333333333331</v>
      </c>
      <c r="W10" s="80">
        <v>0</v>
      </c>
      <c r="X10" s="190">
        <v>40</v>
      </c>
      <c r="Y10" s="89">
        <f t="shared" si="1"/>
        <v>415.3</v>
      </c>
      <c r="Z10" s="87">
        <v>12</v>
      </c>
      <c r="AA10" s="116">
        <v>0</v>
      </c>
      <c r="AB10" s="116">
        <v>0</v>
      </c>
      <c r="AC10" s="191">
        <v>20</v>
      </c>
      <c r="AD10" s="16">
        <f>WEEKNUM(tblKPIs[[#This Row],[Production Start Date]])</f>
        <v>1</v>
      </c>
      <c r="AE10" s="16">
        <v>16</v>
      </c>
      <c r="AF10" s="16">
        <v>12</v>
      </c>
      <c r="AG10" s="16">
        <v>6</v>
      </c>
      <c r="AH10" s="16">
        <v>7</v>
      </c>
      <c r="AI10" s="16">
        <v>26</v>
      </c>
      <c r="AJ10" s="16">
        <f t="shared" si="2"/>
        <v>1</v>
      </c>
      <c r="AL10" s="16"/>
      <c r="AM10" s="16"/>
      <c r="AN10" s="16"/>
      <c r="AO10" s="16"/>
      <c r="AP10" s="16"/>
      <c r="AQ10" s="16"/>
      <c r="AR10" s="16"/>
      <c r="AS10" s="16"/>
      <c r="BB10" s="172">
        <v>4243.3869565217392</v>
      </c>
      <c r="BC10" s="172">
        <v>4153</v>
      </c>
    </row>
    <row r="11" spans="2:55" x14ac:dyDescent="0.35">
      <c r="B11" s="1">
        <v>7</v>
      </c>
      <c r="C11" s="158" t="s">
        <v>147</v>
      </c>
      <c r="D11" s="89">
        <v>93.714208134596362</v>
      </c>
      <c r="E11" s="89">
        <v>93.971631205673759</v>
      </c>
      <c r="F11" s="89">
        <v>100.57109886465344</v>
      </c>
      <c r="G11" s="89">
        <v>99.159762716991267</v>
      </c>
      <c r="H11" s="157">
        <v>327.07748226950355</v>
      </c>
      <c r="I11" s="89">
        <v>119.84253717962379</v>
      </c>
      <c r="J11" s="89">
        <v>6.1319228236974546</v>
      </c>
      <c r="K11" s="89">
        <f t="shared" si="0"/>
        <v>392.49297872340424</v>
      </c>
      <c r="L11" s="87">
        <v>12</v>
      </c>
      <c r="M11" s="116">
        <v>0</v>
      </c>
      <c r="N11" s="116">
        <v>0</v>
      </c>
      <c r="O11" s="88">
        <v>22</v>
      </c>
      <c r="P11" s="168">
        <v>41642</v>
      </c>
      <c r="Q11" s="16">
        <v>102</v>
      </c>
      <c r="R11" s="89">
        <v>87.494399999999999</v>
      </c>
      <c r="S11" s="89">
        <v>90</v>
      </c>
      <c r="T11" s="89">
        <v>98</v>
      </c>
      <c r="U11" s="89">
        <v>99.2</v>
      </c>
      <c r="V11" s="189">
        <v>346.08333333333331</v>
      </c>
      <c r="W11" s="80">
        <v>0</v>
      </c>
      <c r="X11" s="190">
        <v>40</v>
      </c>
      <c r="Y11" s="89">
        <f t="shared" si="1"/>
        <v>415.3</v>
      </c>
      <c r="Z11" s="87">
        <v>12</v>
      </c>
      <c r="AA11" s="116">
        <v>0</v>
      </c>
      <c r="AB11" s="116">
        <v>0</v>
      </c>
      <c r="AC11" s="191">
        <v>20</v>
      </c>
      <c r="AD11" s="16">
        <f>WEEKNUM(tblKPIs[[#This Row],[Production Start Date]])</f>
        <v>1</v>
      </c>
      <c r="AE11" s="16">
        <v>18</v>
      </c>
      <c r="AF11" s="16">
        <v>27</v>
      </c>
      <c r="AG11" s="16">
        <v>20</v>
      </c>
      <c r="AH11" s="16">
        <v>10</v>
      </c>
      <c r="AI11" s="16">
        <v>27</v>
      </c>
      <c r="AJ11" s="16">
        <f t="shared" si="2"/>
        <v>1</v>
      </c>
      <c r="AL11" s="16"/>
      <c r="AM11" s="16"/>
      <c r="AN11" s="16"/>
      <c r="AO11" s="16"/>
      <c r="AP11" s="16"/>
      <c r="AQ11" s="16"/>
      <c r="AR11" s="16"/>
      <c r="AS11" s="16"/>
      <c r="BB11" s="171">
        <v>3924.9297872340426</v>
      </c>
      <c r="BC11" s="171">
        <v>4153</v>
      </c>
    </row>
    <row r="12" spans="2:55" x14ac:dyDescent="0.35">
      <c r="B12" s="1">
        <v>8</v>
      </c>
      <c r="C12" s="158" t="s">
        <v>149</v>
      </c>
      <c r="D12" s="89">
        <v>78.300129996750073</v>
      </c>
      <c r="E12" s="89">
        <v>84.537815126050418</v>
      </c>
      <c r="F12" s="89">
        <v>94.301950726579747</v>
      </c>
      <c r="G12" s="89">
        <v>98.217932318117718</v>
      </c>
      <c r="H12" s="157">
        <v>288.5893277310924</v>
      </c>
      <c r="I12" s="89">
        <v>117.4997776059451</v>
      </c>
      <c r="J12" s="89">
        <v>100</v>
      </c>
      <c r="K12" s="89">
        <f t="shared" si="0"/>
        <v>346.30719327731089</v>
      </c>
      <c r="L12" s="87">
        <v>12</v>
      </c>
      <c r="M12" s="116">
        <v>0</v>
      </c>
      <c r="N12" s="116">
        <v>0</v>
      </c>
      <c r="O12" s="88">
        <v>15</v>
      </c>
      <c r="P12" s="168">
        <v>41642</v>
      </c>
      <c r="Q12" s="16">
        <v>67</v>
      </c>
      <c r="R12" s="89">
        <v>87.494399999999999</v>
      </c>
      <c r="S12" s="89">
        <v>90</v>
      </c>
      <c r="T12" s="89">
        <v>98</v>
      </c>
      <c r="U12" s="89">
        <v>99.2</v>
      </c>
      <c r="V12" s="189">
        <v>362</v>
      </c>
      <c r="W12" s="80">
        <v>0</v>
      </c>
      <c r="X12" s="190">
        <v>40</v>
      </c>
      <c r="Y12" s="89">
        <f t="shared" si="1"/>
        <v>434.4</v>
      </c>
      <c r="Z12" s="87">
        <v>12</v>
      </c>
      <c r="AA12" s="116">
        <v>0</v>
      </c>
      <c r="AB12" s="116">
        <v>0</v>
      </c>
      <c r="AC12" s="191">
        <v>20</v>
      </c>
      <c r="AD12" s="16">
        <f>WEEKNUM(tblKPIs[[#This Row],[Production Start Date]])</f>
        <v>1</v>
      </c>
      <c r="AE12" s="16">
        <v>34</v>
      </c>
      <c r="AF12" s="16">
        <v>13</v>
      </c>
      <c r="AG12" s="16">
        <v>0</v>
      </c>
      <c r="AH12" s="16">
        <v>4</v>
      </c>
      <c r="AI12" s="16">
        <v>16</v>
      </c>
      <c r="AJ12" s="16">
        <f t="shared" si="2"/>
        <v>1</v>
      </c>
      <c r="AL12" s="16"/>
      <c r="AM12" s="16"/>
      <c r="AN12" s="16"/>
      <c r="AO12" s="16"/>
      <c r="AP12" s="16"/>
      <c r="AQ12" s="16"/>
      <c r="AR12" s="16"/>
      <c r="AS12" s="16"/>
      <c r="BB12" s="172">
        <v>3463.071932773109</v>
      </c>
      <c r="BC12" s="172">
        <v>4344</v>
      </c>
    </row>
    <row r="13" spans="2:55" x14ac:dyDescent="0.35">
      <c r="B13" s="1">
        <v>9</v>
      </c>
      <c r="C13" s="158" t="s">
        <v>147</v>
      </c>
      <c r="D13" s="89">
        <v>79.66244441449939</v>
      </c>
      <c r="E13" s="89">
        <v>86.016260162601625</v>
      </c>
      <c r="F13" s="89">
        <v>93.396536778452003</v>
      </c>
      <c r="G13" s="89">
        <v>99.161320082190628</v>
      </c>
      <c r="H13" s="157">
        <v>290.8170731707317</v>
      </c>
      <c r="I13" s="89">
        <v>114.7538617005919</v>
      </c>
      <c r="J13" s="89">
        <v>0</v>
      </c>
      <c r="K13" s="89">
        <f t="shared" si="0"/>
        <v>348.98048780487807</v>
      </c>
      <c r="L13" s="87">
        <v>12</v>
      </c>
      <c r="M13" s="116">
        <v>0</v>
      </c>
      <c r="N13" s="116">
        <v>0</v>
      </c>
      <c r="O13" s="88">
        <v>16</v>
      </c>
      <c r="P13" s="168">
        <v>41642</v>
      </c>
      <c r="Q13" s="16">
        <v>41</v>
      </c>
      <c r="R13" s="89">
        <v>87.494399999999999</v>
      </c>
      <c r="S13" s="89">
        <v>90</v>
      </c>
      <c r="T13" s="89">
        <v>98</v>
      </c>
      <c r="U13" s="89">
        <v>99.2</v>
      </c>
      <c r="V13" s="189">
        <v>362</v>
      </c>
      <c r="W13" s="80">
        <v>0</v>
      </c>
      <c r="X13" s="190">
        <v>40</v>
      </c>
      <c r="Y13" s="89">
        <f t="shared" si="1"/>
        <v>434.4</v>
      </c>
      <c r="Z13" s="87">
        <v>12</v>
      </c>
      <c r="AA13" s="116">
        <v>0</v>
      </c>
      <c r="AB13" s="116">
        <v>0</v>
      </c>
      <c r="AC13" s="191">
        <v>20</v>
      </c>
      <c r="AD13" s="16">
        <f>WEEKNUM(tblKPIs[[#This Row],[Production Start Date]])</f>
        <v>1</v>
      </c>
      <c r="AE13" s="16">
        <v>2</v>
      </c>
      <c r="AF13" s="16">
        <v>2</v>
      </c>
      <c r="AG13" s="16">
        <v>22</v>
      </c>
      <c r="AH13" s="16">
        <v>6</v>
      </c>
      <c r="AI13" s="16">
        <v>9</v>
      </c>
      <c r="AJ13" s="16">
        <f t="shared" si="2"/>
        <v>1</v>
      </c>
      <c r="AL13" s="16"/>
      <c r="AM13" s="16"/>
      <c r="AN13" s="16"/>
      <c r="AO13" s="16"/>
      <c r="AP13" s="16"/>
      <c r="AQ13" s="16"/>
      <c r="AR13" s="16"/>
      <c r="AS13" s="16"/>
      <c r="BB13" s="171">
        <v>3489.8048780487807</v>
      </c>
      <c r="BC13" s="171">
        <v>4344</v>
      </c>
    </row>
    <row r="14" spans="2:55" x14ac:dyDescent="0.35">
      <c r="B14" s="1">
        <v>10</v>
      </c>
      <c r="C14" s="158" t="s">
        <v>150</v>
      </c>
      <c r="D14" s="89">
        <v>83.873949579831915</v>
      </c>
      <c r="E14" s="89">
        <v>99.285714285714263</v>
      </c>
      <c r="F14" s="89">
        <v>86.275920440118497</v>
      </c>
      <c r="G14" s="89">
        <v>97.915338205719323</v>
      </c>
      <c r="H14" s="157">
        <v>262.11857142857144</v>
      </c>
      <c r="I14" s="89">
        <v>102.39006696428572</v>
      </c>
      <c r="J14" s="89">
        <v>45.016059957173447</v>
      </c>
      <c r="K14" s="89">
        <f t="shared" si="0"/>
        <v>314.54228571428564</v>
      </c>
      <c r="L14" s="87">
        <v>12</v>
      </c>
      <c r="M14" s="116">
        <v>0</v>
      </c>
      <c r="N14" s="116">
        <v>0</v>
      </c>
      <c r="O14" s="88">
        <v>28</v>
      </c>
      <c r="P14" s="168">
        <v>41642</v>
      </c>
      <c r="Q14" s="16">
        <v>84</v>
      </c>
      <c r="R14" s="89">
        <v>86.87700000000001</v>
      </c>
      <c r="S14" s="89">
        <v>90</v>
      </c>
      <c r="T14" s="89">
        <v>98</v>
      </c>
      <c r="U14" s="89">
        <v>98.5</v>
      </c>
      <c r="V14" s="189">
        <v>306</v>
      </c>
      <c r="W14" s="80">
        <v>0</v>
      </c>
      <c r="X14" s="190">
        <v>40</v>
      </c>
      <c r="Y14" s="89">
        <f t="shared" si="1"/>
        <v>367.2</v>
      </c>
      <c r="Z14" s="87">
        <v>12</v>
      </c>
      <c r="AA14" s="116">
        <v>0</v>
      </c>
      <c r="AB14" s="116">
        <v>0</v>
      </c>
      <c r="AC14" s="191">
        <v>20</v>
      </c>
      <c r="AD14" s="16">
        <f>WEEKNUM(tblKPIs[[#This Row],[Production Start Date]])</f>
        <v>1</v>
      </c>
      <c r="AE14" s="16">
        <v>22</v>
      </c>
      <c r="AF14" s="16">
        <v>19</v>
      </c>
      <c r="AG14" s="16">
        <v>3</v>
      </c>
      <c r="AH14" s="16">
        <v>17</v>
      </c>
      <c r="AI14" s="16">
        <v>23</v>
      </c>
      <c r="AJ14" s="16">
        <f t="shared" si="2"/>
        <v>1</v>
      </c>
      <c r="AL14" s="16"/>
      <c r="AM14" s="16"/>
      <c r="AN14" s="16"/>
      <c r="AO14" s="16"/>
      <c r="AP14" s="16"/>
      <c r="AQ14" s="16"/>
      <c r="AR14" s="16"/>
      <c r="AS14" s="16"/>
      <c r="BB14" s="172">
        <v>3145.4228571428566</v>
      </c>
      <c r="BC14" s="172">
        <v>3672</v>
      </c>
    </row>
    <row r="15" spans="2:55" x14ac:dyDescent="0.35">
      <c r="B15" s="1">
        <v>11</v>
      </c>
      <c r="C15" s="158" t="s">
        <v>151</v>
      </c>
      <c r="D15" s="89">
        <v>86.865342163355422</v>
      </c>
      <c r="E15" s="89">
        <v>79.47019867549669</v>
      </c>
      <c r="F15" s="89">
        <v>111.05947293447294</v>
      </c>
      <c r="G15" s="89">
        <v>98.420740408202533</v>
      </c>
      <c r="H15" s="157">
        <v>206.52649006622519</v>
      </c>
      <c r="I15" s="89">
        <v>85.723906649440622</v>
      </c>
      <c r="J15" s="89">
        <v>0</v>
      </c>
      <c r="K15" s="89">
        <f t="shared" si="0"/>
        <v>247.83178807947019</v>
      </c>
      <c r="L15" s="87">
        <v>12</v>
      </c>
      <c r="M15" s="116">
        <v>0</v>
      </c>
      <c r="N15" s="116">
        <v>0</v>
      </c>
      <c r="O15" s="88">
        <v>20</v>
      </c>
      <c r="P15" s="168">
        <v>41645</v>
      </c>
      <c r="Q15" s="16">
        <v>69</v>
      </c>
      <c r="R15" s="89">
        <v>86.87700000000001</v>
      </c>
      <c r="S15" s="89">
        <v>90</v>
      </c>
      <c r="T15" s="89">
        <v>98</v>
      </c>
      <c r="U15" s="89">
        <v>98.5</v>
      </c>
      <c r="V15" s="189">
        <v>234</v>
      </c>
      <c r="W15" s="80">
        <v>0</v>
      </c>
      <c r="X15" s="190">
        <v>40</v>
      </c>
      <c r="Y15" s="89">
        <f t="shared" si="1"/>
        <v>280.8</v>
      </c>
      <c r="Z15" s="87">
        <v>12</v>
      </c>
      <c r="AA15" s="116">
        <v>0</v>
      </c>
      <c r="AB15" s="116">
        <v>0</v>
      </c>
      <c r="AC15" s="191">
        <v>20</v>
      </c>
      <c r="AD15" s="16">
        <f>WEEKNUM(tblKPIs[[#This Row],[Production Start Date]])</f>
        <v>2</v>
      </c>
      <c r="AE15" s="16">
        <v>22</v>
      </c>
      <c r="AF15" s="16">
        <v>1</v>
      </c>
      <c r="AG15" s="16">
        <v>19</v>
      </c>
      <c r="AH15" s="16">
        <v>7</v>
      </c>
      <c r="AI15" s="16">
        <v>20</v>
      </c>
      <c r="AJ15" s="16">
        <f t="shared" si="2"/>
        <v>1</v>
      </c>
      <c r="AL15" s="16"/>
      <c r="AM15" s="16"/>
      <c r="AN15" s="16"/>
      <c r="AO15" s="16"/>
      <c r="AP15" s="16"/>
      <c r="AQ15" s="16"/>
      <c r="AR15" s="16"/>
      <c r="AS15" s="16"/>
      <c r="BB15" s="171">
        <v>2478.317880794702</v>
      </c>
      <c r="BC15" s="171">
        <v>2808</v>
      </c>
    </row>
    <row r="16" spans="2:55" x14ac:dyDescent="0.35">
      <c r="B16" s="1">
        <v>12</v>
      </c>
      <c r="C16" s="158" t="s">
        <v>152</v>
      </c>
      <c r="D16" s="89">
        <v>94.599018003273315</v>
      </c>
      <c r="E16" s="89">
        <v>98.014184397163135</v>
      </c>
      <c r="F16" s="89">
        <v>97.052766336413214</v>
      </c>
      <c r="G16" s="89">
        <v>99.446563243770242</v>
      </c>
      <c r="H16" s="157">
        <v>247.32624113475177</v>
      </c>
      <c r="I16" s="89">
        <v>91.740392026875242</v>
      </c>
      <c r="J16" s="89">
        <v>19.179353414762609</v>
      </c>
      <c r="K16" s="89">
        <f t="shared" si="0"/>
        <v>296.79148936170213</v>
      </c>
      <c r="L16" s="87">
        <v>12</v>
      </c>
      <c r="M16" s="116">
        <v>0</v>
      </c>
      <c r="N16" s="116">
        <v>0</v>
      </c>
      <c r="O16" s="88">
        <v>22</v>
      </c>
      <c r="P16" s="168">
        <v>41645</v>
      </c>
      <c r="Q16" s="16">
        <v>72</v>
      </c>
      <c r="R16" s="89">
        <v>87.097500000000011</v>
      </c>
      <c r="S16" s="89">
        <v>90</v>
      </c>
      <c r="T16" s="89">
        <v>98</v>
      </c>
      <c r="U16" s="89">
        <v>98.75</v>
      </c>
      <c r="V16" s="189">
        <v>260</v>
      </c>
      <c r="W16" s="80">
        <v>0</v>
      </c>
      <c r="X16" s="190">
        <v>40</v>
      </c>
      <c r="Y16" s="89">
        <f t="shared" si="1"/>
        <v>312</v>
      </c>
      <c r="Z16" s="87">
        <v>12</v>
      </c>
      <c r="AA16" s="116">
        <v>0</v>
      </c>
      <c r="AB16" s="116">
        <v>0</v>
      </c>
      <c r="AC16" s="191">
        <v>20</v>
      </c>
      <c r="AD16" s="16">
        <f>WEEKNUM(tblKPIs[[#This Row],[Production Start Date]])</f>
        <v>2</v>
      </c>
      <c r="AE16" s="16">
        <v>10</v>
      </c>
      <c r="AF16" s="16">
        <v>8</v>
      </c>
      <c r="AG16" s="16">
        <v>0</v>
      </c>
      <c r="AH16" s="16">
        <v>20</v>
      </c>
      <c r="AI16" s="16">
        <v>34</v>
      </c>
      <c r="AJ16" s="16">
        <f t="shared" si="2"/>
        <v>1</v>
      </c>
      <c r="AL16" s="16"/>
      <c r="AM16" s="16"/>
      <c r="AN16" s="16"/>
      <c r="AO16" s="16"/>
      <c r="AP16" s="16"/>
      <c r="AQ16" s="16"/>
      <c r="AR16" s="16"/>
      <c r="AS16" s="16"/>
      <c r="BB16" s="172">
        <v>2967.9148936170213</v>
      </c>
      <c r="BC16" s="172">
        <v>3120</v>
      </c>
    </row>
    <row r="17" spans="2:55" x14ac:dyDescent="0.35">
      <c r="B17" s="1">
        <v>13</v>
      </c>
      <c r="C17" s="158" t="s">
        <v>146</v>
      </c>
      <c r="D17" s="89">
        <v>100.55759206322514</v>
      </c>
      <c r="E17" s="89">
        <v>98.083067092651746</v>
      </c>
      <c r="F17" s="89">
        <v>103.15149437110693</v>
      </c>
      <c r="G17" s="89">
        <v>99.390597923157713</v>
      </c>
      <c r="H17" s="157">
        <v>288.34632587859426</v>
      </c>
      <c r="I17" s="89">
        <v>94.628990825688078</v>
      </c>
      <c r="J17" s="89">
        <v>0</v>
      </c>
      <c r="K17" s="89">
        <f t="shared" si="0"/>
        <v>346.01559105431306</v>
      </c>
      <c r="L17" s="87">
        <v>12</v>
      </c>
      <c r="M17" s="116">
        <v>0</v>
      </c>
      <c r="N17" s="116">
        <v>0</v>
      </c>
      <c r="O17" s="88">
        <v>22</v>
      </c>
      <c r="P17" s="168">
        <v>41645</v>
      </c>
      <c r="Q17" s="16">
        <v>79</v>
      </c>
      <c r="R17" s="89">
        <v>87.317999999999998</v>
      </c>
      <c r="S17" s="89">
        <v>90</v>
      </c>
      <c r="T17" s="89">
        <v>98</v>
      </c>
      <c r="U17" s="89">
        <v>99</v>
      </c>
      <c r="V17" s="189">
        <v>285</v>
      </c>
      <c r="W17" s="80">
        <v>0</v>
      </c>
      <c r="X17" s="190">
        <v>40</v>
      </c>
      <c r="Y17" s="89">
        <f t="shared" si="1"/>
        <v>342.00000000000006</v>
      </c>
      <c r="Z17" s="87">
        <v>12</v>
      </c>
      <c r="AA17" s="116">
        <v>0</v>
      </c>
      <c r="AB17" s="116">
        <v>0</v>
      </c>
      <c r="AC17" s="191">
        <v>20</v>
      </c>
      <c r="AD17" s="16">
        <f>WEEKNUM(tblKPIs[[#This Row],[Production Start Date]])</f>
        <v>2</v>
      </c>
      <c r="AE17" s="16">
        <v>15</v>
      </c>
      <c r="AF17" s="16">
        <v>18</v>
      </c>
      <c r="AG17" s="16">
        <v>11</v>
      </c>
      <c r="AH17" s="16">
        <v>15</v>
      </c>
      <c r="AI17" s="16">
        <v>20</v>
      </c>
      <c r="AJ17" s="16">
        <f t="shared" si="2"/>
        <v>1</v>
      </c>
      <c r="AL17" s="16"/>
      <c r="AM17" s="16"/>
      <c r="AN17" s="16"/>
      <c r="AO17" s="16"/>
      <c r="AP17" s="16"/>
      <c r="AQ17" s="16"/>
      <c r="AR17" s="16"/>
      <c r="AS17" s="16"/>
      <c r="BB17" s="171">
        <v>3460.1559105431306</v>
      </c>
      <c r="BC17" s="171">
        <v>3420.0000000000005</v>
      </c>
    </row>
    <row r="18" spans="2:55" x14ac:dyDescent="0.35">
      <c r="B18" s="1">
        <v>14</v>
      </c>
      <c r="C18" s="158" t="s">
        <v>153</v>
      </c>
      <c r="D18" s="89">
        <v>68.404858299595134</v>
      </c>
      <c r="E18" s="89">
        <v>84.615384615384613</v>
      </c>
      <c r="F18" s="89">
        <v>84.624287992709043</v>
      </c>
      <c r="G18" s="89">
        <v>95.530617959377082</v>
      </c>
      <c r="H18" s="157">
        <v>204.07472527472527</v>
      </c>
      <c r="I18" s="89">
        <v>53.310750681785557</v>
      </c>
      <c r="J18" s="89">
        <v>0</v>
      </c>
      <c r="K18" s="89">
        <f t="shared" si="0"/>
        <v>244.88967032967034</v>
      </c>
      <c r="L18" s="87">
        <v>12</v>
      </c>
      <c r="M18" s="116">
        <v>0</v>
      </c>
      <c r="N18" s="116">
        <v>0</v>
      </c>
      <c r="O18" s="88">
        <v>18</v>
      </c>
      <c r="P18" s="168">
        <v>41645</v>
      </c>
      <c r="Q18" s="16">
        <v>68</v>
      </c>
      <c r="R18" s="89">
        <v>87.317999999999998</v>
      </c>
      <c r="S18" s="89">
        <v>90</v>
      </c>
      <c r="T18" s="89">
        <v>98</v>
      </c>
      <c r="U18" s="89">
        <v>99</v>
      </c>
      <c r="V18" s="189">
        <v>285</v>
      </c>
      <c r="W18" s="80">
        <v>0</v>
      </c>
      <c r="X18" s="190">
        <v>40</v>
      </c>
      <c r="Y18" s="89">
        <f t="shared" si="1"/>
        <v>342.00000000000006</v>
      </c>
      <c r="Z18" s="87">
        <v>12</v>
      </c>
      <c r="AA18" s="116">
        <v>0</v>
      </c>
      <c r="AB18" s="116">
        <v>0</v>
      </c>
      <c r="AC18" s="191">
        <v>20</v>
      </c>
      <c r="AD18" s="16">
        <f>WEEKNUM(tblKPIs[[#This Row],[Production Start Date]])</f>
        <v>2</v>
      </c>
      <c r="AE18" s="16">
        <v>12</v>
      </c>
      <c r="AF18" s="16">
        <v>1</v>
      </c>
      <c r="AG18" s="16">
        <v>17</v>
      </c>
      <c r="AH18" s="16">
        <v>15</v>
      </c>
      <c r="AI18" s="16">
        <v>23</v>
      </c>
      <c r="AJ18" s="16">
        <f t="shared" si="2"/>
        <v>1</v>
      </c>
      <c r="AL18" s="16"/>
      <c r="AM18" s="16"/>
      <c r="AN18" s="16"/>
      <c r="AO18" s="16"/>
      <c r="AP18" s="16"/>
      <c r="AQ18" s="16"/>
      <c r="AR18" s="16"/>
      <c r="AS18" s="16"/>
      <c r="BB18" s="172">
        <v>2448.8967032967034</v>
      </c>
      <c r="BC18" s="172">
        <v>3420.0000000000005</v>
      </c>
    </row>
    <row r="19" spans="2:55" x14ac:dyDescent="0.35">
      <c r="B19" s="1">
        <v>15</v>
      </c>
      <c r="C19" s="158" t="s">
        <v>147</v>
      </c>
      <c r="D19" s="89">
        <v>98.674968181349115</v>
      </c>
      <c r="E19" s="89">
        <v>98.888888888888886</v>
      </c>
      <c r="F19" s="89">
        <v>101.21334091389582</v>
      </c>
      <c r="G19" s="89">
        <v>98.58747353660884</v>
      </c>
      <c r="H19" s="157">
        <v>346.39047619047619</v>
      </c>
      <c r="I19" s="89">
        <v>114.12001568832525</v>
      </c>
      <c r="J19" s="89">
        <v>41.661731892537205</v>
      </c>
      <c r="K19" s="89">
        <f t="shared" si="0"/>
        <v>415.66857142857145</v>
      </c>
      <c r="L19" s="87">
        <v>12</v>
      </c>
      <c r="M19" s="116">
        <v>0</v>
      </c>
      <c r="N19" s="116">
        <v>0</v>
      </c>
      <c r="O19" s="88">
        <v>15</v>
      </c>
      <c r="P19" s="168">
        <v>41645</v>
      </c>
      <c r="Q19" s="16">
        <v>108</v>
      </c>
      <c r="R19" s="89">
        <v>87.494399999999999</v>
      </c>
      <c r="S19" s="89">
        <v>90</v>
      </c>
      <c r="T19" s="89">
        <v>98</v>
      </c>
      <c r="U19" s="89">
        <v>99.2</v>
      </c>
      <c r="V19" s="189">
        <v>346.08333333333331</v>
      </c>
      <c r="W19" s="80">
        <v>0</v>
      </c>
      <c r="X19" s="190">
        <v>40</v>
      </c>
      <c r="Y19" s="89">
        <f t="shared" si="1"/>
        <v>415.3</v>
      </c>
      <c r="Z19" s="87">
        <v>12</v>
      </c>
      <c r="AA19" s="116">
        <v>0</v>
      </c>
      <c r="AB19" s="116">
        <v>0</v>
      </c>
      <c r="AC19" s="191">
        <v>20</v>
      </c>
      <c r="AD19" s="16">
        <f>WEEKNUM(tblKPIs[[#This Row],[Production Start Date]])</f>
        <v>2</v>
      </c>
      <c r="AE19" s="16">
        <v>34</v>
      </c>
      <c r="AF19" s="16">
        <v>10</v>
      </c>
      <c r="AG19" s="16">
        <v>33</v>
      </c>
      <c r="AH19" s="16">
        <v>5</v>
      </c>
      <c r="AI19" s="16">
        <v>26</v>
      </c>
      <c r="AJ19" s="16">
        <f t="shared" si="2"/>
        <v>1</v>
      </c>
      <c r="AL19" s="16"/>
      <c r="AM19" s="16"/>
      <c r="AN19" s="16"/>
      <c r="AO19" s="16"/>
      <c r="AP19" s="16"/>
      <c r="AQ19" s="16"/>
      <c r="AR19" s="16"/>
      <c r="AS19" s="16"/>
      <c r="BB19" s="171">
        <v>4156.6857142857143</v>
      </c>
      <c r="BC19" s="171">
        <v>4153</v>
      </c>
    </row>
    <row r="20" spans="2:55" x14ac:dyDescent="0.35">
      <c r="B20" s="1">
        <v>16</v>
      </c>
      <c r="C20" s="158" t="s">
        <v>154</v>
      </c>
      <c r="D20" s="89">
        <v>71.15544700904681</v>
      </c>
      <c r="E20" s="89">
        <v>77.142857142857153</v>
      </c>
      <c r="F20" s="89">
        <v>92.238542419134745</v>
      </c>
      <c r="G20" s="89">
        <v>100</v>
      </c>
      <c r="H20" s="157">
        <v>24.625714285714285</v>
      </c>
      <c r="I20" s="89">
        <v>97.503676609223561</v>
      </c>
      <c r="J20" s="89">
        <v>0</v>
      </c>
      <c r="K20" s="89">
        <f t="shared" si="0"/>
        <v>295.50857142857137</v>
      </c>
      <c r="L20" s="87">
        <v>12</v>
      </c>
      <c r="M20" s="116">
        <v>0</v>
      </c>
      <c r="N20" s="116">
        <v>0</v>
      </c>
      <c r="O20" s="88">
        <v>16</v>
      </c>
      <c r="P20" s="168">
        <v>41645</v>
      </c>
      <c r="Q20" s="16">
        <v>86</v>
      </c>
      <c r="R20" s="89">
        <v>87.494399999999999</v>
      </c>
      <c r="S20" s="89">
        <v>90</v>
      </c>
      <c r="T20" s="89">
        <v>98</v>
      </c>
      <c r="U20" s="89">
        <v>99.2</v>
      </c>
      <c r="V20" s="189">
        <v>346.08333333333331</v>
      </c>
      <c r="W20" s="80">
        <v>0</v>
      </c>
      <c r="X20" s="190">
        <v>40</v>
      </c>
      <c r="Y20" s="89">
        <f t="shared" si="1"/>
        <v>415.3</v>
      </c>
      <c r="Z20" s="87">
        <v>12</v>
      </c>
      <c r="AA20" s="116">
        <v>0</v>
      </c>
      <c r="AB20" s="116">
        <v>0</v>
      </c>
      <c r="AC20" s="191">
        <v>20</v>
      </c>
      <c r="AD20" s="16">
        <f>WEEKNUM(tblKPIs[[#This Row],[Production Start Date]])</f>
        <v>2</v>
      </c>
      <c r="AE20" s="16">
        <v>22</v>
      </c>
      <c r="AF20" s="16">
        <v>33</v>
      </c>
      <c r="AG20" s="16">
        <v>12</v>
      </c>
      <c r="AH20" s="16">
        <v>18</v>
      </c>
      <c r="AI20" s="16">
        <v>1</v>
      </c>
      <c r="AJ20" s="16">
        <f t="shared" si="2"/>
        <v>1</v>
      </c>
      <c r="AL20" s="16"/>
      <c r="AM20" s="16"/>
      <c r="AN20" s="16"/>
      <c r="AO20" s="16"/>
      <c r="AP20" s="16"/>
      <c r="AQ20" s="16"/>
      <c r="AR20" s="16"/>
      <c r="AS20" s="16"/>
      <c r="BB20" s="172">
        <v>2955.0857142857139</v>
      </c>
      <c r="BC20" s="172">
        <v>4153</v>
      </c>
    </row>
    <row r="21" spans="2:55" x14ac:dyDescent="0.35">
      <c r="B21" s="1">
        <v>17</v>
      </c>
      <c r="C21" s="158" t="s">
        <v>151</v>
      </c>
      <c r="D21" s="89">
        <v>108.33333333333333</v>
      </c>
      <c r="E21" s="89">
        <v>91.17647058823529</v>
      </c>
      <c r="F21" s="89">
        <v>118.81720430107525</v>
      </c>
      <c r="G21" s="89">
        <v>100</v>
      </c>
      <c r="H21" s="157">
        <v>253.5</v>
      </c>
      <c r="I21" s="89">
        <v>105.71082527174329</v>
      </c>
      <c r="J21" s="89">
        <v>0</v>
      </c>
      <c r="K21" s="89">
        <f t="shared" si="0"/>
        <v>304.2</v>
      </c>
      <c r="L21" s="87">
        <v>12</v>
      </c>
      <c r="M21" s="116">
        <v>0</v>
      </c>
      <c r="N21" s="116">
        <v>0</v>
      </c>
      <c r="O21" s="88">
        <v>24</v>
      </c>
      <c r="P21" s="168">
        <v>41646</v>
      </c>
      <c r="Q21" s="16">
        <v>76</v>
      </c>
      <c r="R21" s="89">
        <v>86.87700000000001</v>
      </c>
      <c r="S21" s="89">
        <v>90</v>
      </c>
      <c r="T21" s="89">
        <v>98</v>
      </c>
      <c r="U21" s="89">
        <v>98.5</v>
      </c>
      <c r="V21" s="189">
        <v>234</v>
      </c>
      <c r="W21" s="80">
        <v>0</v>
      </c>
      <c r="X21" s="190">
        <v>40</v>
      </c>
      <c r="Y21" s="89">
        <f t="shared" si="1"/>
        <v>280.8</v>
      </c>
      <c r="Z21" s="87">
        <v>12</v>
      </c>
      <c r="AA21" s="116">
        <v>0</v>
      </c>
      <c r="AB21" s="116">
        <v>0</v>
      </c>
      <c r="AC21" s="191">
        <v>20</v>
      </c>
      <c r="AD21" s="16">
        <f>WEEKNUM(tblKPIs[[#This Row],[Production Start Date]])</f>
        <v>2</v>
      </c>
      <c r="AE21" s="16">
        <v>2</v>
      </c>
      <c r="AF21" s="16">
        <v>19</v>
      </c>
      <c r="AG21" s="16">
        <v>13</v>
      </c>
      <c r="AH21" s="16">
        <v>14</v>
      </c>
      <c r="AI21" s="16">
        <v>28</v>
      </c>
      <c r="AJ21" s="16">
        <f t="shared" si="2"/>
        <v>1</v>
      </c>
      <c r="AL21" s="16"/>
      <c r="AM21" s="16"/>
      <c r="AN21" s="16"/>
      <c r="AO21" s="16"/>
      <c r="AP21" s="16"/>
      <c r="AQ21" s="16"/>
      <c r="AR21" s="16"/>
      <c r="AS21" s="16"/>
      <c r="BB21" s="171">
        <v>3042</v>
      </c>
      <c r="BC21" s="171">
        <v>2808</v>
      </c>
    </row>
    <row r="22" spans="2:55" x14ac:dyDescent="0.35">
      <c r="B22" s="1">
        <v>18</v>
      </c>
      <c r="C22" s="158" t="s">
        <v>147</v>
      </c>
      <c r="D22" s="89">
        <v>93.526055349185782</v>
      </c>
      <c r="E22" s="89">
        <v>91.460674157303373</v>
      </c>
      <c r="F22" s="89">
        <v>103.75975213442106</v>
      </c>
      <c r="G22" s="89">
        <v>98.552873982008421</v>
      </c>
      <c r="H22" s="157">
        <v>328.43089887640446</v>
      </c>
      <c r="I22" s="89">
        <v>117.48769066902469</v>
      </c>
      <c r="J22" s="89">
        <v>0</v>
      </c>
      <c r="K22" s="89">
        <f t="shared" si="0"/>
        <v>394.11707865168535</v>
      </c>
      <c r="L22" s="87">
        <v>12</v>
      </c>
      <c r="M22" s="116">
        <v>0</v>
      </c>
      <c r="N22" s="116">
        <v>0</v>
      </c>
      <c r="O22" s="88">
        <v>28</v>
      </c>
      <c r="P22" s="168">
        <v>41646</v>
      </c>
      <c r="Q22" s="16">
        <v>112</v>
      </c>
      <c r="R22" s="89">
        <v>87.494399999999999</v>
      </c>
      <c r="S22" s="89">
        <v>90</v>
      </c>
      <c r="T22" s="89">
        <v>98</v>
      </c>
      <c r="U22" s="89">
        <v>99.2</v>
      </c>
      <c r="V22" s="189">
        <v>346.08333333333331</v>
      </c>
      <c r="W22" s="80">
        <v>0</v>
      </c>
      <c r="X22" s="190">
        <v>40</v>
      </c>
      <c r="Y22" s="89">
        <f t="shared" si="1"/>
        <v>415.3</v>
      </c>
      <c r="Z22" s="87">
        <v>12</v>
      </c>
      <c r="AA22" s="116">
        <v>0</v>
      </c>
      <c r="AB22" s="116">
        <v>0</v>
      </c>
      <c r="AC22" s="191">
        <v>20</v>
      </c>
      <c r="AD22" s="16">
        <f>WEEKNUM(tblKPIs[[#This Row],[Production Start Date]])</f>
        <v>2</v>
      </c>
      <c r="AE22" s="16">
        <v>21</v>
      </c>
      <c r="AF22" s="16">
        <v>24</v>
      </c>
      <c r="AG22" s="16">
        <v>1</v>
      </c>
      <c r="AH22" s="16">
        <v>33</v>
      </c>
      <c r="AI22" s="16">
        <v>33</v>
      </c>
      <c r="AJ22" s="16">
        <f t="shared" si="2"/>
        <v>1</v>
      </c>
      <c r="AL22" s="16"/>
      <c r="AM22" s="16"/>
      <c r="AN22" s="16"/>
      <c r="AO22" s="16"/>
      <c r="AP22" s="16"/>
      <c r="AQ22" s="16"/>
      <c r="AR22" s="16"/>
      <c r="AS22" s="16"/>
      <c r="BB22" s="172">
        <v>3941.1707865168537</v>
      </c>
      <c r="BC22" s="172">
        <v>4153</v>
      </c>
    </row>
    <row r="23" spans="2:55" x14ac:dyDescent="0.35">
      <c r="B23" s="1">
        <v>19</v>
      </c>
      <c r="C23" s="158" t="s">
        <v>146</v>
      </c>
      <c r="D23" s="89">
        <v>54.732478865557674</v>
      </c>
      <c r="E23" s="89">
        <v>64.766839378238345</v>
      </c>
      <c r="F23" s="89">
        <v>93.805192982456134</v>
      </c>
      <c r="G23" s="89">
        <v>90.087706961197682</v>
      </c>
      <c r="H23" s="157">
        <v>173.15077720207253</v>
      </c>
      <c r="I23" s="89">
        <v>75.997725851384388</v>
      </c>
      <c r="J23" s="89">
        <v>0</v>
      </c>
      <c r="K23" s="89">
        <f t="shared" si="0"/>
        <v>207.78093264248704</v>
      </c>
      <c r="L23" s="87">
        <v>12</v>
      </c>
      <c r="M23" s="116">
        <v>0</v>
      </c>
      <c r="N23" s="116">
        <v>0</v>
      </c>
      <c r="O23" s="88">
        <v>30</v>
      </c>
      <c r="P23" s="168">
        <v>41646</v>
      </c>
      <c r="Q23" s="16">
        <v>90</v>
      </c>
      <c r="R23" s="89">
        <v>87.317999999999998</v>
      </c>
      <c r="S23" s="89">
        <v>90</v>
      </c>
      <c r="T23" s="89">
        <v>98</v>
      </c>
      <c r="U23" s="89">
        <v>99</v>
      </c>
      <c r="V23" s="189">
        <v>285</v>
      </c>
      <c r="W23" s="80">
        <v>0</v>
      </c>
      <c r="X23" s="190">
        <v>40</v>
      </c>
      <c r="Y23" s="89">
        <f t="shared" si="1"/>
        <v>342</v>
      </c>
      <c r="Z23" s="87">
        <v>12</v>
      </c>
      <c r="AA23" s="116">
        <v>0</v>
      </c>
      <c r="AB23" s="116">
        <v>0</v>
      </c>
      <c r="AC23" s="191">
        <v>20</v>
      </c>
      <c r="AD23" s="16">
        <f>WEEKNUM(tblKPIs[[#This Row],[Production Start Date]])</f>
        <v>2</v>
      </c>
      <c r="AE23" s="16">
        <v>28</v>
      </c>
      <c r="AF23" s="16">
        <v>5</v>
      </c>
      <c r="AG23" s="16">
        <v>20</v>
      </c>
      <c r="AH23" s="16">
        <v>29</v>
      </c>
      <c r="AI23" s="16">
        <v>8</v>
      </c>
      <c r="AJ23" s="16">
        <f t="shared" si="2"/>
        <v>1</v>
      </c>
      <c r="AL23" s="16"/>
      <c r="AM23" s="16"/>
      <c r="AN23" s="16"/>
      <c r="AO23" s="16"/>
      <c r="AP23" s="16"/>
      <c r="AQ23" s="16"/>
      <c r="AR23" s="16"/>
      <c r="AS23" s="16"/>
      <c r="BB23" s="171">
        <v>2077.8093264248705</v>
      </c>
      <c r="BC23" s="171">
        <v>3420</v>
      </c>
    </row>
    <row r="24" spans="2:55" x14ac:dyDescent="0.35">
      <c r="B24" s="1">
        <v>20</v>
      </c>
      <c r="C24" s="158" t="s">
        <v>145</v>
      </c>
      <c r="D24" s="89">
        <v>83.722756724916536</v>
      </c>
      <c r="E24" s="89">
        <v>87.904967602591782</v>
      </c>
      <c r="F24" s="89">
        <v>95.642543369816096</v>
      </c>
      <c r="G24" s="89">
        <v>99.581573672226227</v>
      </c>
      <c r="H24" s="157">
        <v>277.44600431965443</v>
      </c>
      <c r="I24" s="89">
        <v>64.660357888908464</v>
      </c>
      <c r="J24" s="89">
        <v>82.064894564894558</v>
      </c>
      <c r="K24" s="89">
        <f t="shared" si="0"/>
        <v>332.93520518358531</v>
      </c>
      <c r="L24" s="87">
        <v>12</v>
      </c>
      <c r="M24" s="116">
        <v>0</v>
      </c>
      <c r="N24" s="116">
        <v>0</v>
      </c>
      <c r="O24" s="88">
        <v>23</v>
      </c>
      <c r="P24" s="168">
        <v>41646</v>
      </c>
      <c r="Q24" s="16">
        <v>82</v>
      </c>
      <c r="R24" s="89">
        <v>87.494399999999999</v>
      </c>
      <c r="S24" s="89">
        <v>90</v>
      </c>
      <c r="T24" s="89">
        <v>98</v>
      </c>
      <c r="U24" s="89">
        <v>99.2</v>
      </c>
      <c r="V24" s="189">
        <v>330</v>
      </c>
      <c r="W24" s="80">
        <v>0</v>
      </c>
      <c r="X24" s="190">
        <v>40</v>
      </c>
      <c r="Y24" s="89">
        <f t="shared" si="1"/>
        <v>396</v>
      </c>
      <c r="Z24" s="87">
        <v>12</v>
      </c>
      <c r="AA24" s="116">
        <v>0</v>
      </c>
      <c r="AB24" s="116">
        <v>0</v>
      </c>
      <c r="AC24" s="191">
        <v>20</v>
      </c>
      <c r="AD24" s="16">
        <f>WEEKNUM(tblKPIs[[#This Row],[Production Start Date]])</f>
        <v>2</v>
      </c>
      <c r="AE24" s="16">
        <v>31</v>
      </c>
      <c r="AF24" s="16">
        <v>30</v>
      </c>
      <c r="AG24" s="16">
        <v>11</v>
      </c>
      <c r="AH24" s="16">
        <v>10</v>
      </c>
      <c r="AI24" s="16">
        <v>0</v>
      </c>
      <c r="AJ24" s="16">
        <f t="shared" si="2"/>
        <v>1</v>
      </c>
      <c r="AL24" s="16"/>
      <c r="AM24" s="16"/>
      <c r="AN24" s="16"/>
      <c r="AO24" s="16"/>
      <c r="AP24" s="16"/>
      <c r="AQ24" s="16"/>
      <c r="AR24" s="16"/>
      <c r="AS24" s="16"/>
      <c r="BB24" s="172">
        <v>3329.3520518358532</v>
      </c>
      <c r="BC24" s="172">
        <v>3960</v>
      </c>
    </row>
    <row r="25" spans="2:55" x14ac:dyDescent="0.35">
      <c r="B25" s="1">
        <v>21</v>
      </c>
      <c r="C25" s="158" t="s">
        <v>146</v>
      </c>
      <c r="D25" s="89">
        <v>87.443669414500093</v>
      </c>
      <c r="E25" s="89">
        <v>89.759036144578303</v>
      </c>
      <c r="F25" s="89">
        <v>98.154401664115525</v>
      </c>
      <c r="G25" s="89">
        <v>99.252262007392616</v>
      </c>
      <c r="H25" s="157">
        <v>251.09196787148591</v>
      </c>
      <c r="I25" s="89">
        <v>99.428130690266613</v>
      </c>
      <c r="J25" s="89">
        <v>0</v>
      </c>
      <c r="K25" s="89">
        <f t="shared" si="0"/>
        <v>301.31036144578309</v>
      </c>
      <c r="L25" s="87">
        <v>12</v>
      </c>
      <c r="M25" s="116">
        <v>0</v>
      </c>
      <c r="N25" s="116">
        <v>0</v>
      </c>
      <c r="O25" s="88">
        <v>16</v>
      </c>
      <c r="P25" s="168">
        <v>41647</v>
      </c>
      <c r="Q25" s="16">
        <v>111</v>
      </c>
      <c r="R25" s="89">
        <v>87.317999999999998</v>
      </c>
      <c r="S25" s="89">
        <v>90</v>
      </c>
      <c r="T25" s="89">
        <v>98</v>
      </c>
      <c r="U25" s="89">
        <v>99</v>
      </c>
      <c r="V25" s="189">
        <v>285</v>
      </c>
      <c r="W25" s="80">
        <v>0</v>
      </c>
      <c r="X25" s="190">
        <v>40</v>
      </c>
      <c r="Y25" s="89">
        <f t="shared" si="1"/>
        <v>342</v>
      </c>
      <c r="Z25" s="87">
        <v>12</v>
      </c>
      <c r="AA25" s="116">
        <v>0</v>
      </c>
      <c r="AB25" s="116">
        <v>0</v>
      </c>
      <c r="AC25" s="191">
        <v>20</v>
      </c>
      <c r="AD25" s="16">
        <f>WEEKNUM(tblKPIs[[#This Row],[Production Start Date]])</f>
        <v>2</v>
      </c>
      <c r="AE25" s="16">
        <v>16</v>
      </c>
      <c r="AF25" s="16">
        <v>23</v>
      </c>
      <c r="AG25" s="16">
        <v>28</v>
      </c>
      <c r="AH25" s="16">
        <v>13</v>
      </c>
      <c r="AI25" s="16">
        <v>31</v>
      </c>
      <c r="AJ25" s="16">
        <f t="shared" si="2"/>
        <v>1</v>
      </c>
      <c r="AL25" s="16"/>
      <c r="AM25" s="16"/>
      <c r="AN25" s="16"/>
      <c r="AO25" s="16"/>
      <c r="AP25" s="16"/>
      <c r="AQ25" s="16"/>
      <c r="AR25" s="16"/>
      <c r="AS25" s="16"/>
      <c r="BB25" s="171">
        <v>3013.1036144578311</v>
      </c>
      <c r="BC25" s="171">
        <v>3420</v>
      </c>
    </row>
    <row r="26" spans="2:55" x14ac:dyDescent="0.35">
      <c r="B26" s="1">
        <v>22</v>
      </c>
      <c r="C26" s="158" t="s">
        <v>145</v>
      </c>
      <c r="D26" s="89">
        <v>105.36130536130537</v>
      </c>
      <c r="E26" s="89">
        <v>97.115384615384613</v>
      </c>
      <c r="F26" s="89">
        <v>110.17101710171018</v>
      </c>
      <c r="G26" s="89">
        <v>98.474945533769059</v>
      </c>
      <c r="H26" s="157">
        <v>353.07692307692309</v>
      </c>
      <c r="I26" s="89">
        <v>110.42612696598803</v>
      </c>
      <c r="J26" s="89">
        <v>82.421771588923605</v>
      </c>
      <c r="K26" s="89">
        <f t="shared" si="0"/>
        <v>423.69230769230774</v>
      </c>
      <c r="L26" s="87">
        <v>12</v>
      </c>
      <c r="M26" s="116">
        <v>0</v>
      </c>
      <c r="N26" s="116">
        <v>0</v>
      </c>
      <c r="O26" s="88">
        <v>21</v>
      </c>
      <c r="P26" s="168">
        <v>41647</v>
      </c>
      <c r="Q26" s="16">
        <v>109</v>
      </c>
      <c r="R26" s="89">
        <v>87.494399999999999</v>
      </c>
      <c r="S26" s="89">
        <v>90</v>
      </c>
      <c r="T26" s="89">
        <v>98</v>
      </c>
      <c r="U26" s="89">
        <v>99.2</v>
      </c>
      <c r="V26" s="189">
        <v>330</v>
      </c>
      <c r="W26" s="80">
        <v>0</v>
      </c>
      <c r="X26" s="190">
        <v>40</v>
      </c>
      <c r="Y26" s="89">
        <f t="shared" si="1"/>
        <v>396.00000000000006</v>
      </c>
      <c r="Z26" s="87">
        <v>12</v>
      </c>
      <c r="AA26" s="116">
        <v>0</v>
      </c>
      <c r="AB26" s="116">
        <v>0</v>
      </c>
      <c r="AC26" s="191">
        <v>20</v>
      </c>
      <c r="AD26" s="16">
        <f>WEEKNUM(tblKPIs[[#This Row],[Production Start Date]])</f>
        <v>2</v>
      </c>
      <c r="AE26" s="16">
        <v>31</v>
      </c>
      <c r="AF26" s="16">
        <v>8</v>
      </c>
      <c r="AG26" s="16">
        <v>16</v>
      </c>
      <c r="AH26" s="16">
        <v>26</v>
      </c>
      <c r="AI26" s="16">
        <v>28</v>
      </c>
      <c r="AJ26" s="16">
        <f t="shared" si="2"/>
        <v>1</v>
      </c>
      <c r="AL26" s="16"/>
      <c r="AM26" s="16"/>
      <c r="AN26" s="16"/>
      <c r="AO26" s="16"/>
      <c r="AP26" s="16"/>
      <c r="AQ26" s="16"/>
      <c r="AR26" s="16"/>
      <c r="AS26" s="16"/>
      <c r="BB26" s="172">
        <v>4236.9230769230771</v>
      </c>
      <c r="BC26" s="172">
        <v>3960.0000000000005</v>
      </c>
    </row>
    <row r="27" spans="2:55" x14ac:dyDescent="0.35">
      <c r="B27" s="1">
        <v>23</v>
      </c>
      <c r="C27" s="158" t="s">
        <v>147</v>
      </c>
      <c r="D27" s="89">
        <v>89.698082252159963</v>
      </c>
      <c r="E27" s="89">
        <v>89.152542372881371</v>
      </c>
      <c r="F27" s="89">
        <v>102.22420184593297</v>
      </c>
      <c r="G27" s="89">
        <v>98.422795715951324</v>
      </c>
      <c r="H27" s="157">
        <v>315.40468926553672</v>
      </c>
      <c r="I27" s="89">
        <v>120.75191694154543</v>
      </c>
      <c r="J27" s="89">
        <v>28.587370966241981</v>
      </c>
      <c r="K27" s="89">
        <f t="shared" si="0"/>
        <v>378.48562711864406</v>
      </c>
      <c r="L27" s="87">
        <v>12</v>
      </c>
      <c r="M27" s="116">
        <v>0</v>
      </c>
      <c r="N27" s="116">
        <v>0</v>
      </c>
      <c r="O27" s="88">
        <v>23</v>
      </c>
      <c r="P27" s="168">
        <v>41647</v>
      </c>
      <c r="Q27" s="16">
        <v>86</v>
      </c>
      <c r="R27" s="89">
        <v>87.494399999999999</v>
      </c>
      <c r="S27" s="89">
        <v>90</v>
      </c>
      <c r="T27" s="89">
        <v>98</v>
      </c>
      <c r="U27" s="89">
        <v>99.2</v>
      </c>
      <c r="V27" s="189">
        <v>346.08333333333331</v>
      </c>
      <c r="W27" s="80">
        <v>0</v>
      </c>
      <c r="X27" s="190">
        <v>40</v>
      </c>
      <c r="Y27" s="89">
        <f t="shared" si="1"/>
        <v>415.3</v>
      </c>
      <c r="Z27" s="87">
        <v>12</v>
      </c>
      <c r="AA27" s="116">
        <v>0</v>
      </c>
      <c r="AB27" s="116">
        <v>0</v>
      </c>
      <c r="AC27" s="191">
        <v>20</v>
      </c>
      <c r="AD27" s="16">
        <f>WEEKNUM(tblKPIs[[#This Row],[Production Start Date]])</f>
        <v>2</v>
      </c>
      <c r="AE27" s="16">
        <v>33</v>
      </c>
      <c r="AF27" s="16">
        <v>12</v>
      </c>
      <c r="AG27" s="16">
        <v>7</v>
      </c>
      <c r="AH27" s="16">
        <v>24</v>
      </c>
      <c r="AI27" s="16">
        <v>10</v>
      </c>
      <c r="AJ27" s="16">
        <f t="shared" si="2"/>
        <v>1</v>
      </c>
      <c r="AL27" s="16"/>
      <c r="AM27" s="16"/>
      <c r="AN27" s="16"/>
      <c r="AO27" s="16"/>
      <c r="AP27" s="16"/>
      <c r="AQ27" s="16"/>
      <c r="AR27" s="16"/>
      <c r="AS27" s="16"/>
      <c r="BB27" s="171">
        <v>3784.8562711864406</v>
      </c>
      <c r="BC27" s="171">
        <v>4153</v>
      </c>
    </row>
    <row r="28" spans="2:55" x14ac:dyDescent="0.35">
      <c r="B28" s="1">
        <v>24</v>
      </c>
      <c r="C28" s="158" t="s">
        <v>147</v>
      </c>
      <c r="D28" s="89">
        <v>66.953116856040864</v>
      </c>
      <c r="E28" s="89">
        <v>74.056603773584911</v>
      </c>
      <c r="F28" s="89">
        <v>92.743780131611359</v>
      </c>
      <c r="G28" s="89">
        <v>97.481502561183845</v>
      </c>
      <c r="H28" s="157">
        <v>248.63207547169813</v>
      </c>
      <c r="I28" s="89">
        <v>100.52206250446972</v>
      </c>
      <c r="J28" s="89">
        <v>0</v>
      </c>
      <c r="K28" s="89">
        <f t="shared" si="0"/>
        <v>298.35849056603774</v>
      </c>
      <c r="L28" s="87">
        <v>12</v>
      </c>
      <c r="M28" s="116">
        <v>0</v>
      </c>
      <c r="N28" s="116">
        <v>0</v>
      </c>
      <c r="O28" s="88">
        <v>29</v>
      </c>
      <c r="P28" s="168">
        <v>41647</v>
      </c>
      <c r="Q28" s="16">
        <v>86</v>
      </c>
      <c r="R28" s="89">
        <v>87.494399999999999</v>
      </c>
      <c r="S28" s="89">
        <v>90</v>
      </c>
      <c r="T28" s="89">
        <v>98</v>
      </c>
      <c r="U28" s="89">
        <v>99.2</v>
      </c>
      <c r="V28" s="189">
        <v>362</v>
      </c>
      <c r="W28" s="80">
        <v>0</v>
      </c>
      <c r="X28" s="190">
        <v>40</v>
      </c>
      <c r="Y28" s="89">
        <f t="shared" si="1"/>
        <v>434.4</v>
      </c>
      <c r="Z28" s="87">
        <v>12</v>
      </c>
      <c r="AA28" s="116">
        <v>0</v>
      </c>
      <c r="AB28" s="116">
        <v>0</v>
      </c>
      <c r="AC28" s="191">
        <v>20</v>
      </c>
      <c r="AD28" s="16">
        <f>WEEKNUM(tblKPIs[[#This Row],[Production Start Date]])</f>
        <v>2</v>
      </c>
      <c r="AE28" s="16">
        <v>5</v>
      </c>
      <c r="AF28" s="16">
        <v>24</v>
      </c>
      <c r="AG28" s="16">
        <v>7</v>
      </c>
      <c r="AH28" s="16">
        <v>23</v>
      </c>
      <c r="AI28" s="16">
        <v>27</v>
      </c>
      <c r="AJ28" s="16">
        <f t="shared" si="2"/>
        <v>1</v>
      </c>
      <c r="AL28" s="16"/>
      <c r="AM28" s="16"/>
      <c r="AN28" s="16"/>
      <c r="AO28" s="16"/>
      <c r="AP28" s="16"/>
      <c r="AQ28" s="16"/>
      <c r="AR28" s="16"/>
      <c r="AS28" s="16"/>
      <c r="BB28" s="172">
        <v>2983.5849056603774</v>
      </c>
      <c r="BC28" s="172">
        <v>4344</v>
      </c>
    </row>
    <row r="29" spans="2:55" x14ac:dyDescent="0.35">
      <c r="B29" s="1">
        <v>25</v>
      </c>
      <c r="C29" s="158" t="s">
        <v>147</v>
      </c>
      <c r="D29" s="89">
        <v>99.804794207760068</v>
      </c>
      <c r="E29" s="89">
        <v>99.080459770114942</v>
      </c>
      <c r="F29" s="89">
        <v>101.77103404968759</v>
      </c>
      <c r="G29" s="89">
        <v>98.97812058177135</v>
      </c>
      <c r="H29" s="157">
        <v>348.97385057471263</v>
      </c>
      <c r="I29" s="89">
        <v>119.82951540459257</v>
      </c>
      <c r="J29" s="89">
        <v>40.17757465810773</v>
      </c>
      <c r="K29" s="89">
        <f t="shared" si="0"/>
        <v>418.76862068965511</v>
      </c>
      <c r="L29" s="87">
        <v>12</v>
      </c>
      <c r="M29" s="116">
        <v>0</v>
      </c>
      <c r="N29" s="116">
        <v>0</v>
      </c>
      <c r="O29" s="88">
        <v>21</v>
      </c>
      <c r="P29" s="168">
        <v>41648</v>
      </c>
      <c r="Q29" s="16">
        <v>92</v>
      </c>
      <c r="R29" s="89">
        <v>87.494399999999999</v>
      </c>
      <c r="S29" s="89">
        <v>90</v>
      </c>
      <c r="T29" s="89">
        <v>98</v>
      </c>
      <c r="U29" s="89">
        <v>99.2</v>
      </c>
      <c r="V29" s="189">
        <v>346.08333333333331</v>
      </c>
      <c r="W29" s="80">
        <v>0</v>
      </c>
      <c r="X29" s="190">
        <v>40</v>
      </c>
      <c r="Y29" s="89">
        <f t="shared" si="1"/>
        <v>415.3</v>
      </c>
      <c r="Z29" s="87">
        <v>12</v>
      </c>
      <c r="AA29" s="116">
        <v>0</v>
      </c>
      <c r="AB29" s="116">
        <v>0</v>
      </c>
      <c r="AC29" s="191">
        <v>20</v>
      </c>
      <c r="AD29" s="16">
        <f>WEEKNUM(tblKPIs[[#This Row],[Production Start Date]])</f>
        <v>2</v>
      </c>
      <c r="AE29" s="16">
        <v>21</v>
      </c>
      <c r="AF29" s="16">
        <v>21</v>
      </c>
      <c r="AG29" s="16">
        <v>24</v>
      </c>
      <c r="AH29" s="16">
        <v>8</v>
      </c>
      <c r="AI29" s="16">
        <v>18</v>
      </c>
      <c r="AJ29" s="16">
        <f t="shared" si="2"/>
        <v>1</v>
      </c>
      <c r="AL29" s="16"/>
      <c r="AM29" s="16"/>
      <c r="AN29" s="16"/>
      <c r="AO29" s="16"/>
      <c r="AP29" s="16"/>
      <c r="AQ29" s="16"/>
      <c r="AR29" s="16"/>
      <c r="AS29" s="16"/>
      <c r="BB29" s="171">
        <v>4187.6862068965511</v>
      </c>
      <c r="BC29" s="171">
        <v>4153</v>
      </c>
    </row>
    <row r="30" spans="2:55" x14ac:dyDescent="0.35">
      <c r="B30" s="1">
        <v>26</v>
      </c>
      <c r="C30" s="158" t="s">
        <v>147</v>
      </c>
      <c r="D30" s="89">
        <v>87.241909562658137</v>
      </c>
      <c r="E30" s="89">
        <v>88.668224299065429</v>
      </c>
      <c r="F30" s="89">
        <v>99.891813887129771</v>
      </c>
      <c r="G30" s="89">
        <v>98.497963734340885</v>
      </c>
      <c r="H30" s="157">
        <v>320.63171728971963</v>
      </c>
      <c r="I30" s="89">
        <v>121.66676271366764</v>
      </c>
      <c r="J30" s="89">
        <v>42.05781062570135</v>
      </c>
      <c r="K30" s="89">
        <f t="shared" si="0"/>
        <v>384.75806074766359</v>
      </c>
      <c r="L30" s="87">
        <v>12</v>
      </c>
      <c r="M30" s="116">
        <v>0</v>
      </c>
      <c r="N30" s="116">
        <v>0</v>
      </c>
      <c r="O30" s="88">
        <v>21</v>
      </c>
      <c r="P30" s="168">
        <v>41648</v>
      </c>
      <c r="Q30" s="16">
        <v>67</v>
      </c>
      <c r="R30" s="89">
        <v>87.494399999999999</v>
      </c>
      <c r="S30" s="89">
        <v>90</v>
      </c>
      <c r="T30" s="89">
        <v>98</v>
      </c>
      <c r="U30" s="89">
        <v>99.2</v>
      </c>
      <c r="V30" s="189">
        <v>362</v>
      </c>
      <c r="W30" s="80">
        <v>0</v>
      </c>
      <c r="X30" s="190">
        <v>40</v>
      </c>
      <c r="Y30" s="89">
        <f t="shared" si="1"/>
        <v>434.4</v>
      </c>
      <c r="Z30" s="87">
        <v>12</v>
      </c>
      <c r="AA30" s="116">
        <v>0</v>
      </c>
      <c r="AB30" s="116">
        <v>0</v>
      </c>
      <c r="AC30" s="191">
        <v>20</v>
      </c>
      <c r="AD30" s="16">
        <f>WEEKNUM(tblKPIs[[#This Row],[Production Start Date]])</f>
        <v>2</v>
      </c>
      <c r="AE30" s="16">
        <v>26</v>
      </c>
      <c r="AF30" s="16">
        <v>11</v>
      </c>
      <c r="AG30" s="16">
        <v>20</v>
      </c>
      <c r="AH30" s="16">
        <v>8</v>
      </c>
      <c r="AI30" s="16">
        <v>2</v>
      </c>
      <c r="AJ30" s="16">
        <f t="shared" si="2"/>
        <v>1</v>
      </c>
      <c r="AL30" s="16"/>
      <c r="AM30" s="16"/>
      <c r="AN30" s="16"/>
      <c r="AO30" s="16"/>
      <c r="AP30" s="16"/>
      <c r="AQ30" s="16"/>
      <c r="AR30" s="16"/>
      <c r="AS30" s="16"/>
      <c r="BB30" s="172">
        <v>3847.580607476636</v>
      </c>
      <c r="BC30" s="172">
        <v>4344</v>
      </c>
    </row>
    <row r="31" spans="2:55" x14ac:dyDescent="0.35">
      <c r="B31" s="1">
        <v>27</v>
      </c>
      <c r="C31" s="158" t="s">
        <v>155</v>
      </c>
      <c r="D31" s="89">
        <v>85.248713550600328</v>
      </c>
      <c r="E31" s="89">
        <v>92.138364779874209</v>
      </c>
      <c r="F31" s="89">
        <v>92.985313889750756</v>
      </c>
      <c r="G31" s="89">
        <v>99.502266218057443</v>
      </c>
      <c r="H31" s="157">
        <v>282.72798742138366</v>
      </c>
      <c r="I31" s="89">
        <v>107.01299165035026</v>
      </c>
      <c r="J31" s="89">
        <v>0</v>
      </c>
      <c r="K31" s="89">
        <f t="shared" si="0"/>
        <v>339.27358490566041</v>
      </c>
      <c r="L31" s="87">
        <v>12</v>
      </c>
      <c r="M31" s="116">
        <v>0</v>
      </c>
      <c r="N31" s="116">
        <v>0</v>
      </c>
      <c r="O31" s="88">
        <v>24</v>
      </c>
      <c r="P31" s="168">
        <v>41649</v>
      </c>
      <c r="Q31" s="16">
        <v>79</v>
      </c>
      <c r="R31" s="89">
        <v>87.494399999999999</v>
      </c>
      <c r="S31" s="89">
        <v>90</v>
      </c>
      <c r="T31" s="89">
        <v>98</v>
      </c>
      <c r="U31" s="89">
        <v>99.2</v>
      </c>
      <c r="V31" s="189">
        <v>330</v>
      </c>
      <c r="W31" s="80">
        <v>0</v>
      </c>
      <c r="X31" s="190">
        <v>40</v>
      </c>
      <c r="Y31" s="89">
        <f t="shared" si="1"/>
        <v>395.99999999999994</v>
      </c>
      <c r="Z31" s="87">
        <v>12</v>
      </c>
      <c r="AA31" s="116">
        <v>0</v>
      </c>
      <c r="AB31" s="116">
        <v>0</v>
      </c>
      <c r="AC31" s="191">
        <v>20</v>
      </c>
      <c r="AD31" s="16">
        <f>WEEKNUM(tblKPIs[[#This Row],[Production Start Date]])</f>
        <v>2</v>
      </c>
      <c r="AE31" s="16">
        <v>19</v>
      </c>
      <c r="AF31" s="16">
        <v>15</v>
      </c>
      <c r="AG31" s="16">
        <v>20</v>
      </c>
      <c r="AH31" s="16">
        <v>11</v>
      </c>
      <c r="AI31" s="16">
        <v>14</v>
      </c>
      <c r="AJ31" s="16">
        <f t="shared" si="2"/>
        <v>1</v>
      </c>
      <c r="AL31" s="16"/>
      <c r="AM31" s="16"/>
      <c r="AN31" s="16"/>
      <c r="AO31" s="16"/>
      <c r="AP31" s="16"/>
      <c r="AQ31" s="16"/>
      <c r="AR31" s="16"/>
      <c r="AS31" s="16"/>
      <c r="BB31" s="171">
        <v>3392.7358490566039</v>
      </c>
      <c r="BC31" s="171">
        <v>3959.9999999999995</v>
      </c>
    </row>
    <row r="32" spans="2:55" x14ac:dyDescent="0.35">
      <c r="B32" s="1">
        <v>28</v>
      </c>
      <c r="C32" s="158" t="s">
        <v>156</v>
      </c>
      <c r="D32" s="89">
        <v>68</v>
      </c>
      <c r="E32" s="89">
        <v>86.054421768707485</v>
      </c>
      <c r="F32" s="89">
        <v>80.648367735324257</v>
      </c>
      <c r="G32" s="89">
        <v>97.980610227823476</v>
      </c>
      <c r="H32" s="157">
        <v>187.38401360544216</v>
      </c>
      <c r="I32" s="89">
        <v>106.52274375211486</v>
      </c>
      <c r="J32" s="89">
        <v>0</v>
      </c>
      <c r="K32" s="89">
        <f t="shared" si="0"/>
        <v>224.8608163265306</v>
      </c>
      <c r="L32" s="87">
        <v>12</v>
      </c>
      <c r="M32" s="116">
        <v>0</v>
      </c>
      <c r="N32" s="116">
        <v>0</v>
      </c>
      <c r="O32" s="88">
        <v>29</v>
      </c>
      <c r="P32" s="168">
        <v>41649</v>
      </c>
      <c r="Q32" s="16">
        <v>73</v>
      </c>
      <c r="R32" s="89">
        <v>86.87700000000001</v>
      </c>
      <c r="S32" s="89">
        <v>90</v>
      </c>
      <c r="T32" s="89">
        <v>98</v>
      </c>
      <c r="U32" s="89">
        <v>98.5</v>
      </c>
      <c r="V32" s="189">
        <v>270</v>
      </c>
      <c r="W32" s="80">
        <v>0</v>
      </c>
      <c r="X32" s="190">
        <v>40</v>
      </c>
      <c r="Y32" s="89">
        <f t="shared" si="1"/>
        <v>324</v>
      </c>
      <c r="Z32" s="87">
        <v>12</v>
      </c>
      <c r="AA32" s="116">
        <v>0</v>
      </c>
      <c r="AB32" s="116">
        <v>0</v>
      </c>
      <c r="AC32" s="191">
        <v>20</v>
      </c>
      <c r="AD32" s="16">
        <f>WEEKNUM(tblKPIs[[#This Row],[Production Start Date]])</f>
        <v>2</v>
      </c>
      <c r="AE32" s="16">
        <v>23</v>
      </c>
      <c r="AF32" s="16">
        <v>14</v>
      </c>
      <c r="AG32" s="16">
        <v>24</v>
      </c>
      <c r="AH32" s="16">
        <v>5</v>
      </c>
      <c r="AI32" s="16">
        <v>7</v>
      </c>
      <c r="AJ32" s="16">
        <f t="shared" si="2"/>
        <v>1</v>
      </c>
      <c r="AL32" s="16"/>
      <c r="AM32" s="16"/>
      <c r="AN32" s="16"/>
      <c r="AO32" s="16"/>
      <c r="AP32" s="16"/>
      <c r="AQ32" s="16"/>
      <c r="AR32" s="16"/>
      <c r="AS32" s="16"/>
      <c r="BB32" s="172">
        <v>2248.6081632653058</v>
      </c>
      <c r="BC32" s="172">
        <v>3240</v>
      </c>
    </row>
    <row r="33" spans="2:55" x14ac:dyDescent="0.35">
      <c r="B33" s="1">
        <v>29</v>
      </c>
      <c r="C33" s="158" t="s">
        <v>157</v>
      </c>
      <c r="D33" s="89">
        <v>88.645206933144678</v>
      </c>
      <c r="E33" s="89">
        <v>94.163424124513611</v>
      </c>
      <c r="F33" s="89">
        <v>94.950538442273995</v>
      </c>
      <c r="G33" s="89">
        <v>99.146088160627741</v>
      </c>
      <c r="H33" s="157">
        <v>295.04863813229571</v>
      </c>
      <c r="I33" s="89">
        <v>93.879610256156283</v>
      </c>
      <c r="J33" s="89">
        <v>7.8170277356147375</v>
      </c>
      <c r="K33" s="89">
        <f t="shared" si="0"/>
        <v>354.05836575875486</v>
      </c>
      <c r="L33" s="87">
        <v>12</v>
      </c>
      <c r="M33" s="116">
        <v>0</v>
      </c>
      <c r="N33" s="116">
        <v>0</v>
      </c>
      <c r="O33" s="88">
        <v>24</v>
      </c>
      <c r="P33" s="168">
        <v>41649</v>
      </c>
      <c r="Q33" s="16">
        <v>75</v>
      </c>
      <c r="R33" s="89">
        <v>87.494399999999999</v>
      </c>
      <c r="S33" s="89">
        <v>90</v>
      </c>
      <c r="T33" s="89">
        <v>98</v>
      </c>
      <c r="U33" s="89">
        <v>99.2</v>
      </c>
      <c r="V33" s="189">
        <v>330</v>
      </c>
      <c r="W33" s="80">
        <v>0</v>
      </c>
      <c r="X33" s="190">
        <v>40</v>
      </c>
      <c r="Y33" s="89">
        <f t="shared" si="1"/>
        <v>396</v>
      </c>
      <c r="Z33" s="87">
        <v>12</v>
      </c>
      <c r="AA33" s="116">
        <v>0</v>
      </c>
      <c r="AB33" s="116">
        <v>0</v>
      </c>
      <c r="AC33" s="191">
        <v>20</v>
      </c>
      <c r="AD33" s="16">
        <f>WEEKNUM(tblKPIs[[#This Row],[Production Start Date]])</f>
        <v>2</v>
      </c>
      <c r="AE33" s="16">
        <v>3</v>
      </c>
      <c r="AF33" s="16">
        <v>18</v>
      </c>
      <c r="AG33" s="16">
        <v>20</v>
      </c>
      <c r="AH33" s="16">
        <v>1</v>
      </c>
      <c r="AI33" s="16">
        <v>33</v>
      </c>
      <c r="AJ33" s="16">
        <f t="shared" si="2"/>
        <v>1</v>
      </c>
      <c r="AL33" s="16"/>
      <c r="AM33" s="16"/>
      <c r="AN33" s="16"/>
      <c r="AO33" s="16"/>
      <c r="AP33" s="16"/>
      <c r="AQ33" s="16"/>
      <c r="AR33" s="16"/>
      <c r="AS33" s="16"/>
      <c r="BB33" s="171">
        <v>3540.5836575875487</v>
      </c>
      <c r="BC33" s="171">
        <v>3960</v>
      </c>
    </row>
    <row r="34" spans="2:55" x14ac:dyDescent="0.35">
      <c r="B34" s="1">
        <v>30</v>
      </c>
      <c r="C34" s="158" t="s">
        <v>150</v>
      </c>
      <c r="D34" s="89">
        <v>66.246392896781344</v>
      </c>
      <c r="E34" s="89">
        <v>81.132075471698101</v>
      </c>
      <c r="F34" s="89">
        <v>83.746314029487763</v>
      </c>
      <c r="G34" s="89">
        <v>97.499850263264406</v>
      </c>
      <c r="H34" s="157">
        <v>207.9120754716981</v>
      </c>
      <c r="I34" s="89">
        <v>95.537887983353571</v>
      </c>
      <c r="J34" s="89">
        <v>45.319148936170208</v>
      </c>
      <c r="K34" s="89">
        <f t="shared" si="0"/>
        <v>249.49449056603771</v>
      </c>
      <c r="L34" s="87">
        <v>12</v>
      </c>
      <c r="M34" s="116">
        <v>0</v>
      </c>
      <c r="N34" s="116">
        <v>0</v>
      </c>
      <c r="O34" s="88">
        <v>30</v>
      </c>
      <c r="P34" s="168">
        <v>41649</v>
      </c>
      <c r="Q34" s="16">
        <v>79</v>
      </c>
      <c r="R34" s="89">
        <v>86.87700000000001</v>
      </c>
      <c r="S34" s="89">
        <v>90</v>
      </c>
      <c r="T34" s="89">
        <v>98</v>
      </c>
      <c r="U34" s="89">
        <v>98.5</v>
      </c>
      <c r="V34" s="189">
        <v>306</v>
      </c>
      <c r="W34" s="80">
        <v>0</v>
      </c>
      <c r="X34" s="190">
        <v>40</v>
      </c>
      <c r="Y34" s="89">
        <f t="shared" si="1"/>
        <v>367.2</v>
      </c>
      <c r="Z34" s="87">
        <v>12</v>
      </c>
      <c r="AA34" s="116">
        <v>0</v>
      </c>
      <c r="AB34" s="116">
        <v>0</v>
      </c>
      <c r="AC34" s="191">
        <v>20</v>
      </c>
      <c r="AD34" s="16">
        <f>WEEKNUM(tblKPIs[[#This Row],[Production Start Date]])</f>
        <v>2</v>
      </c>
      <c r="AE34" s="16">
        <v>29</v>
      </c>
      <c r="AF34" s="16">
        <v>13</v>
      </c>
      <c r="AG34" s="16">
        <v>13</v>
      </c>
      <c r="AH34" s="16">
        <v>16</v>
      </c>
      <c r="AI34" s="16">
        <v>8</v>
      </c>
      <c r="AJ34" s="16">
        <f t="shared" si="2"/>
        <v>1</v>
      </c>
      <c r="AL34" s="16"/>
      <c r="AM34" s="16"/>
      <c r="AN34" s="16"/>
      <c r="AO34" s="16"/>
      <c r="AP34" s="16"/>
      <c r="AQ34" s="16"/>
      <c r="AR34" s="16"/>
      <c r="AS34" s="16"/>
      <c r="BB34" s="172">
        <v>2494.9449056603771</v>
      </c>
      <c r="BC34" s="172">
        <v>3672</v>
      </c>
    </row>
    <row r="35" spans="2:55" x14ac:dyDescent="0.35">
      <c r="B35" s="1">
        <v>31</v>
      </c>
      <c r="C35" s="158" t="s">
        <v>147</v>
      </c>
      <c r="D35" s="89">
        <v>96.585270509746678</v>
      </c>
      <c r="E35" s="89">
        <v>96.226415094339629</v>
      </c>
      <c r="F35" s="89">
        <v>101.75504640161772</v>
      </c>
      <c r="G35" s="89">
        <v>98.641720215656861</v>
      </c>
      <c r="H35" s="157">
        <v>354.45314465408808</v>
      </c>
      <c r="I35" s="89">
        <v>123.80724855450696</v>
      </c>
      <c r="J35" s="89">
        <v>0</v>
      </c>
      <c r="K35" s="89">
        <f t="shared" si="0"/>
        <v>425.34377358490565</v>
      </c>
      <c r="L35" s="87">
        <v>12</v>
      </c>
      <c r="M35" s="116">
        <v>0</v>
      </c>
      <c r="N35" s="116">
        <v>0</v>
      </c>
      <c r="O35" s="88">
        <v>27</v>
      </c>
      <c r="P35" s="168">
        <v>41650</v>
      </c>
      <c r="Q35" s="16">
        <v>89</v>
      </c>
      <c r="R35" s="89">
        <v>87.494399999999999</v>
      </c>
      <c r="S35" s="89">
        <v>90</v>
      </c>
      <c r="T35" s="89">
        <v>98</v>
      </c>
      <c r="U35" s="89">
        <v>99.2</v>
      </c>
      <c r="V35" s="189">
        <v>362</v>
      </c>
      <c r="W35" s="80">
        <v>0</v>
      </c>
      <c r="X35" s="190">
        <v>40</v>
      </c>
      <c r="Y35" s="89">
        <f t="shared" si="1"/>
        <v>434.4</v>
      </c>
      <c r="Z35" s="87">
        <v>12</v>
      </c>
      <c r="AA35" s="116">
        <v>0</v>
      </c>
      <c r="AB35" s="116">
        <v>0</v>
      </c>
      <c r="AC35" s="191">
        <v>20</v>
      </c>
      <c r="AD35" s="16">
        <f>WEEKNUM(tblKPIs[[#This Row],[Production Start Date]])</f>
        <v>2</v>
      </c>
      <c r="AE35" s="16">
        <v>19</v>
      </c>
      <c r="AF35" s="16">
        <v>28</v>
      </c>
      <c r="AG35" s="16">
        <v>22</v>
      </c>
      <c r="AH35" s="16">
        <v>14</v>
      </c>
      <c r="AI35" s="16">
        <v>6</v>
      </c>
      <c r="AJ35" s="16">
        <f t="shared" si="2"/>
        <v>1</v>
      </c>
      <c r="AL35" s="16"/>
      <c r="AM35" s="16"/>
      <c r="AN35" s="16"/>
      <c r="AO35" s="16"/>
      <c r="AP35" s="16"/>
      <c r="AQ35" s="16"/>
      <c r="AR35" s="16"/>
      <c r="AS35" s="16"/>
      <c r="BB35" s="171">
        <v>4253.4377358490565</v>
      </c>
      <c r="BC35" s="171">
        <v>4344</v>
      </c>
    </row>
    <row r="36" spans="2:55" x14ac:dyDescent="0.35">
      <c r="B36" s="1">
        <v>32</v>
      </c>
      <c r="C36" s="158" t="s">
        <v>149</v>
      </c>
      <c r="D36" s="89">
        <v>77.560810560272913</v>
      </c>
      <c r="E36" s="89">
        <v>78.523489932885909</v>
      </c>
      <c r="F36" s="89">
        <v>101.25312839401236</v>
      </c>
      <c r="G36" s="89">
        <v>97.551577192358579</v>
      </c>
      <c r="H36" s="157">
        <v>287.81711409395973</v>
      </c>
      <c r="I36" s="89">
        <v>113.46597786758919</v>
      </c>
      <c r="J36" s="89">
        <v>100</v>
      </c>
      <c r="K36" s="89">
        <f t="shared" si="0"/>
        <v>345.38053691275167</v>
      </c>
      <c r="L36" s="87">
        <v>12</v>
      </c>
      <c r="M36" s="116">
        <v>0</v>
      </c>
      <c r="N36" s="116">
        <v>0</v>
      </c>
      <c r="O36" s="88">
        <v>21</v>
      </c>
      <c r="P36" s="168">
        <v>41649</v>
      </c>
      <c r="Q36" s="16">
        <v>140</v>
      </c>
      <c r="R36" s="89">
        <v>87.494399999999999</v>
      </c>
      <c r="S36" s="89">
        <v>90</v>
      </c>
      <c r="T36" s="89">
        <v>98</v>
      </c>
      <c r="U36" s="89">
        <v>99.2</v>
      </c>
      <c r="V36" s="189">
        <v>362</v>
      </c>
      <c r="W36" s="80">
        <v>0</v>
      </c>
      <c r="X36" s="190">
        <v>40</v>
      </c>
      <c r="Y36" s="89">
        <f t="shared" si="1"/>
        <v>434.4</v>
      </c>
      <c r="Z36" s="87">
        <v>12</v>
      </c>
      <c r="AA36" s="116">
        <v>0</v>
      </c>
      <c r="AB36" s="116">
        <v>0</v>
      </c>
      <c r="AC36" s="191">
        <v>20</v>
      </c>
      <c r="AD36" s="16">
        <f>WEEKNUM(tblKPIs[[#This Row],[Production Start Date]])</f>
        <v>2</v>
      </c>
      <c r="AE36" s="16">
        <v>27</v>
      </c>
      <c r="AF36" s="16">
        <v>31</v>
      </c>
      <c r="AG36" s="16">
        <v>31</v>
      </c>
      <c r="AH36" s="16">
        <v>27</v>
      </c>
      <c r="AI36" s="16">
        <v>24</v>
      </c>
      <c r="AJ36" s="16">
        <f t="shared" si="2"/>
        <v>1</v>
      </c>
      <c r="AL36" s="16"/>
      <c r="AM36" s="16"/>
      <c r="AN36" s="16"/>
      <c r="AO36" s="16"/>
      <c r="AP36" s="16"/>
      <c r="AQ36" s="16"/>
      <c r="AR36" s="16"/>
      <c r="AS36" s="16"/>
      <c r="BB36" s="172">
        <v>3453.8053691275168</v>
      </c>
      <c r="BC36" s="172">
        <v>4344</v>
      </c>
    </row>
    <row r="37" spans="2:55" x14ac:dyDescent="0.35">
      <c r="B37" s="1">
        <v>33</v>
      </c>
      <c r="C37" s="158" t="s">
        <v>147</v>
      </c>
      <c r="D37" s="89">
        <v>99.805686478327729</v>
      </c>
      <c r="E37" s="89">
        <v>98.969072164948457</v>
      </c>
      <c r="F37" s="89">
        <v>101.77693010474218</v>
      </c>
      <c r="G37" s="89">
        <v>99.084663825119193</v>
      </c>
      <c r="H37" s="157">
        <v>364.63421391752581</v>
      </c>
      <c r="I37" s="89">
        <v>120.42737061627511</v>
      </c>
      <c r="J37" s="89">
        <v>20.418176749372734</v>
      </c>
      <c r="K37" s="89">
        <f t="shared" si="0"/>
        <v>437.56105670103096</v>
      </c>
      <c r="L37" s="87">
        <v>12</v>
      </c>
      <c r="M37" s="116">
        <v>0</v>
      </c>
      <c r="N37" s="116">
        <v>0</v>
      </c>
      <c r="O37" s="88">
        <v>24</v>
      </c>
      <c r="P37" s="168">
        <v>41649</v>
      </c>
      <c r="Q37" s="16">
        <v>49</v>
      </c>
      <c r="R37" s="89">
        <v>87.494399999999999</v>
      </c>
      <c r="S37" s="89">
        <v>90</v>
      </c>
      <c r="T37" s="89">
        <v>98</v>
      </c>
      <c r="U37" s="89">
        <v>99.2</v>
      </c>
      <c r="V37" s="189">
        <v>362</v>
      </c>
      <c r="W37" s="80">
        <v>0</v>
      </c>
      <c r="X37" s="190">
        <v>40</v>
      </c>
      <c r="Y37" s="89">
        <f t="shared" si="1"/>
        <v>434.4</v>
      </c>
      <c r="Z37" s="87">
        <v>12</v>
      </c>
      <c r="AA37" s="116">
        <v>0</v>
      </c>
      <c r="AB37" s="116">
        <v>0</v>
      </c>
      <c r="AC37" s="191">
        <v>20</v>
      </c>
      <c r="AD37" s="16">
        <f>WEEKNUM(tblKPIs[[#This Row],[Production Start Date]])</f>
        <v>2</v>
      </c>
      <c r="AE37" s="16">
        <v>25</v>
      </c>
      <c r="AF37" s="16">
        <v>3</v>
      </c>
      <c r="AG37" s="16">
        <v>4</v>
      </c>
      <c r="AH37" s="16">
        <v>8</v>
      </c>
      <c r="AI37" s="16">
        <v>9</v>
      </c>
      <c r="AJ37" s="16">
        <f t="shared" si="2"/>
        <v>1</v>
      </c>
      <c r="AL37" s="16"/>
      <c r="AM37" s="16"/>
      <c r="AN37" s="16"/>
      <c r="AO37" s="16"/>
      <c r="AP37" s="16"/>
      <c r="AQ37" s="16"/>
      <c r="AR37" s="16"/>
      <c r="AS37" s="16"/>
      <c r="BB37" s="171">
        <v>4375.6105670103098</v>
      </c>
      <c r="BC37" s="171">
        <v>4344</v>
      </c>
    </row>
    <row r="38" spans="2:55" x14ac:dyDescent="0.35">
      <c r="B38" s="1">
        <v>34</v>
      </c>
      <c r="C38" s="158" t="s">
        <v>147</v>
      </c>
      <c r="D38" s="89">
        <v>77.336345849115645</v>
      </c>
      <c r="E38" s="89">
        <v>82.43512974051896</v>
      </c>
      <c r="F38" s="89">
        <v>95.675811820155104</v>
      </c>
      <c r="G38" s="89">
        <v>98.0548694989278</v>
      </c>
      <c r="H38" s="157">
        <v>272.95758483033933</v>
      </c>
      <c r="I38" s="89">
        <v>113.18307282937508</v>
      </c>
      <c r="J38" s="89">
        <v>16.26808494811619</v>
      </c>
      <c r="K38" s="89">
        <f t="shared" si="0"/>
        <v>327.54910179640717</v>
      </c>
      <c r="L38" s="87">
        <v>12</v>
      </c>
      <c r="M38" s="116">
        <v>0</v>
      </c>
      <c r="N38" s="116">
        <v>0</v>
      </c>
      <c r="O38" s="88">
        <v>18</v>
      </c>
      <c r="P38" s="168">
        <v>41649</v>
      </c>
      <c r="Q38" s="16">
        <v>139</v>
      </c>
      <c r="R38" s="89">
        <v>87.494399999999999</v>
      </c>
      <c r="S38" s="89">
        <v>90</v>
      </c>
      <c r="T38" s="89">
        <v>98</v>
      </c>
      <c r="U38" s="89">
        <v>99.2</v>
      </c>
      <c r="V38" s="189">
        <v>346.08333333333331</v>
      </c>
      <c r="W38" s="80">
        <v>0</v>
      </c>
      <c r="X38" s="190">
        <v>40</v>
      </c>
      <c r="Y38" s="89">
        <f t="shared" si="1"/>
        <v>415.3</v>
      </c>
      <c r="Z38" s="87">
        <v>12</v>
      </c>
      <c r="AA38" s="116">
        <v>0</v>
      </c>
      <c r="AB38" s="116">
        <v>0</v>
      </c>
      <c r="AC38" s="191">
        <v>20</v>
      </c>
      <c r="AD38" s="16">
        <f>WEEKNUM(tblKPIs[[#This Row],[Production Start Date]])</f>
        <v>2</v>
      </c>
      <c r="AE38" s="16">
        <v>23</v>
      </c>
      <c r="AF38" s="16">
        <v>23</v>
      </c>
      <c r="AG38" s="16">
        <v>33</v>
      </c>
      <c r="AH38" s="16">
        <v>26</v>
      </c>
      <c r="AI38" s="16">
        <v>34</v>
      </c>
      <c r="AJ38" s="16">
        <f t="shared" si="2"/>
        <v>1</v>
      </c>
      <c r="AL38" s="16"/>
      <c r="AM38" s="16"/>
      <c r="AN38" s="16"/>
      <c r="AO38" s="16"/>
      <c r="AP38" s="16"/>
      <c r="AQ38" s="16"/>
      <c r="AR38" s="16"/>
      <c r="AS38" s="16"/>
      <c r="BB38" s="172">
        <v>3275.4910179640719</v>
      </c>
      <c r="BC38" s="172">
        <v>4153</v>
      </c>
    </row>
    <row r="39" spans="2:55" x14ac:dyDescent="0.35">
      <c r="B39" s="1">
        <v>35</v>
      </c>
      <c r="C39" s="158" t="s">
        <v>147</v>
      </c>
      <c r="D39" s="89">
        <v>79.897639835322011</v>
      </c>
      <c r="E39" s="89">
        <v>84.667571234735433</v>
      </c>
      <c r="F39" s="89">
        <v>96.052969123339935</v>
      </c>
      <c r="G39" s="89">
        <v>98.24400412375806</v>
      </c>
      <c r="H39" s="157">
        <v>281.45474898236097</v>
      </c>
      <c r="I39" s="89">
        <v>117.15359200271094</v>
      </c>
      <c r="J39" s="89">
        <v>0</v>
      </c>
      <c r="K39" s="89">
        <f t="shared" si="0"/>
        <v>337.74569877883312</v>
      </c>
      <c r="L39" s="87">
        <v>12</v>
      </c>
      <c r="M39" s="116">
        <v>0</v>
      </c>
      <c r="N39" s="116">
        <v>0</v>
      </c>
      <c r="O39" s="88">
        <v>26</v>
      </c>
      <c r="P39" s="168">
        <v>41650</v>
      </c>
      <c r="Q39" s="16">
        <v>83</v>
      </c>
      <c r="R39" s="89">
        <v>87.494399999999999</v>
      </c>
      <c r="S39" s="89">
        <v>90</v>
      </c>
      <c r="T39" s="89">
        <v>98</v>
      </c>
      <c r="U39" s="89">
        <v>99.2</v>
      </c>
      <c r="V39" s="189">
        <v>346.08333333333331</v>
      </c>
      <c r="W39" s="80">
        <v>0</v>
      </c>
      <c r="X39" s="190">
        <v>40</v>
      </c>
      <c r="Y39" s="89">
        <f t="shared" si="1"/>
        <v>415.3</v>
      </c>
      <c r="Z39" s="87">
        <v>12</v>
      </c>
      <c r="AA39" s="116">
        <v>0</v>
      </c>
      <c r="AB39" s="116">
        <v>0</v>
      </c>
      <c r="AC39" s="191">
        <v>20</v>
      </c>
      <c r="AD39" s="16">
        <f>WEEKNUM(tblKPIs[[#This Row],[Production Start Date]])</f>
        <v>2</v>
      </c>
      <c r="AE39" s="16">
        <v>32</v>
      </c>
      <c r="AF39" s="16">
        <v>3</v>
      </c>
      <c r="AG39" s="16">
        <v>7</v>
      </c>
      <c r="AH39" s="16">
        <v>12</v>
      </c>
      <c r="AI39" s="16">
        <v>29</v>
      </c>
      <c r="AJ39" s="16">
        <f t="shared" si="2"/>
        <v>1</v>
      </c>
      <c r="AL39" s="16"/>
      <c r="AM39" s="16"/>
      <c r="AN39" s="16"/>
      <c r="AO39" s="16"/>
      <c r="AP39" s="16"/>
      <c r="AQ39" s="16"/>
      <c r="AR39" s="16"/>
      <c r="AS39" s="16"/>
      <c r="BB39" s="171">
        <v>3377.4569877883314</v>
      </c>
      <c r="BC39" s="171">
        <v>4153</v>
      </c>
    </row>
    <row r="40" spans="2:55" x14ac:dyDescent="0.35">
      <c r="B40" s="1">
        <v>36</v>
      </c>
      <c r="C40" s="158" t="s">
        <v>146</v>
      </c>
      <c r="D40" s="89">
        <v>82.969529085872566</v>
      </c>
      <c r="E40" s="89">
        <v>89.999999999999986</v>
      </c>
      <c r="F40" s="89">
        <v>95.227762388427209</v>
      </c>
      <c r="G40" s="89">
        <v>96.808287141033304</v>
      </c>
      <c r="H40" s="157">
        <v>244.2592105263158</v>
      </c>
      <c r="I40" s="89">
        <v>98.371575433204399</v>
      </c>
      <c r="J40" s="89">
        <v>40.797714536864085</v>
      </c>
      <c r="K40" s="89">
        <f t="shared" si="0"/>
        <v>293.1110526315789</v>
      </c>
      <c r="L40" s="87">
        <v>12</v>
      </c>
      <c r="M40" s="116">
        <v>0</v>
      </c>
      <c r="N40" s="116">
        <v>0</v>
      </c>
      <c r="O40" s="88">
        <v>22</v>
      </c>
      <c r="P40" s="168">
        <v>41652</v>
      </c>
      <c r="Q40" s="16">
        <v>85</v>
      </c>
      <c r="R40" s="89">
        <v>87.317999999999998</v>
      </c>
      <c r="S40" s="89">
        <v>90</v>
      </c>
      <c r="T40" s="89">
        <v>98</v>
      </c>
      <c r="U40" s="89">
        <v>99</v>
      </c>
      <c r="V40" s="189">
        <v>285</v>
      </c>
      <c r="W40" s="80">
        <v>0</v>
      </c>
      <c r="X40" s="190">
        <v>40</v>
      </c>
      <c r="Y40" s="89">
        <f t="shared" si="1"/>
        <v>342</v>
      </c>
      <c r="Z40" s="87">
        <v>12</v>
      </c>
      <c r="AA40" s="116">
        <v>0</v>
      </c>
      <c r="AB40" s="116">
        <v>0</v>
      </c>
      <c r="AC40" s="191">
        <v>20</v>
      </c>
      <c r="AD40" s="16">
        <f>WEEKNUM(tblKPIs[[#This Row],[Production Start Date]])</f>
        <v>3</v>
      </c>
      <c r="AE40" s="16">
        <v>22</v>
      </c>
      <c r="AF40" s="16">
        <v>5</v>
      </c>
      <c r="AG40" s="16">
        <v>28</v>
      </c>
      <c r="AH40" s="16">
        <v>19</v>
      </c>
      <c r="AI40" s="16">
        <v>11</v>
      </c>
      <c r="AJ40" s="16">
        <f t="shared" si="2"/>
        <v>1</v>
      </c>
      <c r="AL40" s="16"/>
      <c r="AM40" s="16"/>
      <c r="AN40" s="16"/>
      <c r="AO40" s="16"/>
      <c r="AP40" s="16"/>
      <c r="AQ40" s="16"/>
      <c r="AR40" s="16"/>
      <c r="AS40" s="16"/>
      <c r="BB40" s="172">
        <v>2931.1105263157892</v>
      </c>
      <c r="BC40" s="172">
        <v>3420</v>
      </c>
    </row>
    <row r="41" spans="2:55" x14ac:dyDescent="0.35">
      <c r="B41" s="1">
        <v>37</v>
      </c>
      <c r="C41" s="158" t="s">
        <v>147</v>
      </c>
      <c r="D41" s="89">
        <v>62.000498143284133</v>
      </c>
      <c r="E41" s="89">
        <v>66.885245901639351</v>
      </c>
      <c r="F41" s="89">
        <v>93.519458888527794</v>
      </c>
      <c r="G41" s="89">
        <v>99.120358806728717</v>
      </c>
      <c r="H41" s="157">
        <v>226.43360655737706</v>
      </c>
      <c r="I41" s="89">
        <v>117.0953466882561</v>
      </c>
      <c r="J41" s="89">
        <v>0</v>
      </c>
      <c r="K41" s="89">
        <f t="shared" si="0"/>
        <v>271.72032786885245</v>
      </c>
      <c r="L41" s="87">
        <v>12</v>
      </c>
      <c r="M41" s="116">
        <v>0</v>
      </c>
      <c r="N41" s="116">
        <v>0</v>
      </c>
      <c r="O41" s="88">
        <v>26</v>
      </c>
      <c r="P41" s="168">
        <v>41653</v>
      </c>
      <c r="Q41" s="16">
        <v>105</v>
      </c>
      <c r="R41" s="89">
        <v>87.494399999999999</v>
      </c>
      <c r="S41" s="89">
        <v>90</v>
      </c>
      <c r="T41" s="89">
        <v>98</v>
      </c>
      <c r="U41" s="89">
        <v>99.2</v>
      </c>
      <c r="V41" s="189">
        <v>362</v>
      </c>
      <c r="W41" s="80">
        <v>0</v>
      </c>
      <c r="X41" s="190">
        <v>40</v>
      </c>
      <c r="Y41" s="89">
        <f t="shared" si="1"/>
        <v>434.4</v>
      </c>
      <c r="Z41" s="87">
        <v>12</v>
      </c>
      <c r="AA41" s="116">
        <v>0</v>
      </c>
      <c r="AB41" s="116">
        <v>0</v>
      </c>
      <c r="AC41" s="191">
        <v>20</v>
      </c>
      <c r="AD41" s="16">
        <f>WEEKNUM(tblKPIs[[#This Row],[Production Start Date]])</f>
        <v>3</v>
      </c>
      <c r="AE41" s="16">
        <v>8</v>
      </c>
      <c r="AF41" s="16">
        <v>24</v>
      </c>
      <c r="AG41" s="16">
        <v>17</v>
      </c>
      <c r="AH41" s="16">
        <v>30</v>
      </c>
      <c r="AI41" s="16">
        <v>26</v>
      </c>
      <c r="AJ41" s="16">
        <f t="shared" si="2"/>
        <v>1</v>
      </c>
      <c r="AL41" s="16"/>
      <c r="AM41" s="16"/>
      <c r="AN41" s="16"/>
      <c r="AO41" s="16"/>
      <c r="AP41" s="16"/>
      <c r="AQ41" s="16"/>
      <c r="AR41" s="16"/>
      <c r="AS41" s="16"/>
      <c r="BB41" s="171">
        <v>2717.2032786885247</v>
      </c>
      <c r="BC41" s="171">
        <v>4344</v>
      </c>
    </row>
    <row r="42" spans="2:55" x14ac:dyDescent="0.35">
      <c r="B42" s="1">
        <v>38</v>
      </c>
      <c r="C42" s="158" t="s">
        <v>158</v>
      </c>
      <c r="D42" s="89">
        <v>50.041152263374478</v>
      </c>
      <c r="E42" s="89">
        <v>60.185185185185183</v>
      </c>
      <c r="F42" s="89">
        <v>88.789886039886028</v>
      </c>
      <c r="G42" s="89">
        <v>93.642759162849643</v>
      </c>
      <c r="H42" s="157">
        <v>115.42685185185185</v>
      </c>
      <c r="I42" s="89">
        <v>74.71665318109622</v>
      </c>
      <c r="J42" s="89">
        <v>36.968264686022955</v>
      </c>
      <c r="K42" s="89">
        <f t="shared" si="0"/>
        <v>138.51222222222222</v>
      </c>
      <c r="L42" s="87">
        <v>12</v>
      </c>
      <c r="M42" s="116">
        <v>0</v>
      </c>
      <c r="N42" s="116">
        <v>0</v>
      </c>
      <c r="O42" s="88">
        <v>16</v>
      </c>
      <c r="P42" s="168">
        <v>41652</v>
      </c>
      <c r="Q42" s="16">
        <v>63</v>
      </c>
      <c r="R42" s="89">
        <v>86.87700000000001</v>
      </c>
      <c r="S42" s="89">
        <v>90</v>
      </c>
      <c r="T42" s="89">
        <v>98</v>
      </c>
      <c r="U42" s="89">
        <v>98.5</v>
      </c>
      <c r="V42" s="189">
        <v>216</v>
      </c>
      <c r="W42" s="80">
        <v>0</v>
      </c>
      <c r="X42" s="190">
        <v>40</v>
      </c>
      <c r="Y42" s="89">
        <f t="shared" si="1"/>
        <v>259.2</v>
      </c>
      <c r="Z42" s="87">
        <v>12</v>
      </c>
      <c r="AA42" s="116">
        <v>0</v>
      </c>
      <c r="AB42" s="116">
        <v>0</v>
      </c>
      <c r="AC42" s="191">
        <v>20</v>
      </c>
      <c r="AD42" s="16">
        <f>WEEKNUM(tblKPIs[[#This Row],[Production Start Date]])</f>
        <v>3</v>
      </c>
      <c r="AE42" s="16">
        <v>3</v>
      </c>
      <c r="AF42" s="16">
        <v>13</v>
      </c>
      <c r="AG42" s="16">
        <v>15</v>
      </c>
      <c r="AH42" s="16">
        <v>11</v>
      </c>
      <c r="AI42" s="16">
        <v>21</v>
      </c>
      <c r="AJ42" s="16">
        <f t="shared" si="2"/>
        <v>1</v>
      </c>
      <c r="AL42" s="16"/>
      <c r="AM42" s="16"/>
      <c r="AN42" s="16"/>
      <c r="AO42" s="16"/>
      <c r="AP42" s="16"/>
      <c r="AQ42" s="16"/>
      <c r="AR42" s="16"/>
      <c r="AS42" s="16"/>
      <c r="BB42" s="172">
        <v>1385.1222222222223</v>
      </c>
      <c r="BC42" s="172">
        <v>2592</v>
      </c>
    </row>
    <row r="43" spans="2:55" x14ac:dyDescent="0.35">
      <c r="B43" s="1">
        <v>39</v>
      </c>
      <c r="C43" s="158" t="s">
        <v>159</v>
      </c>
      <c r="D43" s="89">
        <v>82.10526315789474</v>
      </c>
      <c r="E43" s="89">
        <v>83.552631578947384</v>
      </c>
      <c r="F43" s="89">
        <v>99.042359288422261</v>
      </c>
      <c r="G43" s="89">
        <v>99.217867225140139</v>
      </c>
      <c r="H43" s="157">
        <v>178.74539473684212</v>
      </c>
      <c r="I43" s="89">
        <v>112.67490565255255</v>
      </c>
      <c r="J43" s="89">
        <v>38.542975058316884</v>
      </c>
      <c r="K43" s="89">
        <f t="shared" si="0"/>
        <v>214.4944736842105</v>
      </c>
      <c r="L43" s="87">
        <v>12</v>
      </c>
      <c r="M43" s="116">
        <v>0</v>
      </c>
      <c r="N43" s="116">
        <v>0</v>
      </c>
      <c r="O43" s="88">
        <v>30</v>
      </c>
      <c r="P43" s="168">
        <v>41652</v>
      </c>
      <c r="Q43" s="16">
        <v>111</v>
      </c>
      <c r="R43" s="89">
        <v>86.87700000000001</v>
      </c>
      <c r="S43" s="89">
        <v>90</v>
      </c>
      <c r="T43" s="89">
        <v>98</v>
      </c>
      <c r="U43" s="89">
        <v>98.5</v>
      </c>
      <c r="V43" s="189">
        <v>216</v>
      </c>
      <c r="W43" s="80">
        <v>0</v>
      </c>
      <c r="X43" s="190">
        <v>40</v>
      </c>
      <c r="Y43" s="89">
        <f t="shared" si="1"/>
        <v>259.2</v>
      </c>
      <c r="Z43" s="87">
        <v>12</v>
      </c>
      <c r="AA43" s="116">
        <v>0</v>
      </c>
      <c r="AB43" s="116">
        <v>0</v>
      </c>
      <c r="AC43" s="191">
        <v>20</v>
      </c>
      <c r="AD43" s="16">
        <f>WEEKNUM(tblKPIs[[#This Row],[Production Start Date]])</f>
        <v>3</v>
      </c>
      <c r="AE43" s="16">
        <v>11</v>
      </c>
      <c r="AF43" s="16">
        <v>31</v>
      </c>
      <c r="AG43" s="16">
        <v>19</v>
      </c>
      <c r="AH43" s="16">
        <v>17</v>
      </c>
      <c r="AI43" s="16">
        <v>33</v>
      </c>
      <c r="AJ43" s="16">
        <f t="shared" si="2"/>
        <v>1</v>
      </c>
      <c r="AL43" s="16"/>
      <c r="AM43" s="16"/>
      <c r="AN43" s="16"/>
      <c r="AO43" s="16"/>
      <c r="AP43" s="16"/>
      <c r="AQ43" s="16"/>
      <c r="AR43" s="16"/>
      <c r="AS43" s="16"/>
      <c r="BB43" s="171">
        <v>2144.9447368421052</v>
      </c>
      <c r="BC43" s="171">
        <v>2592</v>
      </c>
    </row>
    <row r="44" spans="2:55" x14ac:dyDescent="0.35">
      <c r="B44" s="1">
        <v>40</v>
      </c>
      <c r="C44" s="158" t="s">
        <v>160</v>
      </c>
      <c r="D44" s="89">
        <v>78.867508518741232</v>
      </c>
      <c r="E44" s="89">
        <v>85</v>
      </c>
      <c r="F44" s="89">
        <v>92.785304139695569</v>
      </c>
      <c r="G44" s="89">
        <v>100</v>
      </c>
      <c r="H44" s="157">
        <v>218.59444444444443</v>
      </c>
      <c r="I44" s="89">
        <v>106.82105091693927</v>
      </c>
      <c r="J44" s="89">
        <v>0</v>
      </c>
      <c r="K44" s="89">
        <f t="shared" si="0"/>
        <v>262.31333333333333</v>
      </c>
      <c r="L44" s="87">
        <v>12</v>
      </c>
      <c r="M44" s="116">
        <v>0</v>
      </c>
      <c r="N44" s="116">
        <v>0</v>
      </c>
      <c r="O44" s="88">
        <v>21</v>
      </c>
      <c r="P44" s="168">
        <v>41652</v>
      </c>
      <c r="Q44" s="16">
        <v>117</v>
      </c>
      <c r="R44" s="89">
        <v>86.87700000000001</v>
      </c>
      <c r="S44" s="89">
        <v>90</v>
      </c>
      <c r="T44" s="89">
        <v>98</v>
      </c>
      <c r="U44" s="89">
        <v>98.5</v>
      </c>
      <c r="V44" s="189">
        <v>277.16666666666669</v>
      </c>
      <c r="W44" s="80">
        <v>0</v>
      </c>
      <c r="X44" s="190">
        <v>40</v>
      </c>
      <c r="Y44" s="89">
        <f t="shared" si="1"/>
        <v>332.6</v>
      </c>
      <c r="Z44" s="87">
        <v>12</v>
      </c>
      <c r="AA44" s="116">
        <v>0</v>
      </c>
      <c r="AB44" s="116">
        <v>0</v>
      </c>
      <c r="AC44" s="191">
        <v>20</v>
      </c>
      <c r="AD44" s="16">
        <f>WEEKNUM(tblKPIs[[#This Row],[Production Start Date]])</f>
        <v>3</v>
      </c>
      <c r="AE44" s="16">
        <v>30</v>
      </c>
      <c r="AF44" s="16">
        <v>17</v>
      </c>
      <c r="AG44" s="16">
        <v>30</v>
      </c>
      <c r="AH44" s="16">
        <v>20</v>
      </c>
      <c r="AI44" s="16">
        <v>20</v>
      </c>
      <c r="AJ44" s="16">
        <f t="shared" si="2"/>
        <v>1</v>
      </c>
      <c r="AL44" s="16"/>
      <c r="AM44" s="16"/>
      <c r="AN44" s="16"/>
      <c r="AO44" s="16"/>
      <c r="AP44" s="16"/>
      <c r="AQ44" s="16"/>
      <c r="AR44" s="16"/>
      <c r="AS44" s="16"/>
      <c r="BB44" s="172">
        <v>2623.1333333333332</v>
      </c>
      <c r="BC44" s="172">
        <v>3326</v>
      </c>
    </row>
    <row r="45" spans="2:55" x14ac:dyDescent="0.35">
      <c r="B45" s="1">
        <v>41</v>
      </c>
      <c r="C45" s="158" t="s">
        <v>160</v>
      </c>
      <c r="D45" s="89">
        <v>66.674684305472056</v>
      </c>
      <c r="E45" s="89">
        <v>77.307692307692307</v>
      </c>
      <c r="F45" s="89">
        <v>88.278690731549716</v>
      </c>
      <c r="G45" s="89">
        <v>97.697258059596791</v>
      </c>
      <c r="H45" s="157">
        <v>189.15576923076924</v>
      </c>
      <c r="I45" s="89">
        <v>80.767430593761048</v>
      </c>
      <c r="J45" s="89">
        <v>100</v>
      </c>
      <c r="K45" s="89">
        <f t="shared" si="0"/>
        <v>226.98692307692309</v>
      </c>
      <c r="L45" s="87">
        <v>12</v>
      </c>
      <c r="M45" s="116">
        <v>0</v>
      </c>
      <c r="N45" s="116">
        <v>0</v>
      </c>
      <c r="O45" s="88">
        <v>18</v>
      </c>
      <c r="P45" s="168">
        <v>41652</v>
      </c>
      <c r="Q45" s="16">
        <v>68</v>
      </c>
      <c r="R45" s="89">
        <v>86.87700000000001</v>
      </c>
      <c r="S45" s="89">
        <v>90</v>
      </c>
      <c r="T45" s="89">
        <v>98</v>
      </c>
      <c r="U45" s="89">
        <v>98.5</v>
      </c>
      <c r="V45" s="189">
        <v>277.16666666666669</v>
      </c>
      <c r="W45" s="80">
        <v>0</v>
      </c>
      <c r="X45" s="190">
        <v>40</v>
      </c>
      <c r="Y45" s="89">
        <f t="shared" si="1"/>
        <v>332.6</v>
      </c>
      <c r="Z45" s="87">
        <v>12</v>
      </c>
      <c r="AA45" s="116">
        <v>0</v>
      </c>
      <c r="AB45" s="116">
        <v>0</v>
      </c>
      <c r="AC45" s="191">
        <v>20</v>
      </c>
      <c r="AD45" s="16">
        <f>WEEKNUM(tblKPIs[[#This Row],[Production Start Date]])</f>
        <v>3</v>
      </c>
      <c r="AE45" s="16">
        <v>34</v>
      </c>
      <c r="AF45" s="16">
        <v>2</v>
      </c>
      <c r="AG45" s="16">
        <v>2</v>
      </c>
      <c r="AH45" s="16">
        <v>10</v>
      </c>
      <c r="AI45" s="16">
        <v>20</v>
      </c>
      <c r="AJ45" s="16">
        <f t="shared" si="2"/>
        <v>1</v>
      </c>
      <c r="AL45" s="16"/>
      <c r="AM45" s="16"/>
      <c r="AN45" s="16"/>
      <c r="AO45" s="16"/>
      <c r="AP45" s="16"/>
      <c r="AQ45" s="16"/>
      <c r="AR45" s="16"/>
      <c r="AS45" s="16"/>
      <c r="BB45" s="171">
        <v>2269.8692307692309</v>
      </c>
      <c r="BC45" s="171">
        <v>3326</v>
      </c>
    </row>
    <row r="46" spans="2:55" x14ac:dyDescent="0.35">
      <c r="B46" s="1">
        <v>42</v>
      </c>
      <c r="C46" s="158" t="s">
        <v>147</v>
      </c>
      <c r="D46" s="89">
        <v>97.918644687421448</v>
      </c>
      <c r="E46" s="89">
        <v>96.642335766423358</v>
      </c>
      <c r="F46" s="89">
        <v>101.92517257207871</v>
      </c>
      <c r="G46" s="89">
        <v>99.406897651839287</v>
      </c>
      <c r="H46" s="157">
        <v>340.90200729927005</v>
      </c>
      <c r="I46" s="89">
        <v>118.52932107185954</v>
      </c>
      <c r="J46" s="89">
        <v>31.837249258094026</v>
      </c>
      <c r="K46" s="89">
        <f t="shared" si="0"/>
        <v>409.08240875912406</v>
      </c>
      <c r="L46" s="87">
        <v>12</v>
      </c>
      <c r="M46" s="116">
        <v>0</v>
      </c>
      <c r="N46" s="116">
        <v>0</v>
      </c>
      <c r="O46" s="88">
        <v>18</v>
      </c>
      <c r="P46" s="168">
        <v>41652</v>
      </c>
      <c r="Q46" s="16">
        <v>57</v>
      </c>
      <c r="R46" s="89">
        <v>87.494399999999999</v>
      </c>
      <c r="S46" s="89">
        <v>90</v>
      </c>
      <c r="T46" s="89">
        <v>98</v>
      </c>
      <c r="U46" s="89">
        <v>99.2</v>
      </c>
      <c r="V46" s="189">
        <v>346.08333333333331</v>
      </c>
      <c r="W46" s="80">
        <v>0</v>
      </c>
      <c r="X46" s="190">
        <v>40</v>
      </c>
      <c r="Y46" s="89">
        <f t="shared" si="1"/>
        <v>415.3</v>
      </c>
      <c r="Z46" s="87">
        <v>12</v>
      </c>
      <c r="AA46" s="116">
        <v>0</v>
      </c>
      <c r="AB46" s="116">
        <v>0</v>
      </c>
      <c r="AC46" s="191">
        <v>20</v>
      </c>
      <c r="AD46" s="16">
        <f>WEEKNUM(tblKPIs[[#This Row],[Production Start Date]])</f>
        <v>3</v>
      </c>
      <c r="AE46" s="16">
        <v>9</v>
      </c>
      <c r="AF46" s="16">
        <v>2</v>
      </c>
      <c r="AG46" s="16">
        <v>12</v>
      </c>
      <c r="AH46" s="16">
        <v>0</v>
      </c>
      <c r="AI46" s="16">
        <v>34</v>
      </c>
      <c r="AJ46" s="16">
        <f t="shared" si="2"/>
        <v>1</v>
      </c>
      <c r="AL46" s="16"/>
      <c r="AM46" s="16"/>
      <c r="AN46" s="16"/>
      <c r="AO46" s="16"/>
      <c r="AP46" s="16"/>
      <c r="AQ46" s="16"/>
      <c r="AR46" s="16"/>
      <c r="AS46" s="16"/>
      <c r="BB46" s="172">
        <v>4090.8240875912406</v>
      </c>
      <c r="BC46" s="172">
        <v>4153</v>
      </c>
    </row>
    <row r="47" spans="2:55" x14ac:dyDescent="0.35">
      <c r="B47" s="1">
        <v>43</v>
      </c>
      <c r="C47" s="158" t="s">
        <v>147</v>
      </c>
      <c r="D47" s="89">
        <v>96.223448787425554</v>
      </c>
      <c r="E47" s="89">
        <v>96.670247046186887</v>
      </c>
      <c r="F47" s="89">
        <v>100.54752387832092</v>
      </c>
      <c r="G47" s="89">
        <v>98.995786454069275</v>
      </c>
      <c r="H47" s="157">
        <v>336.39140708915141</v>
      </c>
      <c r="I47" s="89">
        <v>121.2082885030691</v>
      </c>
      <c r="J47" s="89">
        <v>7.5379386115498184</v>
      </c>
      <c r="K47" s="89">
        <f t="shared" si="0"/>
        <v>403.66968850698174</v>
      </c>
      <c r="L47" s="87">
        <v>12</v>
      </c>
      <c r="M47" s="116">
        <v>0</v>
      </c>
      <c r="N47" s="116">
        <v>0</v>
      </c>
      <c r="O47" s="88">
        <v>15</v>
      </c>
      <c r="P47" s="168">
        <v>41653</v>
      </c>
      <c r="Q47" s="16">
        <v>108</v>
      </c>
      <c r="R47" s="89">
        <v>87.494399999999999</v>
      </c>
      <c r="S47" s="89">
        <v>90</v>
      </c>
      <c r="T47" s="89">
        <v>98</v>
      </c>
      <c r="U47" s="89">
        <v>99.2</v>
      </c>
      <c r="V47" s="189">
        <v>346.08333333333331</v>
      </c>
      <c r="W47" s="80">
        <v>0</v>
      </c>
      <c r="X47" s="190">
        <v>40</v>
      </c>
      <c r="Y47" s="89">
        <f t="shared" si="1"/>
        <v>415.3</v>
      </c>
      <c r="Z47" s="87">
        <v>12</v>
      </c>
      <c r="AA47" s="116">
        <v>0</v>
      </c>
      <c r="AB47" s="116">
        <v>0</v>
      </c>
      <c r="AC47" s="191">
        <v>20</v>
      </c>
      <c r="AD47" s="16">
        <f>WEEKNUM(tblKPIs[[#This Row],[Production Start Date]])</f>
        <v>3</v>
      </c>
      <c r="AE47" s="16">
        <v>31</v>
      </c>
      <c r="AF47" s="16">
        <v>31</v>
      </c>
      <c r="AG47" s="16">
        <v>20</v>
      </c>
      <c r="AH47" s="16">
        <v>4</v>
      </c>
      <c r="AI47" s="16">
        <v>22</v>
      </c>
      <c r="AJ47" s="16">
        <f t="shared" si="2"/>
        <v>1</v>
      </c>
      <c r="AL47" s="16"/>
      <c r="AM47" s="16"/>
      <c r="AN47" s="16"/>
      <c r="AO47" s="16"/>
      <c r="AP47" s="16"/>
      <c r="AQ47" s="16"/>
      <c r="AR47" s="16"/>
      <c r="AS47" s="16"/>
      <c r="BB47" s="171">
        <v>4036.6968850698172</v>
      </c>
      <c r="BC47" s="171">
        <v>4153</v>
      </c>
    </row>
    <row r="48" spans="2:55" x14ac:dyDescent="0.35">
      <c r="B48" s="1">
        <v>44</v>
      </c>
      <c r="C48" s="158" t="s">
        <v>147</v>
      </c>
      <c r="D48" s="89">
        <v>93.128326427924975</v>
      </c>
      <c r="E48" s="89">
        <v>90.732758620689651</v>
      </c>
      <c r="F48" s="89">
        <v>104.63748553688401</v>
      </c>
      <c r="G48" s="89">
        <v>98.091276971781411</v>
      </c>
      <c r="H48" s="157">
        <v>32.857316810344827</v>
      </c>
      <c r="I48" s="89">
        <v>119.00480638822269</v>
      </c>
      <c r="J48" s="89">
        <v>11.289520182526203</v>
      </c>
      <c r="K48" s="89">
        <f t="shared" si="0"/>
        <v>394.28780172413792</v>
      </c>
      <c r="L48" s="87">
        <v>12</v>
      </c>
      <c r="M48" s="116">
        <v>0</v>
      </c>
      <c r="N48" s="116">
        <v>0</v>
      </c>
      <c r="O48" s="88">
        <v>27</v>
      </c>
      <c r="P48" s="168">
        <v>41653</v>
      </c>
      <c r="Q48" s="16">
        <v>52</v>
      </c>
      <c r="R48" s="89">
        <v>87.494399999999999</v>
      </c>
      <c r="S48" s="89">
        <v>90</v>
      </c>
      <c r="T48" s="89">
        <v>98</v>
      </c>
      <c r="U48" s="89">
        <v>99.2</v>
      </c>
      <c r="V48" s="189">
        <v>346.08333333333331</v>
      </c>
      <c r="W48" s="80">
        <v>0</v>
      </c>
      <c r="X48" s="190">
        <v>40</v>
      </c>
      <c r="Y48" s="89">
        <f t="shared" si="1"/>
        <v>415.3</v>
      </c>
      <c r="Z48" s="87">
        <v>12</v>
      </c>
      <c r="AA48" s="116">
        <v>0</v>
      </c>
      <c r="AB48" s="116">
        <v>0</v>
      </c>
      <c r="AC48" s="191">
        <v>20</v>
      </c>
      <c r="AD48" s="16">
        <f>WEEKNUM(tblKPIs[[#This Row],[Production Start Date]])</f>
        <v>3</v>
      </c>
      <c r="AE48" s="16">
        <v>33</v>
      </c>
      <c r="AF48" s="16">
        <v>6</v>
      </c>
      <c r="AG48" s="16">
        <v>5</v>
      </c>
      <c r="AH48" s="16">
        <v>1</v>
      </c>
      <c r="AI48" s="16">
        <v>7</v>
      </c>
      <c r="AJ48" s="16">
        <f t="shared" si="2"/>
        <v>1</v>
      </c>
      <c r="AL48" s="16"/>
      <c r="AM48" s="16"/>
      <c r="AN48" s="16"/>
      <c r="AO48" s="16"/>
      <c r="AP48" s="16"/>
      <c r="AQ48" s="16"/>
      <c r="AR48" s="16"/>
      <c r="AS48" s="16"/>
      <c r="BB48" s="172">
        <v>3942.878017241379</v>
      </c>
      <c r="BC48" s="172">
        <v>4153</v>
      </c>
    </row>
    <row r="49" spans="2:55" x14ac:dyDescent="0.35">
      <c r="B49" s="1">
        <v>45</v>
      </c>
      <c r="C49" s="158" t="s">
        <v>148</v>
      </c>
      <c r="D49" s="89">
        <v>82.307692307692321</v>
      </c>
      <c r="E49" s="89">
        <v>86.666666666666657</v>
      </c>
      <c r="F49" s="89">
        <v>95.741494082840248</v>
      </c>
      <c r="G49" s="89">
        <v>99.194623095196704</v>
      </c>
      <c r="H49" s="157">
        <v>215.73750000000001</v>
      </c>
      <c r="I49" s="89">
        <v>92.504520084898985</v>
      </c>
      <c r="J49" s="89">
        <v>0</v>
      </c>
      <c r="K49" s="89">
        <f t="shared" si="0"/>
        <v>258.88499999999999</v>
      </c>
      <c r="L49" s="87">
        <v>12</v>
      </c>
      <c r="M49" s="116">
        <v>0</v>
      </c>
      <c r="N49" s="116">
        <v>0</v>
      </c>
      <c r="O49" s="88">
        <v>22</v>
      </c>
      <c r="P49" s="168">
        <v>41654</v>
      </c>
      <c r="Q49" s="16">
        <v>61</v>
      </c>
      <c r="R49" s="89">
        <v>87.097500000000011</v>
      </c>
      <c r="S49" s="89">
        <v>90</v>
      </c>
      <c r="T49" s="89">
        <v>98</v>
      </c>
      <c r="U49" s="89">
        <v>98.75</v>
      </c>
      <c r="V49" s="189">
        <v>260</v>
      </c>
      <c r="W49" s="80">
        <v>0</v>
      </c>
      <c r="X49" s="190">
        <v>40</v>
      </c>
      <c r="Y49" s="89">
        <f t="shared" si="1"/>
        <v>312</v>
      </c>
      <c r="Z49" s="87">
        <v>12</v>
      </c>
      <c r="AA49" s="116">
        <v>0</v>
      </c>
      <c r="AB49" s="116">
        <v>0</v>
      </c>
      <c r="AC49" s="191">
        <v>20</v>
      </c>
      <c r="AD49" s="16">
        <f>WEEKNUM(tblKPIs[[#This Row],[Production Start Date]])</f>
        <v>3</v>
      </c>
      <c r="AE49" s="16">
        <v>6</v>
      </c>
      <c r="AF49" s="16">
        <v>24</v>
      </c>
      <c r="AG49" s="16">
        <v>6</v>
      </c>
      <c r="AH49" s="16">
        <v>8</v>
      </c>
      <c r="AI49" s="16">
        <v>17</v>
      </c>
      <c r="AJ49" s="16">
        <f t="shared" si="2"/>
        <v>1</v>
      </c>
      <c r="AL49" s="16"/>
      <c r="AM49" s="16"/>
      <c r="AN49" s="16"/>
      <c r="AO49" s="16"/>
      <c r="AP49" s="16"/>
      <c r="AQ49" s="16"/>
      <c r="AR49" s="16"/>
      <c r="AS49" s="16"/>
      <c r="BB49" s="171">
        <v>2588.85</v>
      </c>
      <c r="BC49" s="171">
        <v>3120</v>
      </c>
    </row>
    <row r="50" spans="2:55" x14ac:dyDescent="0.35">
      <c r="B50" s="1">
        <v>46</v>
      </c>
      <c r="C50" s="158" t="s">
        <v>146</v>
      </c>
      <c r="D50" s="89">
        <v>80.218832796276402</v>
      </c>
      <c r="E50" s="89">
        <v>86.802721088435376</v>
      </c>
      <c r="F50" s="89">
        <v>94.239619424737384</v>
      </c>
      <c r="G50" s="89">
        <v>98.063970951685931</v>
      </c>
      <c r="H50" s="157">
        <v>233.13727891156464</v>
      </c>
      <c r="I50" s="89">
        <v>96.156617378861426</v>
      </c>
      <c r="J50" s="89">
        <v>0</v>
      </c>
      <c r="K50" s="89">
        <f t="shared" si="0"/>
        <v>279.76473469387759</v>
      </c>
      <c r="L50" s="87">
        <v>12</v>
      </c>
      <c r="M50" s="116">
        <v>0</v>
      </c>
      <c r="N50" s="116">
        <v>0</v>
      </c>
      <c r="O50" s="88">
        <v>25</v>
      </c>
      <c r="P50" s="168">
        <v>41654</v>
      </c>
      <c r="Q50" s="16">
        <v>91</v>
      </c>
      <c r="R50" s="89">
        <v>87.317999999999998</v>
      </c>
      <c r="S50" s="89">
        <v>90</v>
      </c>
      <c r="T50" s="89">
        <v>98</v>
      </c>
      <c r="U50" s="89">
        <v>99</v>
      </c>
      <c r="V50" s="189">
        <v>285</v>
      </c>
      <c r="W50" s="80">
        <v>0</v>
      </c>
      <c r="X50" s="190">
        <v>40</v>
      </c>
      <c r="Y50" s="89">
        <f t="shared" si="1"/>
        <v>342</v>
      </c>
      <c r="Z50" s="87">
        <v>12</v>
      </c>
      <c r="AA50" s="116">
        <v>0</v>
      </c>
      <c r="AB50" s="116">
        <v>0</v>
      </c>
      <c r="AC50" s="191">
        <v>20</v>
      </c>
      <c r="AD50" s="16">
        <f>WEEKNUM(tblKPIs[[#This Row],[Production Start Date]])</f>
        <v>3</v>
      </c>
      <c r="AE50" s="16">
        <v>8</v>
      </c>
      <c r="AF50" s="16">
        <v>33</v>
      </c>
      <c r="AG50" s="16">
        <v>11</v>
      </c>
      <c r="AH50" s="16">
        <v>10</v>
      </c>
      <c r="AI50" s="16">
        <v>29</v>
      </c>
      <c r="AJ50" s="16">
        <f t="shared" si="2"/>
        <v>1</v>
      </c>
      <c r="AL50" s="16"/>
      <c r="AM50" s="16"/>
      <c r="AN50" s="16"/>
      <c r="AO50" s="16"/>
      <c r="AP50" s="16"/>
      <c r="AQ50" s="16"/>
      <c r="AR50" s="16"/>
      <c r="AS50" s="16"/>
      <c r="BB50" s="172">
        <v>2797.6473469387756</v>
      </c>
      <c r="BC50" s="172">
        <v>3420</v>
      </c>
    </row>
    <row r="51" spans="2:55" x14ac:dyDescent="0.35">
      <c r="B51" s="1">
        <v>47</v>
      </c>
      <c r="C51" s="158" t="s">
        <v>145</v>
      </c>
      <c r="D51" s="89">
        <v>96.410870505272257</v>
      </c>
      <c r="E51" s="89">
        <v>92.206366630076843</v>
      </c>
      <c r="F51" s="89">
        <v>105.5762987012987</v>
      </c>
      <c r="G51" s="89">
        <v>99.037270529543918</v>
      </c>
      <c r="H51" s="157">
        <v>321.24862788144895</v>
      </c>
      <c r="I51" s="89">
        <v>112.10611597600494</v>
      </c>
      <c r="J51" s="89">
        <v>81.032207614486097</v>
      </c>
      <c r="K51" s="89">
        <f t="shared" si="0"/>
        <v>385.49835345773874</v>
      </c>
      <c r="L51" s="87">
        <v>12</v>
      </c>
      <c r="M51" s="116">
        <v>0</v>
      </c>
      <c r="N51" s="116">
        <v>0</v>
      </c>
      <c r="O51" s="88">
        <v>22</v>
      </c>
      <c r="P51" s="168">
        <v>41655</v>
      </c>
      <c r="Q51" s="16">
        <v>72</v>
      </c>
      <c r="R51" s="89">
        <v>87.494399999999999</v>
      </c>
      <c r="S51" s="89">
        <v>90</v>
      </c>
      <c r="T51" s="89">
        <v>98</v>
      </c>
      <c r="U51" s="89">
        <v>99.2</v>
      </c>
      <c r="V51" s="189">
        <v>330</v>
      </c>
      <c r="W51" s="80">
        <v>0</v>
      </c>
      <c r="X51" s="190">
        <v>40</v>
      </c>
      <c r="Y51" s="89">
        <f t="shared" si="1"/>
        <v>396</v>
      </c>
      <c r="Z51" s="87">
        <v>12</v>
      </c>
      <c r="AA51" s="116">
        <v>0</v>
      </c>
      <c r="AB51" s="116">
        <v>0</v>
      </c>
      <c r="AC51" s="191">
        <v>20</v>
      </c>
      <c r="AD51" s="16">
        <f>WEEKNUM(tblKPIs[[#This Row],[Production Start Date]])</f>
        <v>3</v>
      </c>
      <c r="AE51" s="16">
        <v>20</v>
      </c>
      <c r="AF51" s="16">
        <v>19</v>
      </c>
      <c r="AG51" s="16">
        <v>6</v>
      </c>
      <c r="AH51" s="16">
        <v>6</v>
      </c>
      <c r="AI51" s="16">
        <v>21</v>
      </c>
      <c r="AJ51" s="16">
        <f t="shared" si="2"/>
        <v>1</v>
      </c>
      <c r="AL51" s="16"/>
      <c r="AM51" s="16"/>
      <c r="AN51" s="16"/>
      <c r="AO51" s="16"/>
      <c r="AP51" s="16"/>
      <c r="AQ51" s="16"/>
      <c r="AR51" s="16"/>
      <c r="AS51" s="16"/>
      <c r="BB51" s="171">
        <v>3854.9835345773872</v>
      </c>
      <c r="BC51" s="171">
        <v>3960</v>
      </c>
    </row>
    <row r="52" spans="2:55" x14ac:dyDescent="0.35">
      <c r="B52" s="1">
        <v>48</v>
      </c>
      <c r="C52" s="158" t="s">
        <v>161</v>
      </c>
      <c r="D52" s="89">
        <v>92.800000000000011</v>
      </c>
      <c r="E52" s="89">
        <v>100</v>
      </c>
      <c r="F52" s="89">
        <v>93.008080808080805</v>
      </c>
      <c r="G52" s="89">
        <v>99.776276635026832</v>
      </c>
      <c r="H52" s="157">
        <v>306.92666666666668</v>
      </c>
      <c r="I52" s="89">
        <v>111.63946749436214</v>
      </c>
      <c r="J52" s="89">
        <v>80.716155655144874</v>
      </c>
      <c r="K52" s="89">
        <f t="shared" si="0"/>
        <v>368.31200000000001</v>
      </c>
      <c r="L52" s="87">
        <v>12</v>
      </c>
      <c r="M52" s="116">
        <v>0</v>
      </c>
      <c r="N52" s="116">
        <v>0</v>
      </c>
      <c r="O52" s="88">
        <v>23</v>
      </c>
      <c r="P52" s="168">
        <v>41654</v>
      </c>
      <c r="Q52" s="16">
        <v>72</v>
      </c>
      <c r="R52" s="89">
        <v>87.494399999999999</v>
      </c>
      <c r="S52" s="89">
        <v>90</v>
      </c>
      <c r="T52" s="89">
        <v>98</v>
      </c>
      <c r="U52" s="89">
        <v>99.2</v>
      </c>
      <c r="V52" s="189">
        <v>330</v>
      </c>
      <c r="W52" s="80">
        <v>0</v>
      </c>
      <c r="X52" s="190">
        <v>40</v>
      </c>
      <c r="Y52" s="89">
        <f t="shared" si="1"/>
        <v>396</v>
      </c>
      <c r="Z52" s="87">
        <v>12</v>
      </c>
      <c r="AA52" s="116">
        <v>0</v>
      </c>
      <c r="AB52" s="116">
        <v>0</v>
      </c>
      <c r="AC52" s="191">
        <v>20</v>
      </c>
      <c r="AD52" s="16">
        <f>WEEKNUM(tblKPIs[[#This Row],[Production Start Date]])</f>
        <v>3</v>
      </c>
      <c r="AE52" s="16">
        <v>16</v>
      </c>
      <c r="AF52" s="16">
        <v>25</v>
      </c>
      <c r="AG52" s="16">
        <v>9</v>
      </c>
      <c r="AH52" s="16">
        <v>7</v>
      </c>
      <c r="AI52" s="16">
        <v>15</v>
      </c>
      <c r="AJ52" s="16">
        <f t="shared" si="2"/>
        <v>1</v>
      </c>
      <c r="AL52" s="16"/>
      <c r="AM52" s="16"/>
      <c r="AN52" s="16"/>
      <c r="AO52" s="16"/>
      <c r="AP52" s="16"/>
      <c r="AQ52" s="16"/>
      <c r="AR52" s="16"/>
      <c r="AS52" s="16"/>
      <c r="BB52" s="172">
        <v>3683.12</v>
      </c>
      <c r="BC52" s="172">
        <v>3960</v>
      </c>
    </row>
    <row r="53" spans="2:55" x14ac:dyDescent="0.35">
      <c r="B53" s="1">
        <v>49</v>
      </c>
      <c r="C53" s="158" t="s">
        <v>151</v>
      </c>
      <c r="D53" s="89">
        <v>97.827715355805239</v>
      </c>
      <c r="E53" s="89">
        <v>89.325842696629209</v>
      </c>
      <c r="F53" s="89">
        <v>110.08493253776273</v>
      </c>
      <c r="G53" s="89">
        <v>99.484840642411044</v>
      </c>
      <c r="H53" s="157">
        <v>230.10224719101123</v>
      </c>
      <c r="I53" s="89">
        <v>104.05095062443475</v>
      </c>
      <c r="J53" s="89">
        <v>19.09496355922985</v>
      </c>
      <c r="K53" s="89">
        <f t="shared" si="0"/>
        <v>276.12269662921346</v>
      </c>
      <c r="L53" s="87">
        <v>12</v>
      </c>
      <c r="M53" s="116">
        <v>0</v>
      </c>
      <c r="N53" s="116">
        <v>0</v>
      </c>
      <c r="O53" s="88">
        <v>29</v>
      </c>
      <c r="P53" s="168">
        <v>41655</v>
      </c>
      <c r="Q53" s="16">
        <v>93</v>
      </c>
      <c r="R53" s="89">
        <v>86.87700000000001</v>
      </c>
      <c r="S53" s="89">
        <v>90</v>
      </c>
      <c r="T53" s="89">
        <v>98</v>
      </c>
      <c r="U53" s="89">
        <v>98.5</v>
      </c>
      <c r="V53" s="189">
        <v>234</v>
      </c>
      <c r="W53" s="80">
        <v>0</v>
      </c>
      <c r="X53" s="190">
        <v>40</v>
      </c>
      <c r="Y53" s="89">
        <f t="shared" si="1"/>
        <v>280.8</v>
      </c>
      <c r="Z53" s="87">
        <v>12</v>
      </c>
      <c r="AA53" s="116">
        <v>0</v>
      </c>
      <c r="AB53" s="116">
        <v>0</v>
      </c>
      <c r="AC53" s="191">
        <v>20</v>
      </c>
      <c r="AD53" s="16">
        <f>WEEKNUM(tblKPIs[[#This Row],[Production Start Date]])</f>
        <v>3</v>
      </c>
      <c r="AE53" s="16">
        <v>14</v>
      </c>
      <c r="AF53" s="16">
        <v>9</v>
      </c>
      <c r="AG53" s="16">
        <v>21</v>
      </c>
      <c r="AH53" s="16">
        <v>19</v>
      </c>
      <c r="AI53" s="16">
        <v>30</v>
      </c>
      <c r="AJ53" s="16">
        <f t="shared" si="2"/>
        <v>1</v>
      </c>
      <c r="AL53" s="16"/>
      <c r="AM53" s="16"/>
      <c r="AN53" s="16"/>
      <c r="AO53" s="16"/>
      <c r="AP53" s="16"/>
      <c r="AQ53" s="16"/>
      <c r="AR53" s="16"/>
      <c r="AS53" s="16"/>
      <c r="BB53" s="171">
        <v>2761.2269662921344</v>
      </c>
      <c r="BC53" s="171">
        <v>2808</v>
      </c>
    </row>
    <row r="54" spans="2:55" x14ac:dyDescent="0.35">
      <c r="B54" s="1">
        <v>50</v>
      </c>
      <c r="C54" s="158" t="s">
        <v>147</v>
      </c>
      <c r="D54" s="89">
        <v>98.201618880426722</v>
      </c>
      <c r="E54" s="89">
        <v>93.709327548806925</v>
      </c>
      <c r="F54" s="89">
        <v>106.30882628354337</v>
      </c>
      <c r="G54" s="89">
        <v>98.574935730545192</v>
      </c>
      <c r="H54" s="157">
        <v>344.77266811279827</v>
      </c>
      <c r="I54" s="89">
        <v>123.36294381769565</v>
      </c>
      <c r="J54" s="89">
        <v>41.741285313067898</v>
      </c>
      <c r="K54" s="89">
        <f t="shared" si="0"/>
        <v>413.72720173535788</v>
      </c>
      <c r="L54" s="87">
        <v>12</v>
      </c>
      <c r="M54" s="116">
        <v>0</v>
      </c>
      <c r="N54" s="116">
        <v>0</v>
      </c>
      <c r="O54" s="88">
        <v>22</v>
      </c>
      <c r="P54" s="168">
        <v>41655</v>
      </c>
      <c r="Q54" s="16">
        <v>114</v>
      </c>
      <c r="R54" s="89">
        <v>87.494399999999999</v>
      </c>
      <c r="S54" s="89">
        <v>90</v>
      </c>
      <c r="T54" s="89">
        <v>98</v>
      </c>
      <c r="U54" s="89">
        <v>99.2</v>
      </c>
      <c r="V54" s="189">
        <v>346.08333333333331</v>
      </c>
      <c r="W54" s="80">
        <v>0</v>
      </c>
      <c r="X54" s="190">
        <v>40</v>
      </c>
      <c r="Y54" s="89">
        <f t="shared" si="1"/>
        <v>415.3</v>
      </c>
      <c r="Z54" s="87">
        <v>12</v>
      </c>
      <c r="AA54" s="116">
        <v>0</v>
      </c>
      <c r="AB54" s="116">
        <v>0</v>
      </c>
      <c r="AC54" s="191">
        <v>20</v>
      </c>
      <c r="AD54" s="16">
        <f>WEEKNUM(tblKPIs[[#This Row],[Production Start Date]])</f>
        <v>3</v>
      </c>
      <c r="AE54" s="16">
        <v>14</v>
      </c>
      <c r="AF54" s="16">
        <v>28</v>
      </c>
      <c r="AG54" s="16">
        <v>22</v>
      </c>
      <c r="AH54" s="16">
        <v>31</v>
      </c>
      <c r="AI54" s="16">
        <v>19</v>
      </c>
      <c r="AJ54" s="16">
        <f t="shared" si="2"/>
        <v>1</v>
      </c>
      <c r="AL54" s="16"/>
      <c r="AM54" s="16"/>
      <c r="AN54" s="16"/>
      <c r="AO54" s="16"/>
      <c r="AP54" s="16"/>
      <c r="AQ54" s="16"/>
      <c r="AR54" s="16"/>
      <c r="AS54" s="16"/>
      <c r="BB54" s="172">
        <v>4137.272017353579</v>
      </c>
      <c r="BC54" s="172">
        <v>4153</v>
      </c>
    </row>
    <row r="55" spans="2:55" x14ac:dyDescent="0.35">
      <c r="B55" s="1">
        <v>51</v>
      </c>
      <c r="C55" s="158" t="s">
        <v>162</v>
      </c>
      <c r="D55" s="89">
        <v>72.615525742460733</v>
      </c>
      <c r="E55" s="89">
        <v>100</v>
      </c>
      <c r="F55" s="89">
        <v>74.478844169246656</v>
      </c>
      <c r="G55" s="89">
        <v>97.4981909996459</v>
      </c>
      <c r="H55" s="157">
        <v>227.90526315789475</v>
      </c>
      <c r="I55" s="89">
        <v>73.818615751789977</v>
      </c>
      <c r="J55" s="89">
        <v>0</v>
      </c>
      <c r="K55" s="89">
        <f t="shared" si="0"/>
        <v>273.48631578947368</v>
      </c>
      <c r="L55" s="87">
        <v>12</v>
      </c>
      <c r="M55" s="116">
        <v>0</v>
      </c>
      <c r="N55" s="116">
        <v>0</v>
      </c>
      <c r="O55" s="88">
        <v>28</v>
      </c>
      <c r="P55" s="168">
        <v>41655</v>
      </c>
      <c r="Q55" s="16">
        <v>98</v>
      </c>
      <c r="R55" s="89">
        <v>86.87700000000001</v>
      </c>
      <c r="S55" s="89">
        <v>90</v>
      </c>
      <c r="T55" s="89">
        <v>98</v>
      </c>
      <c r="U55" s="89">
        <v>98.5</v>
      </c>
      <c r="V55" s="189">
        <v>306</v>
      </c>
      <c r="W55" s="80">
        <v>0</v>
      </c>
      <c r="X55" s="190">
        <v>40</v>
      </c>
      <c r="Y55" s="89">
        <f t="shared" si="1"/>
        <v>367.2</v>
      </c>
      <c r="Z55" s="87">
        <v>12</v>
      </c>
      <c r="AA55" s="116">
        <v>0</v>
      </c>
      <c r="AB55" s="116">
        <v>0</v>
      </c>
      <c r="AC55" s="191">
        <v>20</v>
      </c>
      <c r="AD55" s="16">
        <f>WEEKNUM(tblKPIs[[#This Row],[Production Start Date]])</f>
        <v>3</v>
      </c>
      <c r="AE55" s="16">
        <v>31</v>
      </c>
      <c r="AF55" s="16">
        <v>9</v>
      </c>
      <c r="AG55" s="16">
        <v>22</v>
      </c>
      <c r="AH55" s="16">
        <v>31</v>
      </c>
      <c r="AI55" s="16">
        <v>5</v>
      </c>
      <c r="AJ55" s="16">
        <f t="shared" si="2"/>
        <v>1</v>
      </c>
      <c r="AL55" s="16"/>
      <c r="AM55" s="16"/>
      <c r="AN55" s="16"/>
      <c r="AO55" s="16"/>
      <c r="AP55" s="16"/>
      <c r="AQ55" s="16"/>
      <c r="AR55" s="16"/>
      <c r="AS55" s="16"/>
      <c r="BB55" s="171">
        <v>2734.863157894737</v>
      </c>
      <c r="BC55" s="171">
        <v>3672</v>
      </c>
    </row>
    <row r="56" spans="2:55" x14ac:dyDescent="0.35">
      <c r="B56" s="1">
        <v>52</v>
      </c>
      <c r="C56" s="158" t="s">
        <v>150</v>
      </c>
      <c r="D56" s="89">
        <v>73.467492260061931</v>
      </c>
      <c r="E56" s="89">
        <v>90.789473684210535</v>
      </c>
      <c r="F56" s="89">
        <v>82.921758075210761</v>
      </c>
      <c r="G56" s="89">
        <v>97.586831238112651</v>
      </c>
      <c r="H56" s="157">
        <v>230.36973684210531</v>
      </c>
      <c r="I56" s="89">
        <v>109.07907169928872</v>
      </c>
      <c r="J56" s="89">
        <v>44.89560058556129</v>
      </c>
      <c r="K56" s="89">
        <f t="shared" si="0"/>
        <v>276.44368421052638</v>
      </c>
      <c r="L56" s="87">
        <v>12</v>
      </c>
      <c r="M56" s="116">
        <v>0</v>
      </c>
      <c r="N56" s="116">
        <v>0</v>
      </c>
      <c r="O56" s="88">
        <v>25</v>
      </c>
      <c r="P56" s="168">
        <v>41656</v>
      </c>
      <c r="Q56" s="16">
        <v>58</v>
      </c>
      <c r="R56" s="89">
        <v>86.87700000000001</v>
      </c>
      <c r="S56" s="89">
        <v>90</v>
      </c>
      <c r="T56" s="89">
        <v>98</v>
      </c>
      <c r="U56" s="89">
        <v>98.5</v>
      </c>
      <c r="V56" s="189">
        <v>306</v>
      </c>
      <c r="W56" s="80">
        <v>0</v>
      </c>
      <c r="X56" s="190">
        <v>40</v>
      </c>
      <c r="Y56" s="89">
        <f t="shared" si="1"/>
        <v>367.20000000000005</v>
      </c>
      <c r="Z56" s="87">
        <v>12</v>
      </c>
      <c r="AA56" s="116">
        <v>0</v>
      </c>
      <c r="AB56" s="116">
        <v>0</v>
      </c>
      <c r="AC56" s="191">
        <v>20</v>
      </c>
      <c r="AD56" s="16">
        <f>WEEKNUM(tblKPIs[[#This Row],[Production Start Date]])</f>
        <v>3</v>
      </c>
      <c r="AE56" s="16">
        <v>16</v>
      </c>
      <c r="AF56" s="16">
        <v>1</v>
      </c>
      <c r="AG56" s="16">
        <v>25</v>
      </c>
      <c r="AH56" s="16">
        <v>10</v>
      </c>
      <c r="AI56" s="16">
        <v>6</v>
      </c>
      <c r="AJ56" s="16">
        <f t="shared" si="2"/>
        <v>1</v>
      </c>
      <c r="AL56" s="16"/>
      <c r="AM56" s="16"/>
      <c r="AN56" s="16"/>
      <c r="AO56" s="16"/>
      <c r="AP56" s="16"/>
      <c r="AQ56" s="16"/>
      <c r="AR56" s="16"/>
      <c r="AS56" s="16"/>
      <c r="BB56" s="172">
        <v>2764.4368421052636</v>
      </c>
      <c r="BC56" s="172">
        <v>3672.0000000000005</v>
      </c>
    </row>
    <row r="57" spans="2:55" x14ac:dyDescent="0.35">
      <c r="B57" s="1">
        <v>53</v>
      </c>
      <c r="C57" s="158" t="s">
        <v>149</v>
      </c>
      <c r="D57" s="89">
        <v>87.366490268603343</v>
      </c>
      <c r="E57" s="89">
        <v>91.062394603709947</v>
      </c>
      <c r="F57" s="89">
        <v>97.779133415183153</v>
      </c>
      <c r="G57" s="89">
        <v>98.120474325836256</v>
      </c>
      <c r="H57" s="157">
        <v>322.32487352445196</v>
      </c>
      <c r="I57" s="89">
        <v>113.62387461694622</v>
      </c>
      <c r="J57" s="89">
        <v>100</v>
      </c>
      <c r="K57" s="89">
        <f t="shared" si="0"/>
        <v>386.7898482293424</v>
      </c>
      <c r="L57" s="87">
        <v>12</v>
      </c>
      <c r="M57" s="116">
        <v>0</v>
      </c>
      <c r="N57" s="116">
        <v>0</v>
      </c>
      <c r="O57" s="88">
        <v>15</v>
      </c>
      <c r="P57" s="168">
        <v>41656</v>
      </c>
      <c r="Q57" s="16">
        <v>100</v>
      </c>
      <c r="R57" s="89">
        <v>87.494399999999999</v>
      </c>
      <c r="S57" s="89">
        <v>90</v>
      </c>
      <c r="T57" s="89">
        <v>98</v>
      </c>
      <c r="U57" s="89">
        <v>99.2</v>
      </c>
      <c r="V57" s="189">
        <v>362</v>
      </c>
      <c r="W57" s="80">
        <v>0</v>
      </c>
      <c r="X57" s="190">
        <v>40</v>
      </c>
      <c r="Y57" s="89">
        <f t="shared" si="1"/>
        <v>434.4</v>
      </c>
      <c r="Z57" s="87">
        <v>12</v>
      </c>
      <c r="AA57" s="116">
        <v>0</v>
      </c>
      <c r="AB57" s="116">
        <v>0</v>
      </c>
      <c r="AC57" s="191">
        <v>20</v>
      </c>
      <c r="AD57" s="16">
        <f>WEEKNUM(tblKPIs[[#This Row],[Production Start Date]])</f>
        <v>3</v>
      </c>
      <c r="AE57" s="16">
        <v>29</v>
      </c>
      <c r="AF57" s="16">
        <v>2</v>
      </c>
      <c r="AG57" s="16">
        <v>18</v>
      </c>
      <c r="AH57" s="16">
        <v>19</v>
      </c>
      <c r="AI57" s="16">
        <v>32</v>
      </c>
      <c r="AJ57" s="16">
        <f t="shared" si="2"/>
        <v>1</v>
      </c>
      <c r="AL57" s="16"/>
      <c r="AM57" s="16"/>
      <c r="AN57" s="16"/>
      <c r="AO57" s="16"/>
      <c r="AP57" s="16"/>
      <c r="AQ57" s="16"/>
      <c r="AR57" s="16"/>
      <c r="AS57" s="16"/>
      <c r="BB57" s="171">
        <v>3867.898482293424</v>
      </c>
      <c r="BC57" s="171">
        <v>4344</v>
      </c>
    </row>
    <row r="58" spans="2:55" x14ac:dyDescent="0.35">
      <c r="B58" s="1">
        <v>54</v>
      </c>
      <c r="C58" s="158" t="s">
        <v>147</v>
      </c>
      <c r="D58" s="89">
        <v>100.55768347689713</v>
      </c>
      <c r="E58" s="89">
        <v>98.587360594795541</v>
      </c>
      <c r="F58" s="89">
        <v>102.78139446706463</v>
      </c>
      <c r="G58" s="89">
        <v>99.238345412740458</v>
      </c>
      <c r="H58" s="157">
        <v>350.68438661710042</v>
      </c>
      <c r="I58" s="89">
        <v>119.01224007811851</v>
      </c>
      <c r="J58" s="89">
        <v>8.6148837001850982</v>
      </c>
      <c r="K58" s="89">
        <f t="shared" si="0"/>
        <v>420.82126394052045</v>
      </c>
      <c r="L58" s="87">
        <v>12</v>
      </c>
      <c r="M58" s="116">
        <v>0</v>
      </c>
      <c r="N58" s="116">
        <v>0</v>
      </c>
      <c r="O58" s="88">
        <v>16</v>
      </c>
      <c r="P58" s="168">
        <v>41656</v>
      </c>
      <c r="Q58" s="16">
        <v>100</v>
      </c>
      <c r="R58" s="89">
        <v>87.494399999999999</v>
      </c>
      <c r="S58" s="89">
        <v>90</v>
      </c>
      <c r="T58" s="89">
        <v>98</v>
      </c>
      <c r="U58" s="89">
        <v>99.2</v>
      </c>
      <c r="V58" s="189">
        <v>346.08333333333331</v>
      </c>
      <c r="W58" s="80">
        <v>0</v>
      </c>
      <c r="X58" s="190">
        <v>40</v>
      </c>
      <c r="Y58" s="89">
        <f t="shared" si="1"/>
        <v>415.3</v>
      </c>
      <c r="Z58" s="87">
        <v>12</v>
      </c>
      <c r="AA58" s="116">
        <v>0</v>
      </c>
      <c r="AB58" s="116">
        <v>0</v>
      </c>
      <c r="AC58" s="191">
        <v>20</v>
      </c>
      <c r="AD58" s="16">
        <f>WEEKNUM(tblKPIs[[#This Row],[Production Start Date]])</f>
        <v>3</v>
      </c>
      <c r="AE58" s="16">
        <v>11</v>
      </c>
      <c r="AF58" s="16">
        <v>33</v>
      </c>
      <c r="AG58" s="16">
        <v>13</v>
      </c>
      <c r="AH58" s="16">
        <v>17</v>
      </c>
      <c r="AI58" s="16">
        <v>26</v>
      </c>
      <c r="AJ58" s="16">
        <f t="shared" si="2"/>
        <v>1</v>
      </c>
      <c r="AL58" s="16"/>
      <c r="AM58" s="16"/>
      <c r="AN58" s="16"/>
      <c r="AO58" s="16"/>
      <c r="AP58" s="16"/>
      <c r="AQ58" s="16"/>
      <c r="AR58" s="16"/>
      <c r="AS58" s="16"/>
      <c r="BB58" s="172">
        <v>4208.2126394052048</v>
      </c>
      <c r="BC58" s="172">
        <v>4153</v>
      </c>
    </row>
    <row r="59" spans="2:55" x14ac:dyDescent="0.35">
      <c r="B59" s="1">
        <v>55</v>
      </c>
      <c r="C59" s="158" t="s">
        <v>147</v>
      </c>
      <c r="D59" s="89">
        <v>89.374187935690159</v>
      </c>
      <c r="E59" s="89">
        <v>91.206543967280169</v>
      </c>
      <c r="F59" s="89">
        <v>99.446522805539729</v>
      </c>
      <c r="G59" s="89">
        <v>98.536358110195422</v>
      </c>
      <c r="H59" s="157">
        <v>328.34028629856846</v>
      </c>
      <c r="I59" s="89">
        <v>116.87769794646692</v>
      </c>
      <c r="J59" s="89">
        <v>0</v>
      </c>
      <c r="K59" s="89">
        <f t="shared" si="0"/>
        <v>394.00834355828221</v>
      </c>
      <c r="L59" s="87">
        <v>12</v>
      </c>
      <c r="M59" s="116">
        <v>0</v>
      </c>
      <c r="N59" s="116">
        <v>0</v>
      </c>
      <c r="O59" s="88">
        <v>25</v>
      </c>
      <c r="P59" s="168">
        <v>41656</v>
      </c>
      <c r="Q59" s="16">
        <v>112</v>
      </c>
      <c r="R59" s="89">
        <v>87.494399999999999</v>
      </c>
      <c r="S59" s="89">
        <v>90</v>
      </c>
      <c r="T59" s="89">
        <v>98</v>
      </c>
      <c r="U59" s="89">
        <v>99.2</v>
      </c>
      <c r="V59" s="189">
        <v>362</v>
      </c>
      <c r="W59" s="80">
        <v>0</v>
      </c>
      <c r="X59" s="190">
        <v>40</v>
      </c>
      <c r="Y59" s="89">
        <f t="shared" si="1"/>
        <v>434.4</v>
      </c>
      <c r="Z59" s="87">
        <v>12</v>
      </c>
      <c r="AA59" s="116">
        <v>0</v>
      </c>
      <c r="AB59" s="116">
        <v>0</v>
      </c>
      <c r="AC59" s="191">
        <v>20</v>
      </c>
      <c r="AD59" s="16">
        <f>WEEKNUM(tblKPIs[[#This Row],[Production Start Date]])</f>
        <v>3</v>
      </c>
      <c r="AE59" s="16">
        <v>17</v>
      </c>
      <c r="AF59" s="16">
        <v>31</v>
      </c>
      <c r="AG59" s="16">
        <v>27</v>
      </c>
      <c r="AH59" s="16">
        <v>32</v>
      </c>
      <c r="AI59" s="16">
        <v>5</v>
      </c>
      <c r="AJ59" s="16">
        <f t="shared" si="2"/>
        <v>1</v>
      </c>
      <c r="AL59" s="16"/>
      <c r="AM59" s="16"/>
      <c r="AN59" s="16"/>
      <c r="AO59" s="16"/>
      <c r="AP59" s="16"/>
      <c r="AQ59" s="16"/>
      <c r="AR59" s="16"/>
      <c r="AS59" s="16"/>
      <c r="BB59" s="171">
        <v>3940.0834355828219</v>
      </c>
      <c r="BC59" s="171">
        <v>4344</v>
      </c>
    </row>
    <row r="60" spans="2:55" x14ac:dyDescent="0.35">
      <c r="B60" s="1">
        <v>56</v>
      </c>
      <c r="C60" s="158" t="s">
        <v>147</v>
      </c>
      <c r="D60" s="89">
        <v>95.042689569004963</v>
      </c>
      <c r="E60" s="89">
        <v>94.049159120310492</v>
      </c>
      <c r="F60" s="89">
        <v>102.58658578956033</v>
      </c>
      <c r="G60" s="89">
        <v>98.508390786116792</v>
      </c>
      <c r="H60" s="157">
        <v>333.90750323415267</v>
      </c>
      <c r="I60" s="89">
        <v>121.59279612011804</v>
      </c>
      <c r="J60" s="89">
        <v>0</v>
      </c>
      <c r="K60" s="89">
        <f t="shared" si="0"/>
        <v>400.68900388098319</v>
      </c>
      <c r="L60" s="87">
        <v>12</v>
      </c>
      <c r="M60" s="116">
        <v>0</v>
      </c>
      <c r="N60" s="116">
        <v>0</v>
      </c>
      <c r="O60" s="88">
        <v>19</v>
      </c>
      <c r="P60" s="168">
        <v>41657</v>
      </c>
      <c r="Q60" s="16">
        <v>91</v>
      </c>
      <c r="R60" s="89">
        <v>87.494399999999999</v>
      </c>
      <c r="S60" s="89">
        <v>90</v>
      </c>
      <c r="T60" s="89">
        <v>98</v>
      </c>
      <c r="U60" s="89">
        <v>99.2</v>
      </c>
      <c r="V60" s="189">
        <v>346.08333333333331</v>
      </c>
      <c r="W60" s="80">
        <v>0</v>
      </c>
      <c r="X60" s="190">
        <v>40</v>
      </c>
      <c r="Y60" s="89">
        <f t="shared" si="1"/>
        <v>415.3</v>
      </c>
      <c r="Z60" s="87">
        <v>12</v>
      </c>
      <c r="AA60" s="116">
        <v>0</v>
      </c>
      <c r="AB60" s="116">
        <v>0</v>
      </c>
      <c r="AC60" s="191">
        <v>20</v>
      </c>
      <c r="AD60" s="16">
        <f>WEEKNUM(tblKPIs[[#This Row],[Production Start Date]])</f>
        <v>3</v>
      </c>
      <c r="AE60" s="16">
        <v>26</v>
      </c>
      <c r="AF60" s="16">
        <v>23</v>
      </c>
      <c r="AG60" s="16">
        <v>0</v>
      </c>
      <c r="AH60" s="16">
        <v>25</v>
      </c>
      <c r="AI60" s="16">
        <v>17</v>
      </c>
      <c r="AJ60" s="16">
        <f t="shared" si="2"/>
        <v>1</v>
      </c>
      <c r="AL60" s="16"/>
      <c r="AM60" s="16"/>
      <c r="AN60" s="16"/>
      <c r="AO60" s="16"/>
      <c r="AP60" s="16"/>
      <c r="AQ60" s="16"/>
      <c r="AR60" s="16"/>
      <c r="AS60" s="16"/>
      <c r="BB60" s="172">
        <v>4006.8900388098318</v>
      </c>
      <c r="BC60" s="172">
        <v>4153</v>
      </c>
    </row>
    <row r="61" spans="2:55" x14ac:dyDescent="0.35">
      <c r="B61" s="1">
        <v>57</v>
      </c>
      <c r="C61" s="158" t="s">
        <v>147</v>
      </c>
      <c r="D61" s="89">
        <v>90.907132387287987</v>
      </c>
      <c r="E61" s="89">
        <v>97.813411078717209</v>
      </c>
      <c r="F61" s="89">
        <v>94.612847979843735</v>
      </c>
      <c r="G61" s="89">
        <v>98.231197498874096</v>
      </c>
      <c r="H61" s="157">
        <v>335.00947521865896</v>
      </c>
      <c r="I61" s="89">
        <v>121.15244712481285</v>
      </c>
      <c r="J61" s="89">
        <v>0</v>
      </c>
      <c r="K61" s="89">
        <f t="shared" si="0"/>
        <v>402.0113702623907</v>
      </c>
      <c r="L61" s="87">
        <v>12</v>
      </c>
      <c r="M61" s="116">
        <v>0</v>
      </c>
      <c r="N61" s="116">
        <v>0</v>
      </c>
      <c r="O61" s="88">
        <v>15</v>
      </c>
      <c r="P61" s="168">
        <v>41657</v>
      </c>
      <c r="Q61" s="16">
        <v>62</v>
      </c>
      <c r="R61" s="89">
        <v>87.494399999999999</v>
      </c>
      <c r="S61" s="89">
        <v>90</v>
      </c>
      <c r="T61" s="89">
        <v>98</v>
      </c>
      <c r="U61" s="89">
        <v>99.2</v>
      </c>
      <c r="V61" s="189">
        <v>362</v>
      </c>
      <c r="W61" s="80">
        <v>0</v>
      </c>
      <c r="X61" s="190">
        <v>40</v>
      </c>
      <c r="Y61" s="89">
        <f t="shared" si="1"/>
        <v>434.4</v>
      </c>
      <c r="Z61" s="87">
        <v>12</v>
      </c>
      <c r="AA61" s="116">
        <v>0</v>
      </c>
      <c r="AB61" s="116">
        <v>0</v>
      </c>
      <c r="AC61" s="191">
        <v>20</v>
      </c>
      <c r="AD61" s="16">
        <f>WEEKNUM(tblKPIs[[#This Row],[Production Start Date]])</f>
        <v>3</v>
      </c>
      <c r="AE61" s="16">
        <v>1</v>
      </c>
      <c r="AF61" s="16">
        <v>4</v>
      </c>
      <c r="AG61" s="16">
        <v>13</v>
      </c>
      <c r="AH61" s="16">
        <v>24</v>
      </c>
      <c r="AI61" s="16">
        <v>20</v>
      </c>
      <c r="AJ61" s="16">
        <f t="shared" si="2"/>
        <v>1</v>
      </c>
      <c r="AL61" s="16"/>
      <c r="AM61" s="16"/>
      <c r="AN61" s="16"/>
      <c r="AO61" s="16"/>
      <c r="AP61" s="16"/>
      <c r="AQ61" s="16"/>
      <c r="AR61" s="16"/>
      <c r="AS61" s="16"/>
      <c r="BB61" s="171">
        <v>4020.1137026239071</v>
      </c>
      <c r="BC61" s="171">
        <v>4344</v>
      </c>
    </row>
    <row r="62" spans="2:55" x14ac:dyDescent="0.35">
      <c r="B62" s="1">
        <v>58</v>
      </c>
      <c r="C62" s="158" t="s">
        <v>147</v>
      </c>
      <c r="D62" s="89">
        <v>98.682039881509013</v>
      </c>
      <c r="E62" s="89">
        <v>98.837209302325576</v>
      </c>
      <c r="F62" s="89">
        <v>100.80219826914632</v>
      </c>
      <c r="G62" s="89">
        <v>99.048440183814606</v>
      </c>
      <c r="H62" s="157">
        <v>344.8031007751938</v>
      </c>
      <c r="I62" s="89">
        <v>118.04141836744171</v>
      </c>
      <c r="J62" s="89">
        <v>0</v>
      </c>
      <c r="K62" s="89">
        <f t="shared" si="0"/>
        <v>413.76372093023258</v>
      </c>
      <c r="L62" s="87">
        <v>12</v>
      </c>
      <c r="M62" s="116">
        <v>0</v>
      </c>
      <c r="N62" s="116">
        <v>0</v>
      </c>
      <c r="O62" s="88">
        <v>19</v>
      </c>
      <c r="P62" s="168">
        <v>41659</v>
      </c>
      <c r="Q62" s="16">
        <v>78</v>
      </c>
      <c r="R62" s="89">
        <v>87.494399999999999</v>
      </c>
      <c r="S62" s="89">
        <v>90</v>
      </c>
      <c r="T62" s="89">
        <v>98</v>
      </c>
      <c r="U62" s="89">
        <v>99.2</v>
      </c>
      <c r="V62" s="189">
        <v>346.08333333333331</v>
      </c>
      <c r="W62" s="80">
        <v>0</v>
      </c>
      <c r="X62" s="190">
        <v>40</v>
      </c>
      <c r="Y62" s="89">
        <f t="shared" si="1"/>
        <v>415.3</v>
      </c>
      <c r="Z62" s="87">
        <v>12</v>
      </c>
      <c r="AA62" s="116">
        <v>0</v>
      </c>
      <c r="AB62" s="116">
        <v>0</v>
      </c>
      <c r="AC62" s="191">
        <v>20</v>
      </c>
      <c r="AD62" s="16">
        <f>WEEKNUM(tblKPIs[[#This Row],[Production Start Date]])</f>
        <v>4</v>
      </c>
      <c r="AE62" s="16">
        <v>0</v>
      </c>
      <c r="AF62" s="16">
        <v>15</v>
      </c>
      <c r="AG62" s="16">
        <v>9</v>
      </c>
      <c r="AH62" s="16">
        <v>20</v>
      </c>
      <c r="AI62" s="16">
        <v>34</v>
      </c>
      <c r="AJ62" s="16">
        <f t="shared" si="2"/>
        <v>1</v>
      </c>
      <c r="AL62" s="16"/>
      <c r="AM62" s="16"/>
      <c r="AN62" s="16"/>
      <c r="AO62" s="16"/>
      <c r="AP62" s="16"/>
      <c r="AQ62" s="16"/>
      <c r="AR62" s="16"/>
      <c r="AS62" s="16"/>
      <c r="BB62" s="172">
        <v>4137.6372093023256</v>
      </c>
      <c r="BC62" s="172">
        <v>4153</v>
      </c>
    </row>
    <row r="63" spans="2:55" x14ac:dyDescent="0.35">
      <c r="B63" s="1">
        <v>59</v>
      </c>
      <c r="C63" s="158" t="s">
        <v>146</v>
      </c>
      <c r="D63" s="89">
        <v>86.755555555555546</v>
      </c>
      <c r="E63" s="89">
        <v>89</v>
      </c>
      <c r="F63" s="89">
        <v>98.627756970453589</v>
      </c>
      <c r="G63" s="89">
        <v>98.834400481007592</v>
      </c>
      <c r="H63" s="157">
        <v>237.0025</v>
      </c>
      <c r="I63" s="89">
        <v>53.70469245465528</v>
      </c>
      <c r="J63" s="89">
        <v>0</v>
      </c>
      <c r="K63" s="89">
        <f t="shared" si="0"/>
        <v>284.40300000000002</v>
      </c>
      <c r="L63" s="87">
        <v>12</v>
      </c>
      <c r="M63" s="116">
        <v>0</v>
      </c>
      <c r="N63" s="116">
        <v>0</v>
      </c>
      <c r="O63" s="88">
        <v>18</v>
      </c>
      <c r="P63" s="168">
        <v>41659</v>
      </c>
      <c r="Q63" s="16">
        <v>76</v>
      </c>
      <c r="R63" s="89">
        <v>87.317999999999998</v>
      </c>
      <c r="S63" s="89">
        <v>90</v>
      </c>
      <c r="T63" s="89">
        <v>98</v>
      </c>
      <c r="U63" s="89">
        <v>99</v>
      </c>
      <c r="V63" s="189">
        <v>270</v>
      </c>
      <c r="W63" s="80">
        <v>0</v>
      </c>
      <c r="X63" s="190">
        <v>40</v>
      </c>
      <c r="Y63" s="89">
        <f t="shared" si="1"/>
        <v>324</v>
      </c>
      <c r="Z63" s="87">
        <v>12</v>
      </c>
      <c r="AA63" s="116">
        <v>0</v>
      </c>
      <c r="AB63" s="116">
        <v>0</v>
      </c>
      <c r="AC63" s="191">
        <v>20</v>
      </c>
      <c r="AD63" s="16">
        <f>WEEKNUM(tblKPIs[[#This Row],[Production Start Date]])</f>
        <v>4</v>
      </c>
      <c r="AE63" s="16">
        <v>31</v>
      </c>
      <c r="AF63" s="16">
        <v>1</v>
      </c>
      <c r="AG63" s="16">
        <v>20</v>
      </c>
      <c r="AH63" s="16">
        <v>16</v>
      </c>
      <c r="AI63" s="16">
        <v>8</v>
      </c>
      <c r="AJ63" s="16">
        <f t="shared" si="2"/>
        <v>1</v>
      </c>
      <c r="AL63" s="16"/>
      <c r="AM63" s="16"/>
      <c r="AN63" s="16"/>
      <c r="AO63" s="16"/>
      <c r="AP63" s="16"/>
      <c r="AQ63" s="16"/>
      <c r="AR63" s="16"/>
      <c r="AS63" s="16"/>
      <c r="BB63" s="171">
        <v>2844.03</v>
      </c>
      <c r="BC63" s="171">
        <v>3240</v>
      </c>
    </row>
    <row r="64" spans="2:55" x14ac:dyDescent="0.35">
      <c r="B64" s="1">
        <v>60</v>
      </c>
      <c r="C64" s="158" t="s">
        <v>154</v>
      </c>
      <c r="D64" s="89">
        <v>74.963096347323571</v>
      </c>
      <c r="E64" s="89">
        <v>73.913043478260875</v>
      </c>
      <c r="F64" s="89">
        <v>101.42065976402601</v>
      </c>
      <c r="G64" s="89">
        <v>100</v>
      </c>
      <c r="H64" s="157">
        <v>259.43478260869563</v>
      </c>
      <c r="I64" s="89">
        <v>113.16568047337279</v>
      </c>
      <c r="J64" s="89">
        <v>0</v>
      </c>
      <c r="K64" s="89">
        <f t="shared" si="0"/>
        <v>311.32173913043482</v>
      </c>
      <c r="L64" s="87">
        <v>12</v>
      </c>
      <c r="M64" s="116">
        <v>0</v>
      </c>
      <c r="N64" s="116">
        <v>0</v>
      </c>
      <c r="O64" s="88">
        <v>24</v>
      </c>
      <c r="P64" s="168">
        <v>41659</v>
      </c>
      <c r="Q64" s="16">
        <v>59</v>
      </c>
      <c r="R64" s="89">
        <v>87.494399999999999</v>
      </c>
      <c r="S64" s="89">
        <v>90</v>
      </c>
      <c r="T64" s="89">
        <v>98</v>
      </c>
      <c r="U64" s="89">
        <v>99.2</v>
      </c>
      <c r="V64" s="189">
        <v>346.08333333333331</v>
      </c>
      <c r="W64" s="80">
        <v>0</v>
      </c>
      <c r="X64" s="190">
        <v>40</v>
      </c>
      <c r="Y64" s="89">
        <f t="shared" si="1"/>
        <v>415.3</v>
      </c>
      <c r="Z64" s="87">
        <v>12</v>
      </c>
      <c r="AA64" s="116">
        <v>0</v>
      </c>
      <c r="AB64" s="116">
        <v>0</v>
      </c>
      <c r="AC64" s="191">
        <v>20</v>
      </c>
      <c r="AD64" s="16">
        <f>WEEKNUM(tblKPIs[[#This Row],[Production Start Date]])</f>
        <v>4</v>
      </c>
      <c r="AE64" s="16">
        <v>7</v>
      </c>
      <c r="AF64" s="16">
        <v>13</v>
      </c>
      <c r="AG64" s="16">
        <v>12</v>
      </c>
      <c r="AH64" s="16">
        <v>7</v>
      </c>
      <c r="AI64" s="16">
        <v>20</v>
      </c>
      <c r="AJ64" s="16">
        <f t="shared" si="2"/>
        <v>1</v>
      </c>
      <c r="AL64" s="16"/>
      <c r="AM64" s="16"/>
      <c r="AN64" s="16"/>
      <c r="AO64" s="16"/>
      <c r="AP64" s="16"/>
      <c r="AQ64" s="16"/>
      <c r="AR64" s="16"/>
      <c r="AS64" s="16"/>
      <c r="BB64" s="172">
        <v>3113.217391304348</v>
      </c>
      <c r="BC64" s="172">
        <v>4153</v>
      </c>
    </row>
    <row r="65" spans="2:55" x14ac:dyDescent="0.35">
      <c r="B65" s="1">
        <v>61</v>
      </c>
      <c r="C65" s="158" t="s">
        <v>148</v>
      </c>
      <c r="D65" s="89">
        <v>79.411764705882362</v>
      </c>
      <c r="E65" s="89">
        <v>89.243697478991606</v>
      </c>
      <c r="F65" s="89">
        <v>89.968129798638273</v>
      </c>
      <c r="G65" s="89">
        <v>98.90508010627164</v>
      </c>
      <c r="H65" s="157">
        <v>208.75630252100839</v>
      </c>
      <c r="I65" s="89">
        <v>90.085581665216125</v>
      </c>
      <c r="J65" s="89">
        <v>0</v>
      </c>
      <c r="K65" s="89">
        <f t="shared" si="0"/>
        <v>250.50756302521009</v>
      </c>
      <c r="L65" s="87">
        <v>12</v>
      </c>
      <c r="M65" s="116">
        <v>0</v>
      </c>
      <c r="N65" s="116">
        <v>0</v>
      </c>
      <c r="O65" s="88">
        <v>19</v>
      </c>
      <c r="P65" s="168">
        <v>41659</v>
      </c>
      <c r="Q65" s="16">
        <v>73</v>
      </c>
      <c r="R65" s="89">
        <v>87.097500000000011</v>
      </c>
      <c r="S65" s="89">
        <v>90</v>
      </c>
      <c r="T65" s="89">
        <v>98</v>
      </c>
      <c r="U65" s="89">
        <v>98.75</v>
      </c>
      <c r="V65" s="189">
        <v>260</v>
      </c>
      <c r="W65" s="80">
        <v>0</v>
      </c>
      <c r="X65" s="190">
        <v>40</v>
      </c>
      <c r="Y65" s="89">
        <f t="shared" si="1"/>
        <v>312</v>
      </c>
      <c r="Z65" s="87">
        <v>12</v>
      </c>
      <c r="AA65" s="116">
        <v>0</v>
      </c>
      <c r="AB65" s="116">
        <v>0</v>
      </c>
      <c r="AC65" s="191">
        <v>20</v>
      </c>
      <c r="AD65" s="16">
        <f>WEEKNUM(tblKPIs[[#This Row],[Production Start Date]])</f>
        <v>4</v>
      </c>
      <c r="AE65" s="16">
        <v>19</v>
      </c>
      <c r="AF65" s="16">
        <v>34</v>
      </c>
      <c r="AG65" s="16">
        <v>13</v>
      </c>
      <c r="AH65" s="16">
        <v>1</v>
      </c>
      <c r="AI65" s="16">
        <v>6</v>
      </c>
      <c r="AJ65" s="16">
        <f t="shared" si="2"/>
        <v>1</v>
      </c>
      <c r="AL65" s="16"/>
      <c r="AM65" s="16"/>
      <c r="AN65" s="16"/>
      <c r="AO65" s="16"/>
      <c r="AP65" s="16"/>
      <c r="AQ65" s="16"/>
      <c r="AR65" s="16"/>
      <c r="AS65" s="16"/>
      <c r="BB65" s="171">
        <v>2505.0756302521008</v>
      </c>
      <c r="BC65" s="171">
        <v>3120</v>
      </c>
    </row>
    <row r="66" spans="2:55" x14ac:dyDescent="0.35">
      <c r="B66" s="1">
        <v>62</v>
      </c>
      <c r="C66" s="158" t="s">
        <v>145</v>
      </c>
      <c r="D66" s="89">
        <v>104.77272727272728</v>
      </c>
      <c r="E66" s="89">
        <v>100</v>
      </c>
      <c r="F66" s="89">
        <v>105.53740530303031</v>
      </c>
      <c r="G66" s="89">
        <v>99.275443594517597</v>
      </c>
      <c r="H66" s="157">
        <v>348.2734375</v>
      </c>
      <c r="I66" s="89">
        <v>111.73857899829054</v>
      </c>
      <c r="J66" s="89">
        <v>82.447644535066473</v>
      </c>
      <c r="K66" s="89">
        <f t="shared" si="0"/>
        <v>417.92812500000002</v>
      </c>
      <c r="L66" s="87">
        <v>12</v>
      </c>
      <c r="M66" s="116">
        <v>0</v>
      </c>
      <c r="N66" s="116">
        <v>0</v>
      </c>
      <c r="O66" s="88">
        <v>26</v>
      </c>
      <c r="P66" s="168">
        <v>41660</v>
      </c>
      <c r="Q66" s="16">
        <v>88</v>
      </c>
      <c r="R66" s="89">
        <v>87.494399999999999</v>
      </c>
      <c r="S66" s="89">
        <v>90</v>
      </c>
      <c r="T66" s="89">
        <v>98</v>
      </c>
      <c r="U66" s="89">
        <v>99.2</v>
      </c>
      <c r="V66" s="189">
        <v>330</v>
      </c>
      <c r="W66" s="80">
        <v>0</v>
      </c>
      <c r="X66" s="190">
        <v>40</v>
      </c>
      <c r="Y66" s="89">
        <f t="shared" si="1"/>
        <v>396</v>
      </c>
      <c r="Z66" s="87">
        <v>12</v>
      </c>
      <c r="AA66" s="116">
        <v>0</v>
      </c>
      <c r="AB66" s="116">
        <v>0</v>
      </c>
      <c r="AC66" s="191">
        <v>20</v>
      </c>
      <c r="AD66" s="16">
        <f>WEEKNUM(tblKPIs[[#This Row],[Production Start Date]])</f>
        <v>4</v>
      </c>
      <c r="AE66" s="16">
        <v>19</v>
      </c>
      <c r="AF66" s="16">
        <v>28</v>
      </c>
      <c r="AG66" s="16">
        <v>10</v>
      </c>
      <c r="AH66" s="16">
        <v>21</v>
      </c>
      <c r="AI66" s="16">
        <v>10</v>
      </c>
      <c r="AJ66" s="16">
        <f t="shared" si="2"/>
        <v>1</v>
      </c>
      <c r="AL66" s="16"/>
      <c r="AM66" s="16"/>
      <c r="AN66" s="16"/>
      <c r="AO66" s="16"/>
      <c r="AP66" s="16"/>
      <c r="AQ66" s="16"/>
      <c r="AR66" s="16"/>
      <c r="AS66" s="16"/>
      <c r="BB66" s="172">
        <v>4179.28125</v>
      </c>
      <c r="BC66" s="172">
        <v>3960</v>
      </c>
    </row>
    <row r="67" spans="2:55" x14ac:dyDescent="0.35">
      <c r="B67" s="1">
        <v>63</v>
      </c>
      <c r="C67" s="158" t="s">
        <v>163</v>
      </c>
      <c r="D67" s="89">
        <v>75.375110326566627</v>
      </c>
      <c r="E67" s="89">
        <v>78.155339805825236</v>
      </c>
      <c r="F67" s="89">
        <v>96.993224167137214</v>
      </c>
      <c r="G67" s="89">
        <v>99.432397030999851</v>
      </c>
      <c r="H67" s="157">
        <v>250.15776699029124</v>
      </c>
      <c r="I67" s="89">
        <v>114.36100862714638</v>
      </c>
      <c r="J67" s="89">
        <v>76.592482460623529</v>
      </c>
      <c r="K67" s="89">
        <f t="shared" si="0"/>
        <v>300.18932038834953</v>
      </c>
      <c r="L67" s="87">
        <v>12</v>
      </c>
      <c r="M67" s="116">
        <v>0</v>
      </c>
      <c r="N67" s="116">
        <v>0</v>
      </c>
      <c r="O67" s="88">
        <v>20</v>
      </c>
      <c r="P67" s="168">
        <v>41660</v>
      </c>
      <c r="Q67" s="16">
        <v>85</v>
      </c>
      <c r="R67" s="89">
        <v>87.494399999999999</v>
      </c>
      <c r="S67" s="89">
        <v>90</v>
      </c>
      <c r="T67" s="89">
        <v>98</v>
      </c>
      <c r="U67" s="89">
        <v>99.2</v>
      </c>
      <c r="V67" s="189">
        <v>330</v>
      </c>
      <c r="W67" s="80">
        <v>0</v>
      </c>
      <c r="X67" s="190">
        <v>40</v>
      </c>
      <c r="Y67" s="89">
        <f t="shared" si="1"/>
        <v>396.00000000000006</v>
      </c>
      <c r="Z67" s="87">
        <v>12</v>
      </c>
      <c r="AA67" s="116">
        <v>0</v>
      </c>
      <c r="AB67" s="116">
        <v>0</v>
      </c>
      <c r="AC67" s="191">
        <v>20</v>
      </c>
      <c r="AD67" s="16">
        <f>WEEKNUM(tblKPIs[[#This Row],[Production Start Date]])</f>
        <v>4</v>
      </c>
      <c r="AE67" s="16">
        <v>32</v>
      </c>
      <c r="AF67" s="16">
        <v>14</v>
      </c>
      <c r="AG67" s="16">
        <v>11</v>
      </c>
      <c r="AH67" s="16">
        <v>7</v>
      </c>
      <c r="AI67" s="16">
        <v>21</v>
      </c>
      <c r="AJ67" s="16">
        <f t="shared" si="2"/>
        <v>1</v>
      </c>
      <c r="AL67" s="16"/>
      <c r="AM67" s="16"/>
      <c r="AN67" s="16"/>
      <c r="AO67" s="16"/>
      <c r="AP67" s="16"/>
      <c r="AQ67" s="16"/>
      <c r="AR67" s="16"/>
      <c r="AS67" s="16"/>
      <c r="BB67" s="171">
        <v>3001.8932038834951</v>
      </c>
      <c r="BC67" s="171">
        <v>3960.0000000000005</v>
      </c>
    </row>
    <row r="68" spans="2:55" x14ac:dyDescent="0.35">
      <c r="B68" s="1">
        <v>64</v>
      </c>
      <c r="C68" s="158" t="s">
        <v>151</v>
      </c>
      <c r="D68" s="89">
        <v>90.734989648033121</v>
      </c>
      <c r="E68" s="89">
        <v>79.347826086956545</v>
      </c>
      <c r="F68" s="89">
        <v>116.00682422600228</v>
      </c>
      <c r="G68" s="89">
        <v>98.572602621220639</v>
      </c>
      <c r="H68" s="157">
        <v>215.39440993788821</v>
      </c>
      <c r="I68" s="89">
        <v>107.49356808530423</v>
      </c>
      <c r="J68" s="89">
        <v>0</v>
      </c>
      <c r="K68" s="89">
        <f t="shared" si="0"/>
        <v>258.47329192546584</v>
      </c>
      <c r="L68" s="87">
        <v>12</v>
      </c>
      <c r="M68" s="116">
        <v>0</v>
      </c>
      <c r="N68" s="116">
        <v>0</v>
      </c>
      <c r="O68" s="88">
        <v>23</v>
      </c>
      <c r="P68" s="168">
        <v>41660</v>
      </c>
      <c r="Q68" s="16">
        <v>121</v>
      </c>
      <c r="R68" s="89">
        <v>86.87700000000001</v>
      </c>
      <c r="S68" s="89">
        <v>90</v>
      </c>
      <c r="T68" s="89">
        <v>98</v>
      </c>
      <c r="U68" s="89">
        <v>98.5</v>
      </c>
      <c r="V68" s="189">
        <v>234</v>
      </c>
      <c r="W68" s="80">
        <v>0</v>
      </c>
      <c r="X68" s="190">
        <v>40</v>
      </c>
      <c r="Y68" s="89">
        <f t="shared" si="1"/>
        <v>280.8</v>
      </c>
      <c r="Z68" s="87">
        <v>12</v>
      </c>
      <c r="AA68" s="116">
        <v>0</v>
      </c>
      <c r="AB68" s="116">
        <v>0</v>
      </c>
      <c r="AC68" s="191">
        <v>20</v>
      </c>
      <c r="AD68" s="16">
        <f>WEEKNUM(tblKPIs[[#This Row],[Production Start Date]])</f>
        <v>4</v>
      </c>
      <c r="AE68" s="16">
        <v>30</v>
      </c>
      <c r="AF68" s="16">
        <v>25</v>
      </c>
      <c r="AG68" s="16">
        <v>29</v>
      </c>
      <c r="AH68" s="16">
        <v>23</v>
      </c>
      <c r="AI68" s="16">
        <v>14</v>
      </c>
      <c r="AJ68" s="16">
        <f t="shared" si="2"/>
        <v>1</v>
      </c>
      <c r="AL68" s="16"/>
      <c r="AM68" s="16"/>
      <c r="AN68" s="16"/>
      <c r="AO68" s="16"/>
      <c r="AP68" s="16"/>
      <c r="AQ68" s="16"/>
      <c r="AR68" s="16"/>
      <c r="AS68" s="16"/>
      <c r="BB68" s="172">
        <v>2584.7329192546586</v>
      </c>
      <c r="BC68" s="172">
        <v>2808</v>
      </c>
    </row>
    <row r="69" spans="2:55" x14ac:dyDescent="0.35">
      <c r="B69" s="1">
        <v>65</v>
      </c>
      <c r="C69" s="158" t="s">
        <v>147</v>
      </c>
      <c r="D69" s="89">
        <v>102.17513444096637</v>
      </c>
      <c r="E69" s="89">
        <v>96.296296296296291</v>
      </c>
      <c r="F69" s="89">
        <v>106.78841986330549</v>
      </c>
      <c r="G69" s="89">
        <v>99.359975023415544</v>
      </c>
      <c r="H69" s="157">
        <v>355.88888888888891</v>
      </c>
      <c r="I69" s="89">
        <v>131.73119105066903</v>
      </c>
      <c r="J69" s="89">
        <v>0</v>
      </c>
      <c r="K69" s="89">
        <f t="shared" ref="K69:K132" si="3">IF(BB69="","",+BB69/10)</f>
        <v>427.06666666666672</v>
      </c>
      <c r="L69" s="87">
        <v>12</v>
      </c>
      <c r="M69" s="116">
        <v>0</v>
      </c>
      <c r="N69" s="116">
        <v>0</v>
      </c>
      <c r="O69" s="88">
        <v>30</v>
      </c>
      <c r="P69" s="168">
        <v>41660</v>
      </c>
      <c r="Q69" s="16">
        <v>71</v>
      </c>
      <c r="R69" s="89">
        <v>87.494399999999999</v>
      </c>
      <c r="S69" s="89">
        <v>90</v>
      </c>
      <c r="T69" s="89">
        <v>98</v>
      </c>
      <c r="U69" s="89">
        <v>99.2</v>
      </c>
      <c r="V69" s="189">
        <v>346.08333333333331</v>
      </c>
      <c r="W69" s="80">
        <v>0</v>
      </c>
      <c r="X69" s="190">
        <v>40</v>
      </c>
      <c r="Y69" s="89">
        <f t="shared" ref="Y69:Y132" si="4">IF(BC69="","",+BC69/10)</f>
        <v>415.3</v>
      </c>
      <c r="Z69" s="87">
        <v>12</v>
      </c>
      <c r="AA69" s="116">
        <v>0</v>
      </c>
      <c r="AB69" s="116">
        <v>0</v>
      </c>
      <c r="AC69" s="191">
        <v>20</v>
      </c>
      <c r="AD69" s="16">
        <f>WEEKNUM(tblKPIs[[#This Row],[Production Start Date]])</f>
        <v>4</v>
      </c>
      <c r="AE69" s="16">
        <v>15</v>
      </c>
      <c r="AF69" s="16">
        <v>19</v>
      </c>
      <c r="AG69" s="16">
        <v>16</v>
      </c>
      <c r="AH69" s="16">
        <v>9</v>
      </c>
      <c r="AI69" s="16">
        <v>12</v>
      </c>
      <c r="AJ69" s="16">
        <f t="shared" ref="AJ69:AJ132" si="5">IF(AND(P66&gt;=BeginnDate,P66&lt;=EndDate),1,"")</f>
        <v>1</v>
      </c>
      <c r="AL69" s="16"/>
      <c r="AM69" s="16"/>
      <c r="AN69" s="16"/>
      <c r="AO69" s="16"/>
      <c r="AP69" s="16"/>
      <c r="AQ69" s="16"/>
      <c r="AR69" s="16"/>
      <c r="AS69" s="16"/>
      <c r="BB69" s="171">
        <v>4270.666666666667</v>
      </c>
      <c r="BC69" s="171">
        <v>4153</v>
      </c>
    </row>
    <row r="70" spans="2:55" x14ac:dyDescent="0.35">
      <c r="B70" s="1">
        <v>66</v>
      </c>
      <c r="C70" s="158" t="s">
        <v>157</v>
      </c>
      <c r="D70" s="89">
        <v>79.444534151461326</v>
      </c>
      <c r="E70" s="89">
        <v>82.770870337477803</v>
      </c>
      <c r="F70" s="89">
        <v>96.213746911171796</v>
      </c>
      <c r="G70" s="89">
        <v>99.758376560836723</v>
      </c>
      <c r="H70" s="157">
        <v>262.80195381882771</v>
      </c>
      <c r="I70" s="89">
        <v>120.21295179132186</v>
      </c>
      <c r="J70" s="89">
        <v>72.956116380003209</v>
      </c>
      <c r="K70" s="89">
        <f t="shared" si="3"/>
        <v>315.36234458259327</v>
      </c>
      <c r="L70" s="87">
        <v>12</v>
      </c>
      <c r="M70" s="116">
        <v>0</v>
      </c>
      <c r="N70" s="116">
        <v>0</v>
      </c>
      <c r="O70" s="88">
        <v>20</v>
      </c>
      <c r="P70" s="168">
        <v>41661</v>
      </c>
      <c r="Q70" s="16">
        <v>125</v>
      </c>
      <c r="R70" s="89">
        <v>87.494399999999999</v>
      </c>
      <c r="S70" s="89">
        <v>90</v>
      </c>
      <c r="T70" s="89">
        <v>98</v>
      </c>
      <c r="U70" s="89">
        <v>99.2</v>
      </c>
      <c r="V70" s="189">
        <v>330</v>
      </c>
      <c r="W70" s="80">
        <v>0</v>
      </c>
      <c r="X70" s="190">
        <v>40</v>
      </c>
      <c r="Y70" s="89">
        <f t="shared" si="4"/>
        <v>396</v>
      </c>
      <c r="Z70" s="87">
        <v>12</v>
      </c>
      <c r="AA70" s="116">
        <v>0</v>
      </c>
      <c r="AB70" s="116">
        <v>0</v>
      </c>
      <c r="AC70" s="191">
        <v>20</v>
      </c>
      <c r="AD70" s="16">
        <f>WEEKNUM(tblKPIs[[#This Row],[Production Start Date]])</f>
        <v>4</v>
      </c>
      <c r="AE70" s="16">
        <v>24</v>
      </c>
      <c r="AF70" s="16">
        <v>31</v>
      </c>
      <c r="AG70" s="16">
        <v>29</v>
      </c>
      <c r="AH70" s="16">
        <v>30</v>
      </c>
      <c r="AI70" s="16">
        <v>11</v>
      </c>
      <c r="AJ70" s="16">
        <f t="shared" si="5"/>
        <v>1</v>
      </c>
      <c r="AL70" s="16"/>
      <c r="AM70" s="16"/>
      <c r="AN70" s="16"/>
      <c r="AO70" s="16"/>
      <c r="AP70" s="16"/>
      <c r="AQ70" s="16"/>
      <c r="AR70" s="16"/>
      <c r="AS70" s="16"/>
      <c r="BB70" s="172">
        <v>3153.6234458259328</v>
      </c>
      <c r="BC70" s="172">
        <v>3960</v>
      </c>
    </row>
    <row r="71" spans="2:55" x14ac:dyDescent="0.35">
      <c r="B71" s="1">
        <v>67</v>
      </c>
      <c r="C71" s="158" t="s">
        <v>146</v>
      </c>
      <c r="D71" s="89">
        <v>93.561515538527047</v>
      </c>
      <c r="E71" s="89">
        <v>96.168582375478934</v>
      </c>
      <c r="F71" s="89">
        <v>99.638925778368005</v>
      </c>
      <c r="G71" s="89">
        <v>97.641624694744038</v>
      </c>
      <c r="H71" s="157">
        <v>258.71762452107282</v>
      </c>
      <c r="I71" s="89">
        <v>99.072442504493267</v>
      </c>
      <c r="J71" s="89">
        <v>0</v>
      </c>
      <c r="K71" s="89">
        <f t="shared" si="3"/>
        <v>310.46114942528737</v>
      </c>
      <c r="L71" s="87">
        <v>12</v>
      </c>
      <c r="M71" s="116">
        <v>0</v>
      </c>
      <c r="N71" s="116">
        <v>0</v>
      </c>
      <c r="O71" s="88">
        <v>21</v>
      </c>
      <c r="P71" s="168">
        <v>41661</v>
      </c>
      <c r="Q71" s="16">
        <v>100</v>
      </c>
      <c r="R71" s="89">
        <v>87.317999999999998</v>
      </c>
      <c r="S71" s="89">
        <v>90</v>
      </c>
      <c r="T71" s="89">
        <v>98</v>
      </c>
      <c r="U71" s="89">
        <v>99</v>
      </c>
      <c r="V71" s="189">
        <v>270</v>
      </c>
      <c r="W71" s="80">
        <v>0</v>
      </c>
      <c r="X71" s="190">
        <v>40</v>
      </c>
      <c r="Y71" s="89">
        <f t="shared" si="4"/>
        <v>324</v>
      </c>
      <c r="Z71" s="87">
        <v>12</v>
      </c>
      <c r="AA71" s="116">
        <v>0</v>
      </c>
      <c r="AB71" s="116">
        <v>0</v>
      </c>
      <c r="AC71" s="191">
        <v>20</v>
      </c>
      <c r="AD71" s="16">
        <f>WEEKNUM(tblKPIs[[#This Row],[Production Start Date]])</f>
        <v>4</v>
      </c>
      <c r="AE71" s="16">
        <v>31</v>
      </c>
      <c r="AF71" s="16">
        <v>16</v>
      </c>
      <c r="AG71" s="16">
        <v>6</v>
      </c>
      <c r="AH71" s="16">
        <v>20</v>
      </c>
      <c r="AI71" s="16">
        <v>27</v>
      </c>
      <c r="AJ71" s="16">
        <f t="shared" si="5"/>
        <v>1</v>
      </c>
      <c r="AL71" s="16"/>
      <c r="AM71" s="16"/>
      <c r="AN71" s="16"/>
      <c r="AO71" s="16"/>
      <c r="AP71" s="16"/>
      <c r="AQ71" s="16"/>
      <c r="AR71" s="16"/>
      <c r="AS71" s="16"/>
      <c r="BB71" s="171">
        <v>3104.6114942528739</v>
      </c>
      <c r="BC71" s="171">
        <v>3240</v>
      </c>
    </row>
    <row r="72" spans="2:55" x14ac:dyDescent="0.35">
      <c r="B72" s="1">
        <v>68</v>
      </c>
      <c r="C72" s="158" t="s">
        <v>164</v>
      </c>
      <c r="D72" s="89">
        <v>64.705882352941188</v>
      </c>
      <c r="E72" s="89">
        <v>70.588235294117652</v>
      </c>
      <c r="F72" s="89">
        <v>93.697390572390589</v>
      </c>
      <c r="G72" s="89">
        <v>97.832678270634474</v>
      </c>
      <c r="H72" s="157">
        <v>218.25980392156865</v>
      </c>
      <c r="I72" s="89">
        <v>87.506387327542157</v>
      </c>
      <c r="J72" s="89">
        <v>81.239530988274709</v>
      </c>
      <c r="K72" s="89">
        <f t="shared" si="3"/>
        <v>261.91176470588232</v>
      </c>
      <c r="L72" s="87">
        <v>12</v>
      </c>
      <c r="M72" s="116">
        <v>0</v>
      </c>
      <c r="N72" s="116">
        <v>0</v>
      </c>
      <c r="O72" s="88">
        <v>18</v>
      </c>
      <c r="P72" s="168">
        <v>41661</v>
      </c>
      <c r="Q72" s="16">
        <v>97</v>
      </c>
      <c r="R72" s="89">
        <v>87.494399999999999</v>
      </c>
      <c r="S72" s="89">
        <v>90</v>
      </c>
      <c r="T72" s="89">
        <v>98</v>
      </c>
      <c r="U72" s="89">
        <v>99.2</v>
      </c>
      <c r="V72" s="189">
        <v>330</v>
      </c>
      <c r="W72" s="80">
        <v>0</v>
      </c>
      <c r="X72" s="190">
        <v>40</v>
      </c>
      <c r="Y72" s="89">
        <f t="shared" si="4"/>
        <v>396</v>
      </c>
      <c r="Z72" s="87">
        <v>12</v>
      </c>
      <c r="AA72" s="116">
        <v>0</v>
      </c>
      <c r="AB72" s="116">
        <v>0</v>
      </c>
      <c r="AC72" s="191">
        <v>20</v>
      </c>
      <c r="AD72" s="16">
        <f>WEEKNUM(tblKPIs[[#This Row],[Production Start Date]])</f>
        <v>4</v>
      </c>
      <c r="AE72" s="16">
        <v>29</v>
      </c>
      <c r="AF72" s="16">
        <v>18</v>
      </c>
      <c r="AG72" s="16">
        <v>12</v>
      </c>
      <c r="AH72" s="16">
        <v>16</v>
      </c>
      <c r="AI72" s="16">
        <v>22</v>
      </c>
      <c r="AJ72" s="16">
        <f t="shared" si="5"/>
        <v>1</v>
      </c>
      <c r="AL72" s="16"/>
      <c r="AM72" s="16"/>
      <c r="AN72" s="16"/>
      <c r="AO72" s="16"/>
      <c r="AP72" s="16"/>
      <c r="AQ72" s="16"/>
      <c r="AR72" s="16"/>
      <c r="AS72" s="16"/>
      <c r="BB72" s="172">
        <v>2619.1176470588234</v>
      </c>
      <c r="BC72" s="172">
        <v>3960</v>
      </c>
    </row>
    <row r="73" spans="2:55" x14ac:dyDescent="0.35">
      <c r="B73" s="1">
        <v>69</v>
      </c>
      <c r="C73" s="158" t="s">
        <v>147</v>
      </c>
      <c r="D73" s="89">
        <v>89.662861308379163</v>
      </c>
      <c r="E73" s="89">
        <v>91.552511415525132</v>
      </c>
      <c r="F73" s="89">
        <v>98.867327227320573</v>
      </c>
      <c r="G73" s="89">
        <v>99.057996100796245</v>
      </c>
      <c r="H73" s="157">
        <v>313.25913242009136</v>
      </c>
      <c r="I73" s="89">
        <v>114.93918273660933</v>
      </c>
      <c r="J73" s="89">
        <v>0</v>
      </c>
      <c r="K73" s="89">
        <f t="shared" si="3"/>
        <v>375.91095890410963</v>
      </c>
      <c r="L73" s="87">
        <v>12</v>
      </c>
      <c r="M73" s="116">
        <v>0</v>
      </c>
      <c r="N73" s="116">
        <v>0</v>
      </c>
      <c r="O73" s="88">
        <v>25</v>
      </c>
      <c r="P73" s="168">
        <v>41661</v>
      </c>
      <c r="Q73" s="16">
        <v>76</v>
      </c>
      <c r="R73" s="89">
        <v>87.494399999999999</v>
      </c>
      <c r="S73" s="89">
        <v>90</v>
      </c>
      <c r="T73" s="89">
        <v>98</v>
      </c>
      <c r="U73" s="89">
        <v>99.2</v>
      </c>
      <c r="V73" s="189">
        <v>346.08333333333331</v>
      </c>
      <c r="W73" s="80">
        <v>0</v>
      </c>
      <c r="X73" s="190">
        <v>40</v>
      </c>
      <c r="Y73" s="89">
        <f t="shared" si="4"/>
        <v>415.3</v>
      </c>
      <c r="Z73" s="87">
        <v>12</v>
      </c>
      <c r="AA73" s="116">
        <v>0</v>
      </c>
      <c r="AB73" s="116">
        <v>0</v>
      </c>
      <c r="AC73" s="191">
        <v>20</v>
      </c>
      <c r="AD73" s="16">
        <f>WEEKNUM(tblKPIs[[#This Row],[Production Start Date]])</f>
        <v>4</v>
      </c>
      <c r="AE73" s="16">
        <v>4</v>
      </c>
      <c r="AF73" s="16">
        <v>21</v>
      </c>
      <c r="AG73" s="16">
        <v>14</v>
      </c>
      <c r="AH73" s="16">
        <v>12</v>
      </c>
      <c r="AI73" s="16">
        <v>25</v>
      </c>
      <c r="AJ73" s="16">
        <f t="shared" si="5"/>
        <v>1</v>
      </c>
      <c r="AL73" s="16"/>
      <c r="AM73" s="16"/>
      <c r="AN73" s="16"/>
      <c r="AO73" s="16"/>
      <c r="AP73" s="16"/>
      <c r="AQ73" s="16"/>
      <c r="AR73" s="16"/>
      <c r="AS73" s="16"/>
      <c r="BB73" s="171">
        <v>3759.1095890410966</v>
      </c>
      <c r="BC73" s="171">
        <v>4153</v>
      </c>
    </row>
    <row r="74" spans="2:55" x14ac:dyDescent="0.35">
      <c r="B74" s="1">
        <v>70</v>
      </c>
      <c r="C74" s="158" t="s">
        <v>161</v>
      </c>
      <c r="D74" s="89">
        <v>93.314685314685306</v>
      </c>
      <c r="E74" s="89">
        <v>96.615384615384613</v>
      </c>
      <c r="F74" s="89">
        <v>96.5836711059641</v>
      </c>
      <c r="G74" s="89">
        <v>100</v>
      </c>
      <c r="H74" s="157">
        <v>307.93846153846152</v>
      </c>
      <c r="I74" s="89">
        <v>100.37107612075017</v>
      </c>
      <c r="J74" s="89">
        <v>82.323206003439481</v>
      </c>
      <c r="K74" s="89">
        <f t="shared" si="3"/>
        <v>369.52615384615382</v>
      </c>
      <c r="L74" s="87">
        <v>12</v>
      </c>
      <c r="M74" s="116">
        <v>0</v>
      </c>
      <c r="N74" s="116">
        <v>0</v>
      </c>
      <c r="O74" s="88">
        <v>22</v>
      </c>
      <c r="P74" s="168">
        <v>41661</v>
      </c>
      <c r="Q74" s="16">
        <v>74</v>
      </c>
      <c r="R74" s="89">
        <v>87.494399999999999</v>
      </c>
      <c r="S74" s="89">
        <v>90</v>
      </c>
      <c r="T74" s="89">
        <v>98</v>
      </c>
      <c r="U74" s="89">
        <v>99.2</v>
      </c>
      <c r="V74" s="189">
        <v>330</v>
      </c>
      <c r="W74" s="80">
        <v>0</v>
      </c>
      <c r="X74" s="190">
        <v>40</v>
      </c>
      <c r="Y74" s="89">
        <f t="shared" si="4"/>
        <v>396</v>
      </c>
      <c r="Z74" s="87">
        <v>12</v>
      </c>
      <c r="AA74" s="116">
        <v>0</v>
      </c>
      <c r="AB74" s="116">
        <v>0</v>
      </c>
      <c r="AC74" s="191">
        <v>20</v>
      </c>
      <c r="AD74" s="16">
        <f>WEEKNUM(tblKPIs[[#This Row],[Production Start Date]])</f>
        <v>4</v>
      </c>
      <c r="AE74" s="16">
        <v>21</v>
      </c>
      <c r="AF74" s="16">
        <v>2</v>
      </c>
      <c r="AG74" s="16">
        <v>8</v>
      </c>
      <c r="AH74" s="16">
        <v>33</v>
      </c>
      <c r="AI74" s="16">
        <v>10</v>
      </c>
      <c r="AJ74" s="16">
        <f t="shared" si="5"/>
        <v>1</v>
      </c>
      <c r="AL74" s="16"/>
      <c r="AM74" s="16"/>
      <c r="AN74" s="16"/>
      <c r="AO74" s="16"/>
      <c r="AP74" s="16"/>
      <c r="AQ74" s="16"/>
      <c r="AR74" s="16"/>
      <c r="AS74" s="16"/>
      <c r="BB74" s="172">
        <v>3695.2615384615383</v>
      </c>
      <c r="BC74" s="172">
        <v>3960</v>
      </c>
    </row>
    <row r="75" spans="2:55" x14ac:dyDescent="0.35">
      <c r="B75" s="1">
        <v>71</v>
      </c>
      <c r="C75" s="158" t="s">
        <v>147</v>
      </c>
      <c r="D75" s="89">
        <v>74.155301232703465</v>
      </c>
      <c r="E75" s="89">
        <v>97.815533980582529</v>
      </c>
      <c r="F75" s="89">
        <v>78.772551636862701</v>
      </c>
      <c r="G75" s="89">
        <v>96.240852152396585</v>
      </c>
      <c r="H75" s="157">
        <v>266.66341019417479</v>
      </c>
      <c r="I75" s="89">
        <v>95.562071889881921</v>
      </c>
      <c r="J75" s="89">
        <v>35.486384280637743</v>
      </c>
      <c r="K75" s="89">
        <f t="shared" si="3"/>
        <v>319.99609223300973</v>
      </c>
      <c r="L75" s="87">
        <v>12</v>
      </c>
      <c r="M75" s="116">
        <v>0</v>
      </c>
      <c r="N75" s="116">
        <v>0</v>
      </c>
      <c r="O75" s="88">
        <v>20</v>
      </c>
      <c r="P75" s="168">
        <v>41662</v>
      </c>
      <c r="Q75" s="16">
        <v>130</v>
      </c>
      <c r="R75" s="89">
        <v>87.494399999999999</v>
      </c>
      <c r="S75" s="89">
        <v>90</v>
      </c>
      <c r="T75" s="89">
        <v>98</v>
      </c>
      <c r="U75" s="89">
        <v>99.2</v>
      </c>
      <c r="V75" s="189">
        <v>346.08333333333331</v>
      </c>
      <c r="W75" s="80">
        <v>0</v>
      </c>
      <c r="X75" s="190">
        <v>40</v>
      </c>
      <c r="Y75" s="89">
        <f t="shared" si="4"/>
        <v>415.3</v>
      </c>
      <c r="Z75" s="87">
        <v>12</v>
      </c>
      <c r="AA75" s="116">
        <v>0</v>
      </c>
      <c r="AB75" s="116">
        <v>0</v>
      </c>
      <c r="AC75" s="191">
        <v>20</v>
      </c>
      <c r="AD75" s="16">
        <f>WEEKNUM(tblKPIs[[#This Row],[Production Start Date]])</f>
        <v>4</v>
      </c>
      <c r="AE75" s="16">
        <v>9</v>
      </c>
      <c r="AF75" s="16">
        <v>25</v>
      </c>
      <c r="AG75" s="16">
        <v>34</v>
      </c>
      <c r="AH75" s="16">
        <v>32</v>
      </c>
      <c r="AI75" s="16">
        <v>30</v>
      </c>
      <c r="AJ75" s="16">
        <f t="shared" si="5"/>
        <v>1</v>
      </c>
      <c r="AL75" s="16"/>
      <c r="AM75" s="16"/>
      <c r="AN75" s="16"/>
      <c r="AO75" s="16"/>
      <c r="AP75" s="16"/>
      <c r="AQ75" s="16"/>
      <c r="AR75" s="16"/>
      <c r="AS75" s="16"/>
      <c r="BB75" s="171">
        <v>3199.9609223300972</v>
      </c>
      <c r="BC75" s="171">
        <v>4153</v>
      </c>
    </row>
    <row r="76" spans="2:55" x14ac:dyDescent="0.35">
      <c r="B76" s="1">
        <v>72</v>
      </c>
      <c r="C76" s="158" t="s">
        <v>147</v>
      </c>
      <c r="D76" s="89">
        <v>90.653994562834342</v>
      </c>
      <c r="E76" s="89">
        <v>91.216931216931215</v>
      </c>
      <c r="F76" s="89">
        <v>100.86502224045326</v>
      </c>
      <c r="G76" s="89">
        <v>98.530548311997151</v>
      </c>
      <c r="H76" s="157">
        <v>333.06164021164022</v>
      </c>
      <c r="I76" s="89">
        <v>127.05707699884547</v>
      </c>
      <c r="J76" s="89">
        <v>37.273637582525751</v>
      </c>
      <c r="K76" s="89">
        <f t="shared" si="3"/>
        <v>399.67396825396827</v>
      </c>
      <c r="L76" s="87">
        <v>12</v>
      </c>
      <c r="M76" s="116">
        <v>0</v>
      </c>
      <c r="N76" s="116">
        <v>0</v>
      </c>
      <c r="O76" s="88">
        <v>20</v>
      </c>
      <c r="P76" s="168">
        <v>41662</v>
      </c>
      <c r="Q76" s="16">
        <v>106</v>
      </c>
      <c r="R76" s="89">
        <v>87.494399999999999</v>
      </c>
      <c r="S76" s="89">
        <v>90</v>
      </c>
      <c r="T76" s="89">
        <v>98</v>
      </c>
      <c r="U76" s="89">
        <v>99.2</v>
      </c>
      <c r="V76" s="189">
        <v>362</v>
      </c>
      <c r="W76" s="80">
        <v>0</v>
      </c>
      <c r="X76" s="190">
        <v>40</v>
      </c>
      <c r="Y76" s="89">
        <f t="shared" si="4"/>
        <v>434.4</v>
      </c>
      <c r="Z76" s="87">
        <v>12</v>
      </c>
      <c r="AA76" s="116">
        <v>0</v>
      </c>
      <c r="AB76" s="116">
        <v>0</v>
      </c>
      <c r="AC76" s="191">
        <v>20</v>
      </c>
      <c r="AD76" s="16">
        <f>WEEKNUM(tblKPIs[[#This Row],[Production Start Date]])</f>
        <v>4</v>
      </c>
      <c r="AE76" s="16">
        <v>29</v>
      </c>
      <c r="AF76" s="16">
        <v>21</v>
      </c>
      <c r="AG76" s="16">
        <v>30</v>
      </c>
      <c r="AH76" s="16">
        <v>15</v>
      </c>
      <c r="AI76" s="16">
        <v>11</v>
      </c>
      <c r="AJ76" s="16">
        <f t="shared" si="5"/>
        <v>1</v>
      </c>
      <c r="AL76" s="16"/>
      <c r="AM76" s="16"/>
      <c r="AN76" s="16"/>
      <c r="AO76" s="16"/>
      <c r="AP76" s="16"/>
      <c r="AQ76" s="16"/>
      <c r="AR76" s="16"/>
      <c r="AS76" s="16"/>
      <c r="BB76" s="172">
        <v>3996.7396825396827</v>
      </c>
      <c r="BC76" s="172">
        <v>4344</v>
      </c>
    </row>
    <row r="77" spans="2:55" x14ac:dyDescent="0.35">
      <c r="B77" s="1">
        <v>73</v>
      </c>
      <c r="C77" s="158" t="s">
        <v>147</v>
      </c>
      <c r="D77" s="89">
        <v>101.50475649683199</v>
      </c>
      <c r="E77" s="89">
        <v>100</v>
      </c>
      <c r="F77" s="89">
        <v>102.16459240038671</v>
      </c>
      <c r="G77" s="89">
        <v>99.354144241119485</v>
      </c>
      <c r="H77" s="157">
        <v>353.57462686567163</v>
      </c>
      <c r="I77" s="89">
        <v>118.20517938226635</v>
      </c>
      <c r="J77" s="89">
        <v>36.366665185909106</v>
      </c>
      <c r="K77" s="89">
        <f t="shared" si="3"/>
        <v>424.28955223880604</v>
      </c>
      <c r="L77" s="87">
        <v>12</v>
      </c>
      <c r="M77" s="116">
        <v>0</v>
      </c>
      <c r="N77" s="116">
        <v>0</v>
      </c>
      <c r="O77" s="88">
        <v>28</v>
      </c>
      <c r="P77" s="168">
        <v>41663</v>
      </c>
      <c r="Q77" s="16">
        <v>62</v>
      </c>
      <c r="R77" s="89">
        <v>87.494399999999999</v>
      </c>
      <c r="S77" s="89">
        <v>90</v>
      </c>
      <c r="T77" s="89">
        <v>98</v>
      </c>
      <c r="U77" s="89">
        <v>99.2</v>
      </c>
      <c r="V77" s="189">
        <v>346.08333333333331</v>
      </c>
      <c r="W77" s="80">
        <v>0</v>
      </c>
      <c r="X77" s="190">
        <v>40</v>
      </c>
      <c r="Y77" s="89">
        <f t="shared" si="4"/>
        <v>415.3</v>
      </c>
      <c r="Z77" s="87">
        <v>12</v>
      </c>
      <c r="AA77" s="116">
        <v>0</v>
      </c>
      <c r="AB77" s="116">
        <v>0</v>
      </c>
      <c r="AC77" s="191">
        <v>20</v>
      </c>
      <c r="AD77" s="16">
        <f>WEEKNUM(tblKPIs[[#This Row],[Production Start Date]])</f>
        <v>4</v>
      </c>
      <c r="AE77" s="16">
        <v>11</v>
      </c>
      <c r="AF77" s="16">
        <v>3</v>
      </c>
      <c r="AG77" s="16">
        <v>3</v>
      </c>
      <c r="AH77" s="16">
        <v>34</v>
      </c>
      <c r="AI77" s="16">
        <v>11</v>
      </c>
      <c r="AJ77" s="16">
        <f t="shared" si="5"/>
        <v>1</v>
      </c>
      <c r="AL77" s="16"/>
      <c r="AM77" s="16"/>
      <c r="AN77" s="16"/>
      <c r="AO77" s="16"/>
      <c r="AP77" s="16"/>
      <c r="AQ77" s="16"/>
      <c r="AR77" s="16"/>
      <c r="AS77" s="16"/>
      <c r="BB77" s="171">
        <v>4242.8955223880603</v>
      </c>
      <c r="BC77" s="171">
        <v>4153</v>
      </c>
    </row>
    <row r="78" spans="2:55" x14ac:dyDescent="0.35">
      <c r="B78" s="1">
        <v>74</v>
      </c>
      <c r="C78" s="158" t="s">
        <v>147</v>
      </c>
      <c r="D78" s="89">
        <v>98.229918462075631</v>
      </c>
      <c r="E78" s="89">
        <v>97.695167286245351</v>
      </c>
      <c r="F78" s="89">
        <v>101.89599678767544</v>
      </c>
      <c r="G78" s="89">
        <v>98.676464474521836</v>
      </c>
      <c r="H78" s="157">
        <v>360.36182156133827</v>
      </c>
      <c r="I78" s="89">
        <v>120.20267865667887</v>
      </c>
      <c r="J78" s="89">
        <v>25.880676682935128</v>
      </c>
      <c r="K78" s="89">
        <f t="shared" si="3"/>
        <v>432.43418587360594</v>
      </c>
      <c r="L78" s="87">
        <v>12</v>
      </c>
      <c r="M78" s="116">
        <v>0</v>
      </c>
      <c r="N78" s="116">
        <v>0</v>
      </c>
      <c r="O78" s="88">
        <v>28</v>
      </c>
      <c r="P78" s="168">
        <v>41663</v>
      </c>
      <c r="Q78" s="16">
        <v>84</v>
      </c>
      <c r="R78" s="89">
        <v>87.494399999999999</v>
      </c>
      <c r="S78" s="89">
        <v>90</v>
      </c>
      <c r="T78" s="89">
        <v>98</v>
      </c>
      <c r="U78" s="89">
        <v>99.2</v>
      </c>
      <c r="V78" s="189">
        <v>362</v>
      </c>
      <c r="W78" s="80">
        <v>0</v>
      </c>
      <c r="X78" s="190">
        <v>40</v>
      </c>
      <c r="Y78" s="89">
        <f t="shared" si="4"/>
        <v>434.4</v>
      </c>
      <c r="Z78" s="87">
        <v>12</v>
      </c>
      <c r="AA78" s="116">
        <v>0</v>
      </c>
      <c r="AB78" s="116">
        <v>0</v>
      </c>
      <c r="AC78" s="191">
        <v>20</v>
      </c>
      <c r="AD78" s="16">
        <f>WEEKNUM(tblKPIs[[#This Row],[Production Start Date]])</f>
        <v>4</v>
      </c>
      <c r="AE78" s="16">
        <v>7</v>
      </c>
      <c r="AF78" s="16">
        <v>6</v>
      </c>
      <c r="AG78" s="16">
        <v>34</v>
      </c>
      <c r="AH78" s="16">
        <v>28</v>
      </c>
      <c r="AI78" s="16">
        <v>9</v>
      </c>
      <c r="AJ78" s="16">
        <f t="shared" si="5"/>
        <v>1</v>
      </c>
      <c r="AL78" s="16"/>
      <c r="AM78" s="16"/>
      <c r="AN78" s="16"/>
      <c r="AO78" s="16"/>
      <c r="AP78" s="16"/>
      <c r="AQ78" s="16"/>
      <c r="AR78" s="16"/>
      <c r="AS78" s="16"/>
      <c r="BB78" s="172">
        <v>4324.3418587360593</v>
      </c>
      <c r="BC78" s="172">
        <v>4344</v>
      </c>
    </row>
    <row r="79" spans="2:55" x14ac:dyDescent="0.35">
      <c r="B79" s="1">
        <v>75</v>
      </c>
      <c r="C79" s="158" t="s">
        <v>161</v>
      </c>
      <c r="D79" s="89">
        <v>92.20779220779221</v>
      </c>
      <c r="E79" s="89">
        <v>97.959183673469397</v>
      </c>
      <c r="F79" s="89">
        <v>94.367108585858588</v>
      </c>
      <c r="G79" s="89">
        <v>99.747453630145003</v>
      </c>
      <c r="H79" s="157">
        <v>305.05612244897958</v>
      </c>
      <c r="I79" s="89">
        <v>102.19181453666641</v>
      </c>
      <c r="J79" s="89">
        <v>71.562259934352952</v>
      </c>
      <c r="K79" s="89">
        <f t="shared" si="3"/>
        <v>366.06734693877553</v>
      </c>
      <c r="L79" s="87">
        <v>12</v>
      </c>
      <c r="M79" s="116">
        <v>0</v>
      </c>
      <c r="N79" s="116">
        <v>0</v>
      </c>
      <c r="O79" s="88">
        <v>15</v>
      </c>
      <c r="P79" s="168">
        <v>41663</v>
      </c>
      <c r="Q79" s="16">
        <v>96</v>
      </c>
      <c r="R79" s="89">
        <v>87.494399999999999</v>
      </c>
      <c r="S79" s="89">
        <v>90</v>
      </c>
      <c r="T79" s="89">
        <v>98</v>
      </c>
      <c r="U79" s="89">
        <v>99.2</v>
      </c>
      <c r="V79" s="189">
        <v>330</v>
      </c>
      <c r="W79" s="80">
        <v>0</v>
      </c>
      <c r="X79" s="190">
        <v>40</v>
      </c>
      <c r="Y79" s="89">
        <f t="shared" si="4"/>
        <v>396</v>
      </c>
      <c r="Z79" s="87">
        <v>12</v>
      </c>
      <c r="AA79" s="116">
        <v>0</v>
      </c>
      <c r="AB79" s="116">
        <v>0</v>
      </c>
      <c r="AC79" s="191">
        <v>20</v>
      </c>
      <c r="AD79" s="16">
        <f>WEEKNUM(tblKPIs[[#This Row],[Production Start Date]])</f>
        <v>4</v>
      </c>
      <c r="AE79" s="16">
        <v>32</v>
      </c>
      <c r="AF79" s="16">
        <v>9</v>
      </c>
      <c r="AG79" s="16">
        <v>16</v>
      </c>
      <c r="AH79" s="16">
        <v>16</v>
      </c>
      <c r="AI79" s="16">
        <v>23</v>
      </c>
      <c r="AJ79" s="16">
        <f t="shared" si="5"/>
        <v>1</v>
      </c>
      <c r="AL79" s="16"/>
      <c r="AM79" s="16"/>
      <c r="AN79" s="16"/>
      <c r="AO79" s="16"/>
      <c r="AP79" s="16"/>
      <c r="AQ79" s="16"/>
      <c r="AR79" s="16"/>
      <c r="AS79" s="16"/>
      <c r="BB79" s="171">
        <v>3660.6734693877552</v>
      </c>
      <c r="BC79" s="171">
        <v>3960</v>
      </c>
    </row>
    <row r="80" spans="2:55" x14ac:dyDescent="0.35">
      <c r="B80" s="1">
        <v>76</v>
      </c>
      <c r="C80" s="158" t="s">
        <v>147</v>
      </c>
      <c r="D80" s="89">
        <v>96.035621839634018</v>
      </c>
      <c r="E80" s="89">
        <v>94.791666666666657</v>
      </c>
      <c r="F80" s="89">
        <v>103.05273825620564</v>
      </c>
      <c r="G80" s="89">
        <v>98.311123093514098</v>
      </c>
      <c r="H80" s="157">
        <v>338.07291666666663</v>
      </c>
      <c r="I80" s="89">
        <v>122.49481034157388</v>
      </c>
      <c r="J80" s="89">
        <v>0</v>
      </c>
      <c r="K80" s="89">
        <f t="shared" si="3"/>
        <v>405.6875</v>
      </c>
      <c r="L80" s="87">
        <v>12</v>
      </c>
      <c r="M80" s="116">
        <v>0</v>
      </c>
      <c r="N80" s="116">
        <v>0</v>
      </c>
      <c r="O80" s="88">
        <v>18</v>
      </c>
      <c r="P80" s="168">
        <v>41664</v>
      </c>
      <c r="Q80" s="16">
        <v>87</v>
      </c>
      <c r="R80" s="89">
        <v>87.494399999999999</v>
      </c>
      <c r="S80" s="89">
        <v>90</v>
      </c>
      <c r="T80" s="89">
        <v>98</v>
      </c>
      <c r="U80" s="89">
        <v>99.2</v>
      </c>
      <c r="V80" s="189">
        <v>346.08333333333331</v>
      </c>
      <c r="W80" s="80">
        <v>0</v>
      </c>
      <c r="X80" s="190">
        <v>40</v>
      </c>
      <c r="Y80" s="89">
        <f t="shared" si="4"/>
        <v>415.3</v>
      </c>
      <c r="Z80" s="87">
        <v>12</v>
      </c>
      <c r="AA80" s="116">
        <v>0</v>
      </c>
      <c r="AB80" s="116">
        <v>0</v>
      </c>
      <c r="AC80" s="191">
        <v>20</v>
      </c>
      <c r="AD80" s="16">
        <f>WEEKNUM(tblKPIs[[#This Row],[Production Start Date]])</f>
        <v>4</v>
      </c>
      <c r="AE80" s="16">
        <v>32</v>
      </c>
      <c r="AF80" s="16">
        <v>4</v>
      </c>
      <c r="AG80" s="16">
        <v>7</v>
      </c>
      <c r="AH80" s="16">
        <v>17</v>
      </c>
      <c r="AI80" s="16">
        <v>27</v>
      </c>
      <c r="AJ80" s="16">
        <f t="shared" si="5"/>
        <v>1</v>
      </c>
      <c r="AL80" s="16"/>
      <c r="AM80" s="16"/>
      <c r="AN80" s="16"/>
      <c r="AO80" s="16"/>
      <c r="AP80" s="16"/>
      <c r="AQ80" s="16"/>
      <c r="AR80" s="16"/>
      <c r="AS80" s="16"/>
      <c r="BB80" s="172">
        <v>4056.875</v>
      </c>
      <c r="BC80" s="172">
        <v>4153</v>
      </c>
    </row>
    <row r="81" spans="2:55" x14ac:dyDescent="0.35">
      <c r="B81" s="1">
        <v>77</v>
      </c>
      <c r="C81" s="158" t="s">
        <v>147</v>
      </c>
      <c r="D81" s="89">
        <v>75.46789834292845</v>
      </c>
      <c r="E81" s="89">
        <v>76.969696969696969</v>
      </c>
      <c r="F81" s="89">
        <v>102.63333023656176</v>
      </c>
      <c r="G81" s="89">
        <v>95.533141210374637</v>
      </c>
      <c r="H81" s="157">
        <v>273.39393939393938</v>
      </c>
      <c r="I81" s="89">
        <v>121.49041892783561</v>
      </c>
      <c r="J81" s="89">
        <v>0</v>
      </c>
      <c r="K81" s="89">
        <f t="shared" si="3"/>
        <v>328.07272727272726</v>
      </c>
      <c r="L81" s="87">
        <v>12</v>
      </c>
      <c r="M81" s="116">
        <v>0</v>
      </c>
      <c r="N81" s="116">
        <v>0</v>
      </c>
      <c r="O81" s="88">
        <v>23</v>
      </c>
      <c r="P81" s="168">
        <v>41664</v>
      </c>
      <c r="Q81" s="16">
        <v>75</v>
      </c>
      <c r="R81" s="89">
        <v>87.494399999999999</v>
      </c>
      <c r="S81" s="89">
        <v>90</v>
      </c>
      <c r="T81" s="89">
        <v>98</v>
      </c>
      <c r="U81" s="89">
        <v>99.2</v>
      </c>
      <c r="V81" s="189">
        <v>346.08333333333331</v>
      </c>
      <c r="W81" s="80">
        <v>0</v>
      </c>
      <c r="X81" s="190">
        <v>40</v>
      </c>
      <c r="Y81" s="89">
        <f t="shared" si="4"/>
        <v>415.3</v>
      </c>
      <c r="Z81" s="87">
        <v>12</v>
      </c>
      <c r="AA81" s="116">
        <v>0</v>
      </c>
      <c r="AB81" s="116">
        <v>0</v>
      </c>
      <c r="AC81" s="191">
        <v>20</v>
      </c>
      <c r="AD81" s="16">
        <f>WEEKNUM(tblKPIs[[#This Row],[Production Start Date]])</f>
        <v>4</v>
      </c>
      <c r="AE81" s="16">
        <v>18</v>
      </c>
      <c r="AF81" s="16">
        <v>20</v>
      </c>
      <c r="AG81" s="16">
        <v>23</v>
      </c>
      <c r="AH81" s="16">
        <v>0</v>
      </c>
      <c r="AI81" s="16">
        <v>14</v>
      </c>
      <c r="AJ81" s="16">
        <f t="shared" si="5"/>
        <v>1</v>
      </c>
      <c r="AL81" s="16"/>
      <c r="AM81" s="16"/>
      <c r="AN81" s="16"/>
      <c r="AO81" s="16"/>
      <c r="AP81" s="16"/>
      <c r="AQ81" s="16"/>
      <c r="AR81" s="16"/>
      <c r="AS81" s="16"/>
      <c r="BB81" s="171">
        <v>3280.7272727272725</v>
      </c>
      <c r="BC81" s="171">
        <v>4153</v>
      </c>
    </row>
    <row r="82" spans="2:55" x14ac:dyDescent="0.35">
      <c r="B82" s="1">
        <v>78</v>
      </c>
      <c r="C82" s="158" t="s">
        <v>147</v>
      </c>
      <c r="D82" s="89">
        <v>82.134886097025657</v>
      </c>
      <c r="E82" s="89">
        <v>85.06849315068493</v>
      </c>
      <c r="F82" s="89">
        <v>97.951597405717038</v>
      </c>
      <c r="G82" s="89">
        <v>98.570599119925035</v>
      </c>
      <c r="H82" s="157">
        <v>301.63993150684934</v>
      </c>
      <c r="I82" s="89">
        <v>123.51370756264812</v>
      </c>
      <c r="J82" s="89">
        <v>0</v>
      </c>
      <c r="K82" s="89">
        <f t="shared" si="3"/>
        <v>361.96791780821917</v>
      </c>
      <c r="L82" s="87">
        <v>12</v>
      </c>
      <c r="M82" s="116">
        <v>0</v>
      </c>
      <c r="N82" s="116">
        <v>0</v>
      </c>
      <c r="O82" s="88">
        <v>22</v>
      </c>
      <c r="P82" s="168">
        <v>41664</v>
      </c>
      <c r="Q82" s="16">
        <v>89</v>
      </c>
      <c r="R82" s="89">
        <v>87.494399999999999</v>
      </c>
      <c r="S82" s="89">
        <v>90</v>
      </c>
      <c r="T82" s="89">
        <v>98</v>
      </c>
      <c r="U82" s="89">
        <v>99.2</v>
      </c>
      <c r="V82" s="189">
        <v>362</v>
      </c>
      <c r="W82" s="80">
        <v>0</v>
      </c>
      <c r="X82" s="190">
        <v>40</v>
      </c>
      <c r="Y82" s="89">
        <f t="shared" si="4"/>
        <v>434.4</v>
      </c>
      <c r="Z82" s="87">
        <v>12</v>
      </c>
      <c r="AA82" s="116">
        <v>0</v>
      </c>
      <c r="AB82" s="116">
        <v>0</v>
      </c>
      <c r="AC82" s="191">
        <v>20</v>
      </c>
      <c r="AD82" s="16">
        <f>WEEKNUM(tblKPIs[[#This Row],[Production Start Date]])</f>
        <v>4</v>
      </c>
      <c r="AE82" s="16">
        <v>25</v>
      </c>
      <c r="AF82" s="16">
        <v>10</v>
      </c>
      <c r="AG82" s="16">
        <v>22</v>
      </c>
      <c r="AH82" s="16">
        <v>20</v>
      </c>
      <c r="AI82" s="16">
        <v>12</v>
      </c>
      <c r="AJ82" s="16">
        <f t="shared" si="5"/>
        <v>1</v>
      </c>
      <c r="AL82" s="16"/>
      <c r="AM82" s="16"/>
      <c r="AN82" s="16"/>
      <c r="AO82" s="16"/>
      <c r="AP82" s="16"/>
      <c r="AQ82" s="16"/>
      <c r="AR82" s="16"/>
      <c r="AS82" s="16"/>
      <c r="BB82" s="172">
        <v>3619.6791780821918</v>
      </c>
      <c r="BC82" s="172">
        <v>4344</v>
      </c>
    </row>
    <row r="83" spans="2:55" x14ac:dyDescent="0.35">
      <c r="B83" s="1">
        <v>79</v>
      </c>
      <c r="C83" s="158" t="s">
        <v>153</v>
      </c>
      <c r="D83" s="89">
        <v>55.940740740740736</v>
      </c>
      <c r="E83" s="89">
        <v>64.166666666666657</v>
      </c>
      <c r="F83" s="89">
        <v>92.832130832130829</v>
      </c>
      <c r="G83" s="89">
        <v>93.911854008849843</v>
      </c>
      <c r="H83" s="157">
        <v>160.83166666666668</v>
      </c>
      <c r="I83" s="89">
        <v>85.55824005319738</v>
      </c>
      <c r="J83" s="89">
        <v>0</v>
      </c>
      <c r="K83" s="89">
        <f t="shared" si="3"/>
        <v>192.99799999999999</v>
      </c>
      <c r="L83" s="87">
        <v>12</v>
      </c>
      <c r="M83" s="116">
        <v>0</v>
      </c>
      <c r="N83" s="116">
        <v>0</v>
      </c>
      <c r="O83" s="88">
        <v>14</v>
      </c>
      <c r="P83" s="168">
        <v>41666</v>
      </c>
      <c r="Q83" s="16">
        <v>56</v>
      </c>
      <c r="R83" s="89">
        <v>87.317999999999998</v>
      </c>
      <c r="S83" s="89">
        <v>90</v>
      </c>
      <c r="T83" s="89">
        <v>98</v>
      </c>
      <c r="U83" s="89">
        <v>99</v>
      </c>
      <c r="V83" s="189">
        <v>270</v>
      </c>
      <c r="W83" s="80">
        <v>0</v>
      </c>
      <c r="X83" s="190">
        <v>40</v>
      </c>
      <c r="Y83" s="89">
        <f t="shared" si="4"/>
        <v>324.00000000000006</v>
      </c>
      <c r="Z83" s="87">
        <v>12</v>
      </c>
      <c r="AA83" s="116">
        <v>0</v>
      </c>
      <c r="AB83" s="116">
        <v>0</v>
      </c>
      <c r="AC83" s="191">
        <v>20</v>
      </c>
      <c r="AD83" s="16">
        <f>WEEKNUM(tblKPIs[[#This Row],[Production Start Date]])</f>
        <v>5</v>
      </c>
      <c r="AE83" s="16">
        <v>3</v>
      </c>
      <c r="AF83" s="16">
        <v>3</v>
      </c>
      <c r="AG83" s="16">
        <v>13</v>
      </c>
      <c r="AH83" s="16">
        <v>6</v>
      </c>
      <c r="AI83" s="16">
        <v>31</v>
      </c>
      <c r="AJ83" s="16">
        <f t="shared" si="5"/>
        <v>1</v>
      </c>
      <c r="AL83" s="16"/>
      <c r="AM83" s="16"/>
      <c r="AN83" s="16"/>
      <c r="AO83" s="16"/>
      <c r="AP83" s="16"/>
      <c r="AQ83" s="16"/>
      <c r="AR83" s="16"/>
      <c r="AS83" s="16"/>
      <c r="BB83" s="171">
        <v>1929.98</v>
      </c>
      <c r="BC83" s="171">
        <v>3240.0000000000005</v>
      </c>
    </row>
    <row r="84" spans="2:55" x14ac:dyDescent="0.35">
      <c r="B84" s="1">
        <v>80</v>
      </c>
      <c r="C84" s="158" t="s">
        <v>154</v>
      </c>
      <c r="D84" s="89">
        <v>68.356544009806711</v>
      </c>
      <c r="E84" s="89">
        <v>67.272727272727266</v>
      </c>
      <c r="F84" s="89">
        <v>103.88231236292877</v>
      </c>
      <c r="G84" s="89">
        <v>97.813647600086711</v>
      </c>
      <c r="H84" s="157">
        <v>241.85848484848484</v>
      </c>
      <c r="I84" s="89">
        <v>101.25379004123056</v>
      </c>
      <c r="J84" s="89">
        <v>0</v>
      </c>
      <c r="K84" s="89">
        <f t="shared" si="3"/>
        <v>290.23018181818185</v>
      </c>
      <c r="L84" s="87">
        <v>12</v>
      </c>
      <c r="M84" s="116">
        <v>0</v>
      </c>
      <c r="N84" s="116">
        <v>0</v>
      </c>
      <c r="O84" s="88">
        <v>15</v>
      </c>
      <c r="P84" s="168">
        <v>41666</v>
      </c>
      <c r="Q84" s="16">
        <v>86</v>
      </c>
      <c r="R84" s="89">
        <v>87.494399999999999</v>
      </c>
      <c r="S84" s="89">
        <v>90</v>
      </c>
      <c r="T84" s="89">
        <v>98</v>
      </c>
      <c r="U84" s="89">
        <v>99.2</v>
      </c>
      <c r="V84" s="189">
        <v>346.08333333333331</v>
      </c>
      <c r="W84" s="80">
        <v>0</v>
      </c>
      <c r="X84" s="190">
        <v>40</v>
      </c>
      <c r="Y84" s="89">
        <f t="shared" si="4"/>
        <v>415.3</v>
      </c>
      <c r="Z84" s="87">
        <v>12</v>
      </c>
      <c r="AA84" s="116">
        <v>0</v>
      </c>
      <c r="AB84" s="116">
        <v>0</v>
      </c>
      <c r="AC84" s="191">
        <v>20</v>
      </c>
      <c r="AD84" s="16">
        <f>WEEKNUM(tblKPIs[[#This Row],[Production Start Date]])</f>
        <v>5</v>
      </c>
      <c r="AE84" s="16">
        <v>9</v>
      </c>
      <c r="AF84" s="16">
        <v>33</v>
      </c>
      <c r="AG84" s="16">
        <v>17</v>
      </c>
      <c r="AH84" s="16">
        <v>16</v>
      </c>
      <c r="AI84" s="16">
        <v>11</v>
      </c>
      <c r="AJ84" s="16">
        <f t="shared" si="5"/>
        <v>1</v>
      </c>
      <c r="AL84" s="16"/>
      <c r="AM84" s="16"/>
      <c r="AN84" s="16"/>
      <c r="AO84" s="16"/>
      <c r="AP84" s="16"/>
      <c r="AQ84" s="16"/>
      <c r="AR84" s="16"/>
      <c r="AS84" s="16"/>
      <c r="BB84" s="172">
        <v>2902.3018181818184</v>
      </c>
      <c r="BC84" s="172">
        <v>4153</v>
      </c>
    </row>
    <row r="85" spans="2:55" x14ac:dyDescent="0.35">
      <c r="B85" s="1">
        <v>81</v>
      </c>
      <c r="C85" s="158" t="s">
        <v>148</v>
      </c>
      <c r="D85" s="89">
        <v>72.65886287625419</v>
      </c>
      <c r="E85" s="89">
        <v>80.724637681159422</v>
      </c>
      <c r="F85" s="89">
        <v>91.48598259908853</v>
      </c>
      <c r="G85" s="89">
        <v>98.384783757264699</v>
      </c>
      <c r="H85" s="157">
        <v>192.01449275362319</v>
      </c>
      <c r="I85" s="89">
        <v>91.21043663838357</v>
      </c>
      <c r="J85" s="89">
        <v>0</v>
      </c>
      <c r="K85" s="89">
        <f t="shared" si="3"/>
        <v>230.41739130434786</v>
      </c>
      <c r="L85" s="87">
        <v>12</v>
      </c>
      <c r="M85" s="116">
        <v>0</v>
      </c>
      <c r="N85" s="116">
        <v>0</v>
      </c>
      <c r="O85" s="88">
        <v>22</v>
      </c>
      <c r="P85" s="168">
        <v>41666</v>
      </c>
      <c r="Q85" s="16">
        <v>95</v>
      </c>
      <c r="R85" s="89">
        <v>87.097500000000011</v>
      </c>
      <c r="S85" s="89">
        <v>90</v>
      </c>
      <c r="T85" s="89">
        <v>98</v>
      </c>
      <c r="U85" s="89">
        <v>98.75</v>
      </c>
      <c r="V85" s="189">
        <v>260</v>
      </c>
      <c r="W85" s="80">
        <v>0</v>
      </c>
      <c r="X85" s="190">
        <v>40</v>
      </c>
      <c r="Y85" s="89">
        <f t="shared" si="4"/>
        <v>312</v>
      </c>
      <c r="Z85" s="87">
        <v>12</v>
      </c>
      <c r="AA85" s="116">
        <v>0</v>
      </c>
      <c r="AB85" s="116">
        <v>0</v>
      </c>
      <c r="AC85" s="191">
        <v>20</v>
      </c>
      <c r="AD85" s="16">
        <f>WEEKNUM(tblKPIs[[#This Row],[Production Start Date]])</f>
        <v>5</v>
      </c>
      <c r="AE85" s="16">
        <v>15</v>
      </c>
      <c r="AF85" s="16">
        <v>22</v>
      </c>
      <c r="AG85" s="16">
        <v>10</v>
      </c>
      <c r="AH85" s="16">
        <v>21</v>
      </c>
      <c r="AI85" s="16">
        <v>27</v>
      </c>
      <c r="AJ85" s="16">
        <f t="shared" si="5"/>
        <v>1</v>
      </c>
      <c r="AL85" s="16"/>
      <c r="AM85" s="16"/>
      <c r="AN85" s="16"/>
      <c r="AO85" s="16"/>
      <c r="AP85" s="16"/>
      <c r="AQ85" s="16"/>
      <c r="AR85" s="16"/>
      <c r="AS85" s="16"/>
      <c r="BB85" s="171">
        <v>2304.1739130434785</v>
      </c>
      <c r="BC85" s="171">
        <v>3120</v>
      </c>
    </row>
    <row r="86" spans="2:55" x14ac:dyDescent="0.35">
      <c r="B86" s="1">
        <v>82</v>
      </c>
      <c r="C86" s="158" t="s">
        <v>146</v>
      </c>
      <c r="D86" s="89">
        <v>96.927830687830692</v>
      </c>
      <c r="E86" s="89">
        <v>96.190476190476176</v>
      </c>
      <c r="F86" s="89">
        <v>101.83916391639166</v>
      </c>
      <c r="G86" s="89">
        <v>98.946763485208237</v>
      </c>
      <c r="H86" s="157">
        <v>264.49085714285712</v>
      </c>
      <c r="I86" s="89">
        <v>100.88983020060599</v>
      </c>
      <c r="J86" s="89">
        <v>0</v>
      </c>
      <c r="K86" s="89">
        <f t="shared" si="3"/>
        <v>317.38902857142858</v>
      </c>
      <c r="L86" s="87">
        <v>12</v>
      </c>
      <c r="M86" s="116">
        <v>0</v>
      </c>
      <c r="N86" s="116">
        <v>0</v>
      </c>
      <c r="O86" s="88">
        <v>20</v>
      </c>
      <c r="P86" s="168">
        <v>41666</v>
      </c>
      <c r="Q86" s="16">
        <v>99</v>
      </c>
      <c r="R86" s="89">
        <v>87.317999999999998</v>
      </c>
      <c r="S86" s="89">
        <v>90</v>
      </c>
      <c r="T86" s="89">
        <v>98</v>
      </c>
      <c r="U86" s="89">
        <v>99</v>
      </c>
      <c r="V86" s="189">
        <v>270</v>
      </c>
      <c r="W86" s="80">
        <v>0</v>
      </c>
      <c r="X86" s="190">
        <v>40</v>
      </c>
      <c r="Y86" s="89">
        <f t="shared" si="4"/>
        <v>324</v>
      </c>
      <c r="Z86" s="87">
        <v>12</v>
      </c>
      <c r="AA86" s="116">
        <v>0</v>
      </c>
      <c r="AB86" s="116">
        <v>0</v>
      </c>
      <c r="AC86" s="191">
        <v>20</v>
      </c>
      <c r="AD86" s="16">
        <f>WEEKNUM(tblKPIs[[#This Row],[Production Start Date]])</f>
        <v>5</v>
      </c>
      <c r="AE86" s="16">
        <v>30</v>
      </c>
      <c r="AF86" s="16">
        <v>30</v>
      </c>
      <c r="AG86" s="16">
        <v>19</v>
      </c>
      <c r="AH86" s="16">
        <v>3</v>
      </c>
      <c r="AI86" s="16">
        <v>17</v>
      </c>
      <c r="AJ86" s="16">
        <f t="shared" si="5"/>
        <v>1</v>
      </c>
      <c r="AL86" s="16"/>
      <c r="AM86" s="16"/>
      <c r="AN86" s="16"/>
      <c r="AO86" s="16"/>
      <c r="AP86" s="16"/>
      <c r="AQ86" s="16"/>
      <c r="AR86" s="16"/>
      <c r="AS86" s="16"/>
      <c r="BB86" s="172">
        <v>3173.8902857142857</v>
      </c>
      <c r="BC86" s="172">
        <v>3240</v>
      </c>
    </row>
    <row r="87" spans="2:55" x14ac:dyDescent="0.35">
      <c r="B87" s="1">
        <v>83</v>
      </c>
      <c r="C87" s="158" t="s">
        <v>147</v>
      </c>
      <c r="D87" s="89">
        <v>99.810808021739888</v>
      </c>
      <c r="E87" s="89">
        <v>98.067226890756302</v>
      </c>
      <c r="F87" s="89">
        <v>102.75472186303207</v>
      </c>
      <c r="G87" s="89">
        <v>99.049409043264532</v>
      </c>
      <c r="H87" s="157">
        <v>348.74369747899158</v>
      </c>
      <c r="I87" s="89">
        <v>119.48177205167885</v>
      </c>
      <c r="J87" s="89">
        <v>0</v>
      </c>
      <c r="K87" s="89">
        <f t="shared" si="3"/>
        <v>418.49243697478994</v>
      </c>
      <c r="L87" s="87">
        <v>12</v>
      </c>
      <c r="M87" s="116">
        <v>0</v>
      </c>
      <c r="N87" s="116">
        <v>0</v>
      </c>
      <c r="O87" s="88">
        <v>16</v>
      </c>
      <c r="P87" s="168">
        <v>41666</v>
      </c>
      <c r="Q87" s="16">
        <v>84</v>
      </c>
      <c r="R87" s="89">
        <v>87.494399999999999</v>
      </c>
      <c r="S87" s="89">
        <v>90</v>
      </c>
      <c r="T87" s="89">
        <v>98</v>
      </c>
      <c r="U87" s="89">
        <v>99.2</v>
      </c>
      <c r="V87" s="189">
        <v>346.08333333333331</v>
      </c>
      <c r="W87" s="80">
        <v>0</v>
      </c>
      <c r="X87" s="190">
        <v>40</v>
      </c>
      <c r="Y87" s="89">
        <f t="shared" si="4"/>
        <v>415.3</v>
      </c>
      <c r="Z87" s="87">
        <v>12</v>
      </c>
      <c r="AA87" s="116">
        <v>0</v>
      </c>
      <c r="AB87" s="116">
        <v>0</v>
      </c>
      <c r="AC87" s="191">
        <v>20</v>
      </c>
      <c r="AD87" s="16">
        <f>WEEKNUM(tblKPIs[[#This Row],[Production Start Date]])</f>
        <v>5</v>
      </c>
      <c r="AE87" s="16">
        <v>15</v>
      </c>
      <c r="AF87" s="16">
        <v>7</v>
      </c>
      <c r="AG87" s="16">
        <v>31</v>
      </c>
      <c r="AH87" s="16">
        <v>2</v>
      </c>
      <c r="AI87" s="16">
        <v>29</v>
      </c>
      <c r="AJ87" s="16">
        <f t="shared" si="5"/>
        <v>1</v>
      </c>
      <c r="AL87" s="16"/>
      <c r="AM87" s="16"/>
      <c r="AN87" s="16"/>
      <c r="AO87" s="16"/>
      <c r="AP87" s="16"/>
      <c r="AQ87" s="16"/>
      <c r="AR87" s="16"/>
      <c r="AS87" s="16"/>
      <c r="BB87" s="171">
        <v>4184.9243697478996</v>
      </c>
      <c r="BC87" s="171">
        <v>4153</v>
      </c>
    </row>
    <row r="88" spans="2:55" x14ac:dyDescent="0.35">
      <c r="B88" s="1">
        <v>84</v>
      </c>
      <c r="C88" s="158" t="s">
        <v>147</v>
      </c>
      <c r="D88" s="89">
        <v>96.321296982594518</v>
      </c>
      <c r="E88" s="89">
        <v>95.754189944134069</v>
      </c>
      <c r="F88" s="89">
        <v>102.83522251702036</v>
      </c>
      <c r="G88" s="89">
        <v>97.818870337128388</v>
      </c>
      <c r="H88" s="157">
        <v>340.78491620111731</v>
      </c>
      <c r="I88" s="89">
        <v>117.87194574070317</v>
      </c>
      <c r="J88" s="89">
        <v>0</v>
      </c>
      <c r="K88" s="89">
        <f t="shared" si="3"/>
        <v>408.94189944134075</v>
      </c>
      <c r="L88" s="87">
        <v>12</v>
      </c>
      <c r="M88" s="116">
        <v>0</v>
      </c>
      <c r="N88" s="116">
        <v>0</v>
      </c>
      <c r="O88" s="88">
        <v>24</v>
      </c>
      <c r="P88" s="168">
        <v>41667</v>
      </c>
      <c r="Q88" s="16">
        <v>49</v>
      </c>
      <c r="R88" s="89">
        <v>87.494399999999999</v>
      </c>
      <c r="S88" s="89">
        <v>90</v>
      </c>
      <c r="T88" s="89">
        <v>98</v>
      </c>
      <c r="U88" s="89">
        <v>99.2</v>
      </c>
      <c r="V88" s="189">
        <v>346.08333333333331</v>
      </c>
      <c r="W88" s="80">
        <v>0</v>
      </c>
      <c r="X88" s="190">
        <v>40</v>
      </c>
      <c r="Y88" s="89">
        <f t="shared" si="4"/>
        <v>415.3</v>
      </c>
      <c r="Z88" s="87">
        <v>12</v>
      </c>
      <c r="AA88" s="116">
        <v>0</v>
      </c>
      <c r="AB88" s="116">
        <v>0</v>
      </c>
      <c r="AC88" s="191">
        <v>20</v>
      </c>
      <c r="AD88" s="16">
        <f>WEEKNUM(tblKPIs[[#This Row],[Production Start Date]])</f>
        <v>5</v>
      </c>
      <c r="AE88" s="16">
        <v>3</v>
      </c>
      <c r="AF88" s="16">
        <v>19</v>
      </c>
      <c r="AG88" s="16">
        <v>0</v>
      </c>
      <c r="AH88" s="16">
        <v>25</v>
      </c>
      <c r="AI88" s="16">
        <v>2</v>
      </c>
      <c r="AJ88" s="16">
        <f t="shared" si="5"/>
        <v>1</v>
      </c>
      <c r="AL88" s="16"/>
      <c r="AM88" s="16"/>
      <c r="AN88" s="16"/>
      <c r="AO88" s="16"/>
      <c r="AP88" s="16"/>
      <c r="AQ88" s="16"/>
      <c r="AR88" s="16"/>
      <c r="AS88" s="16"/>
      <c r="BB88" s="172">
        <v>4089.4189944134073</v>
      </c>
      <c r="BC88" s="172">
        <v>4153</v>
      </c>
    </row>
    <row r="89" spans="2:55" x14ac:dyDescent="0.35">
      <c r="B89" s="1">
        <v>85</v>
      </c>
      <c r="C89" s="158" t="s">
        <v>147</v>
      </c>
      <c r="D89" s="89">
        <v>82.003394794648202</v>
      </c>
      <c r="E89" s="89">
        <v>86.626506024096358</v>
      </c>
      <c r="F89" s="89">
        <v>96.649505528703941</v>
      </c>
      <c r="G89" s="89">
        <v>97.944803054889263</v>
      </c>
      <c r="H89" s="157">
        <v>303.08120481927705</v>
      </c>
      <c r="I89" s="89">
        <v>124.28878815202758</v>
      </c>
      <c r="J89" s="89">
        <v>0</v>
      </c>
      <c r="K89" s="89">
        <f t="shared" si="3"/>
        <v>363.69744578313248</v>
      </c>
      <c r="L89" s="87">
        <v>12</v>
      </c>
      <c r="M89" s="116">
        <v>0</v>
      </c>
      <c r="N89" s="116">
        <v>0</v>
      </c>
      <c r="O89" s="88">
        <v>23</v>
      </c>
      <c r="P89" s="168">
        <v>41667</v>
      </c>
      <c r="Q89" s="16">
        <v>44</v>
      </c>
      <c r="R89" s="89">
        <v>87.494399999999999</v>
      </c>
      <c r="S89" s="89">
        <v>90</v>
      </c>
      <c r="T89" s="89">
        <v>98</v>
      </c>
      <c r="U89" s="89">
        <v>99.2</v>
      </c>
      <c r="V89" s="189">
        <v>362</v>
      </c>
      <c r="W89" s="80">
        <v>0</v>
      </c>
      <c r="X89" s="190">
        <v>40</v>
      </c>
      <c r="Y89" s="89">
        <f t="shared" si="4"/>
        <v>434.4</v>
      </c>
      <c r="Z89" s="87">
        <v>12</v>
      </c>
      <c r="AA89" s="116">
        <v>0</v>
      </c>
      <c r="AB89" s="116">
        <v>0</v>
      </c>
      <c r="AC89" s="191">
        <v>20</v>
      </c>
      <c r="AD89" s="16">
        <f>WEEKNUM(tblKPIs[[#This Row],[Production Start Date]])</f>
        <v>5</v>
      </c>
      <c r="AE89" s="16">
        <v>0</v>
      </c>
      <c r="AF89" s="16">
        <v>3</v>
      </c>
      <c r="AG89" s="16">
        <v>20</v>
      </c>
      <c r="AH89" s="16">
        <v>19</v>
      </c>
      <c r="AI89" s="16">
        <v>2</v>
      </c>
      <c r="AJ89" s="16">
        <f t="shared" si="5"/>
        <v>1</v>
      </c>
      <c r="AL89" s="16"/>
      <c r="AM89" s="16"/>
      <c r="AN89" s="16"/>
      <c r="AO89" s="16"/>
      <c r="AP89" s="16"/>
      <c r="AQ89" s="16"/>
      <c r="AR89" s="16"/>
      <c r="AS89" s="16"/>
      <c r="BB89" s="171">
        <v>3636.9744578313248</v>
      </c>
      <c r="BC89" s="171">
        <v>4344</v>
      </c>
    </row>
    <row r="90" spans="2:55" x14ac:dyDescent="0.35">
      <c r="B90" s="1">
        <v>86</v>
      </c>
      <c r="C90" s="158" t="s">
        <v>147</v>
      </c>
      <c r="D90" s="89">
        <v>77.637588446253758</v>
      </c>
      <c r="E90" s="89">
        <v>78.94736842105263</v>
      </c>
      <c r="F90" s="89">
        <v>100.24855739717617</v>
      </c>
      <c r="G90" s="89">
        <v>98.097117722738275</v>
      </c>
      <c r="H90" s="157">
        <v>286.4998245614035</v>
      </c>
      <c r="I90" s="89">
        <v>122.84198015631229</v>
      </c>
      <c r="J90" s="89">
        <v>41.966993328438726</v>
      </c>
      <c r="K90" s="89">
        <f t="shared" si="3"/>
        <v>343.7997894736842</v>
      </c>
      <c r="L90" s="87">
        <v>12</v>
      </c>
      <c r="M90" s="116">
        <v>0</v>
      </c>
      <c r="N90" s="116">
        <v>0</v>
      </c>
      <c r="O90" s="88">
        <v>27</v>
      </c>
      <c r="P90" s="168">
        <v>41668</v>
      </c>
      <c r="Q90" s="16">
        <v>95</v>
      </c>
      <c r="R90" s="89">
        <v>87.494399999999999</v>
      </c>
      <c r="S90" s="89">
        <v>90</v>
      </c>
      <c r="T90" s="89">
        <v>98</v>
      </c>
      <c r="U90" s="89">
        <v>99.2</v>
      </c>
      <c r="V90" s="189">
        <v>362</v>
      </c>
      <c r="W90" s="80">
        <v>0</v>
      </c>
      <c r="X90" s="190">
        <v>40</v>
      </c>
      <c r="Y90" s="89">
        <f t="shared" si="4"/>
        <v>434.4</v>
      </c>
      <c r="Z90" s="87">
        <v>12</v>
      </c>
      <c r="AA90" s="116">
        <v>0</v>
      </c>
      <c r="AB90" s="116">
        <v>0</v>
      </c>
      <c r="AC90" s="191">
        <v>20</v>
      </c>
      <c r="AD90" s="16">
        <f>WEEKNUM(tblKPIs[[#This Row],[Production Start Date]])</f>
        <v>5</v>
      </c>
      <c r="AE90" s="16">
        <v>29</v>
      </c>
      <c r="AF90" s="16">
        <v>12</v>
      </c>
      <c r="AG90" s="16">
        <v>25</v>
      </c>
      <c r="AH90" s="16">
        <v>13</v>
      </c>
      <c r="AI90" s="16">
        <v>16</v>
      </c>
      <c r="AJ90" s="16">
        <f t="shared" si="5"/>
        <v>1</v>
      </c>
      <c r="AL90" s="16"/>
      <c r="AM90" s="16"/>
      <c r="AN90" s="16"/>
      <c r="AO90" s="16"/>
      <c r="AP90" s="16"/>
      <c r="AQ90" s="16"/>
      <c r="AR90" s="16"/>
      <c r="AS90" s="16"/>
      <c r="BB90" s="172">
        <v>3437.9978947368422</v>
      </c>
      <c r="BC90" s="172">
        <v>4344</v>
      </c>
    </row>
    <row r="91" spans="2:55" x14ac:dyDescent="0.35">
      <c r="B91" s="1">
        <v>87</v>
      </c>
      <c r="C91" s="158" t="s">
        <v>147</v>
      </c>
      <c r="D91" s="89">
        <v>88.841680712737769</v>
      </c>
      <c r="E91" s="89">
        <v>90.416666666666657</v>
      </c>
      <c r="F91" s="89">
        <v>99.25874471954647</v>
      </c>
      <c r="G91" s="89">
        <v>98.991862458648257</v>
      </c>
      <c r="H91" s="157">
        <v>310.59749999999997</v>
      </c>
      <c r="I91" s="89">
        <v>142.79989195671371</v>
      </c>
      <c r="J91" s="89">
        <v>40.09451058016672</v>
      </c>
      <c r="K91" s="89">
        <f t="shared" si="3"/>
        <v>372.71699999999998</v>
      </c>
      <c r="L91" s="87">
        <v>12</v>
      </c>
      <c r="M91" s="116">
        <v>0</v>
      </c>
      <c r="N91" s="116">
        <v>0</v>
      </c>
      <c r="O91" s="88">
        <v>20</v>
      </c>
      <c r="P91" s="168">
        <v>41668</v>
      </c>
      <c r="Q91" s="16">
        <v>77</v>
      </c>
      <c r="R91" s="89">
        <v>87.494399999999999</v>
      </c>
      <c r="S91" s="89">
        <v>90</v>
      </c>
      <c r="T91" s="89">
        <v>98</v>
      </c>
      <c r="U91" s="89">
        <v>99.2</v>
      </c>
      <c r="V91" s="189">
        <v>346.08333333333331</v>
      </c>
      <c r="W91" s="80">
        <v>0</v>
      </c>
      <c r="X91" s="190">
        <v>40</v>
      </c>
      <c r="Y91" s="89">
        <f t="shared" si="4"/>
        <v>415.3</v>
      </c>
      <c r="Z91" s="87">
        <v>12</v>
      </c>
      <c r="AA91" s="116">
        <v>0</v>
      </c>
      <c r="AB91" s="116">
        <v>0</v>
      </c>
      <c r="AC91" s="191">
        <v>20</v>
      </c>
      <c r="AD91" s="16">
        <f>WEEKNUM(tblKPIs[[#This Row],[Production Start Date]])</f>
        <v>5</v>
      </c>
      <c r="AE91" s="16">
        <v>28</v>
      </c>
      <c r="AF91" s="16">
        <v>15</v>
      </c>
      <c r="AG91" s="16">
        <v>8</v>
      </c>
      <c r="AH91" s="16">
        <v>21</v>
      </c>
      <c r="AI91" s="16">
        <v>5</v>
      </c>
      <c r="AJ91" s="16">
        <f t="shared" si="5"/>
        <v>1</v>
      </c>
      <c r="AL91" s="16"/>
      <c r="AM91" s="16"/>
      <c r="AN91" s="16"/>
      <c r="AO91" s="16"/>
      <c r="AP91" s="16"/>
      <c r="AQ91" s="16"/>
      <c r="AR91" s="16"/>
      <c r="AS91" s="16"/>
      <c r="BB91" s="171">
        <v>3727.1699999999996</v>
      </c>
      <c r="BC91" s="171">
        <v>4153</v>
      </c>
    </row>
    <row r="92" spans="2:55" x14ac:dyDescent="0.35">
      <c r="B92" s="1">
        <v>88</v>
      </c>
      <c r="C92" s="158" t="s">
        <v>146</v>
      </c>
      <c r="D92" s="89">
        <v>88.516402116402119</v>
      </c>
      <c r="E92" s="89">
        <v>92.5</v>
      </c>
      <c r="F92" s="89">
        <v>97.032842366175714</v>
      </c>
      <c r="G92" s="89">
        <v>98.619606887621259</v>
      </c>
      <c r="H92" s="157">
        <v>242.33952380952383</v>
      </c>
      <c r="I92" s="89">
        <v>102.88865301996462</v>
      </c>
      <c r="J92" s="89">
        <v>0</v>
      </c>
      <c r="K92" s="89">
        <f t="shared" si="3"/>
        <v>290.8074285714286</v>
      </c>
      <c r="L92" s="87">
        <v>12</v>
      </c>
      <c r="M92" s="116">
        <v>0</v>
      </c>
      <c r="N92" s="116">
        <v>0</v>
      </c>
      <c r="O92" s="88">
        <v>24</v>
      </c>
      <c r="P92" s="168">
        <v>41668</v>
      </c>
      <c r="Q92" s="16">
        <v>93</v>
      </c>
      <c r="R92" s="89">
        <v>87.317999999999998</v>
      </c>
      <c r="S92" s="89">
        <v>90</v>
      </c>
      <c r="T92" s="89">
        <v>98</v>
      </c>
      <c r="U92" s="89">
        <v>99</v>
      </c>
      <c r="V92" s="189">
        <v>270</v>
      </c>
      <c r="W92" s="80">
        <v>0</v>
      </c>
      <c r="X92" s="190">
        <v>40</v>
      </c>
      <c r="Y92" s="89">
        <f t="shared" si="4"/>
        <v>324</v>
      </c>
      <c r="Z92" s="87">
        <v>12</v>
      </c>
      <c r="AA92" s="116">
        <v>0</v>
      </c>
      <c r="AB92" s="116">
        <v>0</v>
      </c>
      <c r="AC92" s="191">
        <v>20</v>
      </c>
      <c r="AD92" s="16">
        <f>WEEKNUM(tblKPIs[[#This Row],[Production Start Date]])</f>
        <v>5</v>
      </c>
      <c r="AE92" s="16">
        <v>1</v>
      </c>
      <c r="AF92" s="16">
        <v>33</v>
      </c>
      <c r="AG92" s="16">
        <v>7</v>
      </c>
      <c r="AH92" s="16">
        <v>34</v>
      </c>
      <c r="AI92" s="16">
        <v>18</v>
      </c>
      <c r="AJ92" s="16">
        <f t="shared" si="5"/>
        <v>1</v>
      </c>
      <c r="AL92" s="16"/>
      <c r="AM92" s="16"/>
      <c r="AN92" s="16"/>
      <c r="AO92" s="16"/>
      <c r="AP92" s="16"/>
      <c r="AQ92" s="16"/>
      <c r="AR92" s="16"/>
      <c r="AS92" s="16"/>
      <c r="BB92" s="172">
        <v>2908.0742857142859</v>
      </c>
      <c r="BC92" s="172">
        <v>3240</v>
      </c>
    </row>
    <row r="93" spans="2:55" x14ac:dyDescent="0.35">
      <c r="B93" s="1">
        <v>89</v>
      </c>
      <c r="C93" s="158" t="s">
        <v>161</v>
      </c>
      <c r="D93" s="89">
        <v>89.836614997905329</v>
      </c>
      <c r="E93" s="89">
        <v>93.824884792626733</v>
      </c>
      <c r="F93" s="89">
        <v>95.884681788414611</v>
      </c>
      <c r="G93" s="89">
        <v>99.858746099995344</v>
      </c>
      <c r="H93" s="157">
        <v>296.88018433179724</v>
      </c>
      <c r="I93" s="89">
        <v>116.33467142673983</v>
      </c>
      <c r="J93" s="89">
        <v>78.348494994202085</v>
      </c>
      <c r="K93" s="89">
        <f t="shared" si="3"/>
        <v>356.25622119815671</v>
      </c>
      <c r="L93" s="87">
        <v>12</v>
      </c>
      <c r="M93" s="116">
        <v>0</v>
      </c>
      <c r="N93" s="116">
        <v>0</v>
      </c>
      <c r="O93" s="88">
        <v>22</v>
      </c>
      <c r="P93" s="168">
        <v>41669</v>
      </c>
      <c r="Q93" s="16">
        <v>120</v>
      </c>
      <c r="R93" s="89">
        <v>87.494399999999999</v>
      </c>
      <c r="S93" s="89">
        <v>90</v>
      </c>
      <c r="T93" s="89">
        <v>98</v>
      </c>
      <c r="U93" s="89">
        <v>99.2</v>
      </c>
      <c r="V93" s="189">
        <v>330</v>
      </c>
      <c r="W93" s="80">
        <v>0</v>
      </c>
      <c r="X93" s="190">
        <v>40</v>
      </c>
      <c r="Y93" s="89">
        <f t="shared" si="4"/>
        <v>396.00000000000006</v>
      </c>
      <c r="Z93" s="87">
        <v>12</v>
      </c>
      <c r="AA93" s="116">
        <v>0</v>
      </c>
      <c r="AB93" s="116">
        <v>0</v>
      </c>
      <c r="AC93" s="191">
        <v>20</v>
      </c>
      <c r="AD93" s="16">
        <f>WEEKNUM(tblKPIs[[#This Row],[Production Start Date]])</f>
        <v>5</v>
      </c>
      <c r="AE93" s="16">
        <v>27</v>
      </c>
      <c r="AF93" s="16">
        <v>12</v>
      </c>
      <c r="AG93" s="16">
        <v>29</v>
      </c>
      <c r="AH93" s="16">
        <v>26</v>
      </c>
      <c r="AI93" s="16">
        <v>26</v>
      </c>
      <c r="AJ93" s="16">
        <f t="shared" si="5"/>
        <v>1</v>
      </c>
      <c r="AL93" s="16"/>
      <c r="AM93" s="16"/>
      <c r="AN93" s="16"/>
      <c r="AO93" s="16"/>
      <c r="AP93" s="16"/>
      <c r="AQ93" s="16"/>
      <c r="AR93" s="16"/>
      <c r="AS93" s="16"/>
      <c r="BB93" s="171">
        <v>3562.5622119815671</v>
      </c>
      <c r="BC93" s="171">
        <v>3960.0000000000005</v>
      </c>
    </row>
    <row r="94" spans="2:55" x14ac:dyDescent="0.35">
      <c r="B94" s="1">
        <v>90</v>
      </c>
      <c r="C94" s="158" t="s">
        <v>147</v>
      </c>
      <c r="D94" s="89">
        <v>92.554340620580817</v>
      </c>
      <c r="E94" s="89">
        <v>92.390524048815507</v>
      </c>
      <c r="F94" s="89">
        <v>101.45759209086924</v>
      </c>
      <c r="G94" s="89">
        <v>98.738109964228926</v>
      </c>
      <c r="H94" s="157">
        <v>324.40882986360378</v>
      </c>
      <c r="I94" s="89">
        <v>120.92142407984694</v>
      </c>
      <c r="J94" s="89">
        <v>12.248749329998214</v>
      </c>
      <c r="K94" s="89">
        <f t="shared" si="3"/>
        <v>389.29059583632454</v>
      </c>
      <c r="L94" s="87">
        <v>12</v>
      </c>
      <c r="M94" s="116">
        <v>0</v>
      </c>
      <c r="N94" s="116">
        <v>0</v>
      </c>
      <c r="O94" s="88">
        <v>14</v>
      </c>
      <c r="P94" s="168">
        <v>41670</v>
      </c>
      <c r="Q94" s="16">
        <v>64</v>
      </c>
      <c r="R94" s="89">
        <v>87.494399999999999</v>
      </c>
      <c r="S94" s="89">
        <v>90</v>
      </c>
      <c r="T94" s="89">
        <v>98</v>
      </c>
      <c r="U94" s="89">
        <v>99.2</v>
      </c>
      <c r="V94" s="189">
        <v>346.08333333333331</v>
      </c>
      <c r="W94" s="80">
        <v>0</v>
      </c>
      <c r="X94" s="190">
        <v>40</v>
      </c>
      <c r="Y94" s="89">
        <f t="shared" si="4"/>
        <v>415.3</v>
      </c>
      <c r="Z94" s="87">
        <v>12</v>
      </c>
      <c r="AA94" s="116">
        <v>0</v>
      </c>
      <c r="AB94" s="116">
        <v>0</v>
      </c>
      <c r="AC94" s="191">
        <v>20</v>
      </c>
      <c r="AD94" s="16">
        <f>WEEKNUM(tblKPIs[[#This Row],[Production Start Date]])</f>
        <v>5</v>
      </c>
      <c r="AE94" s="16">
        <v>17</v>
      </c>
      <c r="AF94" s="16">
        <v>5</v>
      </c>
      <c r="AG94" s="16">
        <v>12</v>
      </c>
      <c r="AH94" s="16">
        <v>20</v>
      </c>
      <c r="AI94" s="16">
        <v>10</v>
      </c>
      <c r="AJ94" s="16">
        <f t="shared" si="5"/>
        <v>1</v>
      </c>
      <c r="AL94" s="16"/>
      <c r="AM94" s="16"/>
      <c r="AN94" s="16"/>
      <c r="AO94" s="16"/>
      <c r="AP94" s="16"/>
      <c r="AQ94" s="16"/>
      <c r="AR94" s="16"/>
      <c r="AS94" s="16"/>
      <c r="BB94" s="172">
        <v>3892.9059583632452</v>
      </c>
      <c r="BC94" s="172">
        <v>4153</v>
      </c>
    </row>
    <row r="95" spans="2:55" x14ac:dyDescent="0.35">
      <c r="B95" s="1">
        <v>91</v>
      </c>
      <c r="C95" s="158" t="s">
        <v>147</v>
      </c>
      <c r="D95" s="89">
        <v>88.375116518176839</v>
      </c>
      <c r="E95" s="89">
        <v>93.700217233888495</v>
      </c>
      <c r="F95" s="89">
        <v>96.046062575251696</v>
      </c>
      <c r="G95" s="89">
        <v>98.19962652252417</v>
      </c>
      <c r="H95" s="157">
        <v>325.78323678493848</v>
      </c>
      <c r="I95" s="89">
        <v>115.41394746293162</v>
      </c>
      <c r="J95" s="89">
        <v>10.259729657231494</v>
      </c>
      <c r="K95" s="89">
        <f t="shared" si="3"/>
        <v>390.9398841419262</v>
      </c>
      <c r="L95" s="87">
        <v>12</v>
      </c>
      <c r="M95" s="116">
        <v>0</v>
      </c>
      <c r="N95" s="116">
        <v>0</v>
      </c>
      <c r="O95" s="88">
        <v>21</v>
      </c>
      <c r="P95" s="168">
        <v>41670</v>
      </c>
      <c r="Q95" s="16">
        <v>104</v>
      </c>
      <c r="R95" s="89">
        <v>87.494399999999999</v>
      </c>
      <c r="S95" s="89">
        <v>90</v>
      </c>
      <c r="T95" s="89">
        <v>98</v>
      </c>
      <c r="U95" s="89">
        <v>99.2</v>
      </c>
      <c r="V95" s="189">
        <v>362</v>
      </c>
      <c r="W95" s="80">
        <v>0</v>
      </c>
      <c r="X95" s="190">
        <v>40</v>
      </c>
      <c r="Y95" s="89">
        <f t="shared" si="4"/>
        <v>434.4</v>
      </c>
      <c r="Z95" s="87">
        <v>12</v>
      </c>
      <c r="AA95" s="116">
        <v>0</v>
      </c>
      <c r="AB95" s="116">
        <v>0</v>
      </c>
      <c r="AC95" s="191">
        <v>20</v>
      </c>
      <c r="AD95" s="16">
        <f>WEEKNUM(tblKPIs[[#This Row],[Production Start Date]])</f>
        <v>5</v>
      </c>
      <c r="AE95" s="16">
        <v>7</v>
      </c>
      <c r="AF95" s="16">
        <v>31</v>
      </c>
      <c r="AG95" s="16">
        <v>31</v>
      </c>
      <c r="AH95" s="16">
        <v>16</v>
      </c>
      <c r="AI95" s="16">
        <v>19</v>
      </c>
      <c r="AJ95" s="16">
        <f t="shared" si="5"/>
        <v>1</v>
      </c>
      <c r="AL95" s="16"/>
      <c r="AM95" s="16"/>
      <c r="AN95" s="16"/>
      <c r="AO95" s="16"/>
      <c r="AP95" s="16"/>
      <c r="AQ95" s="16"/>
      <c r="AR95" s="16"/>
      <c r="AS95" s="16"/>
      <c r="BB95" s="171">
        <v>3909.3988414192618</v>
      </c>
      <c r="BC95" s="171">
        <v>4344</v>
      </c>
    </row>
    <row r="96" spans="2:55" x14ac:dyDescent="0.35">
      <c r="B96" s="1">
        <v>92</v>
      </c>
      <c r="C96" s="158" t="s">
        <v>147</v>
      </c>
      <c r="D96" s="89">
        <v>89.958563535911608</v>
      </c>
      <c r="E96" s="89">
        <v>96.235294117647058</v>
      </c>
      <c r="F96" s="89">
        <v>94.25782463629119</v>
      </c>
      <c r="G96" s="89">
        <v>99.172376729813251</v>
      </c>
      <c r="H96" s="157">
        <v>328.36764705882354</v>
      </c>
      <c r="I96" s="89">
        <v>120.83315295034419</v>
      </c>
      <c r="J96" s="89">
        <v>40.698709390298177</v>
      </c>
      <c r="K96" s="89">
        <f t="shared" si="3"/>
        <v>394.0411764705882</v>
      </c>
      <c r="L96" s="87">
        <v>12</v>
      </c>
      <c r="M96" s="116">
        <v>0</v>
      </c>
      <c r="N96" s="116">
        <v>0</v>
      </c>
      <c r="O96" s="88">
        <v>28</v>
      </c>
      <c r="P96" s="168">
        <v>41669</v>
      </c>
      <c r="Q96" s="16">
        <v>122</v>
      </c>
      <c r="R96" s="89">
        <v>87.494399999999999</v>
      </c>
      <c r="S96" s="89">
        <v>90</v>
      </c>
      <c r="T96" s="89">
        <v>98</v>
      </c>
      <c r="U96" s="89">
        <v>99.2</v>
      </c>
      <c r="V96" s="189">
        <v>362</v>
      </c>
      <c r="W96" s="80">
        <v>0</v>
      </c>
      <c r="X96" s="190">
        <v>40</v>
      </c>
      <c r="Y96" s="89">
        <f t="shared" si="4"/>
        <v>434.4</v>
      </c>
      <c r="Z96" s="87">
        <v>12</v>
      </c>
      <c r="AA96" s="116">
        <v>0</v>
      </c>
      <c r="AB96" s="116">
        <v>0</v>
      </c>
      <c r="AC96" s="191">
        <v>20</v>
      </c>
      <c r="AD96" s="16">
        <f>WEEKNUM(tblKPIs[[#This Row],[Production Start Date]])</f>
        <v>5</v>
      </c>
      <c r="AE96" s="16">
        <v>19</v>
      </c>
      <c r="AF96" s="16">
        <v>23</v>
      </c>
      <c r="AG96" s="16">
        <v>23</v>
      </c>
      <c r="AH96" s="16">
        <v>27</v>
      </c>
      <c r="AI96" s="16">
        <v>30</v>
      </c>
      <c r="AJ96" s="16">
        <f t="shared" si="5"/>
        <v>1</v>
      </c>
      <c r="AL96" s="16"/>
      <c r="AM96" s="16"/>
      <c r="AN96" s="16"/>
      <c r="AO96" s="16"/>
      <c r="AP96" s="16"/>
      <c r="AQ96" s="16"/>
      <c r="AR96" s="16"/>
      <c r="AS96" s="16"/>
      <c r="BB96" s="172">
        <v>3940.411764705882</v>
      </c>
      <c r="BC96" s="172">
        <v>4344</v>
      </c>
    </row>
    <row r="97" spans="2:55" x14ac:dyDescent="0.35">
      <c r="B97" s="1">
        <v>93</v>
      </c>
      <c r="C97" s="158" t="s">
        <v>147</v>
      </c>
      <c r="D97" s="89">
        <v>82.558361678561823</v>
      </c>
      <c r="E97" s="89">
        <v>85.765124555160142</v>
      </c>
      <c r="F97" s="89">
        <v>97.50370616599038</v>
      </c>
      <c r="G97" s="89">
        <v>98.725472197366258</v>
      </c>
      <c r="H97" s="157">
        <v>302.71951364175561</v>
      </c>
      <c r="I97" s="89">
        <v>118.2969516321933</v>
      </c>
      <c r="J97" s="89">
        <v>0</v>
      </c>
      <c r="K97" s="89">
        <f t="shared" si="3"/>
        <v>363.26341637010677</v>
      </c>
      <c r="L97" s="87">
        <v>12</v>
      </c>
      <c r="M97" s="116">
        <v>0</v>
      </c>
      <c r="N97" s="116">
        <v>0</v>
      </c>
      <c r="O97" s="88">
        <v>27</v>
      </c>
      <c r="P97" s="168">
        <v>41661</v>
      </c>
      <c r="Q97" s="16">
        <v>84</v>
      </c>
      <c r="R97" s="89">
        <v>87.494399999999999</v>
      </c>
      <c r="S97" s="89">
        <v>90</v>
      </c>
      <c r="T97" s="89">
        <v>98</v>
      </c>
      <c r="U97" s="89">
        <v>99.2</v>
      </c>
      <c r="V97" s="189">
        <v>362</v>
      </c>
      <c r="W97" s="80">
        <v>0</v>
      </c>
      <c r="X97" s="190">
        <v>40</v>
      </c>
      <c r="Y97" s="89">
        <f t="shared" si="4"/>
        <v>434.4</v>
      </c>
      <c r="Z97" s="87">
        <v>12</v>
      </c>
      <c r="AA97" s="116">
        <v>0</v>
      </c>
      <c r="AB97" s="116">
        <v>0</v>
      </c>
      <c r="AC97" s="191">
        <v>20</v>
      </c>
      <c r="AD97" s="16">
        <f>WEEKNUM(tblKPIs[[#This Row],[Production Start Date]])</f>
        <v>4</v>
      </c>
      <c r="AE97" s="16">
        <v>8</v>
      </c>
      <c r="AF97" s="16">
        <v>3</v>
      </c>
      <c r="AG97" s="16">
        <v>25</v>
      </c>
      <c r="AH97" s="16">
        <v>16</v>
      </c>
      <c r="AI97" s="16">
        <v>32</v>
      </c>
      <c r="AJ97" s="16">
        <f t="shared" si="5"/>
        <v>1</v>
      </c>
      <c r="AL97" s="16"/>
      <c r="AM97" s="16"/>
      <c r="AN97" s="16"/>
      <c r="AO97" s="16"/>
      <c r="AP97" s="16"/>
      <c r="AQ97" s="16"/>
      <c r="AR97" s="16"/>
      <c r="AS97" s="16"/>
      <c r="BB97" s="171">
        <v>3632.6341637010678</v>
      </c>
      <c r="BC97" s="171">
        <v>4344</v>
      </c>
    </row>
    <row r="98" spans="2:55" x14ac:dyDescent="0.35">
      <c r="B98" s="1">
        <v>94</v>
      </c>
      <c r="C98" s="158" t="s">
        <v>147</v>
      </c>
      <c r="D98" s="89">
        <v>70.502024736313402</v>
      </c>
      <c r="E98" s="89">
        <v>76.704545454545453</v>
      </c>
      <c r="F98" s="89">
        <v>93.945927972171063</v>
      </c>
      <c r="G98" s="89">
        <v>97.836865047060769</v>
      </c>
      <c r="H98" s="157">
        <v>260.86008522727275</v>
      </c>
      <c r="I98" s="89">
        <v>110.02204688557786</v>
      </c>
      <c r="J98" s="89">
        <v>0</v>
      </c>
      <c r="K98" s="89">
        <f t="shared" si="3"/>
        <v>313.03210227272729</v>
      </c>
      <c r="L98" s="87">
        <v>12</v>
      </c>
      <c r="M98" s="116">
        <v>0</v>
      </c>
      <c r="N98" s="116">
        <v>0</v>
      </c>
      <c r="O98" s="88">
        <v>24</v>
      </c>
      <c r="P98" s="168">
        <v>41671</v>
      </c>
      <c r="Q98" s="16">
        <v>95</v>
      </c>
      <c r="R98" s="89">
        <v>87.494399999999999</v>
      </c>
      <c r="S98" s="89">
        <v>90</v>
      </c>
      <c r="T98" s="89">
        <v>98</v>
      </c>
      <c r="U98" s="89">
        <v>99.2</v>
      </c>
      <c r="V98" s="189">
        <v>362</v>
      </c>
      <c r="W98" s="80">
        <v>0</v>
      </c>
      <c r="X98" s="190">
        <v>40</v>
      </c>
      <c r="Y98" s="89">
        <f t="shared" si="4"/>
        <v>434.4</v>
      </c>
      <c r="Z98" s="87">
        <v>12</v>
      </c>
      <c r="AA98" s="116">
        <v>0</v>
      </c>
      <c r="AB98" s="116">
        <v>0</v>
      </c>
      <c r="AC98" s="191">
        <v>20</v>
      </c>
      <c r="AD98" s="16">
        <f>WEEKNUM(tblKPIs[[#This Row],[Production Start Date]])</f>
        <v>5</v>
      </c>
      <c r="AE98" s="16">
        <v>25</v>
      </c>
      <c r="AF98" s="16">
        <v>10</v>
      </c>
      <c r="AG98" s="16">
        <v>18</v>
      </c>
      <c r="AH98" s="16">
        <v>31</v>
      </c>
      <c r="AI98" s="16">
        <v>11</v>
      </c>
      <c r="AJ98" s="16">
        <f t="shared" si="5"/>
        <v>1</v>
      </c>
      <c r="AL98" s="16"/>
      <c r="AM98" s="16"/>
      <c r="AN98" s="16"/>
      <c r="AO98" s="16"/>
      <c r="AP98" s="16"/>
      <c r="AQ98" s="16"/>
      <c r="AR98" s="16"/>
      <c r="AS98" s="16"/>
      <c r="BB98" s="172">
        <v>3130.321022727273</v>
      </c>
      <c r="BC98" s="172">
        <v>4344</v>
      </c>
    </row>
    <row r="99" spans="2:55" x14ac:dyDescent="0.35">
      <c r="B99" s="1">
        <v>95</v>
      </c>
      <c r="C99" s="158" t="s">
        <v>147</v>
      </c>
      <c r="D99" s="89">
        <v>84.089744999436306</v>
      </c>
      <c r="E99" s="89">
        <v>83.815028901734095</v>
      </c>
      <c r="F99" s="89">
        <v>102.18724312296055</v>
      </c>
      <c r="G99" s="89">
        <v>98.180322374234436</v>
      </c>
      <c r="H99" s="157">
        <v>296.41437861271675</v>
      </c>
      <c r="I99" s="89">
        <v>125.04648426545715</v>
      </c>
      <c r="J99" s="89">
        <v>0</v>
      </c>
      <c r="K99" s="89">
        <f t="shared" si="3"/>
        <v>355.69725433526014</v>
      </c>
      <c r="L99" s="87">
        <v>12</v>
      </c>
      <c r="M99" s="116">
        <v>0</v>
      </c>
      <c r="N99" s="116">
        <v>0</v>
      </c>
      <c r="O99" s="88">
        <v>29</v>
      </c>
      <c r="P99" s="168">
        <v>41671</v>
      </c>
      <c r="Q99" s="16">
        <v>86</v>
      </c>
      <c r="R99" s="89">
        <v>87.494399999999999</v>
      </c>
      <c r="S99" s="89">
        <v>90</v>
      </c>
      <c r="T99" s="89">
        <v>98</v>
      </c>
      <c r="U99" s="89">
        <v>99.2</v>
      </c>
      <c r="V99" s="189">
        <v>346.08333333333331</v>
      </c>
      <c r="W99" s="80">
        <v>0</v>
      </c>
      <c r="X99" s="190">
        <v>40</v>
      </c>
      <c r="Y99" s="89">
        <f t="shared" si="4"/>
        <v>415.3</v>
      </c>
      <c r="Z99" s="87">
        <v>12</v>
      </c>
      <c r="AA99" s="116">
        <v>0</v>
      </c>
      <c r="AB99" s="116">
        <v>0</v>
      </c>
      <c r="AC99" s="191">
        <v>20</v>
      </c>
      <c r="AD99" s="16">
        <f>WEEKNUM(tblKPIs[[#This Row],[Production Start Date]])</f>
        <v>5</v>
      </c>
      <c r="AE99" s="16">
        <v>14</v>
      </c>
      <c r="AF99" s="16">
        <v>22</v>
      </c>
      <c r="AG99" s="16">
        <v>20</v>
      </c>
      <c r="AH99" s="16">
        <v>19</v>
      </c>
      <c r="AI99" s="16">
        <v>11</v>
      </c>
      <c r="AJ99" s="16">
        <f t="shared" si="5"/>
        <v>1</v>
      </c>
      <c r="AL99" s="16"/>
      <c r="AM99" s="16"/>
      <c r="AN99" s="16"/>
      <c r="AO99" s="16"/>
      <c r="AP99" s="16"/>
      <c r="AQ99" s="16"/>
      <c r="AR99" s="16"/>
      <c r="AS99" s="16"/>
      <c r="BB99" s="171">
        <v>3556.9725433526014</v>
      </c>
      <c r="BC99" s="171">
        <v>4153</v>
      </c>
    </row>
    <row r="100" spans="2:55" x14ac:dyDescent="0.35">
      <c r="B100" s="1">
        <v>96</v>
      </c>
      <c r="C100" s="158" t="s">
        <v>146</v>
      </c>
      <c r="D100" s="89">
        <v>89.130075370775614</v>
      </c>
      <c r="E100" s="89">
        <v>87.199124726477038</v>
      </c>
      <c r="F100" s="89">
        <v>103.10200288117477</v>
      </c>
      <c r="G100" s="89">
        <v>99.139116905219922</v>
      </c>
      <c r="H100" s="157">
        <v>242.74091903719915</v>
      </c>
      <c r="I100" s="89">
        <v>101.99292051671034</v>
      </c>
      <c r="J100" s="89">
        <v>0</v>
      </c>
      <c r="K100" s="89">
        <f t="shared" si="3"/>
        <v>291.28910284463893</v>
      </c>
      <c r="L100" s="87">
        <v>12</v>
      </c>
      <c r="M100" s="116">
        <v>0</v>
      </c>
      <c r="N100" s="116">
        <v>0</v>
      </c>
      <c r="O100" s="88">
        <v>24</v>
      </c>
      <c r="P100" s="168">
        <v>41673</v>
      </c>
      <c r="Q100" s="16">
        <v>119</v>
      </c>
      <c r="R100" s="89">
        <v>87.317999999999998</v>
      </c>
      <c r="S100" s="89">
        <v>90</v>
      </c>
      <c r="T100" s="89">
        <v>98</v>
      </c>
      <c r="U100" s="89">
        <v>99</v>
      </c>
      <c r="V100" s="189">
        <v>270</v>
      </c>
      <c r="W100" s="80">
        <v>0</v>
      </c>
      <c r="X100" s="190">
        <v>40</v>
      </c>
      <c r="Y100" s="89">
        <f t="shared" si="4"/>
        <v>324</v>
      </c>
      <c r="Z100" s="87">
        <v>12</v>
      </c>
      <c r="AA100" s="116">
        <v>0</v>
      </c>
      <c r="AB100" s="116">
        <v>0</v>
      </c>
      <c r="AC100" s="191">
        <v>20</v>
      </c>
      <c r="AD100" s="16">
        <f>WEEKNUM(tblKPIs[[#This Row],[Production Start Date]])</f>
        <v>6</v>
      </c>
      <c r="AE100" s="16">
        <v>33</v>
      </c>
      <c r="AF100" s="16">
        <v>13</v>
      </c>
      <c r="AG100" s="16">
        <v>17</v>
      </c>
      <c r="AH100" s="16">
        <v>22</v>
      </c>
      <c r="AI100" s="16">
        <v>34</v>
      </c>
      <c r="AJ100" s="16">
        <f t="shared" si="5"/>
        <v>1</v>
      </c>
      <c r="AL100" s="16"/>
      <c r="AM100" s="16"/>
      <c r="AN100" s="16"/>
      <c r="AO100" s="16"/>
      <c r="AP100" s="16"/>
      <c r="AQ100" s="16"/>
      <c r="AR100" s="16"/>
      <c r="AS100" s="16"/>
      <c r="BB100" s="172">
        <v>2912.8910284463896</v>
      </c>
      <c r="BC100" s="172">
        <v>3240</v>
      </c>
    </row>
    <row r="101" spans="2:55" x14ac:dyDescent="0.35">
      <c r="B101" s="1">
        <v>97</v>
      </c>
      <c r="C101" s="158" t="s">
        <v>147</v>
      </c>
      <c r="D101" s="89">
        <v>89.530550487731432</v>
      </c>
      <c r="E101" s="89">
        <v>89.864158829676072</v>
      </c>
      <c r="F101" s="89">
        <v>101.33053158546079</v>
      </c>
      <c r="G101" s="89">
        <v>98.320577403062245</v>
      </c>
      <c r="H101" s="157">
        <v>315.14289446186001</v>
      </c>
      <c r="I101" s="89">
        <v>118.89910842941256</v>
      </c>
      <c r="J101" s="89">
        <v>33.915729854972973</v>
      </c>
      <c r="K101" s="89">
        <f t="shared" si="3"/>
        <v>378.17147335423198</v>
      </c>
      <c r="L101" s="87">
        <v>12</v>
      </c>
      <c r="M101" s="116">
        <v>0</v>
      </c>
      <c r="N101" s="116">
        <v>0</v>
      </c>
      <c r="O101" s="88">
        <v>26</v>
      </c>
      <c r="P101" s="168">
        <v>41673</v>
      </c>
      <c r="Q101" s="16">
        <v>89</v>
      </c>
      <c r="R101" s="89">
        <v>87.494399999999999</v>
      </c>
      <c r="S101" s="89">
        <v>90</v>
      </c>
      <c r="T101" s="89">
        <v>98</v>
      </c>
      <c r="U101" s="89">
        <v>99.2</v>
      </c>
      <c r="V101" s="189">
        <v>346.08333333333331</v>
      </c>
      <c r="W101" s="80">
        <v>0</v>
      </c>
      <c r="X101" s="190">
        <v>40</v>
      </c>
      <c r="Y101" s="89">
        <f t="shared" si="4"/>
        <v>415.3</v>
      </c>
      <c r="Z101" s="87">
        <v>12</v>
      </c>
      <c r="AA101" s="116">
        <v>0</v>
      </c>
      <c r="AB101" s="116">
        <v>0</v>
      </c>
      <c r="AC101" s="191">
        <v>20</v>
      </c>
      <c r="AD101" s="16">
        <f>WEEKNUM(tblKPIs[[#This Row],[Production Start Date]])</f>
        <v>6</v>
      </c>
      <c r="AE101" s="16">
        <v>22</v>
      </c>
      <c r="AF101" s="16">
        <v>7</v>
      </c>
      <c r="AG101" s="16">
        <v>34</v>
      </c>
      <c r="AH101" s="16">
        <v>10</v>
      </c>
      <c r="AI101" s="16">
        <v>16</v>
      </c>
      <c r="AJ101" s="16">
        <f t="shared" si="5"/>
        <v>1</v>
      </c>
      <c r="AL101" s="16"/>
      <c r="AM101" s="16"/>
      <c r="AN101" s="16"/>
      <c r="AO101" s="16"/>
      <c r="AP101" s="16"/>
      <c r="AQ101" s="16"/>
      <c r="AR101" s="16"/>
      <c r="AS101" s="16"/>
      <c r="BB101" s="171">
        <v>3781.7147335423197</v>
      </c>
      <c r="BC101" s="171">
        <v>4153</v>
      </c>
    </row>
    <row r="102" spans="2:55" x14ac:dyDescent="0.35">
      <c r="B102" s="1">
        <v>98</v>
      </c>
      <c r="C102" s="158" t="s">
        <v>152</v>
      </c>
      <c r="D102" s="89">
        <v>50.167224080267545</v>
      </c>
      <c r="E102" s="89">
        <v>74.637681159420296</v>
      </c>
      <c r="F102" s="89">
        <v>68.698655713218798</v>
      </c>
      <c r="G102" s="89">
        <v>97.839380350591114</v>
      </c>
      <c r="H102" s="157">
        <v>133.31521739130434</v>
      </c>
      <c r="I102" s="89">
        <v>75.611861167622223</v>
      </c>
      <c r="J102" s="89">
        <v>24.842342342342342</v>
      </c>
      <c r="K102" s="89">
        <f t="shared" si="3"/>
        <v>159.97826086956522</v>
      </c>
      <c r="L102" s="87">
        <v>12</v>
      </c>
      <c r="M102" s="116">
        <v>0</v>
      </c>
      <c r="N102" s="116">
        <v>0</v>
      </c>
      <c r="O102" s="88">
        <v>16</v>
      </c>
      <c r="P102" s="168">
        <v>41674</v>
      </c>
      <c r="Q102" s="16">
        <v>92</v>
      </c>
      <c r="R102" s="89">
        <v>87.097500000000011</v>
      </c>
      <c r="S102" s="89">
        <v>90</v>
      </c>
      <c r="T102" s="89">
        <v>98</v>
      </c>
      <c r="U102" s="89">
        <v>98.75</v>
      </c>
      <c r="V102" s="189">
        <v>260</v>
      </c>
      <c r="W102" s="80">
        <v>0</v>
      </c>
      <c r="X102" s="190">
        <v>40</v>
      </c>
      <c r="Y102" s="89">
        <f t="shared" si="4"/>
        <v>312</v>
      </c>
      <c r="Z102" s="87">
        <v>12</v>
      </c>
      <c r="AA102" s="116">
        <v>0</v>
      </c>
      <c r="AB102" s="116">
        <v>0</v>
      </c>
      <c r="AC102" s="191">
        <v>20</v>
      </c>
      <c r="AD102" s="16">
        <f>WEEKNUM(tblKPIs[[#This Row],[Production Start Date]])</f>
        <v>6</v>
      </c>
      <c r="AE102" s="16">
        <v>18</v>
      </c>
      <c r="AF102" s="16">
        <v>22</v>
      </c>
      <c r="AG102" s="16">
        <v>12</v>
      </c>
      <c r="AH102" s="16">
        <v>26</v>
      </c>
      <c r="AI102" s="16">
        <v>14</v>
      </c>
      <c r="AJ102" s="16">
        <f t="shared" si="5"/>
        <v>1</v>
      </c>
      <c r="AL102" s="16"/>
      <c r="AM102" s="16"/>
      <c r="AN102" s="16"/>
      <c r="AO102" s="16"/>
      <c r="AP102" s="16"/>
      <c r="AQ102" s="16"/>
      <c r="AR102" s="16"/>
      <c r="AS102" s="16"/>
      <c r="BB102" s="172">
        <v>1599.7826086956522</v>
      </c>
      <c r="BC102" s="172">
        <v>3120</v>
      </c>
    </row>
    <row r="103" spans="2:55" x14ac:dyDescent="0.35">
      <c r="B103" s="1">
        <v>99</v>
      </c>
      <c r="C103" s="158" t="s">
        <v>157</v>
      </c>
      <c r="D103" s="89">
        <v>82.191242882387584</v>
      </c>
      <c r="E103" s="89">
        <v>83.801295896328298</v>
      </c>
      <c r="F103" s="89">
        <v>98.328647297719456</v>
      </c>
      <c r="G103" s="89">
        <v>99.745830023828432</v>
      </c>
      <c r="H103" s="157">
        <v>271.92224622030238</v>
      </c>
      <c r="I103" s="89">
        <v>110.17957783456436</v>
      </c>
      <c r="J103" s="89">
        <v>74.559270516717319</v>
      </c>
      <c r="K103" s="89">
        <f t="shared" si="3"/>
        <v>326.30669546436286</v>
      </c>
      <c r="L103" s="87">
        <v>12</v>
      </c>
      <c r="M103" s="116">
        <v>0</v>
      </c>
      <c r="N103" s="116">
        <v>0</v>
      </c>
      <c r="O103" s="88">
        <v>27</v>
      </c>
      <c r="P103" s="168">
        <v>41675</v>
      </c>
      <c r="Q103" s="16">
        <v>44</v>
      </c>
      <c r="R103" s="89">
        <v>87.494399999999999</v>
      </c>
      <c r="S103" s="89">
        <v>90</v>
      </c>
      <c r="T103" s="89">
        <v>98</v>
      </c>
      <c r="U103" s="89">
        <v>99.2</v>
      </c>
      <c r="V103" s="189">
        <v>330</v>
      </c>
      <c r="W103" s="80">
        <v>0</v>
      </c>
      <c r="X103" s="190">
        <v>40</v>
      </c>
      <c r="Y103" s="89">
        <f t="shared" si="4"/>
        <v>396</v>
      </c>
      <c r="Z103" s="87">
        <v>12</v>
      </c>
      <c r="AA103" s="116">
        <v>0</v>
      </c>
      <c r="AB103" s="116">
        <v>0</v>
      </c>
      <c r="AC103" s="191">
        <v>20</v>
      </c>
      <c r="AD103" s="16">
        <f>WEEKNUM(tblKPIs[[#This Row],[Production Start Date]])</f>
        <v>6</v>
      </c>
      <c r="AE103" s="16">
        <v>15</v>
      </c>
      <c r="AF103" s="16">
        <v>7</v>
      </c>
      <c r="AG103" s="16">
        <v>7</v>
      </c>
      <c r="AH103" s="16">
        <v>11</v>
      </c>
      <c r="AI103" s="16">
        <v>4</v>
      </c>
      <c r="AJ103" s="16">
        <f t="shared" si="5"/>
        <v>1</v>
      </c>
      <c r="AL103" s="16"/>
      <c r="AM103" s="16"/>
      <c r="AN103" s="16"/>
      <c r="AO103" s="16"/>
      <c r="AP103" s="16"/>
      <c r="AQ103" s="16"/>
      <c r="AR103" s="16"/>
      <c r="AS103" s="16"/>
      <c r="BB103" s="171">
        <v>3263.0669546436284</v>
      </c>
      <c r="BC103" s="171">
        <v>3960</v>
      </c>
    </row>
    <row r="104" spans="2:55" x14ac:dyDescent="0.35">
      <c r="B104" s="1">
        <v>100</v>
      </c>
      <c r="C104" s="158" t="s">
        <v>160</v>
      </c>
      <c r="D104" s="89">
        <v>92.695962991090369</v>
      </c>
      <c r="E104" s="89">
        <v>98.007968127490031</v>
      </c>
      <c r="F104" s="89">
        <v>95.808339322118428</v>
      </c>
      <c r="G104" s="89">
        <v>98.71794871794873</v>
      </c>
      <c r="H104" s="157">
        <v>260.25896414342628</v>
      </c>
      <c r="I104" s="89">
        <v>98.234559918194265</v>
      </c>
      <c r="J104" s="89">
        <v>0</v>
      </c>
      <c r="K104" s="89">
        <f t="shared" si="3"/>
        <v>312.31075697211156</v>
      </c>
      <c r="L104" s="87">
        <v>12</v>
      </c>
      <c r="M104" s="116">
        <v>0</v>
      </c>
      <c r="N104" s="116">
        <v>0</v>
      </c>
      <c r="O104" s="88">
        <v>23</v>
      </c>
      <c r="P104" s="168">
        <v>41675</v>
      </c>
      <c r="Q104" s="16">
        <v>86</v>
      </c>
      <c r="R104" s="89">
        <v>86.87700000000001</v>
      </c>
      <c r="S104" s="89">
        <v>90</v>
      </c>
      <c r="T104" s="89">
        <v>98</v>
      </c>
      <c r="U104" s="89">
        <v>98.5</v>
      </c>
      <c r="V104" s="189">
        <v>277.16666666666669</v>
      </c>
      <c r="W104" s="80">
        <v>0</v>
      </c>
      <c r="X104" s="190">
        <v>40</v>
      </c>
      <c r="Y104" s="89">
        <f t="shared" si="4"/>
        <v>332.6</v>
      </c>
      <c r="Z104" s="87">
        <v>12</v>
      </c>
      <c r="AA104" s="116">
        <v>0</v>
      </c>
      <c r="AB104" s="116">
        <v>0</v>
      </c>
      <c r="AC104" s="191">
        <v>20</v>
      </c>
      <c r="AD104" s="16">
        <f>WEEKNUM(tblKPIs[[#This Row],[Production Start Date]])</f>
        <v>6</v>
      </c>
      <c r="AE104" s="16">
        <v>16</v>
      </c>
      <c r="AF104" s="16">
        <v>2</v>
      </c>
      <c r="AG104" s="16">
        <v>23</v>
      </c>
      <c r="AH104" s="16">
        <v>25</v>
      </c>
      <c r="AI104" s="16">
        <v>20</v>
      </c>
      <c r="AJ104" s="16">
        <f t="shared" si="5"/>
        <v>1</v>
      </c>
      <c r="AL104" s="16"/>
      <c r="AM104" s="16"/>
      <c r="AN104" s="16"/>
      <c r="AO104" s="16"/>
      <c r="AP104" s="16"/>
      <c r="AQ104" s="16"/>
      <c r="AR104" s="16"/>
      <c r="AS104" s="16"/>
      <c r="BB104" s="172">
        <v>3123.1075697211154</v>
      </c>
      <c r="BC104" s="172">
        <v>3326</v>
      </c>
    </row>
    <row r="105" spans="2:55" x14ac:dyDescent="0.35">
      <c r="B105" s="1">
        <v>101</v>
      </c>
      <c r="C105" s="158" t="s">
        <v>161</v>
      </c>
      <c r="D105" s="89">
        <v>90.668802563075687</v>
      </c>
      <c r="E105" s="89">
        <v>93.392070484581495</v>
      </c>
      <c r="F105" s="89">
        <v>97.369925671812467</v>
      </c>
      <c r="G105" s="89">
        <v>99.706400469759245</v>
      </c>
      <c r="H105" s="157">
        <v>300.08810572687224</v>
      </c>
      <c r="I105" s="89">
        <v>99.236641221374057</v>
      </c>
      <c r="J105" s="89">
        <v>77.611603787764921</v>
      </c>
      <c r="K105" s="89">
        <f t="shared" si="3"/>
        <v>360.10572687224669</v>
      </c>
      <c r="L105" s="87">
        <v>12</v>
      </c>
      <c r="M105" s="116">
        <v>0</v>
      </c>
      <c r="N105" s="116">
        <v>0</v>
      </c>
      <c r="O105" s="88">
        <v>14</v>
      </c>
      <c r="P105" s="168">
        <v>41675</v>
      </c>
      <c r="Q105" s="16">
        <v>58</v>
      </c>
      <c r="R105" s="89">
        <v>87.494399999999999</v>
      </c>
      <c r="S105" s="89">
        <v>90</v>
      </c>
      <c r="T105" s="89">
        <v>98</v>
      </c>
      <c r="U105" s="89">
        <v>99.2</v>
      </c>
      <c r="V105" s="189">
        <v>330</v>
      </c>
      <c r="W105" s="80">
        <v>0</v>
      </c>
      <c r="X105" s="190">
        <v>40</v>
      </c>
      <c r="Y105" s="89">
        <f t="shared" si="4"/>
        <v>396</v>
      </c>
      <c r="Z105" s="87">
        <v>12</v>
      </c>
      <c r="AA105" s="116">
        <v>0</v>
      </c>
      <c r="AB105" s="116">
        <v>0</v>
      </c>
      <c r="AC105" s="191">
        <v>20</v>
      </c>
      <c r="AD105" s="16">
        <f>WEEKNUM(tblKPIs[[#This Row],[Production Start Date]])</f>
        <v>6</v>
      </c>
      <c r="AE105" s="16">
        <v>3</v>
      </c>
      <c r="AF105" s="16">
        <v>9</v>
      </c>
      <c r="AG105" s="16">
        <v>1</v>
      </c>
      <c r="AH105" s="16">
        <v>21</v>
      </c>
      <c r="AI105" s="16">
        <v>24</v>
      </c>
      <c r="AJ105" s="16">
        <f t="shared" si="5"/>
        <v>1</v>
      </c>
      <c r="AL105" s="16"/>
      <c r="AM105" s="16"/>
      <c r="AN105" s="16"/>
      <c r="AO105" s="16"/>
      <c r="AP105" s="16"/>
      <c r="AQ105" s="16"/>
      <c r="AR105" s="16"/>
      <c r="AS105" s="16"/>
      <c r="BB105" s="171">
        <v>3601.0572687224671</v>
      </c>
      <c r="BC105" s="171">
        <v>3960</v>
      </c>
    </row>
    <row r="106" spans="2:55" x14ac:dyDescent="0.35">
      <c r="B106" s="1">
        <v>102</v>
      </c>
      <c r="C106" s="158" t="s">
        <v>146</v>
      </c>
      <c r="D106" s="89">
        <v>74.78575225943645</v>
      </c>
      <c r="E106" s="89">
        <v>83.014354066985646</v>
      </c>
      <c r="F106" s="89">
        <v>91.630056569537828</v>
      </c>
      <c r="G106" s="89">
        <v>98.316796391770595</v>
      </c>
      <c r="H106" s="157">
        <v>205.37846889952155</v>
      </c>
      <c r="I106" s="89">
        <v>103.04050891196064</v>
      </c>
      <c r="J106" s="89">
        <v>0</v>
      </c>
      <c r="K106" s="89">
        <f t="shared" si="3"/>
        <v>246.45416267942582</v>
      </c>
      <c r="L106" s="87">
        <v>12</v>
      </c>
      <c r="M106" s="116">
        <v>0</v>
      </c>
      <c r="N106" s="116">
        <v>0</v>
      </c>
      <c r="O106" s="88">
        <v>16</v>
      </c>
      <c r="P106" s="168">
        <v>41675</v>
      </c>
      <c r="Q106" s="16">
        <v>77</v>
      </c>
      <c r="R106" s="89">
        <v>87.317999999999998</v>
      </c>
      <c r="S106" s="89">
        <v>90</v>
      </c>
      <c r="T106" s="89">
        <v>98</v>
      </c>
      <c r="U106" s="89">
        <v>99</v>
      </c>
      <c r="V106" s="189">
        <v>270</v>
      </c>
      <c r="W106" s="80">
        <v>0</v>
      </c>
      <c r="X106" s="190">
        <v>40</v>
      </c>
      <c r="Y106" s="89">
        <f t="shared" si="4"/>
        <v>324</v>
      </c>
      <c r="Z106" s="87">
        <v>12</v>
      </c>
      <c r="AA106" s="116">
        <v>0</v>
      </c>
      <c r="AB106" s="116">
        <v>0</v>
      </c>
      <c r="AC106" s="191">
        <v>20</v>
      </c>
      <c r="AD106" s="16">
        <f>WEEKNUM(tblKPIs[[#This Row],[Production Start Date]])</f>
        <v>6</v>
      </c>
      <c r="AE106" s="16">
        <v>31</v>
      </c>
      <c r="AF106" s="16">
        <v>3</v>
      </c>
      <c r="AG106" s="16">
        <v>8</v>
      </c>
      <c r="AH106" s="16">
        <v>4</v>
      </c>
      <c r="AI106" s="16">
        <v>31</v>
      </c>
      <c r="AJ106" s="16">
        <f t="shared" si="5"/>
        <v>1</v>
      </c>
      <c r="AL106" s="16"/>
      <c r="AM106" s="16"/>
      <c r="AN106" s="16"/>
      <c r="AO106" s="16"/>
      <c r="AP106" s="16"/>
      <c r="AQ106" s="16"/>
      <c r="AR106" s="16"/>
      <c r="AS106" s="16"/>
      <c r="BB106" s="172">
        <v>2464.5416267942583</v>
      </c>
      <c r="BC106" s="172">
        <v>3240</v>
      </c>
    </row>
    <row r="107" spans="2:55" x14ac:dyDescent="0.35">
      <c r="B107" s="1">
        <v>103</v>
      </c>
      <c r="C107" s="158" t="s">
        <v>147</v>
      </c>
      <c r="D107" s="89">
        <v>99.236860878837845</v>
      </c>
      <c r="E107" s="89">
        <v>99.627329192546583</v>
      </c>
      <c r="F107" s="89">
        <v>100.43131996639751</v>
      </c>
      <c r="G107" s="89">
        <v>99.180286702349008</v>
      </c>
      <c r="H107" s="157">
        <v>346.28074534161487</v>
      </c>
      <c r="I107" s="89">
        <v>122.34323396131184</v>
      </c>
      <c r="J107" s="89">
        <v>0</v>
      </c>
      <c r="K107" s="89">
        <f t="shared" si="3"/>
        <v>415.53689440993787</v>
      </c>
      <c r="L107" s="87">
        <v>12</v>
      </c>
      <c r="M107" s="116">
        <v>0</v>
      </c>
      <c r="N107" s="116">
        <v>0</v>
      </c>
      <c r="O107" s="88">
        <v>24</v>
      </c>
      <c r="P107" s="168">
        <v>41674</v>
      </c>
      <c r="Q107" s="16">
        <v>46</v>
      </c>
      <c r="R107" s="89">
        <v>87.494399999999999</v>
      </c>
      <c r="S107" s="89">
        <v>90</v>
      </c>
      <c r="T107" s="89">
        <v>98</v>
      </c>
      <c r="U107" s="89">
        <v>99.2</v>
      </c>
      <c r="V107" s="189">
        <v>346.08333333333331</v>
      </c>
      <c r="W107" s="80">
        <v>0</v>
      </c>
      <c r="X107" s="190">
        <v>40</v>
      </c>
      <c r="Y107" s="89">
        <f t="shared" si="4"/>
        <v>415.3</v>
      </c>
      <c r="Z107" s="87">
        <v>12</v>
      </c>
      <c r="AA107" s="116">
        <v>0</v>
      </c>
      <c r="AB107" s="116">
        <v>0</v>
      </c>
      <c r="AC107" s="191">
        <v>20</v>
      </c>
      <c r="AD107" s="16">
        <f>WEEKNUM(tblKPIs[[#This Row],[Production Start Date]])</f>
        <v>6</v>
      </c>
      <c r="AE107" s="16">
        <v>1</v>
      </c>
      <c r="AF107" s="16">
        <v>4</v>
      </c>
      <c r="AG107" s="16">
        <v>0</v>
      </c>
      <c r="AH107" s="16">
        <v>29</v>
      </c>
      <c r="AI107" s="16">
        <v>12</v>
      </c>
      <c r="AJ107" s="16">
        <f t="shared" si="5"/>
        <v>1</v>
      </c>
      <c r="AL107" s="16"/>
      <c r="AM107" s="16"/>
      <c r="AN107" s="16"/>
      <c r="AO107" s="16"/>
      <c r="AP107" s="16"/>
      <c r="AQ107" s="16"/>
      <c r="AR107" s="16"/>
      <c r="AS107" s="16"/>
      <c r="BB107" s="171">
        <v>4155.3689440993785</v>
      </c>
      <c r="BC107" s="171">
        <v>4153</v>
      </c>
    </row>
    <row r="108" spans="2:55" x14ac:dyDescent="0.35">
      <c r="B108" s="1">
        <v>104</v>
      </c>
      <c r="C108" s="158" t="s">
        <v>148</v>
      </c>
      <c r="D108" s="89">
        <v>94.780219780219781</v>
      </c>
      <c r="E108" s="89">
        <v>98.660714285714306</v>
      </c>
      <c r="F108" s="89">
        <v>97.183547975403172</v>
      </c>
      <c r="G108" s="89">
        <v>98.850917773466648</v>
      </c>
      <c r="H108" s="157">
        <v>249.29315476190482</v>
      </c>
      <c r="I108" s="89">
        <v>49.14248166232273</v>
      </c>
      <c r="J108" s="89">
        <v>2.9343733189887038</v>
      </c>
      <c r="K108" s="89">
        <f t="shared" si="3"/>
        <v>299.15178571428572</v>
      </c>
      <c r="L108" s="87">
        <v>12</v>
      </c>
      <c r="M108" s="116">
        <v>0</v>
      </c>
      <c r="N108" s="116">
        <v>0</v>
      </c>
      <c r="O108" s="88">
        <v>22</v>
      </c>
      <c r="P108" s="168">
        <v>41674</v>
      </c>
      <c r="Q108" s="16">
        <v>79</v>
      </c>
      <c r="R108" s="89">
        <v>87.097500000000011</v>
      </c>
      <c r="S108" s="89">
        <v>90</v>
      </c>
      <c r="T108" s="89">
        <v>98</v>
      </c>
      <c r="U108" s="89">
        <v>98.75</v>
      </c>
      <c r="V108" s="189">
        <v>260</v>
      </c>
      <c r="W108" s="80">
        <v>0</v>
      </c>
      <c r="X108" s="190">
        <v>40</v>
      </c>
      <c r="Y108" s="89">
        <f t="shared" si="4"/>
        <v>312</v>
      </c>
      <c r="Z108" s="87">
        <v>12</v>
      </c>
      <c r="AA108" s="116">
        <v>0</v>
      </c>
      <c r="AB108" s="116">
        <v>0</v>
      </c>
      <c r="AC108" s="191">
        <v>20</v>
      </c>
      <c r="AD108" s="16">
        <f>WEEKNUM(tblKPIs[[#This Row],[Production Start Date]])</f>
        <v>6</v>
      </c>
      <c r="AE108" s="16">
        <v>8</v>
      </c>
      <c r="AF108" s="16">
        <v>12</v>
      </c>
      <c r="AG108" s="16">
        <v>32</v>
      </c>
      <c r="AH108" s="16">
        <v>16</v>
      </c>
      <c r="AI108" s="16">
        <v>11</v>
      </c>
      <c r="AJ108" s="16">
        <f t="shared" si="5"/>
        <v>1</v>
      </c>
      <c r="AL108" s="16"/>
      <c r="AM108" s="16"/>
      <c r="AN108" s="16"/>
      <c r="AO108" s="16"/>
      <c r="AP108" s="16"/>
      <c r="AQ108" s="16"/>
      <c r="AR108" s="16"/>
      <c r="AS108" s="16"/>
      <c r="BB108" s="172">
        <v>2991.5178571428573</v>
      </c>
      <c r="BC108" s="172">
        <v>3120</v>
      </c>
    </row>
    <row r="109" spans="2:55" x14ac:dyDescent="0.35">
      <c r="B109" s="1">
        <v>105</v>
      </c>
      <c r="C109" s="158" t="s">
        <v>147</v>
      </c>
      <c r="D109" s="89">
        <v>86.911524394988717</v>
      </c>
      <c r="E109" s="89">
        <v>91.874322860238351</v>
      </c>
      <c r="F109" s="89">
        <v>96.756423954967161</v>
      </c>
      <c r="G109" s="89">
        <v>97.769502961090026</v>
      </c>
      <c r="H109" s="157">
        <v>321.79739978331531</v>
      </c>
      <c r="I109" s="89">
        <v>117.20979606010862</v>
      </c>
      <c r="J109" s="89">
        <v>11.453210500796564</v>
      </c>
      <c r="K109" s="89">
        <f t="shared" si="3"/>
        <v>386.15687973997836</v>
      </c>
      <c r="L109" s="87">
        <v>12</v>
      </c>
      <c r="M109" s="116">
        <v>0</v>
      </c>
      <c r="N109" s="116">
        <v>0</v>
      </c>
      <c r="O109" s="88">
        <v>17</v>
      </c>
      <c r="P109" s="168">
        <v>41676</v>
      </c>
      <c r="Q109" s="16">
        <v>104</v>
      </c>
      <c r="R109" s="89">
        <v>87.494399999999999</v>
      </c>
      <c r="S109" s="89">
        <v>90</v>
      </c>
      <c r="T109" s="89">
        <v>98</v>
      </c>
      <c r="U109" s="89">
        <v>99.2</v>
      </c>
      <c r="V109" s="189">
        <v>362</v>
      </c>
      <c r="W109" s="80">
        <v>0</v>
      </c>
      <c r="X109" s="190">
        <v>40</v>
      </c>
      <c r="Y109" s="89">
        <f t="shared" si="4"/>
        <v>434.4</v>
      </c>
      <c r="Z109" s="87">
        <v>12</v>
      </c>
      <c r="AA109" s="116">
        <v>0</v>
      </c>
      <c r="AB109" s="116">
        <v>0</v>
      </c>
      <c r="AC109" s="191">
        <v>20</v>
      </c>
      <c r="AD109" s="16">
        <f>WEEKNUM(tblKPIs[[#This Row],[Production Start Date]])</f>
        <v>6</v>
      </c>
      <c r="AE109" s="16">
        <v>12</v>
      </c>
      <c r="AF109" s="16">
        <v>13</v>
      </c>
      <c r="AG109" s="16">
        <v>29</v>
      </c>
      <c r="AH109" s="16">
        <v>33</v>
      </c>
      <c r="AI109" s="16">
        <v>17</v>
      </c>
      <c r="AJ109" s="16">
        <f t="shared" si="5"/>
        <v>1</v>
      </c>
      <c r="AL109" s="16"/>
      <c r="AM109" s="16"/>
      <c r="AN109" s="16"/>
      <c r="AO109" s="16"/>
      <c r="AP109" s="16"/>
      <c r="AQ109" s="16"/>
      <c r="AR109" s="16"/>
      <c r="AS109" s="16"/>
      <c r="BB109" s="171">
        <v>3861.5687973997838</v>
      </c>
      <c r="BC109" s="171">
        <v>4344</v>
      </c>
    </row>
    <row r="110" spans="2:55" x14ac:dyDescent="0.35">
      <c r="B110" s="1">
        <v>106</v>
      </c>
      <c r="C110" s="158" t="s">
        <v>147</v>
      </c>
      <c r="D110" s="89">
        <v>74.093426438719007</v>
      </c>
      <c r="E110" s="89">
        <v>78.82352941176471</v>
      </c>
      <c r="F110" s="89">
        <v>97.578625054357403</v>
      </c>
      <c r="G110" s="89">
        <v>96.331674115651708</v>
      </c>
      <c r="H110" s="157">
        <v>266.18970588235294</v>
      </c>
      <c r="I110" s="89">
        <v>111.1575779906657</v>
      </c>
      <c r="J110" s="89">
        <v>24.186097668279807</v>
      </c>
      <c r="K110" s="89">
        <f t="shared" si="3"/>
        <v>319.42764705882354</v>
      </c>
      <c r="L110" s="87">
        <v>12</v>
      </c>
      <c r="M110" s="116">
        <v>0</v>
      </c>
      <c r="N110" s="116">
        <v>0</v>
      </c>
      <c r="O110" s="88">
        <v>20</v>
      </c>
      <c r="P110" s="168">
        <v>41676</v>
      </c>
      <c r="Q110" s="16">
        <v>99</v>
      </c>
      <c r="R110" s="89">
        <v>87.494399999999999</v>
      </c>
      <c r="S110" s="89">
        <v>90</v>
      </c>
      <c r="T110" s="89">
        <v>98</v>
      </c>
      <c r="U110" s="89">
        <v>99.2</v>
      </c>
      <c r="V110" s="189">
        <v>346.08333333333331</v>
      </c>
      <c r="W110" s="80">
        <v>0</v>
      </c>
      <c r="X110" s="190">
        <v>40</v>
      </c>
      <c r="Y110" s="89">
        <f t="shared" si="4"/>
        <v>415.3</v>
      </c>
      <c r="Z110" s="87">
        <v>12</v>
      </c>
      <c r="AA110" s="116">
        <v>0</v>
      </c>
      <c r="AB110" s="116">
        <v>0</v>
      </c>
      <c r="AC110" s="191">
        <v>20</v>
      </c>
      <c r="AD110" s="16">
        <f>WEEKNUM(tblKPIs[[#This Row],[Production Start Date]])</f>
        <v>6</v>
      </c>
      <c r="AE110" s="16">
        <v>14</v>
      </c>
      <c r="AF110" s="16">
        <v>11</v>
      </c>
      <c r="AG110" s="16">
        <v>26</v>
      </c>
      <c r="AH110" s="16">
        <v>14</v>
      </c>
      <c r="AI110" s="16">
        <v>34</v>
      </c>
      <c r="AJ110" s="16">
        <f t="shared" si="5"/>
        <v>1</v>
      </c>
      <c r="AL110" s="16"/>
      <c r="AM110" s="16"/>
      <c r="AN110" s="16"/>
      <c r="AO110" s="16"/>
      <c r="AP110" s="16"/>
      <c r="AQ110" s="16"/>
      <c r="AR110" s="16"/>
      <c r="AS110" s="16"/>
      <c r="BB110" s="172">
        <v>3194.2764705882355</v>
      </c>
      <c r="BC110" s="172">
        <v>4153</v>
      </c>
    </row>
    <row r="111" spans="2:55" x14ac:dyDescent="0.35">
      <c r="B111" s="1">
        <v>107</v>
      </c>
      <c r="C111" s="158" t="s">
        <v>165</v>
      </c>
      <c r="D111" s="89">
        <v>95.34545454545453</v>
      </c>
      <c r="E111" s="89">
        <v>99.066666666666663</v>
      </c>
      <c r="F111" s="89">
        <v>96.637301684408001</v>
      </c>
      <c r="G111" s="89">
        <v>99.592732490662399</v>
      </c>
      <c r="H111" s="157">
        <v>315.92666666666668</v>
      </c>
      <c r="I111" s="89">
        <v>112.07710045527108</v>
      </c>
      <c r="J111" s="89">
        <v>82.419273294792603</v>
      </c>
      <c r="K111" s="89">
        <f t="shared" si="3"/>
        <v>379.11199999999997</v>
      </c>
      <c r="L111" s="87">
        <v>12</v>
      </c>
      <c r="M111" s="116">
        <v>0</v>
      </c>
      <c r="N111" s="116">
        <v>0</v>
      </c>
      <c r="O111" s="88">
        <v>29</v>
      </c>
      <c r="P111" s="168">
        <v>41676</v>
      </c>
      <c r="Q111" s="16">
        <v>106</v>
      </c>
      <c r="R111" s="89">
        <v>87.494399999999999</v>
      </c>
      <c r="S111" s="89">
        <v>90</v>
      </c>
      <c r="T111" s="89">
        <v>98</v>
      </c>
      <c r="U111" s="89">
        <v>99.2</v>
      </c>
      <c r="V111" s="189">
        <v>330</v>
      </c>
      <c r="W111" s="80">
        <v>0</v>
      </c>
      <c r="X111" s="190">
        <v>40</v>
      </c>
      <c r="Y111" s="89">
        <f t="shared" si="4"/>
        <v>396</v>
      </c>
      <c r="Z111" s="87">
        <v>12</v>
      </c>
      <c r="AA111" s="116">
        <v>0</v>
      </c>
      <c r="AB111" s="116">
        <v>0</v>
      </c>
      <c r="AC111" s="191">
        <v>20</v>
      </c>
      <c r="AD111" s="16">
        <f>WEEKNUM(tblKPIs[[#This Row],[Production Start Date]])</f>
        <v>6</v>
      </c>
      <c r="AE111" s="16">
        <v>21</v>
      </c>
      <c r="AF111" s="16">
        <v>11</v>
      </c>
      <c r="AG111" s="16">
        <v>34</v>
      </c>
      <c r="AH111" s="16">
        <v>10</v>
      </c>
      <c r="AI111" s="16">
        <v>30</v>
      </c>
      <c r="AJ111" s="16">
        <f t="shared" si="5"/>
        <v>1</v>
      </c>
      <c r="AL111" s="16"/>
      <c r="AM111" s="16"/>
      <c r="AN111" s="16"/>
      <c r="AO111" s="16"/>
      <c r="AP111" s="16"/>
      <c r="AQ111" s="16"/>
      <c r="AR111" s="16"/>
      <c r="AS111" s="16"/>
      <c r="BB111" s="171">
        <v>3791.12</v>
      </c>
      <c r="BC111" s="171">
        <v>3960</v>
      </c>
    </row>
    <row r="112" spans="2:55" x14ac:dyDescent="0.35">
      <c r="B112" s="1">
        <v>108</v>
      </c>
      <c r="C112" s="158" t="s">
        <v>147</v>
      </c>
      <c r="D112" s="89">
        <v>95.90034574429157</v>
      </c>
      <c r="E112" s="89">
        <v>96.066746126340902</v>
      </c>
      <c r="F112" s="89">
        <v>100.73198901329361</v>
      </c>
      <c r="G112" s="89">
        <v>99.101375518266096</v>
      </c>
      <c r="H112" s="157">
        <v>334.9046483909417</v>
      </c>
      <c r="I112" s="89">
        <v>117.75071555188642</v>
      </c>
      <c r="J112" s="89">
        <v>29.899194333086832</v>
      </c>
      <c r="K112" s="89">
        <f t="shared" si="3"/>
        <v>401.88557806913002</v>
      </c>
      <c r="L112" s="87">
        <v>12</v>
      </c>
      <c r="M112" s="116">
        <v>0</v>
      </c>
      <c r="N112" s="116">
        <v>0</v>
      </c>
      <c r="O112" s="88">
        <v>17</v>
      </c>
      <c r="P112" s="168">
        <v>41677</v>
      </c>
      <c r="Q112" s="16">
        <v>96</v>
      </c>
      <c r="R112" s="89">
        <v>87.494399999999999</v>
      </c>
      <c r="S112" s="89">
        <v>90</v>
      </c>
      <c r="T112" s="89">
        <v>98</v>
      </c>
      <c r="U112" s="89">
        <v>99.2</v>
      </c>
      <c r="V112" s="189">
        <v>346.08333333333331</v>
      </c>
      <c r="W112" s="80">
        <v>0</v>
      </c>
      <c r="X112" s="190">
        <v>40</v>
      </c>
      <c r="Y112" s="89">
        <f t="shared" si="4"/>
        <v>415.3</v>
      </c>
      <c r="Z112" s="87">
        <v>12</v>
      </c>
      <c r="AA112" s="116">
        <v>0</v>
      </c>
      <c r="AB112" s="116">
        <v>0</v>
      </c>
      <c r="AC112" s="191">
        <v>20</v>
      </c>
      <c r="AD112" s="16">
        <f>WEEKNUM(tblKPIs[[#This Row],[Production Start Date]])</f>
        <v>6</v>
      </c>
      <c r="AE112" s="16">
        <v>11</v>
      </c>
      <c r="AF112" s="16">
        <v>24</v>
      </c>
      <c r="AG112" s="16">
        <v>19</v>
      </c>
      <c r="AH112" s="16">
        <v>25</v>
      </c>
      <c r="AI112" s="16">
        <v>17</v>
      </c>
      <c r="AJ112" s="16">
        <f t="shared" si="5"/>
        <v>1</v>
      </c>
      <c r="AL112" s="16"/>
      <c r="AM112" s="16"/>
      <c r="AN112" s="16"/>
      <c r="AO112" s="16"/>
      <c r="AP112" s="16"/>
      <c r="AQ112" s="16"/>
      <c r="AR112" s="16"/>
      <c r="AS112" s="16"/>
      <c r="BB112" s="172">
        <v>4018.8557806913</v>
      </c>
      <c r="BC112" s="172">
        <v>4153</v>
      </c>
    </row>
    <row r="113" spans="2:55" x14ac:dyDescent="0.35">
      <c r="B113" s="1">
        <v>109</v>
      </c>
      <c r="C113" s="158" t="s">
        <v>147</v>
      </c>
      <c r="D113" s="89">
        <v>73.819088287733052</v>
      </c>
      <c r="E113" s="89">
        <v>79.681274900398407</v>
      </c>
      <c r="F113" s="89">
        <v>95.946362799263355</v>
      </c>
      <c r="G113" s="89">
        <v>96.55702738302891</v>
      </c>
      <c r="H113" s="157">
        <v>276.75365205843286</v>
      </c>
      <c r="I113" s="89">
        <v>110.68676138627008</v>
      </c>
      <c r="J113" s="89">
        <v>36.656005685856428</v>
      </c>
      <c r="K113" s="89">
        <f t="shared" si="3"/>
        <v>332.1043824701195</v>
      </c>
      <c r="L113" s="87">
        <v>12</v>
      </c>
      <c r="M113" s="116">
        <v>0</v>
      </c>
      <c r="N113" s="116">
        <v>0</v>
      </c>
      <c r="O113" s="88">
        <v>27</v>
      </c>
      <c r="P113" s="168">
        <v>41677</v>
      </c>
      <c r="Q113" s="16">
        <v>77</v>
      </c>
      <c r="R113" s="89">
        <v>87.494399999999999</v>
      </c>
      <c r="S113" s="89">
        <v>90</v>
      </c>
      <c r="T113" s="89">
        <v>98</v>
      </c>
      <c r="U113" s="89">
        <v>99.2</v>
      </c>
      <c r="V113" s="189">
        <v>362</v>
      </c>
      <c r="W113" s="80">
        <v>0</v>
      </c>
      <c r="X113" s="190">
        <v>40</v>
      </c>
      <c r="Y113" s="89">
        <f t="shared" si="4"/>
        <v>434.4</v>
      </c>
      <c r="Z113" s="87">
        <v>12</v>
      </c>
      <c r="AA113" s="116">
        <v>0</v>
      </c>
      <c r="AB113" s="116">
        <v>0</v>
      </c>
      <c r="AC113" s="191">
        <v>20</v>
      </c>
      <c r="AD113" s="16">
        <f>WEEKNUM(tblKPIs[[#This Row],[Production Start Date]])</f>
        <v>6</v>
      </c>
      <c r="AE113" s="16">
        <v>26</v>
      </c>
      <c r="AF113" s="16">
        <v>29</v>
      </c>
      <c r="AG113" s="16">
        <v>14</v>
      </c>
      <c r="AH113" s="16">
        <v>7</v>
      </c>
      <c r="AI113" s="16">
        <v>1</v>
      </c>
      <c r="AJ113" s="16">
        <f t="shared" si="5"/>
        <v>1</v>
      </c>
      <c r="AL113" s="16"/>
      <c r="AM113" s="16"/>
      <c r="AN113" s="16"/>
      <c r="AO113" s="16"/>
      <c r="AP113" s="16"/>
      <c r="AQ113" s="16"/>
      <c r="AR113" s="16"/>
      <c r="AS113" s="16"/>
      <c r="BB113" s="171">
        <v>3321.0438247011948</v>
      </c>
      <c r="BC113" s="171">
        <v>4344</v>
      </c>
    </row>
    <row r="114" spans="2:55" x14ac:dyDescent="0.35">
      <c r="B114" s="1">
        <v>110</v>
      </c>
      <c r="C114" s="158" t="s">
        <v>147</v>
      </c>
      <c r="D114" s="89">
        <v>101.65729517903854</v>
      </c>
      <c r="E114" s="89">
        <v>99.432463110102148</v>
      </c>
      <c r="F114" s="89">
        <v>103.25346588866277</v>
      </c>
      <c r="G114" s="89">
        <v>99.016076605464292</v>
      </c>
      <c r="H114" s="157">
        <v>355.31498297389334</v>
      </c>
      <c r="I114" s="89">
        <v>119.97834481569139</v>
      </c>
      <c r="J114" s="89">
        <v>0</v>
      </c>
      <c r="K114" s="89">
        <f t="shared" si="3"/>
        <v>426.377979568672</v>
      </c>
      <c r="L114" s="87">
        <v>12</v>
      </c>
      <c r="M114" s="116">
        <v>0</v>
      </c>
      <c r="N114" s="116">
        <v>0</v>
      </c>
      <c r="O114" s="88">
        <v>25</v>
      </c>
      <c r="P114" s="168">
        <v>41680</v>
      </c>
      <c r="Q114" s="16">
        <v>107</v>
      </c>
      <c r="R114" s="89">
        <v>87.494399999999999</v>
      </c>
      <c r="S114" s="89">
        <v>90</v>
      </c>
      <c r="T114" s="89">
        <v>98</v>
      </c>
      <c r="U114" s="89">
        <v>99.2</v>
      </c>
      <c r="V114" s="189">
        <v>346.08333333333331</v>
      </c>
      <c r="W114" s="80">
        <v>0</v>
      </c>
      <c r="X114" s="190">
        <v>40</v>
      </c>
      <c r="Y114" s="89">
        <f t="shared" si="4"/>
        <v>415.3</v>
      </c>
      <c r="Z114" s="87">
        <v>12</v>
      </c>
      <c r="AA114" s="116">
        <v>0</v>
      </c>
      <c r="AB114" s="116">
        <v>0</v>
      </c>
      <c r="AC114" s="191">
        <v>20</v>
      </c>
      <c r="AD114" s="16">
        <f>WEEKNUM(tblKPIs[[#This Row],[Production Start Date]])</f>
        <v>7</v>
      </c>
      <c r="AE114" s="16">
        <v>2</v>
      </c>
      <c r="AF114" s="16">
        <v>15</v>
      </c>
      <c r="AG114" s="16">
        <v>29</v>
      </c>
      <c r="AH114" s="16">
        <v>27</v>
      </c>
      <c r="AI114" s="16">
        <v>34</v>
      </c>
      <c r="AJ114" s="16">
        <f t="shared" si="5"/>
        <v>1</v>
      </c>
      <c r="AL114" s="16"/>
      <c r="AM114" s="16"/>
      <c r="AN114" s="16"/>
      <c r="AO114" s="16"/>
      <c r="AP114" s="16"/>
      <c r="AQ114" s="16"/>
      <c r="AR114" s="16"/>
      <c r="AS114" s="16"/>
      <c r="BB114" s="172">
        <v>4263.7797956867198</v>
      </c>
      <c r="BC114" s="172">
        <v>4153</v>
      </c>
    </row>
    <row r="115" spans="2:55" x14ac:dyDescent="0.35">
      <c r="B115" s="1">
        <v>111</v>
      </c>
      <c r="C115" s="158" t="s">
        <v>146</v>
      </c>
      <c r="D115" s="89">
        <v>94.248238482384835</v>
      </c>
      <c r="E115" s="89">
        <v>95.609756097560989</v>
      </c>
      <c r="F115" s="89">
        <v>100.005007558579</v>
      </c>
      <c r="G115" s="89">
        <v>98.571027716866027</v>
      </c>
      <c r="H115" s="157">
        <v>258.15926829268295</v>
      </c>
      <c r="I115" s="89">
        <v>102.49896503889275</v>
      </c>
      <c r="J115" s="89">
        <v>0</v>
      </c>
      <c r="K115" s="89">
        <f t="shared" si="3"/>
        <v>309.79112195121957</v>
      </c>
      <c r="L115" s="87">
        <v>12</v>
      </c>
      <c r="M115" s="116">
        <v>0</v>
      </c>
      <c r="N115" s="116">
        <v>0</v>
      </c>
      <c r="O115" s="88">
        <v>15</v>
      </c>
      <c r="P115" s="168">
        <v>41680</v>
      </c>
      <c r="Q115" s="16">
        <v>116</v>
      </c>
      <c r="R115" s="89">
        <v>87.317999999999998</v>
      </c>
      <c r="S115" s="89">
        <v>90</v>
      </c>
      <c r="T115" s="89">
        <v>98</v>
      </c>
      <c r="U115" s="89">
        <v>99</v>
      </c>
      <c r="V115" s="189">
        <v>270</v>
      </c>
      <c r="W115" s="80">
        <v>0</v>
      </c>
      <c r="X115" s="190">
        <v>40</v>
      </c>
      <c r="Y115" s="89">
        <f t="shared" si="4"/>
        <v>324</v>
      </c>
      <c r="Z115" s="87">
        <v>12</v>
      </c>
      <c r="AA115" s="116">
        <v>0</v>
      </c>
      <c r="AB115" s="116">
        <v>0</v>
      </c>
      <c r="AC115" s="191">
        <v>20</v>
      </c>
      <c r="AD115" s="16">
        <f>WEEKNUM(tblKPIs[[#This Row],[Production Start Date]])</f>
        <v>7</v>
      </c>
      <c r="AE115" s="16">
        <v>34</v>
      </c>
      <c r="AF115" s="16">
        <v>2</v>
      </c>
      <c r="AG115" s="16">
        <v>30</v>
      </c>
      <c r="AH115" s="16">
        <v>16</v>
      </c>
      <c r="AI115" s="16">
        <v>34</v>
      </c>
      <c r="AJ115" s="16">
        <f t="shared" si="5"/>
        <v>1</v>
      </c>
      <c r="AL115" s="16"/>
      <c r="AM115" s="16"/>
      <c r="AN115" s="16"/>
      <c r="AO115" s="16"/>
      <c r="AP115" s="16"/>
      <c r="AQ115" s="16"/>
      <c r="AR115" s="16"/>
      <c r="AS115" s="16"/>
      <c r="BB115" s="171">
        <v>3097.9112195121957</v>
      </c>
      <c r="BC115" s="171">
        <v>3240</v>
      </c>
    </row>
    <row r="116" spans="2:55" x14ac:dyDescent="0.35">
      <c r="B116" s="1">
        <v>112</v>
      </c>
      <c r="C116" s="158" t="s">
        <v>154</v>
      </c>
      <c r="D116" s="89">
        <v>86.207560799422112</v>
      </c>
      <c r="E116" s="89">
        <v>100</v>
      </c>
      <c r="F116" s="89">
        <v>87.182759450999285</v>
      </c>
      <c r="G116" s="89">
        <v>98.881431767337816</v>
      </c>
      <c r="H116" s="157">
        <v>301.72500000000002</v>
      </c>
      <c r="I116" s="89">
        <v>95.948674733277144</v>
      </c>
      <c r="J116" s="89">
        <v>0</v>
      </c>
      <c r="K116" s="89">
        <f t="shared" si="3"/>
        <v>362.07000000000005</v>
      </c>
      <c r="L116" s="87">
        <v>12</v>
      </c>
      <c r="M116" s="116">
        <v>0</v>
      </c>
      <c r="N116" s="116">
        <v>0</v>
      </c>
      <c r="O116" s="88">
        <v>16</v>
      </c>
      <c r="P116" s="168">
        <v>41680</v>
      </c>
      <c r="Q116" s="16">
        <v>81</v>
      </c>
      <c r="R116" s="89">
        <v>87.494399999999999</v>
      </c>
      <c r="S116" s="89">
        <v>90</v>
      </c>
      <c r="T116" s="89">
        <v>98</v>
      </c>
      <c r="U116" s="89">
        <v>99.2</v>
      </c>
      <c r="V116" s="189">
        <v>346.08333333333331</v>
      </c>
      <c r="W116" s="80">
        <v>0</v>
      </c>
      <c r="X116" s="190">
        <v>40</v>
      </c>
      <c r="Y116" s="89">
        <f t="shared" si="4"/>
        <v>415.3</v>
      </c>
      <c r="Z116" s="87">
        <v>12</v>
      </c>
      <c r="AA116" s="116">
        <v>0</v>
      </c>
      <c r="AB116" s="116">
        <v>0</v>
      </c>
      <c r="AC116" s="191">
        <v>20</v>
      </c>
      <c r="AD116" s="16">
        <f>WEEKNUM(tblKPIs[[#This Row],[Production Start Date]])</f>
        <v>7</v>
      </c>
      <c r="AE116" s="16">
        <v>8</v>
      </c>
      <c r="AF116" s="16">
        <v>0</v>
      </c>
      <c r="AG116" s="16">
        <v>32</v>
      </c>
      <c r="AH116" s="16">
        <v>8</v>
      </c>
      <c r="AI116" s="16">
        <v>33</v>
      </c>
      <c r="AJ116" s="16">
        <f t="shared" si="5"/>
        <v>1</v>
      </c>
      <c r="AL116" s="16"/>
      <c r="AM116" s="16"/>
      <c r="AN116" s="16"/>
      <c r="AO116" s="16"/>
      <c r="AP116" s="16"/>
      <c r="AQ116" s="16"/>
      <c r="AR116" s="16"/>
      <c r="AS116" s="16"/>
      <c r="BB116" s="172">
        <v>3620.7000000000003</v>
      </c>
      <c r="BC116" s="172">
        <v>4153</v>
      </c>
    </row>
    <row r="117" spans="2:55" x14ac:dyDescent="0.35">
      <c r="B117" s="1">
        <v>113</v>
      </c>
      <c r="C117" s="158" t="s">
        <v>160</v>
      </c>
      <c r="D117" s="89">
        <v>89.479624404459059</v>
      </c>
      <c r="E117" s="89">
        <v>95.604395604395606</v>
      </c>
      <c r="F117" s="89">
        <v>95.846517510937872</v>
      </c>
      <c r="G117" s="89">
        <v>97.649484357659134</v>
      </c>
      <c r="H117" s="157">
        <v>253.97747252747254</v>
      </c>
      <c r="I117" s="89">
        <v>98.37593376891482</v>
      </c>
      <c r="J117" s="89">
        <v>0</v>
      </c>
      <c r="K117" s="89">
        <f t="shared" si="3"/>
        <v>304.77296703296707</v>
      </c>
      <c r="L117" s="87">
        <v>12</v>
      </c>
      <c r="M117" s="116">
        <v>0</v>
      </c>
      <c r="N117" s="116">
        <v>0</v>
      </c>
      <c r="O117" s="88">
        <v>21</v>
      </c>
      <c r="P117" s="168">
        <v>41681</v>
      </c>
      <c r="Q117" s="16">
        <v>78</v>
      </c>
      <c r="R117" s="89">
        <v>86.87700000000001</v>
      </c>
      <c r="S117" s="89">
        <v>90</v>
      </c>
      <c r="T117" s="89">
        <v>98</v>
      </c>
      <c r="U117" s="89">
        <v>98.5</v>
      </c>
      <c r="V117" s="189">
        <v>277.16666666666669</v>
      </c>
      <c r="W117" s="80">
        <v>0</v>
      </c>
      <c r="X117" s="190">
        <v>40</v>
      </c>
      <c r="Y117" s="89">
        <f t="shared" si="4"/>
        <v>332.6</v>
      </c>
      <c r="Z117" s="87">
        <v>12</v>
      </c>
      <c r="AA117" s="116">
        <v>0</v>
      </c>
      <c r="AB117" s="116">
        <v>0</v>
      </c>
      <c r="AC117" s="191">
        <v>20</v>
      </c>
      <c r="AD117" s="16">
        <f>WEEKNUM(tblKPIs[[#This Row],[Production Start Date]])</f>
        <v>7</v>
      </c>
      <c r="AE117" s="16">
        <v>31</v>
      </c>
      <c r="AF117" s="16">
        <v>16</v>
      </c>
      <c r="AG117" s="16">
        <v>12</v>
      </c>
      <c r="AH117" s="16">
        <v>5</v>
      </c>
      <c r="AI117" s="16">
        <v>14</v>
      </c>
      <c r="AJ117" s="16">
        <f t="shared" si="5"/>
        <v>1</v>
      </c>
      <c r="AL117" s="16"/>
      <c r="AM117" s="16"/>
      <c r="AN117" s="16"/>
      <c r="AO117" s="16"/>
      <c r="AP117" s="16"/>
      <c r="AQ117" s="16"/>
      <c r="AR117" s="16"/>
      <c r="AS117" s="16"/>
      <c r="BB117" s="171">
        <v>3047.7296703296706</v>
      </c>
      <c r="BC117" s="171">
        <v>3326</v>
      </c>
    </row>
    <row r="118" spans="2:55" x14ac:dyDescent="0.35">
      <c r="B118" s="1">
        <v>114</v>
      </c>
      <c r="C118" s="158" t="s">
        <v>147</v>
      </c>
      <c r="D118" s="89">
        <v>92.926496974592794</v>
      </c>
      <c r="E118" s="89">
        <v>94.3010752688172</v>
      </c>
      <c r="F118" s="89">
        <v>99.576072688315051</v>
      </c>
      <c r="G118" s="89">
        <v>98.961877838085371</v>
      </c>
      <c r="H118" s="157">
        <v>324.97677419354841</v>
      </c>
      <c r="I118" s="89">
        <v>115.0789522783263</v>
      </c>
      <c r="J118" s="89">
        <v>0</v>
      </c>
      <c r="K118" s="89">
        <f t="shared" si="3"/>
        <v>389.97212903225807</v>
      </c>
      <c r="L118" s="87">
        <v>12</v>
      </c>
      <c r="M118" s="116">
        <v>0</v>
      </c>
      <c r="N118" s="116">
        <v>0</v>
      </c>
      <c r="O118" s="88">
        <v>20</v>
      </c>
      <c r="P118" s="168">
        <v>41681</v>
      </c>
      <c r="Q118" s="16">
        <v>112</v>
      </c>
      <c r="R118" s="89">
        <v>87.494399999999999</v>
      </c>
      <c r="S118" s="89">
        <v>90</v>
      </c>
      <c r="T118" s="89">
        <v>98</v>
      </c>
      <c r="U118" s="89">
        <v>99.2</v>
      </c>
      <c r="V118" s="189">
        <v>346.08333333333331</v>
      </c>
      <c r="W118" s="80">
        <v>0</v>
      </c>
      <c r="X118" s="190">
        <v>40</v>
      </c>
      <c r="Y118" s="89">
        <f t="shared" si="4"/>
        <v>415.3</v>
      </c>
      <c r="Z118" s="87">
        <v>12</v>
      </c>
      <c r="AA118" s="116">
        <v>0</v>
      </c>
      <c r="AB118" s="116">
        <v>0</v>
      </c>
      <c r="AC118" s="191">
        <v>20</v>
      </c>
      <c r="AD118" s="16">
        <f>WEEKNUM(tblKPIs[[#This Row],[Production Start Date]])</f>
        <v>7</v>
      </c>
      <c r="AE118" s="16">
        <v>15</v>
      </c>
      <c r="AF118" s="16">
        <v>32</v>
      </c>
      <c r="AG118" s="16">
        <v>31</v>
      </c>
      <c r="AH118" s="16">
        <v>22</v>
      </c>
      <c r="AI118" s="16">
        <v>12</v>
      </c>
      <c r="AJ118" s="16">
        <f t="shared" si="5"/>
        <v>1</v>
      </c>
      <c r="AL118" s="16"/>
      <c r="AM118" s="16"/>
      <c r="AN118" s="16"/>
      <c r="AO118" s="16"/>
      <c r="AP118" s="16"/>
      <c r="AQ118" s="16"/>
      <c r="AR118" s="16"/>
      <c r="AS118" s="16"/>
      <c r="BB118" s="172">
        <v>3899.7212903225804</v>
      </c>
      <c r="BC118" s="172">
        <v>4153</v>
      </c>
    </row>
    <row r="119" spans="2:55" x14ac:dyDescent="0.35">
      <c r="B119" s="1">
        <v>115</v>
      </c>
      <c r="C119" s="158" t="s">
        <v>146</v>
      </c>
      <c r="D119" s="89">
        <v>97.376832151300235</v>
      </c>
      <c r="E119" s="89">
        <v>100</v>
      </c>
      <c r="F119" s="89">
        <v>98.024980299448387</v>
      </c>
      <c r="G119" s="89">
        <v>99.338792880989956</v>
      </c>
      <c r="H119" s="157">
        <v>264.66744680851065</v>
      </c>
      <c r="I119" s="89">
        <v>98.852647263335655</v>
      </c>
      <c r="J119" s="89">
        <v>0</v>
      </c>
      <c r="K119" s="89">
        <f t="shared" si="3"/>
        <v>317.60093617021278</v>
      </c>
      <c r="L119" s="87">
        <v>12</v>
      </c>
      <c r="M119" s="116">
        <v>0</v>
      </c>
      <c r="N119" s="116">
        <v>0</v>
      </c>
      <c r="O119" s="88">
        <v>23</v>
      </c>
      <c r="P119" s="168">
        <v>41682</v>
      </c>
      <c r="Q119" s="16">
        <v>138</v>
      </c>
      <c r="R119" s="89">
        <v>87.317999999999998</v>
      </c>
      <c r="S119" s="89">
        <v>90</v>
      </c>
      <c r="T119" s="89">
        <v>98</v>
      </c>
      <c r="U119" s="89">
        <v>99</v>
      </c>
      <c r="V119" s="189">
        <v>270</v>
      </c>
      <c r="W119" s="80">
        <v>0</v>
      </c>
      <c r="X119" s="190">
        <v>40</v>
      </c>
      <c r="Y119" s="89">
        <f t="shared" si="4"/>
        <v>324</v>
      </c>
      <c r="Z119" s="87">
        <v>12</v>
      </c>
      <c r="AA119" s="116">
        <v>0</v>
      </c>
      <c r="AB119" s="116">
        <v>0</v>
      </c>
      <c r="AC119" s="191">
        <v>20</v>
      </c>
      <c r="AD119" s="16">
        <f>WEEKNUM(tblKPIs[[#This Row],[Production Start Date]])</f>
        <v>7</v>
      </c>
      <c r="AE119" s="16">
        <v>24</v>
      </c>
      <c r="AF119" s="16">
        <v>27</v>
      </c>
      <c r="AG119" s="16">
        <v>29</v>
      </c>
      <c r="AH119" s="16">
        <v>30</v>
      </c>
      <c r="AI119" s="16">
        <v>28</v>
      </c>
      <c r="AJ119" s="16">
        <f t="shared" si="5"/>
        <v>1</v>
      </c>
      <c r="AL119" s="16"/>
      <c r="AM119" s="16"/>
      <c r="AN119" s="16"/>
      <c r="AO119" s="16"/>
      <c r="AP119" s="16"/>
      <c r="AQ119" s="16"/>
      <c r="AR119" s="16"/>
      <c r="AS119" s="16"/>
      <c r="BB119" s="171">
        <v>3176.0093617021275</v>
      </c>
      <c r="BC119" s="171">
        <v>3240</v>
      </c>
    </row>
    <row r="120" spans="2:55" x14ac:dyDescent="0.35">
      <c r="B120" s="1">
        <v>116</v>
      </c>
      <c r="C120" s="158" t="s">
        <v>148</v>
      </c>
      <c r="D120" s="89">
        <v>60.519230769230766</v>
      </c>
      <c r="E120" s="89">
        <v>78.199999999999974</v>
      </c>
      <c r="F120" s="89">
        <v>78.671552232933323</v>
      </c>
      <c r="G120" s="89">
        <v>98.371416961020287</v>
      </c>
      <c r="H120" s="157">
        <v>159.95500000000001</v>
      </c>
      <c r="I120" s="89">
        <v>90.280795823338508</v>
      </c>
      <c r="J120" s="89">
        <v>0</v>
      </c>
      <c r="K120" s="89">
        <f t="shared" si="3"/>
        <v>191.94599999999997</v>
      </c>
      <c r="L120" s="87">
        <v>12</v>
      </c>
      <c r="M120" s="116">
        <v>0</v>
      </c>
      <c r="N120" s="116">
        <v>0</v>
      </c>
      <c r="O120" s="88">
        <v>22</v>
      </c>
      <c r="P120" s="168">
        <v>41683</v>
      </c>
      <c r="Q120" s="16">
        <v>90</v>
      </c>
      <c r="R120" s="89">
        <v>87.097500000000011</v>
      </c>
      <c r="S120" s="89">
        <v>90</v>
      </c>
      <c r="T120" s="89">
        <v>98</v>
      </c>
      <c r="U120" s="89">
        <v>98.75</v>
      </c>
      <c r="V120" s="189">
        <v>260</v>
      </c>
      <c r="W120" s="80">
        <v>0</v>
      </c>
      <c r="X120" s="190">
        <v>40</v>
      </c>
      <c r="Y120" s="89">
        <f t="shared" si="4"/>
        <v>312</v>
      </c>
      <c r="Z120" s="87">
        <v>12</v>
      </c>
      <c r="AA120" s="116">
        <v>0</v>
      </c>
      <c r="AB120" s="116">
        <v>0</v>
      </c>
      <c r="AC120" s="191">
        <v>20</v>
      </c>
      <c r="AD120" s="16">
        <f>WEEKNUM(tblKPIs[[#This Row],[Production Start Date]])</f>
        <v>7</v>
      </c>
      <c r="AE120" s="16">
        <v>15</v>
      </c>
      <c r="AF120" s="16">
        <v>19</v>
      </c>
      <c r="AG120" s="16">
        <v>30</v>
      </c>
      <c r="AH120" s="16">
        <v>2</v>
      </c>
      <c r="AI120" s="16">
        <v>24</v>
      </c>
      <c r="AJ120" s="16">
        <f t="shared" si="5"/>
        <v>1</v>
      </c>
      <c r="AL120" s="16"/>
      <c r="AM120" s="16"/>
      <c r="AN120" s="16"/>
      <c r="AO120" s="16"/>
      <c r="AP120" s="16"/>
      <c r="AQ120" s="16"/>
      <c r="AR120" s="16"/>
      <c r="AS120" s="16"/>
      <c r="BB120" s="172">
        <v>1919.4599999999998</v>
      </c>
      <c r="BC120" s="172">
        <v>3120</v>
      </c>
    </row>
    <row r="121" spans="2:55" x14ac:dyDescent="0.35">
      <c r="B121" s="1">
        <v>117</v>
      </c>
      <c r="C121" s="158" t="s">
        <v>161</v>
      </c>
      <c r="D121" s="89">
        <v>89.958407605466419</v>
      </c>
      <c r="E121" s="89">
        <v>94.008714596949886</v>
      </c>
      <c r="F121" s="89">
        <v>95.868008005899085</v>
      </c>
      <c r="G121" s="89">
        <v>99.815949234953166</v>
      </c>
      <c r="H121" s="157">
        <v>297.41013071895424</v>
      </c>
      <c r="I121" s="89">
        <v>112.68301742728315</v>
      </c>
      <c r="J121" s="89">
        <v>52.26463588767254</v>
      </c>
      <c r="K121" s="89">
        <f t="shared" si="3"/>
        <v>356.89215686274508</v>
      </c>
      <c r="L121" s="87">
        <v>12</v>
      </c>
      <c r="M121" s="116">
        <v>0</v>
      </c>
      <c r="N121" s="116">
        <v>0</v>
      </c>
      <c r="O121" s="88">
        <v>25</v>
      </c>
      <c r="P121" s="168">
        <v>41682</v>
      </c>
      <c r="Q121" s="16">
        <v>83</v>
      </c>
      <c r="R121" s="89">
        <v>87.494399999999999</v>
      </c>
      <c r="S121" s="89">
        <v>90</v>
      </c>
      <c r="T121" s="89">
        <v>98</v>
      </c>
      <c r="U121" s="89">
        <v>99.2</v>
      </c>
      <c r="V121" s="189">
        <v>330</v>
      </c>
      <c r="W121" s="80">
        <v>0</v>
      </c>
      <c r="X121" s="190">
        <v>40</v>
      </c>
      <c r="Y121" s="89">
        <f t="shared" si="4"/>
        <v>396</v>
      </c>
      <c r="Z121" s="87">
        <v>12</v>
      </c>
      <c r="AA121" s="116">
        <v>0</v>
      </c>
      <c r="AB121" s="116">
        <v>0</v>
      </c>
      <c r="AC121" s="191">
        <v>20</v>
      </c>
      <c r="AD121" s="16">
        <f>WEEKNUM(tblKPIs[[#This Row],[Production Start Date]])</f>
        <v>7</v>
      </c>
      <c r="AE121" s="16">
        <v>30</v>
      </c>
      <c r="AF121" s="16">
        <v>8</v>
      </c>
      <c r="AG121" s="16">
        <v>2</v>
      </c>
      <c r="AH121" s="16">
        <v>18</v>
      </c>
      <c r="AI121" s="16">
        <v>25</v>
      </c>
      <c r="AJ121" s="16">
        <f t="shared" si="5"/>
        <v>1</v>
      </c>
      <c r="AL121" s="16"/>
      <c r="AM121" s="16"/>
      <c r="AN121" s="16"/>
      <c r="AO121" s="16"/>
      <c r="AP121" s="16"/>
      <c r="AQ121" s="16"/>
      <c r="AR121" s="16"/>
      <c r="AS121" s="16"/>
      <c r="BB121" s="171">
        <v>3568.9215686274506</v>
      </c>
      <c r="BC121" s="171">
        <v>3960</v>
      </c>
    </row>
    <row r="122" spans="2:55" x14ac:dyDescent="0.35">
      <c r="B122" s="1">
        <v>118</v>
      </c>
      <c r="C122" s="158" t="s">
        <v>166</v>
      </c>
      <c r="D122" s="89">
        <v>75.160714285714278</v>
      </c>
      <c r="E122" s="89">
        <v>81.919642857142847</v>
      </c>
      <c r="F122" s="89">
        <v>92.242259103294529</v>
      </c>
      <c r="G122" s="89">
        <v>99.465602526437905</v>
      </c>
      <c r="H122" s="157">
        <v>207.80245535714286</v>
      </c>
      <c r="I122" s="89">
        <v>99.447192163481574</v>
      </c>
      <c r="J122" s="89">
        <v>81.644161622432605</v>
      </c>
      <c r="K122" s="89">
        <f t="shared" si="3"/>
        <v>249.36294642857143</v>
      </c>
      <c r="L122" s="87">
        <v>12</v>
      </c>
      <c r="M122" s="116">
        <v>0</v>
      </c>
      <c r="N122" s="116">
        <v>0</v>
      </c>
      <c r="O122" s="88">
        <v>23</v>
      </c>
      <c r="P122" s="168">
        <v>41683</v>
      </c>
      <c r="Q122" s="16">
        <v>108</v>
      </c>
      <c r="R122" s="89">
        <v>87.494399999999999</v>
      </c>
      <c r="S122" s="89">
        <v>90</v>
      </c>
      <c r="T122" s="89">
        <v>98</v>
      </c>
      <c r="U122" s="89">
        <v>99.2</v>
      </c>
      <c r="V122" s="189">
        <v>275</v>
      </c>
      <c r="W122" s="80">
        <v>0</v>
      </c>
      <c r="X122" s="190">
        <v>40</v>
      </c>
      <c r="Y122" s="89">
        <f t="shared" si="4"/>
        <v>330</v>
      </c>
      <c r="Z122" s="87">
        <v>12</v>
      </c>
      <c r="AA122" s="116">
        <v>0</v>
      </c>
      <c r="AB122" s="116">
        <v>0</v>
      </c>
      <c r="AC122" s="191">
        <v>20</v>
      </c>
      <c r="AD122" s="16">
        <f>WEEKNUM(tblKPIs[[#This Row],[Production Start Date]])</f>
        <v>7</v>
      </c>
      <c r="AE122" s="16">
        <v>29</v>
      </c>
      <c r="AF122" s="16">
        <v>12</v>
      </c>
      <c r="AG122" s="16">
        <v>32</v>
      </c>
      <c r="AH122" s="16">
        <v>15</v>
      </c>
      <c r="AI122" s="16">
        <v>20</v>
      </c>
      <c r="AJ122" s="16">
        <f t="shared" si="5"/>
        <v>1</v>
      </c>
      <c r="AL122" s="16"/>
      <c r="AM122" s="16"/>
      <c r="AN122" s="16"/>
      <c r="AO122" s="16"/>
      <c r="AP122" s="16"/>
      <c r="AQ122" s="16"/>
      <c r="AR122" s="16"/>
      <c r="AS122" s="16"/>
      <c r="BB122" s="172">
        <v>2493.6294642857142</v>
      </c>
      <c r="BC122" s="172">
        <v>3300</v>
      </c>
    </row>
    <row r="123" spans="2:55" x14ac:dyDescent="0.35">
      <c r="B123" s="1">
        <v>119</v>
      </c>
      <c r="C123" s="158" t="s">
        <v>147</v>
      </c>
      <c r="D123" s="89">
        <v>90.442318172025281</v>
      </c>
      <c r="E123" s="89">
        <v>90</v>
      </c>
      <c r="F123" s="89">
        <v>101.29916652937423</v>
      </c>
      <c r="G123" s="89">
        <v>99.202656920620996</v>
      </c>
      <c r="H123" s="157">
        <v>315.52157894736843</v>
      </c>
      <c r="I123" s="89">
        <v>119.60922411453927</v>
      </c>
      <c r="J123" s="89">
        <v>36.065372542830588</v>
      </c>
      <c r="K123" s="89">
        <f t="shared" si="3"/>
        <v>378.6258947368421</v>
      </c>
      <c r="L123" s="87">
        <v>12</v>
      </c>
      <c r="M123" s="116">
        <v>0</v>
      </c>
      <c r="N123" s="116">
        <v>0</v>
      </c>
      <c r="O123" s="88">
        <v>23</v>
      </c>
      <c r="P123" s="168">
        <v>41683</v>
      </c>
      <c r="Q123" s="16">
        <v>90</v>
      </c>
      <c r="R123" s="89">
        <v>87.494399999999999</v>
      </c>
      <c r="S123" s="89">
        <v>90</v>
      </c>
      <c r="T123" s="89">
        <v>98</v>
      </c>
      <c r="U123" s="89">
        <v>99.2</v>
      </c>
      <c r="V123" s="189">
        <v>346.08333333333331</v>
      </c>
      <c r="W123" s="80">
        <v>0</v>
      </c>
      <c r="X123" s="190">
        <v>40</v>
      </c>
      <c r="Y123" s="89">
        <f t="shared" si="4"/>
        <v>415.3</v>
      </c>
      <c r="Z123" s="87">
        <v>12</v>
      </c>
      <c r="AA123" s="116">
        <v>0</v>
      </c>
      <c r="AB123" s="116">
        <v>0</v>
      </c>
      <c r="AC123" s="191">
        <v>20</v>
      </c>
      <c r="AD123" s="16">
        <f>WEEKNUM(tblKPIs[[#This Row],[Production Start Date]])</f>
        <v>7</v>
      </c>
      <c r="AE123" s="16">
        <v>34</v>
      </c>
      <c r="AF123" s="16">
        <v>0</v>
      </c>
      <c r="AG123" s="16">
        <v>15</v>
      </c>
      <c r="AH123" s="16">
        <v>10</v>
      </c>
      <c r="AI123" s="16">
        <v>31</v>
      </c>
      <c r="AJ123" s="16">
        <f t="shared" si="5"/>
        <v>1</v>
      </c>
      <c r="AL123" s="16"/>
      <c r="AM123" s="16"/>
      <c r="AN123" s="16"/>
      <c r="AO123" s="16"/>
      <c r="AP123" s="16"/>
      <c r="AQ123" s="16"/>
      <c r="AR123" s="16"/>
      <c r="AS123" s="16"/>
      <c r="BB123" s="171">
        <v>3786.2589473684211</v>
      </c>
      <c r="BC123" s="171">
        <v>4153</v>
      </c>
    </row>
    <row r="124" spans="2:55" x14ac:dyDescent="0.35">
      <c r="B124" s="1">
        <v>120</v>
      </c>
      <c r="C124" s="158" t="s">
        <v>165</v>
      </c>
      <c r="D124" s="89">
        <v>71.204061895551249</v>
      </c>
      <c r="E124" s="89">
        <v>76.832151300236404</v>
      </c>
      <c r="F124" s="89">
        <v>93.210227272727266</v>
      </c>
      <c r="G124" s="89">
        <v>99.425597261622869</v>
      </c>
      <c r="H124" s="157">
        <v>252.08628841607563</v>
      </c>
      <c r="I124" s="89">
        <v>120.1723146968997</v>
      </c>
      <c r="J124" s="89">
        <v>82.205918317437025</v>
      </c>
      <c r="K124" s="89">
        <f t="shared" si="3"/>
        <v>302.50354609929076</v>
      </c>
      <c r="L124" s="87">
        <v>12</v>
      </c>
      <c r="M124" s="116">
        <v>0</v>
      </c>
      <c r="N124" s="116">
        <v>0</v>
      </c>
      <c r="O124" s="88">
        <v>28</v>
      </c>
      <c r="P124" s="168">
        <v>41683</v>
      </c>
      <c r="Q124" s="16">
        <v>64</v>
      </c>
      <c r="R124" s="89">
        <v>87.494399999999999</v>
      </c>
      <c r="S124" s="89">
        <v>90</v>
      </c>
      <c r="T124" s="89">
        <v>98</v>
      </c>
      <c r="U124" s="89">
        <v>99.2</v>
      </c>
      <c r="V124" s="189">
        <v>352</v>
      </c>
      <c r="W124" s="80">
        <v>0</v>
      </c>
      <c r="X124" s="190">
        <v>40</v>
      </c>
      <c r="Y124" s="89">
        <f t="shared" si="4"/>
        <v>422.4</v>
      </c>
      <c r="Z124" s="87">
        <v>12</v>
      </c>
      <c r="AA124" s="116">
        <v>0</v>
      </c>
      <c r="AB124" s="116">
        <v>0</v>
      </c>
      <c r="AC124" s="191">
        <v>20</v>
      </c>
      <c r="AD124" s="16">
        <f>WEEKNUM(tblKPIs[[#This Row],[Production Start Date]])</f>
        <v>7</v>
      </c>
      <c r="AE124" s="16">
        <v>30</v>
      </c>
      <c r="AF124" s="16">
        <v>9</v>
      </c>
      <c r="AG124" s="16">
        <v>10</v>
      </c>
      <c r="AH124" s="16">
        <v>0</v>
      </c>
      <c r="AI124" s="16">
        <v>15</v>
      </c>
      <c r="AJ124" s="16">
        <f t="shared" si="5"/>
        <v>1</v>
      </c>
      <c r="AL124" s="16"/>
      <c r="AM124" s="16"/>
      <c r="AN124" s="16"/>
      <c r="AO124" s="16"/>
      <c r="AP124" s="16"/>
      <c r="AQ124" s="16"/>
      <c r="AR124" s="16"/>
      <c r="AS124" s="16"/>
      <c r="BB124" s="172">
        <v>3025.0354609929077</v>
      </c>
      <c r="BC124" s="172">
        <v>4224</v>
      </c>
    </row>
    <row r="125" spans="2:55" x14ac:dyDescent="0.35">
      <c r="B125" s="1">
        <v>121</v>
      </c>
      <c r="C125" s="158" t="s">
        <v>147</v>
      </c>
      <c r="D125" s="89">
        <v>90.533974312979836</v>
      </c>
      <c r="E125" s="89">
        <v>95.194805194805184</v>
      </c>
      <c r="F125" s="89">
        <v>96.595350975707191</v>
      </c>
      <c r="G125" s="89">
        <v>98.455982730415556</v>
      </c>
      <c r="H125" s="157">
        <v>332.87259740259736</v>
      </c>
      <c r="I125" s="89">
        <v>120.50904833772937</v>
      </c>
      <c r="J125" s="89">
        <v>39.859263153637727</v>
      </c>
      <c r="K125" s="89">
        <f t="shared" si="3"/>
        <v>399.44711688311691</v>
      </c>
      <c r="L125" s="87">
        <v>12</v>
      </c>
      <c r="M125" s="116">
        <v>0</v>
      </c>
      <c r="N125" s="116">
        <v>0</v>
      </c>
      <c r="O125" s="88">
        <v>19</v>
      </c>
      <c r="P125" s="168">
        <v>41684</v>
      </c>
      <c r="Q125" s="16">
        <v>96</v>
      </c>
      <c r="R125" s="89">
        <v>87.494399999999999</v>
      </c>
      <c r="S125" s="89">
        <v>90</v>
      </c>
      <c r="T125" s="89">
        <v>98</v>
      </c>
      <c r="U125" s="89">
        <v>99.2</v>
      </c>
      <c r="V125" s="189">
        <v>362</v>
      </c>
      <c r="W125" s="80">
        <v>0</v>
      </c>
      <c r="X125" s="190">
        <v>40</v>
      </c>
      <c r="Y125" s="89">
        <f t="shared" si="4"/>
        <v>434.4</v>
      </c>
      <c r="Z125" s="87">
        <v>12</v>
      </c>
      <c r="AA125" s="116">
        <v>0</v>
      </c>
      <c r="AB125" s="116">
        <v>0</v>
      </c>
      <c r="AC125" s="191">
        <v>20</v>
      </c>
      <c r="AD125" s="16">
        <f>WEEKNUM(tblKPIs[[#This Row],[Production Start Date]])</f>
        <v>7</v>
      </c>
      <c r="AE125" s="16">
        <v>12</v>
      </c>
      <c r="AF125" s="16">
        <v>22</v>
      </c>
      <c r="AG125" s="16">
        <v>32</v>
      </c>
      <c r="AH125" s="16">
        <v>17</v>
      </c>
      <c r="AI125" s="16">
        <v>13</v>
      </c>
      <c r="AJ125" s="16">
        <f t="shared" si="5"/>
        <v>1</v>
      </c>
      <c r="AL125" s="16"/>
      <c r="AM125" s="16"/>
      <c r="AN125" s="16"/>
      <c r="AO125" s="16"/>
      <c r="AP125" s="16"/>
      <c r="AQ125" s="16"/>
      <c r="AR125" s="16"/>
      <c r="AS125" s="16"/>
      <c r="BB125" s="171">
        <v>3994.4711688311691</v>
      </c>
      <c r="BC125" s="171">
        <v>4344</v>
      </c>
    </row>
    <row r="126" spans="2:55" x14ac:dyDescent="0.35">
      <c r="B126" s="1">
        <v>122</v>
      </c>
      <c r="C126" s="158" t="s">
        <v>147</v>
      </c>
      <c r="D126" s="89">
        <v>100.34561232843728</v>
      </c>
      <c r="E126" s="89">
        <v>99.04</v>
      </c>
      <c r="F126" s="89">
        <v>102.49226380135894</v>
      </c>
      <c r="G126" s="89">
        <v>98.854551495425142</v>
      </c>
      <c r="H126" s="157">
        <v>351.30344000000002</v>
      </c>
      <c r="I126" s="89">
        <v>112.71372726176023</v>
      </c>
      <c r="J126" s="89">
        <v>44.642938522535658</v>
      </c>
      <c r="K126" s="89">
        <f t="shared" si="3"/>
        <v>421.56412799999998</v>
      </c>
      <c r="L126" s="87">
        <v>12</v>
      </c>
      <c r="M126" s="116">
        <v>0</v>
      </c>
      <c r="N126" s="116">
        <v>0</v>
      </c>
      <c r="O126" s="88">
        <v>23</v>
      </c>
      <c r="P126" s="168">
        <v>41684</v>
      </c>
      <c r="Q126" s="16">
        <v>61</v>
      </c>
      <c r="R126" s="89">
        <v>87.494399999999999</v>
      </c>
      <c r="S126" s="89">
        <v>90</v>
      </c>
      <c r="T126" s="89">
        <v>98</v>
      </c>
      <c r="U126" s="89">
        <v>99.2</v>
      </c>
      <c r="V126" s="189">
        <v>346.08333333333331</v>
      </c>
      <c r="W126" s="80">
        <v>0</v>
      </c>
      <c r="X126" s="190">
        <v>40</v>
      </c>
      <c r="Y126" s="89">
        <f t="shared" si="4"/>
        <v>415.3</v>
      </c>
      <c r="Z126" s="87">
        <v>12</v>
      </c>
      <c r="AA126" s="116">
        <v>0</v>
      </c>
      <c r="AB126" s="116">
        <v>0</v>
      </c>
      <c r="AC126" s="191">
        <v>20</v>
      </c>
      <c r="AD126" s="16">
        <f>WEEKNUM(tblKPIs[[#This Row],[Production Start Date]])</f>
        <v>7</v>
      </c>
      <c r="AE126" s="16">
        <v>1</v>
      </c>
      <c r="AF126" s="16">
        <v>1</v>
      </c>
      <c r="AG126" s="16">
        <v>33</v>
      </c>
      <c r="AH126" s="16">
        <v>21</v>
      </c>
      <c r="AI126" s="16">
        <v>5</v>
      </c>
      <c r="AJ126" s="16">
        <f t="shared" si="5"/>
        <v>1</v>
      </c>
      <c r="AL126" s="16"/>
      <c r="AM126" s="16"/>
      <c r="AN126" s="16"/>
      <c r="AO126" s="16"/>
      <c r="AP126" s="16"/>
      <c r="AQ126" s="16"/>
      <c r="AR126" s="16"/>
      <c r="AS126" s="16"/>
      <c r="BB126" s="172">
        <v>4215.6412799999998</v>
      </c>
      <c r="BC126" s="172">
        <v>4153</v>
      </c>
    </row>
    <row r="127" spans="2:55" x14ac:dyDescent="0.35">
      <c r="B127" s="1">
        <v>123</v>
      </c>
      <c r="C127" s="158" t="s">
        <v>146</v>
      </c>
      <c r="D127" s="89">
        <v>93.489085545722745</v>
      </c>
      <c r="E127" s="89">
        <v>90.619469026548686</v>
      </c>
      <c r="F127" s="89">
        <v>104.79788773148148</v>
      </c>
      <c r="G127" s="89">
        <v>98.443459977939241</v>
      </c>
      <c r="H127" s="157">
        <v>256.41168141592919</v>
      </c>
      <c r="I127" s="89">
        <v>101.86692917538278</v>
      </c>
      <c r="J127" s="89">
        <v>0</v>
      </c>
      <c r="K127" s="89">
        <f t="shared" si="3"/>
        <v>307.69401769911508</v>
      </c>
      <c r="L127" s="87">
        <v>12</v>
      </c>
      <c r="M127" s="116">
        <v>0</v>
      </c>
      <c r="N127" s="116">
        <v>0</v>
      </c>
      <c r="O127" s="88">
        <v>17</v>
      </c>
      <c r="P127" s="168">
        <v>41687</v>
      </c>
      <c r="Q127" s="16">
        <v>79</v>
      </c>
      <c r="R127" s="89">
        <v>87.317999999999998</v>
      </c>
      <c r="S127" s="89">
        <v>90</v>
      </c>
      <c r="T127" s="89">
        <v>98</v>
      </c>
      <c r="U127" s="89">
        <v>99</v>
      </c>
      <c r="V127" s="189">
        <v>270</v>
      </c>
      <c r="W127" s="80">
        <v>0</v>
      </c>
      <c r="X127" s="190">
        <v>40</v>
      </c>
      <c r="Y127" s="89">
        <f t="shared" si="4"/>
        <v>324</v>
      </c>
      <c r="Z127" s="87">
        <v>12</v>
      </c>
      <c r="AA127" s="116">
        <v>0</v>
      </c>
      <c r="AB127" s="116">
        <v>0</v>
      </c>
      <c r="AC127" s="191">
        <v>20</v>
      </c>
      <c r="AD127" s="16">
        <f>WEEKNUM(tblKPIs[[#This Row],[Production Start Date]])</f>
        <v>8</v>
      </c>
      <c r="AE127" s="16">
        <v>3</v>
      </c>
      <c r="AF127" s="16">
        <v>5</v>
      </c>
      <c r="AG127" s="16">
        <v>31</v>
      </c>
      <c r="AH127" s="16">
        <v>12</v>
      </c>
      <c r="AI127" s="16">
        <v>28</v>
      </c>
      <c r="AJ127" s="16">
        <f t="shared" si="5"/>
        <v>1</v>
      </c>
      <c r="AL127" s="16"/>
      <c r="AM127" s="16"/>
      <c r="AN127" s="16"/>
      <c r="AO127" s="16"/>
      <c r="AP127" s="16"/>
      <c r="AQ127" s="16"/>
      <c r="AR127" s="16"/>
      <c r="AS127" s="16"/>
      <c r="BB127" s="171">
        <v>3076.9401769911506</v>
      </c>
      <c r="BC127" s="171">
        <v>3240</v>
      </c>
    </row>
    <row r="128" spans="2:55" x14ac:dyDescent="0.35">
      <c r="B128" s="1">
        <v>124</v>
      </c>
      <c r="C128" s="158" t="s">
        <v>160</v>
      </c>
      <c r="D128" s="89">
        <v>88.354182883324924</v>
      </c>
      <c r="E128" s="89">
        <v>94.355828220858911</v>
      </c>
      <c r="F128" s="89">
        <v>94.812280124205643</v>
      </c>
      <c r="G128" s="89">
        <v>98.762890679123544</v>
      </c>
      <c r="H128" s="157">
        <v>247.9558282208589</v>
      </c>
      <c r="I128" s="89">
        <v>98.403554689877666</v>
      </c>
      <c r="J128" s="89">
        <v>0</v>
      </c>
      <c r="K128" s="89">
        <f t="shared" si="3"/>
        <v>297.54699386503069</v>
      </c>
      <c r="L128" s="87">
        <v>12</v>
      </c>
      <c r="M128" s="116">
        <v>0</v>
      </c>
      <c r="N128" s="116">
        <v>0</v>
      </c>
      <c r="O128" s="88">
        <v>18</v>
      </c>
      <c r="P128" s="168">
        <v>41687</v>
      </c>
      <c r="Q128" s="16">
        <v>99</v>
      </c>
      <c r="R128" s="89">
        <v>86.87700000000001</v>
      </c>
      <c r="S128" s="89">
        <v>90</v>
      </c>
      <c r="T128" s="89">
        <v>98</v>
      </c>
      <c r="U128" s="89">
        <v>98.5</v>
      </c>
      <c r="V128" s="189">
        <v>277.16666666666669</v>
      </c>
      <c r="W128" s="80">
        <v>0</v>
      </c>
      <c r="X128" s="190">
        <v>40</v>
      </c>
      <c r="Y128" s="89">
        <f t="shared" si="4"/>
        <v>332.6</v>
      </c>
      <c r="Z128" s="87">
        <v>12</v>
      </c>
      <c r="AA128" s="116">
        <v>0</v>
      </c>
      <c r="AB128" s="116">
        <v>0</v>
      </c>
      <c r="AC128" s="191">
        <v>20</v>
      </c>
      <c r="AD128" s="16">
        <f>WEEKNUM(tblKPIs[[#This Row],[Production Start Date]])</f>
        <v>8</v>
      </c>
      <c r="AE128" s="16">
        <v>29</v>
      </c>
      <c r="AF128" s="16">
        <v>34</v>
      </c>
      <c r="AG128" s="16">
        <v>8</v>
      </c>
      <c r="AH128" s="16">
        <v>26</v>
      </c>
      <c r="AI128" s="16">
        <v>2</v>
      </c>
      <c r="AJ128" s="16">
        <f t="shared" si="5"/>
        <v>1</v>
      </c>
      <c r="AL128" s="16"/>
      <c r="AM128" s="16"/>
      <c r="AN128" s="16"/>
      <c r="AO128" s="16"/>
      <c r="AP128" s="16"/>
      <c r="AQ128" s="16"/>
      <c r="AR128" s="16"/>
      <c r="AS128" s="16"/>
      <c r="BB128" s="172">
        <v>2975.4699386503071</v>
      </c>
      <c r="BC128" s="172">
        <v>3326</v>
      </c>
    </row>
    <row r="129" spans="2:55" x14ac:dyDescent="0.35">
      <c r="B129" s="1">
        <v>125</v>
      </c>
      <c r="C129" s="158" t="s">
        <v>147</v>
      </c>
      <c r="D129" s="89">
        <v>93.000906804104702</v>
      </c>
      <c r="E129" s="89">
        <v>92.695035460992912</v>
      </c>
      <c r="F129" s="89">
        <v>101.48952527565088</v>
      </c>
      <c r="G129" s="89">
        <v>98.857468983387008</v>
      </c>
      <c r="H129" s="157">
        <v>325.58049645390071</v>
      </c>
      <c r="I129" s="89">
        <v>117.57797342724507</v>
      </c>
      <c r="J129" s="89">
        <v>34.287084755594229</v>
      </c>
      <c r="K129" s="89">
        <f t="shared" si="3"/>
        <v>390.69659574468085</v>
      </c>
      <c r="L129" s="87">
        <v>12</v>
      </c>
      <c r="M129" s="116">
        <v>0</v>
      </c>
      <c r="N129" s="116">
        <v>0</v>
      </c>
      <c r="O129" s="88">
        <v>29</v>
      </c>
      <c r="P129" s="168">
        <v>41687</v>
      </c>
      <c r="Q129" s="16">
        <v>113</v>
      </c>
      <c r="R129" s="89">
        <v>87.494399999999999</v>
      </c>
      <c r="S129" s="89">
        <v>90</v>
      </c>
      <c r="T129" s="89">
        <v>98</v>
      </c>
      <c r="U129" s="89">
        <v>99.2</v>
      </c>
      <c r="V129" s="189">
        <v>346.08333333333331</v>
      </c>
      <c r="W129" s="80">
        <v>0</v>
      </c>
      <c r="X129" s="190">
        <v>40</v>
      </c>
      <c r="Y129" s="89">
        <f t="shared" si="4"/>
        <v>415.3</v>
      </c>
      <c r="Z129" s="87">
        <v>12</v>
      </c>
      <c r="AA129" s="116">
        <v>0</v>
      </c>
      <c r="AB129" s="116">
        <v>0</v>
      </c>
      <c r="AC129" s="191">
        <v>20</v>
      </c>
      <c r="AD129" s="16">
        <f>WEEKNUM(tblKPIs[[#This Row],[Production Start Date]])</f>
        <v>8</v>
      </c>
      <c r="AE129" s="16">
        <v>33</v>
      </c>
      <c r="AF129" s="16">
        <v>12</v>
      </c>
      <c r="AG129" s="16">
        <v>21</v>
      </c>
      <c r="AH129" s="16">
        <v>25</v>
      </c>
      <c r="AI129" s="16">
        <v>22</v>
      </c>
      <c r="AJ129" s="16">
        <f t="shared" si="5"/>
        <v>1</v>
      </c>
      <c r="AL129" s="16"/>
      <c r="AM129" s="16"/>
      <c r="AN129" s="16"/>
      <c r="AO129" s="16"/>
      <c r="AP129" s="16"/>
      <c r="AQ129" s="16"/>
      <c r="AR129" s="16"/>
      <c r="AS129" s="16"/>
      <c r="BB129" s="171">
        <v>3906.9659574468083</v>
      </c>
      <c r="BC129" s="171">
        <v>4153</v>
      </c>
    </row>
    <row r="130" spans="2:55" x14ac:dyDescent="0.35">
      <c r="B130" s="1">
        <v>126</v>
      </c>
      <c r="C130" s="158" t="s">
        <v>147</v>
      </c>
      <c r="D130" s="89">
        <v>96.88650357210345</v>
      </c>
      <c r="E130" s="89">
        <v>97.09794437726724</v>
      </c>
      <c r="F130" s="89">
        <v>100.30400085880693</v>
      </c>
      <c r="G130" s="89">
        <v>99.479820161273693</v>
      </c>
      <c r="H130" s="157">
        <v>337.06136638452239</v>
      </c>
      <c r="I130" s="89">
        <v>121.20977245154864</v>
      </c>
      <c r="J130" s="89">
        <v>12.335918574299075</v>
      </c>
      <c r="K130" s="89">
        <f t="shared" si="3"/>
        <v>404.47363966142689</v>
      </c>
      <c r="L130" s="87">
        <v>12</v>
      </c>
      <c r="M130" s="116">
        <v>0</v>
      </c>
      <c r="N130" s="116">
        <v>0</v>
      </c>
      <c r="O130" s="88">
        <v>28</v>
      </c>
      <c r="P130" s="168">
        <v>41688</v>
      </c>
      <c r="Q130" s="16">
        <v>77</v>
      </c>
      <c r="R130" s="89">
        <v>87.494399999999999</v>
      </c>
      <c r="S130" s="89">
        <v>90</v>
      </c>
      <c r="T130" s="89">
        <v>98</v>
      </c>
      <c r="U130" s="89">
        <v>99.2</v>
      </c>
      <c r="V130" s="189">
        <v>346.08333333333331</v>
      </c>
      <c r="W130" s="80">
        <v>0</v>
      </c>
      <c r="X130" s="190">
        <v>40</v>
      </c>
      <c r="Y130" s="89">
        <f t="shared" si="4"/>
        <v>415.3</v>
      </c>
      <c r="Z130" s="87">
        <v>12</v>
      </c>
      <c r="AA130" s="116">
        <v>0</v>
      </c>
      <c r="AB130" s="116">
        <v>0</v>
      </c>
      <c r="AC130" s="191">
        <v>20</v>
      </c>
      <c r="AD130" s="16">
        <f>WEEKNUM(tblKPIs[[#This Row],[Production Start Date]])</f>
        <v>8</v>
      </c>
      <c r="AE130" s="16">
        <v>4</v>
      </c>
      <c r="AF130" s="16">
        <v>15</v>
      </c>
      <c r="AG130" s="16">
        <v>32</v>
      </c>
      <c r="AH130" s="16">
        <v>23</v>
      </c>
      <c r="AI130" s="16">
        <v>3</v>
      </c>
      <c r="AJ130" s="16">
        <f t="shared" si="5"/>
        <v>1</v>
      </c>
      <c r="AL130" s="16"/>
      <c r="AM130" s="16"/>
      <c r="AN130" s="16"/>
      <c r="AO130" s="16"/>
      <c r="AP130" s="16"/>
      <c r="AQ130" s="16"/>
      <c r="AR130" s="16"/>
      <c r="AS130" s="16"/>
      <c r="BB130" s="172">
        <v>4044.7363966142689</v>
      </c>
      <c r="BC130" s="172">
        <v>4153</v>
      </c>
    </row>
    <row r="131" spans="2:55" x14ac:dyDescent="0.35">
      <c r="B131" s="1">
        <v>127</v>
      </c>
      <c r="C131" s="158" t="s">
        <v>147</v>
      </c>
      <c r="D131" s="89">
        <v>87.127989577802168</v>
      </c>
      <c r="E131" s="89">
        <v>86.102062975027167</v>
      </c>
      <c r="F131" s="89">
        <v>104.49092088886349</v>
      </c>
      <c r="G131" s="89">
        <v>96.842407908940004</v>
      </c>
      <c r="H131" s="157">
        <v>311.36715526601523</v>
      </c>
      <c r="I131" s="89">
        <v>116.76268322475572</v>
      </c>
      <c r="J131" s="89">
        <v>16.083517292126565</v>
      </c>
      <c r="K131" s="89">
        <f t="shared" si="3"/>
        <v>373.6405863192183</v>
      </c>
      <c r="L131" s="87">
        <v>12</v>
      </c>
      <c r="M131" s="116">
        <v>0</v>
      </c>
      <c r="N131" s="116">
        <v>0</v>
      </c>
      <c r="O131" s="88">
        <v>20</v>
      </c>
      <c r="P131" s="168">
        <v>41688</v>
      </c>
      <c r="Q131" s="16">
        <v>104</v>
      </c>
      <c r="R131" s="89">
        <v>87.494399999999999</v>
      </c>
      <c r="S131" s="89">
        <v>90</v>
      </c>
      <c r="T131" s="89">
        <v>98</v>
      </c>
      <c r="U131" s="89">
        <v>99.2</v>
      </c>
      <c r="V131" s="189">
        <v>346.08333333333331</v>
      </c>
      <c r="W131" s="80">
        <v>0</v>
      </c>
      <c r="X131" s="190">
        <v>40</v>
      </c>
      <c r="Y131" s="89">
        <f t="shared" si="4"/>
        <v>415.3</v>
      </c>
      <c r="Z131" s="87">
        <v>12</v>
      </c>
      <c r="AA131" s="116">
        <v>0</v>
      </c>
      <c r="AB131" s="116">
        <v>0</v>
      </c>
      <c r="AC131" s="191">
        <v>20</v>
      </c>
      <c r="AD131" s="16">
        <f>WEEKNUM(tblKPIs[[#This Row],[Production Start Date]])</f>
        <v>8</v>
      </c>
      <c r="AE131" s="16">
        <v>14</v>
      </c>
      <c r="AF131" s="16">
        <v>3</v>
      </c>
      <c r="AG131" s="16">
        <v>31</v>
      </c>
      <c r="AH131" s="16">
        <v>23</v>
      </c>
      <c r="AI131" s="16">
        <v>33</v>
      </c>
      <c r="AJ131" s="16">
        <f t="shared" si="5"/>
        <v>1</v>
      </c>
      <c r="AL131" s="16"/>
      <c r="AM131" s="16"/>
      <c r="AN131" s="16"/>
      <c r="AO131" s="16"/>
      <c r="AP131" s="16"/>
      <c r="AQ131" s="16"/>
      <c r="AR131" s="16"/>
      <c r="AS131" s="16"/>
      <c r="BB131" s="171">
        <v>3736.405863192183</v>
      </c>
      <c r="BC131" s="171">
        <v>4153</v>
      </c>
    </row>
    <row r="132" spans="2:55" x14ac:dyDescent="0.35">
      <c r="B132" s="1">
        <v>128</v>
      </c>
      <c r="C132" s="158" t="s">
        <v>148</v>
      </c>
      <c r="D132" s="89">
        <v>78.369639210347174</v>
      </c>
      <c r="E132" s="89">
        <v>86.194690265486742</v>
      </c>
      <c r="F132" s="89">
        <v>91.508055599431358</v>
      </c>
      <c r="G132" s="89">
        <v>99.359181824066283</v>
      </c>
      <c r="H132" s="157">
        <v>205.07522123893804</v>
      </c>
      <c r="I132" s="89">
        <v>90.081632653061234</v>
      </c>
      <c r="J132" s="89">
        <v>0</v>
      </c>
      <c r="K132" s="89">
        <f t="shared" si="3"/>
        <v>246.09026548672568</v>
      </c>
      <c r="L132" s="87">
        <v>12</v>
      </c>
      <c r="M132" s="116">
        <v>0</v>
      </c>
      <c r="N132" s="116">
        <v>0</v>
      </c>
      <c r="O132" s="88">
        <v>24</v>
      </c>
      <c r="P132" s="168">
        <v>41689</v>
      </c>
      <c r="Q132" s="16">
        <v>115</v>
      </c>
      <c r="R132" s="89">
        <v>87.097500000000011</v>
      </c>
      <c r="S132" s="89">
        <v>90</v>
      </c>
      <c r="T132" s="89">
        <v>98</v>
      </c>
      <c r="U132" s="89">
        <v>98.75</v>
      </c>
      <c r="V132" s="189">
        <v>260</v>
      </c>
      <c r="W132" s="80">
        <v>0</v>
      </c>
      <c r="X132" s="190">
        <v>40</v>
      </c>
      <c r="Y132" s="89">
        <f t="shared" si="4"/>
        <v>312</v>
      </c>
      <c r="Z132" s="87">
        <v>12</v>
      </c>
      <c r="AA132" s="116">
        <v>0</v>
      </c>
      <c r="AB132" s="116">
        <v>0</v>
      </c>
      <c r="AC132" s="191">
        <v>20</v>
      </c>
      <c r="AD132" s="16">
        <f>WEEKNUM(tblKPIs[[#This Row],[Production Start Date]])</f>
        <v>8</v>
      </c>
      <c r="AE132" s="16">
        <v>20</v>
      </c>
      <c r="AF132" s="16">
        <v>14</v>
      </c>
      <c r="AG132" s="16">
        <v>21</v>
      </c>
      <c r="AH132" s="16">
        <v>31</v>
      </c>
      <c r="AI132" s="16">
        <v>29</v>
      </c>
      <c r="AJ132" s="16">
        <f t="shared" si="5"/>
        <v>1</v>
      </c>
      <c r="AL132" s="16"/>
      <c r="AM132" s="16"/>
      <c r="AN132" s="16"/>
      <c r="AO132" s="16"/>
      <c r="AP132" s="16"/>
      <c r="AQ132" s="16"/>
      <c r="AR132" s="16"/>
      <c r="AS132" s="16"/>
      <c r="BB132" s="172">
        <v>2460.9026548672568</v>
      </c>
      <c r="BC132" s="172">
        <v>3120</v>
      </c>
    </row>
    <row r="133" spans="2:55" x14ac:dyDescent="0.35">
      <c r="B133" s="1">
        <v>129</v>
      </c>
      <c r="C133" s="158" t="s">
        <v>146</v>
      </c>
      <c r="D133" s="89">
        <v>85.52188663801924</v>
      </c>
      <c r="E133" s="89">
        <v>86.408839779005518</v>
      </c>
      <c r="F133" s="89">
        <v>100.3221701240883</v>
      </c>
      <c r="G133" s="89">
        <v>98.655699694028272</v>
      </c>
      <c r="H133" s="157">
        <v>234.05550276243096</v>
      </c>
      <c r="I133" s="89">
        <v>98.219526105907448</v>
      </c>
      <c r="J133" s="89">
        <v>49.563318777292572</v>
      </c>
      <c r="K133" s="89">
        <f t="shared" ref="K133:K196" si="6">IF(BB133="","",+BB133/10)</f>
        <v>280.86660331491714</v>
      </c>
      <c r="L133" s="87">
        <v>12</v>
      </c>
      <c r="M133" s="116">
        <v>0</v>
      </c>
      <c r="N133" s="116">
        <v>0</v>
      </c>
      <c r="O133" s="88">
        <v>24</v>
      </c>
      <c r="P133" s="168">
        <v>41689</v>
      </c>
      <c r="Q133" s="16">
        <v>66</v>
      </c>
      <c r="R133" s="89">
        <v>87.317999999999998</v>
      </c>
      <c r="S133" s="89">
        <v>90</v>
      </c>
      <c r="T133" s="89">
        <v>98</v>
      </c>
      <c r="U133" s="89">
        <v>99</v>
      </c>
      <c r="V133" s="189">
        <v>270</v>
      </c>
      <c r="W133" s="80">
        <v>0</v>
      </c>
      <c r="X133" s="190">
        <v>40</v>
      </c>
      <c r="Y133" s="89">
        <f t="shared" ref="Y133:Y196" si="7">IF(BC133="","",+BC133/10)</f>
        <v>324</v>
      </c>
      <c r="Z133" s="87">
        <v>12</v>
      </c>
      <c r="AA133" s="116">
        <v>0</v>
      </c>
      <c r="AB133" s="116">
        <v>0</v>
      </c>
      <c r="AC133" s="191">
        <v>20</v>
      </c>
      <c r="AD133" s="16">
        <f>WEEKNUM(tblKPIs[[#This Row],[Production Start Date]])</f>
        <v>8</v>
      </c>
      <c r="AE133" s="16">
        <v>5</v>
      </c>
      <c r="AF133" s="16">
        <v>11</v>
      </c>
      <c r="AG133" s="16">
        <v>24</v>
      </c>
      <c r="AH133" s="16">
        <v>11</v>
      </c>
      <c r="AI133" s="16">
        <v>15</v>
      </c>
      <c r="AJ133" s="16">
        <f t="shared" ref="AJ133:AJ196" si="8">IF(AND(P130&gt;=BeginnDate,P130&lt;=EndDate),1,"")</f>
        <v>1</v>
      </c>
      <c r="AL133" s="16"/>
      <c r="AM133" s="16"/>
      <c r="AN133" s="16"/>
      <c r="AO133" s="16"/>
      <c r="AP133" s="16"/>
      <c r="AQ133" s="16"/>
      <c r="AR133" s="16"/>
      <c r="AS133" s="16"/>
      <c r="BB133" s="171">
        <v>2808.6660331491717</v>
      </c>
      <c r="BC133" s="171">
        <v>3240</v>
      </c>
    </row>
    <row r="134" spans="2:55" x14ac:dyDescent="0.35">
      <c r="B134" s="1">
        <v>130</v>
      </c>
      <c r="C134" s="158" t="s">
        <v>146</v>
      </c>
      <c r="D134" s="89">
        <v>96.599564270152513</v>
      </c>
      <c r="E134" s="89">
        <v>98.039215686274517</v>
      </c>
      <c r="F134" s="89">
        <v>99.972296296296292</v>
      </c>
      <c r="G134" s="89">
        <v>98.558860010106514</v>
      </c>
      <c r="H134" s="157">
        <v>264.63254901960784</v>
      </c>
      <c r="I134" s="89">
        <v>109.06950056570228</v>
      </c>
      <c r="J134" s="89">
        <v>0</v>
      </c>
      <c r="K134" s="89">
        <f t="shared" si="6"/>
        <v>317.55905882352943</v>
      </c>
      <c r="L134" s="87">
        <v>12</v>
      </c>
      <c r="M134" s="116">
        <v>0</v>
      </c>
      <c r="N134" s="116">
        <v>0</v>
      </c>
      <c r="O134" s="88">
        <v>18</v>
      </c>
      <c r="P134" s="168">
        <v>41660</v>
      </c>
      <c r="Q134" s="16">
        <v>128</v>
      </c>
      <c r="R134" s="89">
        <v>87.317999999999998</v>
      </c>
      <c r="S134" s="89">
        <v>90</v>
      </c>
      <c r="T134" s="89">
        <v>98</v>
      </c>
      <c r="U134" s="89">
        <v>99</v>
      </c>
      <c r="V134" s="189">
        <v>270</v>
      </c>
      <c r="W134" s="80">
        <v>0</v>
      </c>
      <c r="X134" s="190">
        <v>40</v>
      </c>
      <c r="Y134" s="89">
        <f t="shared" si="7"/>
        <v>324</v>
      </c>
      <c r="Z134" s="87">
        <v>12</v>
      </c>
      <c r="AA134" s="116">
        <v>0</v>
      </c>
      <c r="AB134" s="116">
        <v>0</v>
      </c>
      <c r="AC134" s="191">
        <v>20</v>
      </c>
      <c r="AD134" s="16">
        <f>WEEKNUM(tblKPIs[[#This Row],[Production Start Date]])</f>
        <v>4</v>
      </c>
      <c r="AE134" s="16">
        <v>34</v>
      </c>
      <c r="AF134" s="16">
        <v>34</v>
      </c>
      <c r="AG134" s="16">
        <v>33</v>
      </c>
      <c r="AH134" s="16">
        <v>13</v>
      </c>
      <c r="AI134" s="16">
        <v>14</v>
      </c>
      <c r="AJ134" s="16">
        <f t="shared" si="8"/>
        <v>1</v>
      </c>
      <c r="AL134" s="16"/>
      <c r="AM134" s="16"/>
      <c r="AN134" s="16"/>
      <c r="AO134" s="16"/>
      <c r="AP134" s="16"/>
      <c r="AQ134" s="16"/>
      <c r="AR134" s="16"/>
      <c r="AS134" s="16"/>
      <c r="BB134" s="172">
        <v>3175.590588235294</v>
      </c>
      <c r="BC134" s="172">
        <v>3240</v>
      </c>
    </row>
    <row r="135" spans="2:55" x14ac:dyDescent="0.35">
      <c r="B135" s="1">
        <v>131</v>
      </c>
      <c r="C135" s="158" t="s">
        <v>147</v>
      </c>
      <c r="D135" s="89">
        <v>91.227394820528573</v>
      </c>
      <c r="E135" s="89">
        <v>93.390804597701162</v>
      </c>
      <c r="F135" s="89">
        <v>98.530326548000502</v>
      </c>
      <c r="G135" s="89">
        <v>99.140529418087667</v>
      </c>
      <c r="H135" s="157">
        <v>318.45987787356324</v>
      </c>
      <c r="I135" s="89">
        <v>117.09893003984777</v>
      </c>
      <c r="J135" s="89">
        <v>17.876749851386478</v>
      </c>
      <c r="K135" s="89">
        <f t="shared" si="6"/>
        <v>382.15185344827586</v>
      </c>
      <c r="L135" s="87">
        <v>12</v>
      </c>
      <c r="M135" s="116">
        <v>0</v>
      </c>
      <c r="N135" s="116">
        <v>0</v>
      </c>
      <c r="O135" s="88">
        <v>21</v>
      </c>
      <c r="P135" s="168">
        <v>41689</v>
      </c>
      <c r="Q135" s="16">
        <v>104</v>
      </c>
      <c r="R135" s="89">
        <v>87.494399999999999</v>
      </c>
      <c r="S135" s="89">
        <v>90</v>
      </c>
      <c r="T135" s="89">
        <v>98</v>
      </c>
      <c r="U135" s="89">
        <v>99.2</v>
      </c>
      <c r="V135" s="189">
        <v>346.08333333333331</v>
      </c>
      <c r="W135" s="80">
        <v>0</v>
      </c>
      <c r="X135" s="190">
        <v>40</v>
      </c>
      <c r="Y135" s="89">
        <f t="shared" si="7"/>
        <v>415.3</v>
      </c>
      <c r="Z135" s="87">
        <v>12</v>
      </c>
      <c r="AA135" s="116">
        <v>0</v>
      </c>
      <c r="AB135" s="116">
        <v>0</v>
      </c>
      <c r="AC135" s="191">
        <v>20</v>
      </c>
      <c r="AD135" s="16">
        <f>WEEKNUM(tblKPIs[[#This Row],[Production Start Date]])</f>
        <v>8</v>
      </c>
      <c r="AE135" s="16">
        <v>32</v>
      </c>
      <c r="AF135" s="16">
        <v>18</v>
      </c>
      <c r="AG135" s="16">
        <v>20</v>
      </c>
      <c r="AH135" s="16">
        <v>20</v>
      </c>
      <c r="AI135" s="16">
        <v>14</v>
      </c>
      <c r="AJ135" s="16">
        <f t="shared" si="8"/>
        <v>1</v>
      </c>
      <c r="AL135" s="16"/>
      <c r="AM135" s="16"/>
      <c r="AN135" s="16"/>
      <c r="AO135" s="16"/>
      <c r="AP135" s="16"/>
      <c r="AQ135" s="16"/>
      <c r="AR135" s="16"/>
      <c r="AS135" s="16"/>
      <c r="BB135" s="171">
        <v>3821.5185344827587</v>
      </c>
      <c r="BC135" s="171">
        <v>4153</v>
      </c>
    </row>
    <row r="136" spans="2:55" x14ac:dyDescent="0.35">
      <c r="B136" s="1">
        <v>132</v>
      </c>
      <c r="C136" s="158" t="s">
        <v>167</v>
      </c>
      <c r="D136" s="89">
        <v>111.00628930817614</v>
      </c>
      <c r="E136" s="89">
        <v>88.836477987421375</v>
      </c>
      <c r="F136" s="89">
        <v>126.94501172377282</v>
      </c>
      <c r="G136" s="89">
        <v>98.432975440018112</v>
      </c>
      <c r="H136" s="157">
        <v>263.8899371069183</v>
      </c>
      <c r="I136" s="89">
        <v>107.11042328126746</v>
      </c>
      <c r="J136" s="89">
        <v>0</v>
      </c>
      <c r="K136" s="89">
        <f t="shared" si="6"/>
        <v>316.66792452830191</v>
      </c>
      <c r="L136" s="87">
        <v>12</v>
      </c>
      <c r="M136" s="116">
        <v>0</v>
      </c>
      <c r="N136" s="116">
        <v>0</v>
      </c>
      <c r="O136" s="88">
        <v>24</v>
      </c>
      <c r="P136" s="168">
        <v>41690</v>
      </c>
      <c r="Q136" s="16">
        <v>41</v>
      </c>
      <c r="R136" s="89">
        <v>86.87700000000001</v>
      </c>
      <c r="S136" s="89">
        <v>90</v>
      </c>
      <c r="T136" s="89">
        <v>98</v>
      </c>
      <c r="U136" s="89">
        <v>98.5</v>
      </c>
      <c r="V136" s="189">
        <v>234</v>
      </c>
      <c r="W136" s="80">
        <v>0</v>
      </c>
      <c r="X136" s="190">
        <v>40</v>
      </c>
      <c r="Y136" s="89">
        <f t="shared" si="7"/>
        <v>280.8</v>
      </c>
      <c r="Z136" s="87">
        <v>12</v>
      </c>
      <c r="AA136" s="116">
        <v>0</v>
      </c>
      <c r="AB136" s="116">
        <v>0</v>
      </c>
      <c r="AC136" s="191">
        <v>20</v>
      </c>
      <c r="AD136" s="16">
        <f>WEEKNUM(tblKPIs[[#This Row],[Production Start Date]])</f>
        <v>8</v>
      </c>
      <c r="AE136" s="16">
        <v>23</v>
      </c>
      <c r="AF136" s="16">
        <v>0</v>
      </c>
      <c r="AG136" s="16">
        <v>1</v>
      </c>
      <c r="AH136" s="16">
        <v>0</v>
      </c>
      <c r="AI136" s="16">
        <v>17</v>
      </c>
      <c r="AJ136" s="16">
        <f t="shared" si="8"/>
        <v>1</v>
      </c>
      <c r="AL136" s="16"/>
      <c r="AM136" s="16"/>
      <c r="AN136" s="16"/>
      <c r="AO136" s="16"/>
      <c r="AP136" s="16"/>
      <c r="AQ136" s="16"/>
      <c r="AR136" s="16"/>
      <c r="AS136" s="16"/>
      <c r="BB136" s="172">
        <v>3166.6792452830191</v>
      </c>
      <c r="BC136" s="172">
        <v>2808</v>
      </c>
    </row>
    <row r="137" spans="2:55" x14ac:dyDescent="0.35">
      <c r="B137" s="1">
        <v>133</v>
      </c>
      <c r="C137" s="158" t="s">
        <v>168</v>
      </c>
      <c r="D137" s="89">
        <v>45.014245014245013</v>
      </c>
      <c r="E137" s="89">
        <v>50.555555555555557</v>
      </c>
      <c r="F137" s="89">
        <v>94.733258194796662</v>
      </c>
      <c r="G137" s="89">
        <v>93.989341925889207</v>
      </c>
      <c r="H137" s="157">
        <v>112.06944444444444</v>
      </c>
      <c r="I137" s="89">
        <v>83.901759347835124</v>
      </c>
      <c r="J137" s="89">
        <v>48.894154818325433</v>
      </c>
      <c r="K137" s="89">
        <f t="shared" si="6"/>
        <v>134.48333333333332</v>
      </c>
      <c r="L137" s="87">
        <v>12</v>
      </c>
      <c r="M137" s="116">
        <v>0</v>
      </c>
      <c r="N137" s="116">
        <v>0</v>
      </c>
      <c r="O137" s="88">
        <v>15</v>
      </c>
      <c r="P137" s="168">
        <v>41690</v>
      </c>
      <c r="Q137" s="16">
        <v>71</v>
      </c>
      <c r="R137" s="89">
        <v>87.494399999999999</v>
      </c>
      <c r="S137" s="89">
        <v>90</v>
      </c>
      <c r="T137" s="89">
        <v>98</v>
      </c>
      <c r="U137" s="89">
        <v>99.2</v>
      </c>
      <c r="V137" s="189">
        <v>234</v>
      </c>
      <c r="W137" s="80">
        <v>0</v>
      </c>
      <c r="X137" s="190">
        <v>40</v>
      </c>
      <c r="Y137" s="89">
        <f t="shared" si="7"/>
        <v>280.80000000000007</v>
      </c>
      <c r="Z137" s="87">
        <v>12</v>
      </c>
      <c r="AA137" s="116">
        <v>0</v>
      </c>
      <c r="AB137" s="116">
        <v>0</v>
      </c>
      <c r="AC137" s="191">
        <v>20</v>
      </c>
      <c r="AD137" s="16">
        <f>WEEKNUM(tblKPIs[[#This Row],[Production Start Date]])</f>
        <v>8</v>
      </c>
      <c r="AE137" s="16">
        <v>25</v>
      </c>
      <c r="AF137" s="16">
        <v>30</v>
      </c>
      <c r="AG137" s="16">
        <v>8</v>
      </c>
      <c r="AH137" s="16">
        <v>7</v>
      </c>
      <c r="AI137" s="16">
        <v>1</v>
      </c>
      <c r="AJ137" s="16">
        <f t="shared" si="8"/>
        <v>1</v>
      </c>
      <c r="AL137" s="16"/>
      <c r="AM137" s="16"/>
      <c r="AN137" s="16"/>
      <c r="AO137" s="16"/>
      <c r="AP137" s="16"/>
      <c r="AQ137" s="16"/>
      <c r="AR137" s="16"/>
      <c r="AS137" s="16"/>
      <c r="BB137" s="171">
        <v>1344.8333333333333</v>
      </c>
      <c r="BC137" s="171">
        <v>2808.0000000000005</v>
      </c>
    </row>
    <row r="138" spans="2:55" x14ac:dyDescent="0.35">
      <c r="B138" s="1">
        <v>134</v>
      </c>
      <c r="C138" s="158" t="s">
        <v>147</v>
      </c>
      <c r="D138" s="89">
        <v>94.189742354924149</v>
      </c>
      <c r="E138" s="89">
        <v>95.833333333333343</v>
      </c>
      <c r="F138" s="89">
        <v>99.438047478960783</v>
      </c>
      <c r="G138" s="89">
        <v>98.840384577205114</v>
      </c>
      <c r="H138" s="157">
        <v>329.79940476190478</v>
      </c>
      <c r="I138" s="89">
        <v>117.90330474751561</v>
      </c>
      <c r="J138" s="89">
        <v>0</v>
      </c>
      <c r="K138" s="89">
        <f t="shared" si="6"/>
        <v>395.75928571428574</v>
      </c>
      <c r="L138" s="87">
        <v>12</v>
      </c>
      <c r="M138" s="116">
        <v>0</v>
      </c>
      <c r="N138" s="116">
        <v>0</v>
      </c>
      <c r="O138" s="88">
        <v>29</v>
      </c>
      <c r="P138" s="168">
        <v>41690</v>
      </c>
      <c r="Q138" s="16">
        <v>64</v>
      </c>
      <c r="R138" s="89">
        <v>87.494399999999999</v>
      </c>
      <c r="S138" s="89">
        <v>90</v>
      </c>
      <c r="T138" s="89">
        <v>98</v>
      </c>
      <c r="U138" s="89">
        <v>99.2</v>
      </c>
      <c r="V138" s="189">
        <v>346.08333333333331</v>
      </c>
      <c r="W138" s="80">
        <v>0</v>
      </c>
      <c r="X138" s="190">
        <v>40</v>
      </c>
      <c r="Y138" s="89">
        <f t="shared" si="7"/>
        <v>415.3</v>
      </c>
      <c r="Z138" s="87">
        <v>12</v>
      </c>
      <c r="AA138" s="116">
        <v>0</v>
      </c>
      <c r="AB138" s="116">
        <v>0</v>
      </c>
      <c r="AC138" s="191">
        <v>20</v>
      </c>
      <c r="AD138" s="16">
        <f>WEEKNUM(tblKPIs[[#This Row],[Production Start Date]])</f>
        <v>8</v>
      </c>
      <c r="AE138" s="16">
        <v>8</v>
      </c>
      <c r="AF138" s="16">
        <v>0</v>
      </c>
      <c r="AG138" s="16">
        <v>17</v>
      </c>
      <c r="AH138" s="16">
        <v>28</v>
      </c>
      <c r="AI138" s="16">
        <v>11</v>
      </c>
      <c r="AJ138" s="16">
        <f t="shared" si="8"/>
        <v>1</v>
      </c>
      <c r="AL138" s="16"/>
      <c r="AM138" s="16"/>
      <c r="AN138" s="16"/>
      <c r="AO138" s="16"/>
      <c r="AP138" s="16"/>
      <c r="AQ138" s="16"/>
      <c r="AR138" s="16"/>
      <c r="AS138" s="16"/>
      <c r="BB138" s="172">
        <v>3957.5928571428572</v>
      </c>
      <c r="BC138" s="172">
        <v>4153</v>
      </c>
    </row>
    <row r="139" spans="2:55" x14ac:dyDescent="0.35">
      <c r="B139" s="1">
        <v>135</v>
      </c>
      <c r="C139" s="158" t="s">
        <v>150</v>
      </c>
      <c r="D139" s="89">
        <v>64.770053475935825</v>
      </c>
      <c r="E139" s="89">
        <v>77.171717171717177</v>
      </c>
      <c r="F139" s="89">
        <v>86.278102864182316</v>
      </c>
      <c r="G139" s="89">
        <v>97.278195220332336</v>
      </c>
      <c r="H139" s="157">
        <v>203.74181818181816</v>
      </c>
      <c r="I139" s="89">
        <v>100.15860168334285</v>
      </c>
      <c r="J139" s="89">
        <v>95.830416180474515</v>
      </c>
      <c r="K139" s="89">
        <f t="shared" si="6"/>
        <v>244.49018181818178</v>
      </c>
      <c r="L139" s="87">
        <v>12</v>
      </c>
      <c r="M139" s="116">
        <v>0</v>
      </c>
      <c r="N139" s="116">
        <v>0</v>
      </c>
      <c r="O139" s="88">
        <v>29</v>
      </c>
      <c r="P139" s="168">
        <v>41691</v>
      </c>
      <c r="Q139" s="16">
        <v>120</v>
      </c>
      <c r="R139" s="89">
        <v>86.87700000000001</v>
      </c>
      <c r="S139" s="89">
        <v>90</v>
      </c>
      <c r="T139" s="89">
        <v>98</v>
      </c>
      <c r="U139" s="89">
        <v>98.5</v>
      </c>
      <c r="V139" s="189">
        <v>306</v>
      </c>
      <c r="W139" s="80">
        <v>0</v>
      </c>
      <c r="X139" s="190">
        <v>40</v>
      </c>
      <c r="Y139" s="89">
        <f t="shared" si="7"/>
        <v>367.2</v>
      </c>
      <c r="Z139" s="87">
        <v>12</v>
      </c>
      <c r="AA139" s="116">
        <v>0</v>
      </c>
      <c r="AB139" s="116">
        <v>0</v>
      </c>
      <c r="AC139" s="191">
        <v>20</v>
      </c>
      <c r="AD139" s="16">
        <f>WEEKNUM(tblKPIs[[#This Row],[Production Start Date]])</f>
        <v>8</v>
      </c>
      <c r="AE139" s="16">
        <v>32</v>
      </c>
      <c r="AF139" s="16">
        <v>15</v>
      </c>
      <c r="AG139" s="16">
        <v>14</v>
      </c>
      <c r="AH139" s="16">
        <v>33</v>
      </c>
      <c r="AI139" s="16">
        <v>26</v>
      </c>
      <c r="AJ139" s="16">
        <f t="shared" si="8"/>
        <v>1</v>
      </c>
      <c r="AL139" s="16"/>
      <c r="AM139" s="16"/>
      <c r="AN139" s="16"/>
      <c r="AO139" s="16"/>
      <c r="AP139" s="16"/>
      <c r="AQ139" s="16"/>
      <c r="AR139" s="16"/>
      <c r="AS139" s="16"/>
      <c r="BB139" s="171">
        <v>2444.9018181818178</v>
      </c>
      <c r="BC139" s="171">
        <v>3672</v>
      </c>
    </row>
    <row r="140" spans="2:55" x14ac:dyDescent="0.35">
      <c r="B140" s="1">
        <v>136</v>
      </c>
      <c r="C140" s="158" t="s">
        <v>161</v>
      </c>
      <c r="D140" s="89">
        <v>77.758719268153243</v>
      </c>
      <c r="E140" s="89">
        <v>81.132075471698116</v>
      </c>
      <c r="F140" s="89">
        <v>95.842142353770271</v>
      </c>
      <c r="G140" s="89">
        <v>100</v>
      </c>
      <c r="H140" s="157">
        <v>256.6037735849057</v>
      </c>
      <c r="I140" s="89">
        <v>64.786070994736136</v>
      </c>
      <c r="J140" s="89">
        <v>50.934220629639107</v>
      </c>
      <c r="K140" s="89">
        <f t="shared" si="6"/>
        <v>307.92452830188682</v>
      </c>
      <c r="L140" s="87">
        <v>12</v>
      </c>
      <c r="M140" s="116">
        <v>0</v>
      </c>
      <c r="N140" s="116">
        <v>0</v>
      </c>
      <c r="O140" s="88">
        <v>19</v>
      </c>
      <c r="P140" s="168">
        <v>41691</v>
      </c>
      <c r="Q140" s="16">
        <v>71</v>
      </c>
      <c r="R140" s="89">
        <v>87.494399999999999</v>
      </c>
      <c r="S140" s="89">
        <v>90</v>
      </c>
      <c r="T140" s="89">
        <v>98</v>
      </c>
      <c r="U140" s="89">
        <v>99.2</v>
      </c>
      <c r="V140" s="189">
        <v>330</v>
      </c>
      <c r="W140" s="80">
        <v>0</v>
      </c>
      <c r="X140" s="190">
        <v>40</v>
      </c>
      <c r="Y140" s="89">
        <f t="shared" si="7"/>
        <v>396</v>
      </c>
      <c r="Z140" s="87">
        <v>12</v>
      </c>
      <c r="AA140" s="116">
        <v>0</v>
      </c>
      <c r="AB140" s="116">
        <v>0</v>
      </c>
      <c r="AC140" s="191">
        <v>20</v>
      </c>
      <c r="AD140" s="16">
        <f>WEEKNUM(tblKPIs[[#This Row],[Production Start Date]])</f>
        <v>8</v>
      </c>
      <c r="AE140" s="16">
        <v>0</v>
      </c>
      <c r="AF140" s="16">
        <v>20</v>
      </c>
      <c r="AG140" s="16">
        <v>2</v>
      </c>
      <c r="AH140" s="16">
        <v>19</v>
      </c>
      <c r="AI140" s="16">
        <v>30</v>
      </c>
      <c r="AJ140" s="16">
        <f t="shared" si="8"/>
        <v>1</v>
      </c>
      <c r="AL140" s="16"/>
      <c r="AM140" s="16"/>
      <c r="AN140" s="16"/>
      <c r="AO140" s="16"/>
      <c r="AP140" s="16"/>
      <c r="AQ140" s="16"/>
      <c r="AR140" s="16"/>
      <c r="AS140" s="16"/>
      <c r="BB140" s="172">
        <v>3079.2452830188681</v>
      </c>
      <c r="BC140" s="172">
        <v>3960</v>
      </c>
    </row>
    <row r="141" spans="2:55" x14ac:dyDescent="0.35">
      <c r="B141" s="1">
        <v>137</v>
      </c>
      <c r="C141" s="158" t="s">
        <v>147</v>
      </c>
      <c r="D141" s="89">
        <v>99.669402125457978</v>
      </c>
      <c r="E141" s="89">
        <v>95.49549549549549</v>
      </c>
      <c r="F141" s="89">
        <v>107.48515508225469</v>
      </c>
      <c r="G141" s="89">
        <v>97.102515168998821</v>
      </c>
      <c r="H141" s="157">
        <v>355.2319819819819</v>
      </c>
      <c r="I141" s="89">
        <v>194.20188140267928</v>
      </c>
      <c r="J141" s="89">
        <v>0</v>
      </c>
      <c r="K141" s="89">
        <f t="shared" si="6"/>
        <v>426.27837837837831</v>
      </c>
      <c r="L141" s="87">
        <v>12</v>
      </c>
      <c r="M141" s="116">
        <v>0</v>
      </c>
      <c r="N141" s="116">
        <v>0</v>
      </c>
      <c r="O141" s="88">
        <v>16</v>
      </c>
      <c r="P141" s="168">
        <v>41691</v>
      </c>
      <c r="Q141" s="16">
        <v>96</v>
      </c>
      <c r="R141" s="89">
        <v>87.494399999999999</v>
      </c>
      <c r="S141" s="89">
        <v>90</v>
      </c>
      <c r="T141" s="89">
        <v>98</v>
      </c>
      <c r="U141" s="89">
        <v>99.2</v>
      </c>
      <c r="V141" s="189">
        <v>346.08333333333331</v>
      </c>
      <c r="W141" s="80">
        <v>0</v>
      </c>
      <c r="X141" s="190">
        <v>40</v>
      </c>
      <c r="Y141" s="89">
        <f t="shared" si="7"/>
        <v>415.3</v>
      </c>
      <c r="Z141" s="87">
        <v>12</v>
      </c>
      <c r="AA141" s="116">
        <v>0</v>
      </c>
      <c r="AB141" s="116">
        <v>0</v>
      </c>
      <c r="AC141" s="191">
        <v>20</v>
      </c>
      <c r="AD141" s="16">
        <f>WEEKNUM(tblKPIs[[#This Row],[Production Start Date]])</f>
        <v>8</v>
      </c>
      <c r="AE141" s="16">
        <v>21</v>
      </c>
      <c r="AF141" s="16">
        <v>27</v>
      </c>
      <c r="AG141" s="16">
        <v>23</v>
      </c>
      <c r="AH141" s="16">
        <v>21</v>
      </c>
      <c r="AI141" s="16">
        <v>4</v>
      </c>
      <c r="AJ141" s="16">
        <f t="shared" si="8"/>
        <v>1</v>
      </c>
      <c r="AL141" s="16"/>
      <c r="AM141" s="16"/>
      <c r="AN141" s="16"/>
      <c r="AO141" s="16"/>
      <c r="AP141" s="16"/>
      <c r="AQ141" s="16"/>
      <c r="AR141" s="16"/>
      <c r="AS141" s="16"/>
      <c r="BB141" s="171">
        <v>4262.7837837837833</v>
      </c>
      <c r="BC141" s="171">
        <v>4153</v>
      </c>
    </row>
    <row r="142" spans="2:55" x14ac:dyDescent="0.35">
      <c r="B142" s="1">
        <v>138</v>
      </c>
      <c r="C142" s="158" t="s">
        <v>165</v>
      </c>
      <c r="D142" s="89">
        <v>79.710144927536248</v>
      </c>
      <c r="E142" s="89">
        <v>87.318840579710155</v>
      </c>
      <c r="F142" s="89">
        <v>92.314221048660897</v>
      </c>
      <c r="G142" s="89">
        <v>98.886505261007258</v>
      </c>
      <c r="H142" s="157">
        <v>266.00543478260869</v>
      </c>
      <c r="I142" s="89">
        <v>108.01377067992732</v>
      </c>
      <c r="J142" s="89">
        <v>53.197517539125741</v>
      </c>
      <c r="K142" s="89">
        <f t="shared" si="6"/>
        <v>319.20652173913044</v>
      </c>
      <c r="L142" s="87">
        <v>12</v>
      </c>
      <c r="M142" s="116">
        <v>0</v>
      </c>
      <c r="N142" s="116">
        <v>0</v>
      </c>
      <c r="O142" s="88">
        <v>27</v>
      </c>
      <c r="P142" s="168">
        <v>41691</v>
      </c>
      <c r="Q142" s="16">
        <v>100</v>
      </c>
      <c r="R142" s="89">
        <v>87.494399999999999</v>
      </c>
      <c r="S142" s="89">
        <v>90</v>
      </c>
      <c r="T142" s="89">
        <v>98</v>
      </c>
      <c r="U142" s="89">
        <v>99.2</v>
      </c>
      <c r="V142" s="189">
        <v>330</v>
      </c>
      <c r="W142" s="80">
        <v>0</v>
      </c>
      <c r="X142" s="190">
        <v>40</v>
      </c>
      <c r="Y142" s="89">
        <f t="shared" si="7"/>
        <v>396</v>
      </c>
      <c r="Z142" s="87">
        <v>12</v>
      </c>
      <c r="AA142" s="116">
        <v>0</v>
      </c>
      <c r="AB142" s="116">
        <v>0</v>
      </c>
      <c r="AC142" s="191">
        <v>20</v>
      </c>
      <c r="AD142" s="16">
        <f>WEEKNUM(tblKPIs[[#This Row],[Production Start Date]])</f>
        <v>8</v>
      </c>
      <c r="AE142" s="16">
        <v>22</v>
      </c>
      <c r="AF142" s="16">
        <v>8</v>
      </c>
      <c r="AG142" s="16">
        <v>24</v>
      </c>
      <c r="AH142" s="16">
        <v>18</v>
      </c>
      <c r="AI142" s="16">
        <v>28</v>
      </c>
      <c r="AJ142" s="16">
        <f t="shared" si="8"/>
        <v>1</v>
      </c>
      <c r="AL142" s="16"/>
      <c r="AM142" s="16"/>
      <c r="AN142" s="16"/>
      <c r="AO142" s="16"/>
      <c r="AP142" s="16"/>
      <c r="AQ142" s="16"/>
      <c r="AR142" s="16"/>
      <c r="AS142" s="16"/>
      <c r="BB142" s="172">
        <v>3192.0652173913045</v>
      </c>
      <c r="BC142" s="172">
        <v>3960</v>
      </c>
    </row>
    <row r="143" spans="2:55" x14ac:dyDescent="0.35">
      <c r="B143" s="1">
        <v>139</v>
      </c>
      <c r="C143" s="158" t="s">
        <v>149</v>
      </c>
      <c r="D143" s="89">
        <v>53.767403314917125</v>
      </c>
      <c r="E143" s="89">
        <v>78.285714285714278</v>
      </c>
      <c r="F143" s="89">
        <v>71.529116425374056</v>
      </c>
      <c r="G143" s="89">
        <v>96.018227357103697</v>
      </c>
      <c r="H143" s="157">
        <v>202.70942857142856</v>
      </c>
      <c r="I143" s="89">
        <v>107.14352592950559</v>
      </c>
      <c r="J143" s="89">
        <v>100</v>
      </c>
      <c r="K143" s="89">
        <f t="shared" si="6"/>
        <v>243.2513142857143</v>
      </c>
      <c r="L143" s="87">
        <v>12</v>
      </c>
      <c r="M143" s="116">
        <v>0</v>
      </c>
      <c r="N143" s="116">
        <v>0</v>
      </c>
      <c r="O143" s="88">
        <v>24</v>
      </c>
      <c r="P143" s="168">
        <v>41691</v>
      </c>
      <c r="Q143" s="16">
        <v>44</v>
      </c>
      <c r="R143" s="89">
        <v>87.494399999999999</v>
      </c>
      <c r="S143" s="89">
        <v>90</v>
      </c>
      <c r="T143" s="89">
        <v>98</v>
      </c>
      <c r="U143" s="89">
        <v>99.2</v>
      </c>
      <c r="V143" s="189">
        <v>362</v>
      </c>
      <c r="W143" s="80">
        <v>0</v>
      </c>
      <c r="X143" s="190">
        <v>40</v>
      </c>
      <c r="Y143" s="89">
        <f t="shared" si="7"/>
        <v>434.4</v>
      </c>
      <c r="Z143" s="87">
        <v>12</v>
      </c>
      <c r="AA143" s="116">
        <v>0</v>
      </c>
      <c r="AB143" s="116">
        <v>0</v>
      </c>
      <c r="AC143" s="191">
        <v>20</v>
      </c>
      <c r="AD143" s="16">
        <f>WEEKNUM(tblKPIs[[#This Row],[Production Start Date]])</f>
        <v>8</v>
      </c>
      <c r="AE143" s="16">
        <v>6</v>
      </c>
      <c r="AF143" s="16">
        <v>11</v>
      </c>
      <c r="AG143" s="16">
        <v>1</v>
      </c>
      <c r="AH143" s="16">
        <v>19</v>
      </c>
      <c r="AI143" s="16">
        <v>7</v>
      </c>
      <c r="AJ143" s="16">
        <f t="shared" si="8"/>
        <v>1</v>
      </c>
      <c r="AL143" s="16"/>
      <c r="AM143" s="16"/>
      <c r="AN143" s="16"/>
      <c r="AO143" s="16"/>
      <c r="AP143" s="16"/>
      <c r="AQ143" s="16"/>
      <c r="AR143" s="16"/>
      <c r="AS143" s="16"/>
      <c r="BB143" s="171">
        <v>2432.5131428571431</v>
      </c>
      <c r="BC143" s="171">
        <v>4344</v>
      </c>
    </row>
    <row r="144" spans="2:55" x14ac:dyDescent="0.35">
      <c r="B144" s="1">
        <v>140</v>
      </c>
      <c r="C144" s="158" t="s">
        <v>169</v>
      </c>
      <c r="D144" s="89">
        <v>66.493506493506487</v>
      </c>
      <c r="E144" s="89">
        <v>72.38095238095238</v>
      </c>
      <c r="F144" s="89">
        <v>94.268341307814993</v>
      </c>
      <c r="G144" s="89">
        <v>97.451623136301151</v>
      </c>
      <c r="H144" s="157">
        <v>225.16666666666666</v>
      </c>
      <c r="I144" s="89">
        <v>90.763383688120243</v>
      </c>
      <c r="J144" s="89">
        <v>52.992793764400211</v>
      </c>
      <c r="K144" s="89">
        <f t="shared" si="6"/>
        <v>270.2</v>
      </c>
      <c r="L144" s="87">
        <v>12</v>
      </c>
      <c r="M144" s="116">
        <v>0</v>
      </c>
      <c r="N144" s="116">
        <v>0</v>
      </c>
      <c r="O144" s="88">
        <v>26</v>
      </c>
      <c r="P144" s="168">
        <v>41691</v>
      </c>
      <c r="Q144" s="16">
        <v>101</v>
      </c>
      <c r="R144" s="89">
        <v>87.494399999999999</v>
      </c>
      <c r="S144" s="89">
        <v>90</v>
      </c>
      <c r="T144" s="89">
        <v>98</v>
      </c>
      <c r="U144" s="89">
        <v>99.2</v>
      </c>
      <c r="V144" s="189">
        <v>330</v>
      </c>
      <c r="W144" s="80">
        <v>0</v>
      </c>
      <c r="X144" s="190">
        <v>40</v>
      </c>
      <c r="Y144" s="89">
        <f t="shared" si="7"/>
        <v>396</v>
      </c>
      <c r="Z144" s="87">
        <v>12</v>
      </c>
      <c r="AA144" s="116">
        <v>0</v>
      </c>
      <c r="AB144" s="116">
        <v>0</v>
      </c>
      <c r="AC144" s="191">
        <v>20</v>
      </c>
      <c r="AD144" s="16">
        <f>WEEKNUM(tblKPIs[[#This Row],[Production Start Date]])</f>
        <v>8</v>
      </c>
      <c r="AE144" s="16">
        <v>21</v>
      </c>
      <c r="AF144" s="16">
        <v>20</v>
      </c>
      <c r="AG144" s="16">
        <v>9</v>
      </c>
      <c r="AH144" s="16">
        <v>32</v>
      </c>
      <c r="AI144" s="16">
        <v>19</v>
      </c>
      <c r="AJ144" s="16">
        <f t="shared" si="8"/>
        <v>1</v>
      </c>
      <c r="AL144" s="16"/>
      <c r="AM144" s="16"/>
      <c r="AN144" s="16"/>
      <c r="AO144" s="16"/>
      <c r="AP144" s="16"/>
      <c r="AQ144" s="16"/>
      <c r="AR144" s="16"/>
      <c r="AS144" s="16"/>
      <c r="BB144" s="172">
        <v>2702</v>
      </c>
      <c r="BC144" s="172">
        <v>3960</v>
      </c>
    </row>
    <row r="145" spans="2:55" x14ac:dyDescent="0.35">
      <c r="B145" s="1">
        <v>141</v>
      </c>
      <c r="C145" s="158" t="s">
        <v>146</v>
      </c>
      <c r="D145" s="89">
        <v>77.821790722761591</v>
      </c>
      <c r="E145" s="89">
        <v>82.330097087378633</v>
      </c>
      <c r="F145" s="89">
        <v>96.419636617749831</v>
      </c>
      <c r="G145" s="89">
        <v>98.034085514562264</v>
      </c>
      <c r="H145" s="157">
        <v>214.33242718446604</v>
      </c>
      <c r="I145" s="89">
        <v>94.03548229080144</v>
      </c>
      <c r="J145" s="89">
        <v>0</v>
      </c>
      <c r="K145" s="89">
        <f t="shared" si="6"/>
        <v>257.19891262135923</v>
      </c>
      <c r="L145" s="87">
        <v>12</v>
      </c>
      <c r="M145" s="116">
        <v>0</v>
      </c>
      <c r="N145" s="116">
        <v>0</v>
      </c>
      <c r="O145" s="88">
        <v>21</v>
      </c>
      <c r="P145" s="168">
        <v>41694</v>
      </c>
      <c r="Q145" s="16">
        <v>121</v>
      </c>
      <c r="R145" s="89">
        <v>87.317999999999998</v>
      </c>
      <c r="S145" s="89">
        <v>90</v>
      </c>
      <c r="T145" s="89">
        <v>98</v>
      </c>
      <c r="U145" s="89">
        <v>99</v>
      </c>
      <c r="V145" s="189">
        <v>270</v>
      </c>
      <c r="W145" s="80">
        <v>0</v>
      </c>
      <c r="X145" s="190">
        <v>40</v>
      </c>
      <c r="Y145" s="89">
        <f t="shared" si="7"/>
        <v>324</v>
      </c>
      <c r="Z145" s="87">
        <v>12</v>
      </c>
      <c r="AA145" s="116">
        <v>0</v>
      </c>
      <c r="AB145" s="116">
        <v>0</v>
      </c>
      <c r="AC145" s="191">
        <v>20</v>
      </c>
      <c r="AD145" s="16">
        <f>WEEKNUM(tblKPIs[[#This Row],[Production Start Date]])</f>
        <v>9</v>
      </c>
      <c r="AE145" s="16">
        <v>16</v>
      </c>
      <c r="AF145" s="16">
        <v>7</v>
      </c>
      <c r="AG145" s="16">
        <v>31</v>
      </c>
      <c r="AH145" s="16">
        <v>33</v>
      </c>
      <c r="AI145" s="16">
        <v>34</v>
      </c>
      <c r="AJ145" s="16">
        <f t="shared" si="8"/>
        <v>1</v>
      </c>
      <c r="AL145" s="16"/>
      <c r="AM145" s="16"/>
      <c r="AN145" s="16"/>
      <c r="AO145" s="16"/>
      <c r="AP145" s="16"/>
      <c r="AQ145" s="16"/>
      <c r="AR145" s="16"/>
      <c r="AS145" s="16"/>
      <c r="BB145" s="171">
        <v>2571.989126213592</v>
      </c>
      <c r="BC145" s="171">
        <v>3240</v>
      </c>
    </row>
    <row r="146" spans="2:55" x14ac:dyDescent="0.35">
      <c r="B146" s="1">
        <v>142</v>
      </c>
      <c r="C146" s="158" t="s">
        <v>160</v>
      </c>
      <c r="D146" s="89">
        <v>87.657193652121606</v>
      </c>
      <c r="E146" s="89">
        <v>90.434782608695642</v>
      </c>
      <c r="F146" s="89">
        <v>97.850435793911444</v>
      </c>
      <c r="G146" s="89">
        <v>99.057941653160455</v>
      </c>
      <c r="H146" s="157">
        <v>245.26708074534162</v>
      </c>
      <c r="I146" s="89">
        <v>102.26581134381856</v>
      </c>
      <c r="J146" s="89">
        <v>0</v>
      </c>
      <c r="K146" s="89">
        <f t="shared" si="6"/>
        <v>294.32049689440993</v>
      </c>
      <c r="L146" s="87">
        <v>12</v>
      </c>
      <c r="M146" s="116">
        <v>0</v>
      </c>
      <c r="N146" s="116">
        <v>0</v>
      </c>
      <c r="O146" s="88">
        <v>22</v>
      </c>
      <c r="P146" s="168">
        <v>41694</v>
      </c>
      <c r="Q146" s="16">
        <v>74</v>
      </c>
      <c r="R146" s="89">
        <v>86.87700000000001</v>
      </c>
      <c r="S146" s="89">
        <v>90</v>
      </c>
      <c r="T146" s="89">
        <v>98</v>
      </c>
      <c r="U146" s="89">
        <v>98.5</v>
      </c>
      <c r="V146" s="189">
        <v>277.16666666666669</v>
      </c>
      <c r="W146" s="80">
        <v>0</v>
      </c>
      <c r="X146" s="190">
        <v>40</v>
      </c>
      <c r="Y146" s="89">
        <f t="shared" si="7"/>
        <v>332.6</v>
      </c>
      <c r="Z146" s="87">
        <v>12</v>
      </c>
      <c r="AA146" s="116">
        <v>0</v>
      </c>
      <c r="AB146" s="116">
        <v>0</v>
      </c>
      <c r="AC146" s="191">
        <v>20</v>
      </c>
      <c r="AD146" s="16">
        <f>WEEKNUM(tblKPIs[[#This Row],[Production Start Date]])</f>
        <v>9</v>
      </c>
      <c r="AE146" s="16">
        <v>8</v>
      </c>
      <c r="AF146" s="16">
        <v>21</v>
      </c>
      <c r="AG146" s="16">
        <v>7</v>
      </c>
      <c r="AH146" s="16">
        <v>29</v>
      </c>
      <c r="AI146" s="16">
        <v>9</v>
      </c>
      <c r="AJ146" s="16">
        <f t="shared" si="8"/>
        <v>1</v>
      </c>
      <c r="AL146" s="16"/>
      <c r="AM146" s="16"/>
      <c r="AN146" s="16"/>
      <c r="AO146" s="16"/>
      <c r="AP146" s="16"/>
      <c r="AQ146" s="16"/>
      <c r="AR146" s="16"/>
      <c r="AS146" s="16"/>
      <c r="BB146" s="172">
        <v>2943.2049689440992</v>
      </c>
      <c r="BC146" s="172">
        <v>3326</v>
      </c>
    </row>
    <row r="147" spans="2:55" x14ac:dyDescent="0.35">
      <c r="B147" s="1">
        <v>143</v>
      </c>
      <c r="C147" s="158" t="s">
        <v>160</v>
      </c>
      <c r="D147" s="89">
        <v>81.405137814820534</v>
      </c>
      <c r="E147" s="89">
        <v>100</v>
      </c>
      <c r="F147" s="89">
        <v>82.340684389377572</v>
      </c>
      <c r="G147" s="89">
        <v>98.863810057573758</v>
      </c>
      <c r="H147" s="157">
        <v>228.22093023255815</v>
      </c>
      <c r="I147" s="89">
        <v>91.136619025065244</v>
      </c>
      <c r="J147" s="89">
        <v>100</v>
      </c>
      <c r="K147" s="89">
        <f t="shared" si="6"/>
        <v>273.86511627906981</v>
      </c>
      <c r="L147" s="87">
        <v>12</v>
      </c>
      <c r="M147" s="116">
        <v>0</v>
      </c>
      <c r="N147" s="116">
        <v>0</v>
      </c>
      <c r="O147" s="88">
        <v>24</v>
      </c>
      <c r="P147" s="168">
        <v>41694</v>
      </c>
      <c r="Q147" s="16">
        <v>106</v>
      </c>
      <c r="R147" s="89">
        <v>86.87700000000001</v>
      </c>
      <c r="S147" s="89">
        <v>90</v>
      </c>
      <c r="T147" s="89">
        <v>98</v>
      </c>
      <c r="U147" s="89">
        <v>98.5</v>
      </c>
      <c r="V147" s="189">
        <v>277.16666666666669</v>
      </c>
      <c r="W147" s="80">
        <v>0</v>
      </c>
      <c r="X147" s="190">
        <v>40</v>
      </c>
      <c r="Y147" s="89">
        <f t="shared" si="7"/>
        <v>332.6</v>
      </c>
      <c r="Z147" s="87">
        <v>12</v>
      </c>
      <c r="AA147" s="116">
        <v>0</v>
      </c>
      <c r="AB147" s="116">
        <v>0</v>
      </c>
      <c r="AC147" s="191">
        <v>20</v>
      </c>
      <c r="AD147" s="16">
        <f>WEEKNUM(tblKPIs[[#This Row],[Production Start Date]])</f>
        <v>9</v>
      </c>
      <c r="AE147" s="16">
        <v>19</v>
      </c>
      <c r="AF147" s="16">
        <v>21</v>
      </c>
      <c r="AG147" s="16">
        <v>18</v>
      </c>
      <c r="AH147" s="16">
        <v>16</v>
      </c>
      <c r="AI147" s="16">
        <v>32</v>
      </c>
      <c r="AJ147" s="16">
        <f t="shared" si="8"/>
        <v>1</v>
      </c>
      <c r="AL147" s="16"/>
      <c r="AM147" s="16"/>
      <c r="AN147" s="16"/>
      <c r="AO147" s="16"/>
      <c r="AP147" s="16"/>
      <c r="AQ147" s="16"/>
      <c r="AR147" s="16"/>
      <c r="AS147" s="16"/>
      <c r="BB147" s="171">
        <v>2738.651162790698</v>
      </c>
      <c r="BC147" s="171">
        <v>3326</v>
      </c>
    </row>
    <row r="148" spans="2:55" x14ac:dyDescent="0.35">
      <c r="B148" s="1">
        <v>144</v>
      </c>
      <c r="C148" s="158" t="s">
        <v>147</v>
      </c>
      <c r="D148" s="89">
        <v>81.317776853534127</v>
      </c>
      <c r="E148" s="89">
        <v>83.07692307692308</v>
      </c>
      <c r="F148" s="89">
        <v>99.02808484556617</v>
      </c>
      <c r="G148" s="89">
        <v>98.843181031116217</v>
      </c>
      <c r="H148" s="157">
        <v>284.72097902097903</v>
      </c>
      <c r="I148" s="89">
        <v>115.11765495889674</v>
      </c>
      <c r="J148" s="89">
        <v>0</v>
      </c>
      <c r="K148" s="89">
        <f t="shared" si="6"/>
        <v>341.66517482517486</v>
      </c>
      <c r="L148" s="87">
        <v>12</v>
      </c>
      <c r="M148" s="116">
        <v>0</v>
      </c>
      <c r="N148" s="116">
        <v>0</v>
      </c>
      <c r="O148" s="88">
        <v>22</v>
      </c>
      <c r="P148" s="168">
        <v>41694</v>
      </c>
      <c r="Q148" s="16">
        <v>56</v>
      </c>
      <c r="R148" s="89">
        <v>87.494399999999999</v>
      </c>
      <c r="S148" s="89">
        <v>90</v>
      </c>
      <c r="T148" s="89">
        <v>98</v>
      </c>
      <c r="U148" s="89">
        <v>99.2</v>
      </c>
      <c r="V148" s="189">
        <v>346.08333333333331</v>
      </c>
      <c r="W148" s="80">
        <v>0</v>
      </c>
      <c r="X148" s="190">
        <v>40</v>
      </c>
      <c r="Y148" s="89">
        <f t="shared" si="7"/>
        <v>415.3</v>
      </c>
      <c r="Z148" s="87">
        <v>12</v>
      </c>
      <c r="AA148" s="116">
        <v>0</v>
      </c>
      <c r="AB148" s="116">
        <v>0</v>
      </c>
      <c r="AC148" s="191">
        <v>20</v>
      </c>
      <c r="AD148" s="16">
        <f>WEEKNUM(tblKPIs[[#This Row],[Production Start Date]])</f>
        <v>9</v>
      </c>
      <c r="AE148" s="16">
        <v>15</v>
      </c>
      <c r="AF148" s="16">
        <v>21</v>
      </c>
      <c r="AG148" s="16">
        <v>3</v>
      </c>
      <c r="AH148" s="16">
        <v>16</v>
      </c>
      <c r="AI148" s="16">
        <v>1</v>
      </c>
      <c r="AJ148" s="16">
        <f t="shared" si="8"/>
        <v>1</v>
      </c>
      <c r="AL148" s="16"/>
      <c r="AM148" s="16"/>
      <c r="AN148" s="16"/>
      <c r="AO148" s="16"/>
      <c r="AP148" s="16"/>
      <c r="AQ148" s="16"/>
      <c r="AR148" s="16"/>
      <c r="AS148" s="16"/>
      <c r="BB148" s="172">
        <v>3416.6517482517484</v>
      </c>
      <c r="BC148" s="172">
        <v>4153</v>
      </c>
    </row>
    <row r="149" spans="2:55" x14ac:dyDescent="0.35">
      <c r="B149" s="1">
        <v>145</v>
      </c>
      <c r="C149" s="158" t="s">
        <v>151</v>
      </c>
      <c r="D149" s="89">
        <v>102.3474178403756</v>
      </c>
      <c r="E149" s="89">
        <v>96.056338028169009</v>
      </c>
      <c r="F149" s="89">
        <v>107.01619169361105</v>
      </c>
      <c r="G149" s="89">
        <v>99.563779020405775</v>
      </c>
      <c r="H149" s="157">
        <v>240.54225352112675</v>
      </c>
      <c r="I149" s="89">
        <v>104.32803909590716</v>
      </c>
      <c r="J149" s="89">
        <v>0</v>
      </c>
      <c r="K149" s="89">
        <f t="shared" si="6"/>
        <v>288.65070422535211</v>
      </c>
      <c r="L149" s="87">
        <v>12</v>
      </c>
      <c r="M149" s="116">
        <v>0</v>
      </c>
      <c r="N149" s="116">
        <v>0</v>
      </c>
      <c r="O149" s="88">
        <v>29</v>
      </c>
      <c r="P149" s="168">
        <v>41695</v>
      </c>
      <c r="Q149" s="16">
        <v>86</v>
      </c>
      <c r="R149" s="89">
        <v>86.87700000000001</v>
      </c>
      <c r="S149" s="89">
        <v>90</v>
      </c>
      <c r="T149" s="89">
        <v>98</v>
      </c>
      <c r="U149" s="89">
        <v>98.5</v>
      </c>
      <c r="V149" s="189">
        <v>234</v>
      </c>
      <c r="W149" s="80">
        <v>0</v>
      </c>
      <c r="X149" s="190">
        <v>40</v>
      </c>
      <c r="Y149" s="89">
        <f t="shared" si="7"/>
        <v>280.8</v>
      </c>
      <c r="Z149" s="87">
        <v>12</v>
      </c>
      <c r="AA149" s="116">
        <v>0</v>
      </c>
      <c r="AB149" s="116">
        <v>0</v>
      </c>
      <c r="AC149" s="191">
        <v>20</v>
      </c>
      <c r="AD149" s="16">
        <f>WEEKNUM(tblKPIs[[#This Row],[Production Start Date]])</f>
        <v>9</v>
      </c>
      <c r="AE149" s="16">
        <v>12</v>
      </c>
      <c r="AF149" s="16">
        <v>25</v>
      </c>
      <c r="AG149" s="16">
        <v>10</v>
      </c>
      <c r="AH149" s="16">
        <v>27</v>
      </c>
      <c r="AI149" s="16">
        <v>12</v>
      </c>
      <c r="AJ149" s="16">
        <f t="shared" si="8"/>
        <v>1</v>
      </c>
      <c r="AL149" s="16"/>
      <c r="AM149" s="16"/>
      <c r="AN149" s="16"/>
      <c r="AO149" s="16"/>
      <c r="AP149" s="16"/>
      <c r="AQ149" s="16"/>
      <c r="AR149" s="16"/>
      <c r="AS149" s="16"/>
      <c r="BB149" s="171">
        <v>2886.5070422535209</v>
      </c>
      <c r="BC149" s="171">
        <v>2808</v>
      </c>
    </row>
    <row r="150" spans="2:55" x14ac:dyDescent="0.35">
      <c r="B150" s="1">
        <v>146</v>
      </c>
      <c r="C150" s="158" t="s">
        <v>156</v>
      </c>
      <c r="D150" s="89">
        <v>59.500000000000007</v>
      </c>
      <c r="E150" s="89">
        <v>87.500000000000014</v>
      </c>
      <c r="F150" s="89">
        <v>68.955687830687822</v>
      </c>
      <c r="G150" s="89">
        <v>98.61405511169086</v>
      </c>
      <c r="H150" s="157">
        <v>162.90781250000001</v>
      </c>
      <c r="I150" s="89">
        <v>102.15677475362483</v>
      </c>
      <c r="J150" s="89">
        <v>82.313470205307965</v>
      </c>
      <c r="K150" s="89">
        <f t="shared" si="6"/>
        <v>195.48937500000002</v>
      </c>
      <c r="L150" s="87">
        <v>12</v>
      </c>
      <c r="M150" s="116">
        <v>0</v>
      </c>
      <c r="N150" s="116">
        <v>0</v>
      </c>
      <c r="O150" s="88">
        <v>14</v>
      </c>
      <c r="P150" s="168">
        <v>41696</v>
      </c>
      <c r="Q150" s="16">
        <v>61</v>
      </c>
      <c r="R150" s="89">
        <v>86.87700000000001</v>
      </c>
      <c r="S150" s="89">
        <v>90</v>
      </c>
      <c r="T150" s="89">
        <v>98</v>
      </c>
      <c r="U150" s="89">
        <v>98.5</v>
      </c>
      <c r="V150" s="189">
        <v>270</v>
      </c>
      <c r="W150" s="80">
        <v>0</v>
      </c>
      <c r="X150" s="190">
        <v>40</v>
      </c>
      <c r="Y150" s="89">
        <f t="shared" si="7"/>
        <v>324</v>
      </c>
      <c r="Z150" s="87">
        <v>12</v>
      </c>
      <c r="AA150" s="116">
        <v>0</v>
      </c>
      <c r="AB150" s="116">
        <v>0</v>
      </c>
      <c r="AC150" s="191">
        <v>20</v>
      </c>
      <c r="AD150" s="16">
        <f>WEEKNUM(tblKPIs[[#This Row],[Production Start Date]])</f>
        <v>9</v>
      </c>
      <c r="AE150" s="16">
        <v>10</v>
      </c>
      <c r="AF150" s="16">
        <v>10</v>
      </c>
      <c r="AG150" s="16">
        <v>7</v>
      </c>
      <c r="AH150" s="16">
        <v>21</v>
      </c>
      <c r="AI150" s="16">
        <v>13</v>
      </c>
      <c r="AJ150" s="16">
        <f t="shared" si="8"/>
        <v>1</v>
      </c>
      <c r="AL150" s="16"/>
      <c r="AM150" s="16"/>
      <c r="AN150" s="16"/>
      <c r="AO150" s="16"/>
      <c r="AP150" s="16"/>
      <c r="AQ150" s="16"/>
      <c r="AR150" s="16"/>
      <c r="AS150" s="16"/>
      <c r="BB150" s="172">
        <v>1954.8937500000002</v>
      </c>
      <c r="BC150" s="172">
        <v>3240</v>
      </c>
    </row>
    <row r="151" spans="2:55" x14ac:dyDescent="0.35">
      <c r="B151" s="1">
        <v>147</v>
      </c>
      <c r="C151" s="158" t="s">
        <v>146</v>
      </c>
      <c r="D151" s="89">
        <v>91.116426454052956</v>
      </c>
      <c r="E151" s="89">
        <v>93.836246550137986</v>
      </c>
      <c r="F151" s="89">
        <v>98.08645606390705</v>
      </c>
      <c r="G151" s="89">
        <v>98.995854219874062</v>
      </c>
      <c r="H151" s="157">
        <v>248.50975160993559</v>
      </c>
      <c r="I151" s="89">
        <v>99.76183177915243</v>
      </c>
      <c r="J151" s="89">
        <v>5.4607950030491752</v>
      </c>
      <c r="K151" s="89">
        <f t="shared" si="6"/>
        <v>298.21170193192268</v>
      </c>
      <c r="L151" s="87">
        <v>12</v>
      </c>
      <c r="M151" s="116">
        <v>0</v>
      </c>
      <c r="N151" s="116">
        <v>0</v>
      </c>
      <c r="O151" s="88">
        <v>27</v>
      </c>
      <c r="P151" s="168">
        <v>41696</v>
      </c>
      <c r="Q151" s="16">
        <v>80</v>
      </c>
      <c r="R151" s="89">
        <v>87.317999999999998</v>
      </c>
      <c r="S151" s="89">
        <v>90</v>
      </c>
      <c r="T151" s="89">
        <v>98</v>
      </c>
      <c r="U151" s="89">
        <v>99</v>
      </c>
      <c r="V151" s="189">
        <v>270</v>
      </c>
      <c r="W151" s="80">
        <v>0</v>
      </c>
      <c r="X151" s="190">
        <v>40</v>
      </c>
      <c r="Y151" s="89">
        <f t="shared" si="7"/>
        <v>324</v>
      </c>
      <c r="Z151" s="87">
        <v>12</v>
      </c>
      <c r="AA151" s="116">
        <v>0</v>
      </c>
      <c r="AB151" s="116">
        <v>0</v>
      </c>
      <c r="AC151" s="191">
        <v>20</v>
      </c>
      <c r="AD151" s="16">
        <f>WEEKNUM(tblKPIs[[#This Row],[Production Start Date]])</f>
        <v>9</v>
      </c>
      <c r="AE151" s="16">
        <v>4</v>
      </c>
      <c r="AF151" s="16">
        <v>9</v>
      </c>
      <c r="AG151" s="16">
        <v>32</v>
      </c>
      <c r="AH151" s="16">
        <v>21</v>
      </c>
      <c r="AI151" s="16">
        <v>14</v>
      </c>
      <c r="AJ151" s="16">
        <f t="shared" si="8"/>
        <v>1</v>
      </c>
      <c r="AL151" s="16"/>
      <c r="AM151" s="16"/>
      <c r="AN151" s="16"/>
      <c r="AO151" s="16"/>
      <c r="AP151" s="16"/>
      <c r="AQ151" s="16"/>
      <c r="AR151" s="16"/>
      <c r="AS151" s="16"/>
      <c r="BB151" s="171">
        <v>2982.117019319227</v>
      </c>
      <c r="BC151" s="171">
        <v>3240</v>
      </c>
    </row>
    <row r="152" spans="2:55" x14ac:dyDescent="0.35">
      <c r="B152" s="1">
        <v>148</v>
      </c>
      <c r="C152" s="158" t="s">
        <v>155</v>
      </c>
      <c r="D152" s="89">
        <v>84.184308841843091</v>
      </c>
      <c r="E152" s="89">
        <v>88.219178082191775</v>
      </c>
      <c r="F152" s="89">
        <v>96.367400715226808</v>
      </c>
      <c r="G152" s="89">
        <v>99.0234375</v>
      </c>
      <c r="H152" s="157">
        <v>280.54794520547944</v>
      </c>
      <c r="I152" s="89">
        <v>113.24301907658281</v>
      </c>
      <c r="J152" s="89">
        <v>63.136975132490825</v>
      </c>
      <c r="K152" s="89">
        <f t="shared" si="6"/>
        <v>336.65753424657538</v>
      </c>
      <c r="L152" s="87">
        <v>12</v>
      </c>
      <c r="M152" s="116">
        <v>0</v>
      </c>
      <c r="N152" s="116">
        <v>0</v>
      </c>
      <c r="O152" s="88">
        <v>16</v>
      </c>
      <c r="P152" s="168">
        <v>41696</v>
      </c>
      <c r="Q152" s="16">
        <v>111</v>
      </c>
      <c r="R152" s="89">
        <v>87.494399999999999</v>
      </c>
      <c r="S152" s="89">
        <v>90</v>
      </c>
      <c r="T152" s="89">
        <v>98</v>
      </c>
      <c r="U152" s="89">
        <v>99.2</v>
      </c>
      <c r="V152" s="189">
        <v>330</v>
      </c>
      <c r="W152" s="80">
        <v>0</v>
      </c>
      <c r="X152" s="190">
        <v>40</v>
      </c>
      <c r="Y152" s="89">
        <f t="shared" si="7"/>
        <v>396.00000000000006</v>
      </c>
      <c r="Z152" s="87">
        <v>12</v>
      </c>
      <c r="AA152" s="116">
        <v>0</v>
      </c>
      <c r="AB152" s="116">
        <v>0</v>
      </c>
      <c r="AC152" s="191">
        <v>20</v>
      </c>
      <c r="AD152" s="16">
        <f>WEEKNUM(tblKPIs[[#This Row],[Production Start Date]])</f>
        <v>9</v>
      </c>
      <c r="AE152" s="16">
        <v>30</v>
      </c>
      <c r="AF152" s="16">
        <v>1</v>
      </c>
      <c r="AG152" s="16">
        <v>24</v>
      </c>
      <c r="AH152" s="16">
        <v>30</v>
      </c>
      <c r="AI152" s="16">
        <v>26</v>
      </c>
      <c r="AJ152" s="16">
        <f t="shared" si="8"/>
        <v>1</v>
      </c>
      <c r="AL152" s="16"/>
      <c r="AM152" s="16"/>
      <c r="AN152" s="16"/>
      <c r="AO152" s="16"/>
      <c r="AP152" s="16"/>
      <c r="AQ152" s="16"/>
      <c r="AR152" s="16"/>
      <c r="AS152" s="16"/>
      <c r="BB152" s="172">
        <v>3366.5753424657537</v>
      </c>
      <c r="BC152" s="172">
        <v>3960.0000000000005</v>
      </c>
    </row>
    <row r="153" spans="2:55" x14ac:dyDescent="0.35">
      <c r="B153" s="1">
        <v>149</v>
      </c>
      <c r="C153" s="158" t="s">
        <v>147</v>
      </c>
      <c r="D153" s="89">
        <v>92.612198781233204</v>
      </c>
      <c r="E153" s="89">
        <v>97.633136094674555</v>
      </c>
      <c r="F153" s="89">
        <v>96.55688111551342</v>
      </c>
      <c r="G153" s="89">
        <v>98.23985810046139</v>
      </c>
      <c r="H153" s="157">
        <v>326.25798816568044</v>
      </c>
      <c r="I153" s="89">
        <v>116.16426350252395</v>
      </c>
      <c r="J153" s="89">
        <v>0</v>
      </c>
      <c r="K153" s="89">
        <f t="shared" si="6"/>
        <v>391.50958579881654</v>
      </c>
      <c r="L153" s="87">
        <v>12</v>
      </c>
      <c r="M153" s="116">
        <v>0</v>
      </c>
      <c r="N153" s="116">
        <v>0</v>
      </c>
      <c r="O153" s="88">
        <v>15</v>
      </c>
      <c r="P153" s="168">
        <v>41696</v>
      </c>
      <c r="Q153" s="16">
        <v>97</v>
      </c>
      <c r="R153" s="89">
        <v>87.494399999999999</v>
      </c>
      <c r="S153" s="89">
        <v>90</v>
      </c>
      <c r="T153" s="89">
        <v>98</v>
      </c>
      <c r="U153" s="89">
        <v>99.2</v>
      </c>
      <c r="V153" s="189">
        <v>346.08333333333331</v>
      </c>
      <c r="W153" s="80">
        <v>0</v>
      </c>
      <c r="X153" s="190">
        <v>40</v>
      </c>
      <c r="Y153" s="89">
        <f t="shared" si="7"/>
        <v>415.3</v>
      </c>
      <c r="Z153" s="87">
        <v>12</v>
      </c>
      <c r="AA153" s="116">
        <v>0</v>
      </c>
      <c r="AB153" s="116">
        <v>0</v>
      </c>
      <c r="AC153" s="191">
        <v>20</v>
      </c>
      <c r="AD153" s="16">
        <f>WEEKNUM(tblKPIs[[#This Row],[Production Start Date]])</f>
        <v>9</v>
      </c>
      <c r="AE153" s="16">
        <v>29</v>
      </c>
      <c r="AF153" s="16">
        <v>19</v>
      </c>
      <c r="AG153" s="16">
        <v>18</v>
      </c>
      <c r="AH153" s="16">
        <v>24</v>
      </c>
      <c r="AI153" s="16">
        <v>7</v>
      </c>
      <c r="AJ153" s="16">
        <f t="shared" si="8"/>
        <v>1</v>
      </c>
      <c r="AL153" s="16"/>
      <c r="AM153" s="16"/>
      <c r="AN153" s="16"/>
      <c r="AO153" s="16"/>
      <c r="AP153" s="16"/>
      <c r="AQ153" s="16"/>
      <c r="AR153" s="16"/>
      <c r="AS153" s="16"/>
      <c r="BB153" s="171">
        <v>3915.0958579881653</v>
      </c>
      <c r="BC153" s="171">
        <v>4153</v>
      </c>
    </row>
    <row r="154" spans="2:55" x14ac:dyDescent="0.35">
      <c r="B154" s="1">
        <v>150</v>
      </c>
      <c r="C154" s="158" t="s">
        <v>148</v>
      </c>
      <c r="D154" s="89">
        <v>91.068022886204687</v>
      </c>
      <c r="E154" s="89">
        <v>98.181818181818187</v>
      </c>
      <c r="F154" s="89">
        <v>94.489769489769486</v>
      </c>
      <c r="G154" s="89">
        <v>98.163503049407254</v>
      </c>
      <c r="H154" s="157">
        <v>241.20661157024793</v>
      </c>
      <c r="I154" s="89">
        <v>93.144826705814765</v>
      </c>
      <c r="J154" s="89">
        <v>0</v>
      </c>
      <c r="K154" s="89">
        <f t="shared" si="6"/>
        <v>289.44793388429747</v>
      </c>
      <c r="L154" s="87">
        <v>12</v>
      </c>
      <c r="M154" s="116">
        <v>0</v>
      </c>
      <c r="N154" s="116">
        <v>0</v>
      </c>
      <c r="O154" s="88">
        <v>20</v>
      </c>
      <c r="P154" s="168">
        <v>41696</v>
      </c>
      <c r="Q154" s="16">
        <v>89</v>
      </c>
      <c r="R154" s="89">
        <v>87.097500000000011</v>
      </c>
      <c r="S154" s="89">
        <v>90</v>
      </c>
      <c r="T154" s="89">
        <v>98</v>
      </c>
      <c r="U154" s="89">
        <v>98.75</v>
      </c>
      <c r="V154" s="189">
        <v>260</v>
      </c>
      <c r="W154" s="80">
        <v>0</v>
      </c>
      <c r="X154" s="190">
        <v>40</v>
      </c>
      <c r="Y154" s="89">
        <f t="shared" si="7"/>
        <v>312</v>
      </c>
      <c r="Z154" s="87">
        <v>12</v>
      </c>
      <c r="AA154" s="116">
        <v>0</v>
      </c>
      <c r="AB154" s="116">
        <v>0</v>
      </c>
      <c r="AC154" s="191">
        <v>20</v>
      </c>
      <c r="AD154" s="16">
        <f>WEEKNUM(tblKPIs[[#This Row],[Production Start Date]])</f>
        <v>9</v>
      </c>
      <c r="AE154" s="16">
        <v>29</v>
      </c>
      <c r="AF154" s="16">
        <v>7</v>
      </c>
      <c r="AG154" s="16">
        <v>24</v>
      </c>
      <c r="AH154" s="16">
        <v>24</v>
      </c>
      <c r="AI154" s="16">
        <v>5</v>
      </c>
      <c r="AJ154" s="16">
        <f t="shared" si="8"/>
        <v>1</v>
      </c>
      <c r="AL154" s="16"/>
      <c r="AM154" s="16"/>
      <c r="AN154" s="16"/>
      <c r="AO154" s="16"/>
      <c r="AP154" s="16"/>
      <c r="AQ154" s="16"/>
      <c r="AR154" s="16"/>
      <c r="AS154" s="16"/>
      <c r="BB154" s="172">
        <v>2894.4793388429748</v>
      </c>
      <c r="BC154" s="172">
        <v>3120</v>
      </c>
    </row>
    <row r="155" spans="2:55" x14ac:dyDescent="0.35">
      <c r="B155" s="1">
        <v>151</v>
      </c>
      <c r="C155" s="158" t="s">
        <v>147</v>
      </c>
      <c r="D155" s="89">
        <v>79.899888318259116</v>
      </c>
      <c r="E155" s="89">
        <v>83.460949464012259</v>
      </c>
      <c r="F155" s="89">
        <v>98.247326270971655</v>
      </c>
      <c r="G155" s="89">
        <v>97.441084979968494</v>
      </c>
      <c r="H155" s="157">
        <v>296.83330781010721</v>
      </c>
      <c r="I155" s="89">
        <v>115.61714882195049</v>
      </c>
      <c r="J155" s="89">
        <v>0</v>
      </c>
      <c r="K155" s="89">
        <f t="shared" si="6"/>
        <v>356.19996937212863</v>
      </c>
      <c r="L155" s="87">
        <v>12</v>
      </c>
      <c r="M155" s="116">
        <v>0</v>
      </c>
      <c r="N155" s="116">
        <v>0</v>
      </c>
      <c r="O155" s="88">
        <v>23</v>
      </c>
      <c r="P155" s="168">
        <v>41697</v>
      </c>
      <c r="Q155" s="16">
        <v>65</v>
      </c>
      <c r="R155" s="89">
        <v>87.494399999999999</v>
      </c>
      <c r="S155" s="89">
        <v>90</v>
      </c>
      <c r="T155" s="89">
        <v>98</v>
      </c>
      <c r="U155" s="89">
        <v>99.2</v>
      </c>
      <c r="V155" s="189">
        <v>362</v>
      </c>
      <c r="W155" s="80">
        <v>0</v>
      </c>
      <c r="X155" s="190">
        <v>40</v>
      </c>
      <c r="Y155" s="89">
        <f t="shared" si="7"/>
        <v>434.4</v>
      </c>
      <c r="Z155" s="87">
        <v>12</v>
      </c>
      <c r="AA155" s="116">
        <v>0</v>
      </c>
      <c r="AB155" s="116">
        <v>0</v>
      </c>
      <c r="AC155" s="191">
        <v>20</v>
      </c>
      <c r="AD155" s="16">
        <f>WEEKNUM(tblKPIs[[#This Row],[Production Start Date]])</f>
        <v>9</v>
      </c>
      <c r="AE155" s="16">
        <v>5</v>
      </c>
      <c r="AF155" s="16">
        <v>0</v>
      </c>
      <c r="AG155" s="16">
        <v>16</v>
      </c>
      <c r="AH155" s="16">
        <v>24</v>
      </c>
      <c r="AI155" s="16">
        <v>20</v>
      </c>
      <c r="AJ155" s="16">
        <f t="shared" si="8"/>
        <v>1</v>
      </c>
      <c r="AL155" s="16"/>
      <c r="AM155" s="16"/>
      <c r="AN155" s="16"/>
      <c r="AO155" s="16"/>
      <c r="AP155" s="16"/>
      <c r="AQ155" s="16"/>
      <c r="AR155" s="16"/>
      <c r="AS155" s="16"/>
      <c r="BB155" s="171">
        <v>3561.9996937212863</v>
      </c>
      <c r="BC155" s="171">
        <v>4344</v>
      </c>
    </row>
    <row r="156" spans="2:55" x14ac:dyDescent="0.35">
      <c r="B156" s="1">
        <v>152</v>
      </c>
      <c r="C156" s="158" t="s">
        <v>147</v>
      </c>
      <c r="D156" s="89">
        <v>97.661712234310357</v>
      </c>
      <c r="E156" s="89">
        <v>97.902097902097907</v>
      </c>
      <c r="F156" s="89">
        <v>101.30858931581301</v>
      </c>
      <c r="G156" s="89">
        <v>98.465948331184023</v>
      </c>
      <c r="H156" s="157">
        <v>343.25664335664334</v>
      </c>
      <c r="I156" s="89">
        <v>126.18107503663146</v>
      </c>
      <c r="J156" s="89">
        <v>0</v>
      </c>
      <c r="K156" s="89">
        <f t="shared" si="6"/>
        <v>411.90797202797205</v>
      </c>
      <c r="L156" s="87">
        <v>12</v>
      </c>
      <c r="M156" s="116">
        <v>0</v>
      </c>
      <c r="N156" s="116">
        <v>0</v>
      </c>
      <c r="O156" s="88">
        <v>27</v>
      </c>
      <c r="P156" s="168">
        <v>41697</v>
      </c>
      <c r="Q156" s="16">
        <v>88</v>
      </c>
      <c r="R156" s="89">
        <v>87.494399999999999</v>
      </c>
      <c r="S156" s="89">
        <v>90</v>
      </c>
      <c r="T156" s="89">
        <v>98</v>
      </c>
      <c r="U156" s="89">
        <v>99.2</v>
      </c>
      <c r="V156" s="189">
        <v>346.08333333333331</v>
      </c>
      <c r="W156" s="80">
        <v>0</v>
      </c>
      <c r="X156" s="190">
        <v>40</v>
      </c>
      <c r="Y156" s="89">
        <f t="shared" si="7"/>
        <v>415.3</v>
      </c>
      <c r="Z156" s="87">
        <v>12</v>
      </c>
      <c r="AA156" s="116">
        <v>0</v>
      </c>
      <c r="AB156" s="116">
        <v>0</v>
      </c>
      <c r="AC156" s="191">
        <v>20</v>
      </c>
      <c r="AD156" s="16">
        <f>WEEKNUM(tblKPIs[[#This Row],[Production Start Date]])</f>
        <v>9</v>
      </c>
      <c r="AE156" s="16">
        <v>20</v>
      </c>
      <c r="AF156" s="16">
        <v>27</v>
      </c>
      <c r="AG156" s="16">
        <v>18</v>
      </c>
      <c r="AH156" s="16">
        <v>9</v>
      </c>
      <c r="AI156" s="16">
        <v>14</v>
      </c>
      <c r="AJ156" s="16">
        <f t="shared" si="8"/>
        <v>1</v>
      </c>
      <c r="AL156" s="16"/>
      <c r="AM156" s="16"/>
      <c r="AN156" s="16"/>
      <c r="AO156" s="16"/>
      <c r="AP156" s="16"/>
      <c r="AQ156" s="16"/>
      <c r="AR156" s="16"/>
      <c r="AS156" s="16"/>
      <c r="BB156" s="172">
        <v>4119.0797202797203</v>
      </c>
      <c r="BC156" s="172">
        <v>4153</v>
      </c>
    </row>
    <row r="157" spans="2:55" x14ac:dyDescent="0.35">
      <c r="B157" s="1">
        <v>153</v>
      </c>
      <c r="C157" s="158" t="s">
        <v>147</v>
      </c>
      <c r="D157" s="89">
        <v>52.133623284372746</v>
      </c>
      <c r="E157" s="89">
        <v>52.604166666666664</v>
      </c>
      <c r="F157" s="89">
        <v>102.20239216312675</v>
      </c>
      <c r="G157" s="89">
        <v>96.969845413129747</v>
      </c>
      <c r="H157" s="157">
        <v>186.06380208333331</v>
      </c>
      <c r="I157" s="89">
        <v>133.46128700849914</v>
      </c>
      <c r="J157" s="89">
        <v>0</v>
      </c>
      <c r="K157" s="89">
        <f t="shared" si="6"/>
        <v>223.27656250000001</v>
      </c>
      <c r="L157" s="87">
        <v>12</v>
      </c>
      <c r="M157" s="116">
        <v>0</v>
      </c>
      <c r="N157" s="116">
        <v>0</v>
      </c>
      <c r="O157" s="88">
        <v>15</v>
      </c>
      <c r="P157" s="168">
        <v>41691</v>
      </c>
      <c r="Q157" s="16">
        <v>104</v>
      </c>
      <c r="R157" s="89">
        <v>87.494399999999999</v>
      </c>
      <c r="S157" s="89">
        <v>90</v>
      </c>
      <c r="T157" s="89">
        <v>98</v>
      </c>
      <c r="U157" s="89">
        <v>99.2</v>
      </c>
      <c r="V157" s="189">
        <v>346.08333333333331</v>
      </c>
      <c r="W157" s="80">
        <v>0</v>
      </c>
      <c r="X157" s="190">
        <v>40</v>
      </c>
      <c r="Y157" s="89">
        <f t="shared" si="7"/>
        <v>415.3</v>
      </c>
      <c r="Z157" s="87">
        <v>12</v>
      </c>
      <c r="AA157" s="116">
        <v>0</v>
      </c>
      <c r="AB157" s="116">
        <v>0</v>
      </c>
      <c r="AC157" s="191">
        <v>20</v>
      </c>
      <c r="AD157" s="16">
        <f>WEEKNUM(tblKPIs[[#This Row],[Production Start Date]])</f>
        <v>8</v>
      </c>
      <c r="AE157" s="16">
        <v>34</v>
      </c>
      <c r="AF157" s="16">
        <v>15</v>
      </c>
      <c r="AG157" s="16">
        <v>20</v>
      </c>
      <c r="AH157" s="16">
        <v>27</v>
      </c>
      <c r="AI157" s="16">
        <v>8</v>
      </c>
      <c r="AJ157" s="16">
        <f t="shared" si="8"/>
        <v>1</v>
      </c>
      <c r="AL157" s="16"/>
      <c r="AM157" s="16"/>
      <c r="AN157" s="16"/>
      <c r="AO157" s="16"/>
      <c r="AP157" s="16"/>
      <c r="AQ157" s="16"/>
      <c r="AR157" s="16"/>
      <c r="AS157" s="16"/>
      <c r="BB157" s="171">
        <v>2232.765625</v>
      </c>
      <c r="BC157" s="171">
        <v>4153</v>
      </c>
    </row>
    <row r="158" spans="2:55" x14ac:dyDescent="0.35">
      <c r="B158" s="1">
        <v>154</v>
      </c>
      <c r="C158" s="158" t="s">
        <v>147</v>
      </c>
      <c r="D158" s="89">
        <v>95.085304187980483</v>
      </c>
      <c r="E158" s="89">
        <v>97.073170731707322</v>
      </c>
      <c r="F158" s="89">
        <v>99.484056448870888</v>
      </c>
      <c r="G158" s="89">
        <v>98.460196817496836</v>
      </c>
      <c r="H158" s="157">
        <v>334.22073170731704</v>
      </c>
      <c r="I158" s="89">
        <v>119.85786446830377</v>
      </c>
      <c r="J158" s="89">
        <v>0</v>
      </c>
      <c r="K158" s="89">
        <f t="shared" si="6"/>
        <v>401.06487804878049</v>
      </c>
      <c r="L158" s="87">
        <v>12</v>
      </c>
      <c r="M158" s="116">
        <v>0</v>
      </c>
      <c r="N158" s="116">
        <v>0</v>
      </c>
      <c r="O158" s="88">
        <v>22</v>
      </c>
      <c r="P158" s="168">
        <v>41695</v>
      </c>
      <c r="Q158" s="16">
        <v>55</v>
      </c>
      <c r="R158" s="89">
        <v>87.494399999999999</v>
      </c>
      <c r="S158" s="89">
        <v>90</v>
      </c>
      <c r="T158" s="89">
        <v>98</v>
      </c>
      <c r="U158" s="89">
        <v>99.2</v>
      </c>
      <c r="V158" s="189">
        <v>346.08333333333331</v>
      </c>
      <c r="W158" s="80">
        <v>0</v>
      </c>
      <c r="X158" s="190">
        <v>40</v>
      </c>
      <c r="Y158" s="89">
        <f t="shared" si="7"/>
        <v>415.3</v>
      </c>
      <c r="Z158" s="87">
        <v>12</v>
      </c>
      <c r="AA158" s="116">
        <v>0</v>
      </c>
      <c r="AB158" s="116">
        <v>0</v>
      </c>
      <c r="AC158" s="191">
        <v>20</v>
      </c>
      <c r="AD158" s="16">
        <f>WEEKNUM(tblKPIs[[#This Row],[Production Start Date]])</f>
        <v>9</v>
      </c>
      <c r="AE158" s="16">
        <v>25</v>
      </c>
      <c r="AF158" s="16">
        <v>6</v>
      </c>
      <c r="AG158" s="16">
        <v>5</v>
      </c>
      <c r="AH158" s="16">
        <v>6</v>
      </c>
      <c r="AI158" s="16">
        <v>13</v>
      </c>
      <c r="AJ158" s="16">
        <f t="shared" si="8"/>
        <v>1</v>
      </c>
      <c r="AL158" s="16"/>
      <c r="AM158" s="16"/>
      <c r="AN158" s="16"/>
      <c r="AO158" s="16"/>
      <c r="AP158" s="16"/>
      <c r="AQ158" s="16"/>
      <c r="AR158" s="16"/>
      <c r="AS158" s="16"/>
      <c r="BB158" s="172">
        <v>4010.6487804878047</v>
      </c>
      <c r="BC158" s="172">
        <v>4153</v>
      </c>
    </row>
    <row r="159" spans="2:55" x14ac:dyDescent="0.35">
      <c r="B159" s="1">
        <v>155</v>
      </c>
      <c r="C159" s="158" t="s">
        <v>149</v>
      </c>
      <c r="D159" s="89">
        <v>80.978097868981834</v>
      </c>
      <c r="E159" s="89">
        <v>88.571428571428584</v>
      </c>
      <c r="F159" s="89">
        <v>93.235831402602017</v>
      </c>
      <c r="G159" s="89">
        <v>98.059815969243786</v>
      </c>
      <c r="H159" s="157">
        <v>298.94071428571425</v>
      </c>
      <c r="I159" s="89">
        <v>109.75076966648658</v>
      </c>
      <c r="J159" s="89">
        <v>100</v>
      </c>
      <c r="K159" s="89">
        <f t="shared" si="6"/>
        <v>358.72885714285712</v>
      </c>
      <c r="L159" s="87">
        <v>12</v>
      </c>
      <c r="M159" s="116">
        <v>0</v>
      </c>
      <c r="N159" s="116">
        <v>0</v>
      </c>
      <c r="O159" s="88">
        <v>22</v>
      </c>
      <c r="P159" s="168">
        <v>41698</v>
      </c>
      <c r="Q159" s="16">
        <v>112</v>
      </c>
      <c r="R159" s="89">
        <v>87.494399999999999</v>
      </c>
      <c r="S159" s="89">
        <v>90</v>
      </c>
      <c r="T159" s="89">
        <v>98</v>
      </c>
      <c r="U159" s="89">
        <v>99.2</v>
      </c>
      <c r="V159" s="189">
        <v>362</v>
      </c>
      <c r="W159" s="80">
        <v>0</v>
      </c>
      <c r="X159" s="190">
        <v>40</v>
      </c>
      <c r="Y159" s="89">
        <f t="shared" si="7"/>
        <v>434.4</v>
      </c>
      <c r="Z159" s="87">
        <v>12</v>
      </c>
      <c r="AA159" s="116">
        <v>0</v>
      </c>
      <c r="AB159" s="116">
        <v>0</v>
      </c>
      <c r="AC159" s="191">
        <v>20</v>
      </c>
      <c r="AD159" s="16">
        <f>WEEKNUM(tblKPIs[[#This Row],[Production Start Date]])</f>
        <v>9</v>
      </c>
      <c r="AE159" s="16">
        <v>27</v>
      </c>
      <c r="AF159" s="16">
        <v>29</v>
      </c>
      <c r="AG159" s="16">
        <v>32</v>
      </c>
      <c r="AH159" s="16">
        <v>17</v>
      </c>
      <c r="AI159" s="16">
        <v>7</v>
      </c>
      <c r="AJ159" s="16">
        <f t="shared" si="8"/>
        <v>1</v>
      </c>
      <c r="AL159" s="16"/>
      <c r="AM159" s="16"/>
      <c r="AN159" s="16"/>
      <c r="AO159" s="16"/>
      <c r="AP159" s="16"/>
      <c r="AQ159" s="16"/>
      <c r="AR159" s="16"/>
      <c r="AS159" s="16"/>
      <c r="BB159" s="171">
        <v>3587.2885714285712</v>
      </c>
      <c r="BC159" s="171">
        <v>4344</v>
      </c>
    </row>
    <row r="160" spans="2:55" x14ac:dyDescent="0.35">
      <c r="B160" s="1">
        <v>156</v>
      </c>
      <c r="C160" s="158" t="s">
        <v>147</v>
      </c>
      <c r="D160" s="89">
        <v>86.878453038674024</v>
      </c>
      <c r="E160" s="89">
        <v>89.743589743589737</v>
      </c>
      <c r="F160" s="89">
        <v>97.801894238358329</v>
      </c>
      <c r="G160" s="89">
        <v>98.983173949885</v>
      </c>
      <c r="H160" s="157">
        <v>317.73076923076923</v>
      </c>
      <c r="I160" s="89">
        <v>92.542942494398801</v>
      </c>
      <c r="J160" s="89">
        <v>0</v>
      </c>
      <c r="K160" s="89">
        <f t="shared" si="6"/>
        <v>381.27692307692308</v>
      </c>
      <c r="L160" s="87">
        <v>12</v>
      </c>
      <c r="M160" s="116">
        <v>0</v>
      </c>
      <c r="N160" s="116">
        <v>0</v>
      </c>
      <c r="O160" s="88">
        <v>28</v>
      </c>
      <c r="P160" s="168">
        <v>41698</v>
      </c>
      <c r="Q160" s="16">
        <v>61</v>
      </c>
      <c r="R160" s="89">
        <v>87.494399999999999</v>
      </c>
      <c r="S160" s="89">
        <v>90</v>
      </c>
      <c r="T160" s="89">
        <v>98</v>
      </c>
      <c r="U160" s="89">
        <v>99.2</v>
      </c>
      <c r="V160" s="189">
        <v>362</v>
      </c>
      <c r="W160" s="80">
        <v>0</v>
      </c>
      <c r="X160" s="190">
        <v>40</v>
      </c>
      <c r="Y160" s="89">
        <f t="shared" si="7"/>
        <v>434.4</v>
      </c>
      <c r="Z160" s="87">
        <v>12</v>
      </c>
      <c r="AA160" s="116">
        <v>0</v>
      </c>
      <c r="AB160" s="116">
        <v>0</v>
      </c>
      <c r="AC160" s="191">
        <v>20</v>
      </c>
      <c r="AD160" s="16">
        <f>WEEKNUM(tblKPIs[[#This Row],[Production Start Date]])</f>
        <v>9</v>
      </c>
      <c r="AE160" s="16">
        <v>6</v>
      </c>
      <c r="AF160" s="16">
        <v>18</v>
      </c>
      <c r="AG160" s="16">
        <v>16</v>
      </c>
      <c r="AH160" s="16">
        <v>6</v>
      </c>
      <c r="AI160" s="16">
        <v>15</v>
      </c>
      <c r="AJ160" s="16">
        <f t="shared" si="8"/>
        <v>1</v>
      </c>
      <c r="AL160" s="16"/>
      <c r="AM160" s="16"/>
      <c r="AN160" s="16"/>
      <c r="AO160" s="16"/>
      <c r="AP160" s="16"/>
      <c r="AQ160" s="16"/>
      <c r="AR160" s="16"/>
      <c r="AS160" s="16"/>
      <c r="BB160" s="172">
        <v>3812.7692307692309</v>
      </c>
      <c r="BC160" s="172">
        <v>4344</v>
      </c>
    </row>
    <row r="161" spans="2:55" x14ac:dyDescent="0.35">
      <c r="B161" s="1">
        <v>157</v>
      </c>
      <c r="C161" s="158" t="s">
        <v>147</v>
      </c>
      <c r="D161" s="89">
        <v>80.512166392253064</v>
      </c>
      <c r="E161" s="89">
        <v>86.35135135135134</v>
      </c>
      <c r="F161" s="89">
        <v>95.365418290302046</v>
      </c>
      <c r="G161" s="89">
        <v>97.769063718005853</v>
      </c>
      <c r="H161" s="157">
        <v>284.99729729729722</v>
      </c>
      <c r="I161" s="89">
        <v>119.24235999208435</v>
      </c>
      <c r="J161" s="89">
        <v>0</v>
      </c>
      <c r="K161" s="89">
        <f t="shared" si="6"/>
        <v>341.99675675675667</v>
      </c>
      <c r="L161" s="87">
        <v>12</v>
      </c>
      <c r="M161" s="116">
        <v>0</v>
      </c>
      <c r="N161" s="116">
        <v>0</v>
      </c>
      <c r="O161" s="88">
        <v>20</v>
      </c>
      <c r="P161" s="168">
        <v>41698</v>
      </c>
      <c r="Q161" s="16">
        <v>83</v>
      </c>
      <c r="R161" s="89">
        <v>87.494399999999999</v>
      </c>
      <c r="S161" s="89">
        <v>90</v>
      </c>
      <c r="T161" s="89">
        <v>98</v>
      </c>
      <c r="U161" s="89">
        <v>99.2</v>
      </c>
      <c r="V161" s="189">
        <v>346.08333333333331</v>
      </c>
      <c r="W161" s="80">
        <v>0</v>
      </c>
      <c r="X161" s="190">
        <v>40</v>
      </c>
      <c r="Y161" s="89">
        <f t="shared" si="7"/>
        <v>415.3</v>
      </c>
      <c r="Z161" s="87">
        <v>12</v>
      </c>
      <c r="AA161" s="116">
        <v>0</v>
      </c>
      <c r="AB161" s="116">
        <v>0</v>
      </c>
      <c r="AC161" s="191">
        <v>20</v>
      </c>
      <c r="AD161" s="16">
        <f>WEEKNUM(tblKPIs[[#This Row],[Production Start Date]])</f>
        <v>9</v>
      </c>
      <c r="AE161" s="16">
        <v>15</v>
      </c>
      <c r="AF161" s="16">
        <v>27</v>
      </c>
      <c r="AG161" s="16">
        <v>27</v>
      </c>
      <c r="AH161" s="16">
        <v>6</v>
      </c>
      <c r="AI161" s="16">
        <v>8</v>
      </c>
      <c r="AJ161" s="16">
        <f t="shared" si="8"/>
        <v>1</v>
      </c>
      <c r="AL161" s="16"/>
      <c r="AM161" s="16"/>
      <c r="AN161" s="16"/>
      <c r="AO161" s="16"/>
      <c r="AP161" s="16"/>
      <c r="AQ161" s="16"/>
      <c r="AR161" s="16"/>
      <c r="AS161" s="16"/>
      <c r="BB161" s="171">
        <v>3419.9675675675667</v>
      </c>
      <c r="BC161" s="171">
        <v>4153</v>
      </c>
    </row>
    <row r="162" spans="2:55" x14ac:dyDescent="0.35">
      <c r="B162" s="1">
        <v>158</v>
      </c>
      <c r="C162" s="158" t="s">
        <v>146</v>
      </c>
      <c r="D162" s="89">
        <v>88.959218559218556</v>
      </c>
      <c r="E162" s="89">
        <v>89.010989010989022</v>
      </c>
      <c r="F162" s="89">
        <v>100.94549611339734</v>
      </c>
      <c r="G162" s="89">
        <v>99.00574268530103</v>
      </c>
      <c r="H162" s="89">
        <v>242.601978021978</v>
      </c>
      <c r="I162" s="89">
        <v>106.50447451576332</v>
      </c>
      <c r="J162" s="89">
        <v>0</v>
      </c>
      <c r="K162" s="89">
        <f t="shared" si="6"/>
        <v>291.12237362637359</v>
      </c>
      <c r="L162" s="87">
        <v>12</v>
      </c>
      <c r="M162" s="116">
        <v>0</v>
      </c>
      <c r="N162" s="116">
        <v>0</v>
      </c>
      <c r="O162" s="88">
        <v>23</v>
      </c>
      <c r="P162" s="168">
        <v>41701</v>
      </c>
      <c r="Q162" s="16">
        <v>82</v>
      </c>
      <c r="R162" s="89">
        <v>87.317999999999998</v>
      </c>
      <c r="S162" s="89">
        <v>90</v>
      </c>
      <c r="T162" s="89">
        <v>98</v>
      </c>
      <c r="U162" s="89">
        <v>99</v>
      </c>
      <c r="V162" s="89">
        <v>270</v>
      </c>
      <c r="W162" s="80">
        <v>0</v>
      </c>
      <c r="X162" s="190">
        <v>40</v>
      </c>
      <c r="Y162" s="89">
        <f t="shared" si="7"/>
        <v>324</v>
      </c>
      <c r="Z162" s="87">
        <v>12</v>
      </c>
      <c r="AA162" s="116">
        <v>0</v>
      </c>
      <c r="AB162" s="116">
        <v>0</v>
      </c>
      <c r="AC162" s="191">
        <v>20</v>
      </c>
      <c r="AD162" s="16">
        <f>WEEKNUM(tblKPIs[[#This Row],[Production Start Date]])</f>
        <v>10</v>
      </c>
      <c r="AE162" s="16">
        <v>20</v>
      </c>
      <c r="AF162" s="16">
        <v>29</v>
      </c>
      <c r="AG162" s="16">
        <v>6</v>
      </c>
      <c r="AH162" s="16">
        <v>16</v>
      </c>
      <c r="AI162" s="16">
        <v>11</v>
      </c>
      <c r="AJ162" s="16">
        <f t="shared" si="8"/>
        <v>1</v>
      </c>
      <c r="AL162" s="16"/>
      <c r="AM162" s="16"/>
      <c r="AN162" s="16"/>
      <c r="AO162" s="16"/>
      <c r="AP162" s="16"/>
      <c r="AQ162" s="16"/>
      <c r="AR162" s="16"/>
      <c r="AS162" s="16"/>
      <c r="BB162" s="172">
        <v>2911.2237362637361</v>
      </c>
      <c r="BC162" s="172">
        <v>3240</v>
      </c>
    </row>
    <row r="163" spans="2:55" x14ac:dyDescent="0.35">
      <c r="B163" s="1">
        <v>159</v>
      </c>
      <c r="C163" s="158" t="s">
        <v>147</v>
      </c>
      <c r="D163" s="89">
        <v>96.862427864519233</v>
      </c>
      <c r="E163" s="89">
        <v>98.12734082397003</v>
      </c>
      <c r="F163" s="89">
        <v>99.892655543771369</v>
      </c>
      <c r="G163" s="89">
        <v>98.817022075262344</v>
      </c>
      <c r="H163" s="89">
        <v>339.23782771535582</v>
      </c>
      <c r="I163" s="89">
        <v>121.71512346674407</v>
      </c>
      <c r="J163" s="89">
        <v>25.686629153269024</v>
      </c>
      <c r="K163" s="89">
        <f t="shared" si="6"/>
        <v>407.08539325842696</v>
      </c>
      <c r="L163" s="87">
        <v>12</v>
      </c>
      <c r="M163" s="116">
        <v>0</v>
      </c>
      <c r="N163" s="116">
        <v>0</v>
      </c>
      <c r="O163" s="88">
        <v>26</v>
      </c>
      <c r="P163" s="168">
        <v>41701</v>
      </c>
      <c r="Q163" s="16">
        <v>53</v>
      </c>
      <c r="R163" s="89">
        <v>87.494399999999999</v>
      </c>
      <c r="S163" s="89">
        <v>90</v>
      </c>
      <c r="T163" s="89">
        <v>98</v>
      </c>
      <c r="U163" s="89">
        <v>99.2</v>
      </c>
      <c r="V163" s="89">
        <v>346.08333333333331</v>
      </c>
      <c r="W163" s="80">
        <v>0</v>
      </c>
      <c r="X163" s="190">
        <v>40</v>
      </c>
      <c r="Y163" s="89">
        <f t="shared" si="7"/>
        <v>415.3</v>
      </c>
      <c r="Z163" s="87">
        <v>12</v>
      </c>
      <c r="AA163" s="116">
        <v>0</v>
      </c>
      <c r="AB163" s="116">
        <v>0</v>
      </c>
      <c r="AC163" s="191">
        <v>20</v>
      </c>
      <c r="AD163" s="16">
        <f>WEEKNUM(tblKPIs[[#This Row],[Production Start Date]])</f>
        <v>10</v>
      </c>
      <c r="AE163" s="16">
        <v>5</v>
      </c>
      <c r="AF163" s="16">
        <v>12</v>
      </c>
      <c r="AG163" s="16">
        <v>16</v>
      </c>
      <c r="AH163" s="16">
        <v>12</v>
      </c>
      <c r="AI163" s="16">
        <v>8</v>
      </c>
      <c r="AJ163" s="16">
        <f t="shared" si="8"/>
        <v>1</v>
      </c>
      <c r="AL163" s="16"/>
      <c r="AM163" s="16"/>
      <c r="AN163" s="16"/>
      <c r="AO163" s="16"/>
      <c r="AP163" s="16"/>
      <c r="AQ163" s="16"/>
      <c r="AR163" s="16"/>
      <c r="AS163" s="16"/>
      <c r="BB163" s="171">
        <v>4070.8539325842698</v>
      </c>
      <c r="BC163" s="171">
        <v>4153</v>
      </c>
    </row>
    <row r="164" spans="2:55" x14ac:dyDescent="0.35">
      <c r="B164" s="1">
        <v>160</v>
      </c>
      <c r="C164" s="158" t="s">
        <v>148</v>
      </c>
      <c r="D164" s="89">
        <v>82.816377171215876</v>
      </c>
      <c r="E164" s="89">
        <v>91.505376344086017</v>
      </c>
      <c r="F164" s="89">
        <v>91.561963301093726</v>
      </c>
      <c r="G164" s="89">
        <v>98.844957796534871</v>
      </c>
      <c r="H164" s="89">
        <v>217.83870967741936</v>
      </c>
      <c r="I164" s="89">
        <v>93.857932104842533</v>
      </c>
      <c r="J164" s="89">
        <v>16.917797672730472</v>
      </c>
      <c r="K164" s="89">
        <f t="shared" si="6"/>
        <v>261.4064516129032</v>
      </c>
      <c r="L164" s="87">
        <v>12</v>
      </c>
      <c r="M164" s="116">
        <v>0</v>
      </c>
      <c r="N164" s="116">
        <v>0</v>
      </c>
      <c r="O164" s="88">
        <v>25</v>
      </c>
      <c r="P164" s="168">
        <v>41701</v>
      </c>
      <c r="Q164" s="16">
        <v>87</v>
      </c>
      <c r="R164" s="89">
        <v>87.097500000000011</v>
      </c>
      <c r="S164" s="89">
        <v>90</v>
      </c>
      <c r="T164" s="89">
        <v>98</v>
      </c>
      <c r="U164" s="89">
        <v>98.75</v>
      </c>
      <c r="V164" s="89">
        <v>260</v>
      </c>
      <c r="W164" s="80">
        <v>0</v>
      </c>
      <c r="X164" s="190">
        <v>40</v>
      </c>
      <c r="Y164" s="89">
        <f t="shared" si="7"/>
        <v>312</v>
      </c>
      <c r="Z164" s="87">
        <v>12</v>
      </c>
      <c r="AA164" s="116">
        <v>0</v>
      </c>
      <c r="AB164" s="116">
        <v>0</v>
      </c>
      <c r="AC164" s="191">
        <v>20</v>
      </c>
      <c r="AD164" s="16">
        <f>WEEKNUM(tblKPIs[[#This Row],[Production Start Date]])</f>
        <v>10</v>
      </c>
      <c r="AE164" s="16">
        <v>26</v>
      </c>
      <c r="AF164" s="16">
        <v>10</v>
      </c>
      <c r="AG164" s="16">
        <v>34</v>
      </c>
      <c r="AH164" s="16">
        <v>6</v>
      </c>
      <c r="AI164" s="16">
        <v>11</v>
      </c>
      <c r="AJ164" s="16">
        <f t="shared" si="8"/>
        <v>1</v>
      </c>
      <c r="AL164" s="16"/>
      <c r="AM164" s="16"/>
      <c r="AN164" s="16"/>
      <c r="AO164" s="16"/>
      <c r="AP164" s="16"/>
      <c r="AQ164" s="16"/>
      <c r="AR164" s="16"/>
      <c r="AS164" s="16"/>
      <c r="BB164" s="172">
        <v>2614.0645161290322</v>
      </c>
      <c r="BC164" s="172">
        <v>3120</v>
      </c>
    </row>
    <row r="165" spans="2:55" x14ac:dyDescent="0.35">
      <c r="B165" s="1">
        <v>161</v>
      </c>
      <c r="C165" s="158" t="s">
        <v>147</v>
      </c>
      <c r="D165" s="89">
        <v>97.749433676439295</v>
      </c>
      <c r="E165" s="89">
        <v>95.145631067961162</v>
      </c>
      <c r="F165" s="89">
        <v>103.76532987382288</v>
      </c>
      <c r="G165" s="89">
        <v>99.008647498413509</v>
      </c>
      <c r="H165" s="89">
        <v>341.6817691477886</v>
      </c>
      <c r="I165" s="89">
        <v>183.14302854210484</v>
      </c>
      <c r="J165" s="89">
        <v>37.755102040816325</v>
      </c>
      <c r="K165" s="89">
        <f t="shared" si="6"/>
        <v>410.01812297734631</v>
      </c>
      <c r="L165" s="87">
        <v>12</v>
      </c>
      <c r="M165" s="116">
        <v>0</v>
      </c>
      <c r="N165" s="116">
        <v>0</v>
      </c>
      <c r="O165" s="88">
        <v>26</v>
      </c>
      <c r="P165" s="168">
        <v>41702</v>
      </c>
      <c r="Q165" s="16">
        <v>41</v>
      </c>
      <c r="R165" s="89">
        <v>87.494399999999999</v>
      </c>
      <c r="S165" s="89">
        <v>90</v>
      </c>
      <c r="T165" s="89">
        <v>98</v>
      </c>
      <c r="U165" s="89">
        <v>99.2</v>
      </c>
      <c r="V165" s="89">
        <v>346.08333333333331</v>
      </c>
      <c r="W165" s="80">
        <v>0</v>
      </c>
      <c r="X165" s="190">
        <v>40</v>
      </c>
      <c r="Y165" s="89">
        <f t="shared" si="7"/>
        <v>415.3</v>
      </c>
      <c r="Z165" s="87">
        <v>12</v>
      </c>
      <c r="AA165" s="116">
        <v>0</v>
      </c>
      <c r="AB165" s="116">
        <v>0</v>
      </c>
      <c r="AC165" s="191">
        <v>20</v>
      </c>
      <c r="AD165" s="16">
        <f>WEEKNUM(tblKPIs[[#This Row],[Production Start Date]])</f>
        <v>10</v>
      </c>
      <c r="AE165" s="16">
        <v>1</v>
      </c>
      <c r="AF165" s="16">
        <v>6</v>
      </c>
      <c r="AG165" s="16">
        <v>1</v>
      </c>
      <c r="AH165" s="16">
        <v>7</v>
      </c>
      <c r="AI165" s="16">
        <v>26</v>
      </c>
      <c r="AJ165" s="16">
        <f t="shared" si="8"/>
        <v>1</v>
      </c>
      <c r="AL165" s="16"/>
      <c r="AM165" s="16"/>
      <c r="AN165" s="16"/>
      <c r="AO165" s="16"/>
      <c r="AP165" s="16"/>
      <c r="AQ165" s="16"/>
      <c r="AR165" s="16"/>
      <c r="AS165" s="16"/>
      <c r="BB165" s="171">
        <v>4100.1812297734632</v>
      </c>
      <c r="BC165" s="171">
        <v>4153</v>
      </c>
    </row>
    <row r="166" spans="2:55" x14ac:dyDescent="0.35">
      <c r="B166" s="1">
        <v>162</v>
      </c>
      <c r="C166" s="158" t="s">
        <v>146</v>
      </c>
      <c r="D166" s="89">
        <v>77.995753715498921</v>
      </c>
      <c r="E166" s="89">
        <v>88.535031847133752</v>
      </c>
      <c r="F166" s="89">
        <v>90.553956834532386</v>
      </c>
      <c r="G166" s="89">
        <v>97.28555917480999</v>
      </c>
      <c r="H166" s="89">
        <v>216.46433121019109</v>
      </c>
      <c r="I166" s="89">
        <v>183.40474905558551</v>
      </c>
      <c r="J166" s="89">
        <v>15.824192113845243</v>
      </c>
      <c r="K166" s="89">
        <f t="shared" si="6"/>
        <v>259.75719745222926</v>
      </c>
      <c r="L166" s="87">
        <v>12</v>
      </c>
      <c r="M166" s="116">
        <v>0</v>
      </c>
      <c r="N166" s="116">
        <v>0</v>
      </c>
      <c r="O166" s="88">
        <v>22</v>
      </c>
      <c r="P166" s="168">
        <v>41702</v>
      </c>
      <c r="Q166" s="16">
        <v>66</v>
      </c>
      <c r="R166" s="89">
        <v>87.317999999999998</v>
      </c>
      <c r="S166" s="89">
        <v>90</v>
      </c>
      <c r="T166" s="89">
        <v>98</v>
      </c>
      <c r="U166" s="89">
        <v>99</v>
      </c>
      <c r="V166" s="89">
        <v>270</v>
      </c>
      <c r="W166" s="80">
        <v>0</v>
      </c>
      <c r="X166" s="190">
        <v>40</v>
      </c>
      <c r="Y166" s="89">
        <f t="shared" si="7"/>
        <v>324</v>
      </c>
      <c r="Z166" s="87">
        <v>12</v>
      </c>
      <c r="AA166" s="116">
        <v>0</v>
      </c>
      <c r="AB166" s="116">
        <v>0</v>
      </c>
      <c r="AC166" s="191">
        <v>20</v>
      </c>
      <c r="AD166" s="16">
        <f>WEEKNUM(tblKPIs[[#This Row],[Production Start Date]])</f>
        <v>10</v>
      </c>
      <c r="AE166" s="16">
        <v>7</v>
      </c>
      <c r="AF166" s="16">
        <v>21</v>
      </c>
      <c r="AG166" s="16">
        <v>16</v>
      </c>
      <c r="AH166" s="16">
        <v>16</v>
      </c>
      <c r="AI166" s="16">
        <v>6</v>
      </c>
      <c r="AJ166" s="16">
        <f t="shared" si="8"/>
        <v>1</v>
      </c>
      <c r="AL166" s="16"/>
      <c r="AM166" s="16"/>
      <c r="AN166" s="16"/>
      <c r="AO166" s="16"/>
      <c r="AP166" s="16"/>
      <c r="AQ166" s="16"/>
      <c r="AR166" s="16"/>
      <c r="AS166" s="16"/>
      <c r="BB166" s="172">
        <v>2597.5719745222927</v>
      </c>
      <c r="BC166" s="172">
        <v>3240</v>
      </c>
    </row>
    <row r="167" spans="2:55" x14ac:dyDescent="0.35">
      <c r="B167" s="1">
        <v>163</v>
      </c>
      <c r="C167" s="158" t="s">
        <v>160</v>
      </c>
      <c r="D167" s="89">
        <v>80.778944447014212</v>
      </c>
      <c r="E167" s="89">
        <v>94.065934065934059</v>
      </c>
      <c r="F167" s="89">
        <v>86.507044469796185</v>
      </c>
      <c r="G167" s="89">
        <v>99.269155436021876</v>
      </c>
      <c r="H167" s="89">
        <v>225.54065934065935</v>
      </c>
      <c r="I167" s="89">
        <v>142.60244848046912</v>
      </c>
      <c r="J167" s="89">
        <v>0</v>
      </c>
      <c r="K167" s="89">
        <f t="shared" si="6"/>
        <v>270.64879120879124</v>
      </c>
      <c r="L167" s="87">
        <v>12</v>
      </c>
      <c r="M167" s="116">
        <v>0</v>
      </c>
      <c r="N167" s="116">
        <v>0</v>
      </c>
      <c r="O167" s="88">
        <v>29</v>
      </c>
      <c r="P167" s="168">
        <v>41703</v>
      </c>
      <c r="Q167" s="16">
        <v>74</v>
      </c>
      <c r="R167" s="89">
        <v>86.87700000000001</v>
      </c>
      <c r="S167" s="89">
        <v>90</v>
      </c>
      <c r="T167" s="89">
        <v>98</v>
      </c>
      <c r="U167" s="89">
        <v>98.5</v>
      </c>
      <c r="V167" s="89">
        <v>277.16666666666669</v>
      </c>
      <c r="W167" s="80">
        <v>0</v>
      </c>
      <c r="X167" s="190">
        <v>40</v>
      </c>
      <c r="Y167" s="89">
        <f t="shared" si="7"/>
        <v>332.6</v>
      </c>
      <c r="Z167" s="87">
        <v>12</v>
      </c>
      <c r="AA167" s="116">
        <v>0</v>
      </c>
      <c r="AB167" s="116">
        <v>0</v>
      </c>
      <c r="AC167" s="191">
        <v>20</v>
      </c>
      <c r="AD167" s="16">
        <f>WEEKNUM(tblKPIs[[#This Row],[Production Start Date]])</f>
        <v>10</v>
      </c>
      <c r="AE167" s="16">
        <v>20</v>
      </c>
      <c r="AF167" s="16">
        <v>3</v>
      </c>
      <c r="AG167" s="16">
        <v>19</v>
      </c>
      <c r="AH167" s="16">
        <v>16</v>
      </c>
      <c r="AI167" s="16">
        <v>16</v>
      </c>
      <c r="AJ167" s="16">
        <f t="shared" si="8"/>
        <v>1</v>
      </c>
      <c r="AL167" s="16"/>
      <c r="AM167" s="16"/>
      <c r="AN167" s="16"/>
      <c r="AO167" s="16"/>
      <c r="AP167" s="16"/>
      <c r="AQ167" s="16"/>
      <c r="AR167" s="16"/>
      <c r="AS167" s="16"/>
      <c r="BB167" s="171">
        <v>2706.4879120879123</v>
      </c>
      <c r="BC167" s="171">
        <v>3326</v>
      </c>
    </row>
    <row r="168" spans="2:55" x14ac:dyDescent="0.35">
      <c r="B168" s="1">
        <v>164</v>
      </c>
      <c r="C168" s="158" t="s">
        <v>170</v>
      </c>
      <c r="D168" s="89">
        <v>61.005847953216353</v>
      </c>
      <c r="E168" s="89">
        <v>69.473684210526315</v>
      </c>
      <c r="F168" s="89">
        <v>88.968855218855197</v>
      </c>
      <c r="G168" s="89">
        <v>98.699086995600553</v>
      </c>
      <c r="H168" s="89">
        <v>133.50947368421052</v>
      </c>
      <c r="I168" s="89">
        <v>216.71764203331909</v>
      </c>
      <c r="J168" s="89">
        <v>94.630240226095154</v>
      </c>
      <c r="K168" s="89">
        <f t="shared" si="6"/>
        <v>160.21136842105261</v>
      </c>
      <c r="L168" s="87">
        <v>12</v>
      </c>
      <c r="M168" s="116">
        <v>0</v>
      </c>
      <c r="N168" s="116">
        <v>0</v>
      </c>
      <c r="O168" s="88">
        <v>14</v>
      </c>
      <c r="P168" s="168">
        <v>41703</v>
      </c>
      <c r="Q168" s="16">
        <v>65</v>
      </c>
      <c r="R168" s="89">
        <v>86.87700000000001</v>
      </c>
      <c r="S168" s="89">
        <v>90</v>
      </c>
      <c r="T168" s="89">
        <v>98</v>
      </c>
      <c r="U168" s="89">
        <v>98.5</v>
      </c>
      <c r="V168" s="89">
        <v>216</v>
      </c>
      <c r="W168" s="80">
        <v>0</v>
      </c>
      <c r="X168" s="190">
        <v>40</v>
      </c>
      <c r="Y168" s="89">
        <f t="shared" si="7"/>
        <v>259.2</v>
      </c>
      <c r="Z168" s="87">
        <v>12</v>
      </c>
      <c r="AA168" s="116">
        <v>0</v>
      </c>
      <c r="AB168" s="116">
        <v>0</v>
      </c>
      <c r="AC168" s="191">
        <v>20</v>
      </c>
      <c r="AD168" s="16">
        <f>WEEKNUM(tblKPIs[[#This Row],[Production Start Date]])</f>
        <v>10</v>
      </c>
      <c r="AE168" s="16">
        <v>33</v>
      </c>
      <c r="AF168" s="16">
        <v>6</v>
      </c>
      <c r="AG168" s="16">
        <v>5</v>
      </c>
      <c r="AH168" s="16">
        <v>21</v>
      </c>
      <c r="AI168" s="16">
        <v>0</v>
      </c>
      <c r="AJ168" s="16">
        <f t="shared" si="8"/>
        <v>1</v>
      </c>
      <c r="AL168" s="16"/>
      <c r="AM168" s="16"/>
      <c r="AN168" s="16"/>
      <c r="AO168" s="16"/>
      <c r="AP168" s="16"/>
      <c r="AQ168" s="16"/>
      <c r="AR168" s="16"/>
      <c r="AS168" s="16"/>
      <c r="BB168" s="172">
        <v>1602.1136842105261</v>
      </c>
      <c r="BC168" s="172">
        <v>2592</v>
      </c>
    </row>
    <row r="169" spans="2:55" x14ac:dyDescent="0.35">
      <c r="B169" s="1">
        <v>165</v>
      </c>
      <c r="C169" s="158" t="s">
        <v>159</v>
      </c>
      <c r="D169" s="89">
        <v>27.089947089947092</v>
      </c>
      <c r="E169" s="89">
        <v>54.285714285714285</v>
      </c>
      <c r="F169" s="89">
        <v>56.725146198830409</v>
      </c>
      <c r="G169" s="89">
        <v>87.972508591065292</v>
      </c>
      <c r="H169" s="89">
        <v>66.514285714285705</v>
      </c>
      <c r="I169" s="89">
        <v>119.58904109589041</v>
      </c>
      <c r="J169" s="89">
        <v>0</v>
      </c>
      <c r="K169" s="89">
        <f t="shared" si="6"/>
        <v>79.817142857142855</v>
      </c>
      <c r="L169" s="87">
        <v>12</v>
      </c>
      <c r="M169" s="116">
        <v>0</v>
      </c>
      <c r="N169" s="116">
        <v>0</v>
      </c>
      <c r="O169" s="88">
        <v>27</v>
      </c>
      <c r="P169" s="168">
        <v>41703</v>
      </c>
      <c r="Q169" s="16">
        <v>95</v>
      </c>
      <c r="R169" s="89">
        <v>86.87700000000001</v>
      </c>
      <c r="S169" s="89">
        <v>90</v>
      </c>
      <c r="T169" s="89">
        <v>98</v>
      </c>
      <c r="U169" s="89">
        <v>98.5</v>
      </c>
      <c r="V169" s="89">
        <v>216</v>
      </c>
      <c r="W169" s="80">
        <v>0</v>
      </c>
      <c r="X169" s="190">
        <v>40</v>
      </c>
      <c r="Y169" s="89">
        <f t="shared" si="7"/>
        <v>259.2</v>
      </c>
      <c r="Z169" s="87">
        <v>12</v>
      </c>
      <c r="AA169" s="116">
        <v>0</v>
      </c>
      <c r="AB169" s="116">
        <v>0</v>
      </c>
      <c r="AC169" s="191">
        <v>20</v>
      </c>
      <c r="AD169" s="16">
        <f>WEEKNUM(tblKPIs[[#This Row],[Production Start Date]])</f>
        <v>10</v>
      </c>
      <c r="AE169" s="16">
        <v>0</v>
      </c>
      <c r="AF169" s="16">
        <v>30</v>
      </c>
      <c r="AG169" s="16">
        <v>31</v>
      </c>
      <c r="AH169" s="16">
        <v>20</v>
      </c>
      <c r="AI169" s="16">
        <v>14</v>
      </c>
      <c r="AJ169" s="16">
        <f t="shared" si="8"/>
        <v>1</v>
      </c>
      <c r="AL169" s="16"/>
      <c r="AM169" s="16"/>
      <c r="AN169" s="16"/>
      <c r="AO169" s="16"/>
      <c r="AP169" s="16"/>
      <c r="AQ169" s="16"/>
      <c r="AR169" s="16"/>
      <c r="AS169" s="16"/>
      <c r="BB169" s="171">
        <v>798.17142857142858</v>
      </c>
      <c r="BC169" s="171">
        <v>2592</v>
      </c>
    </row>
    <row r="170" spans="2:55" x14ac:dyDescent="0.35">
      <c r="B170" s="1">
        <v>166</v>
      </c>
      <c r="C170" s="158" t="s">
        <v>146</v>
      </c>
      <c r="D170" s="89">
        <v>92.295260295260277</v>
      </c>
      <c r="E170" s="89">
        <v>91.328671328671334</v>
      </c>
      <c r="F170" s="89">
        <v>102.44228914979297</v>
      </c>
      <c r="G170" s="89">
        <v>98.649067635203963</v>
      </c>
      <c r="H170" s="89">
        <v>252.60979020979019</v>
      </c>
      <c r="I170" s="89">
        <v>180.96526295750797</v>
      </c>
      <c r="J170" s="89">
        <v>0</v>
      </c>
      <c r="K170" s="89">
        <f t="shared" si="6"/>
        <v>303.13174825174826</v>
      </c>
      <c r="L170" s="87">
        <v>12</v>
      </c>
      <c r="M170" s="116">
        <v>0</v>
      </c>
      <c r="N170" s="116">
        <v>0</v>
      </c>
      <c r="O170" s="88">
        <v>30</v>
      </c>
      <c r="P170" s="168">
        <v>41703</v>
      </c>
      <c r="Q170" s="16">
        <v>90</v>
      </c>
      <c r="R170" s="89">
        <v>87.317999999999998</v>
      </c>
      <c r="S170" s="89">
        <v>90</v>
      </c>
      <c r="T170" s="89">
        <v>98</v>
      </c>
      <c r="U170" s="89">
        <v>99</v>
      </c>
      <c r="V170" s="89">
        <v>270</v>
      </c>
      <c r="W170" s="80">
        <v>0</v>
      </c>
      <c r="X170" s="190">
        <v>40</v>
      </c>
      <c r="Y170" s="89">
        <f t="shared" si="7"/>
        <v>324</v>
      </c>
      <c r="Z170" s="87">
        <v>12</v>
      </c>
      <c r="AA170" s="116">
        <v>0</v>
      </c>
      <c r="AB170" s="116">
        <v>0</v>
      </c>
      <c r="AC170" s="191">
        <v>20</v>
      </c>
      <c r="AD170" s="16">
        <f>WEEKNUM(tblKPIs[[#This Row],[Production Start Date]])</f>
        <v>10</v>
      </c>
      <c r="AE170" s="16">
        <v>21</v>
      </c>
      <c r="AF170" s="16">
        <v>2</v>
      </c>
      <c r="AG170" s="16">
        <v>28</v>
      </c>
      <c r="AH170" s="16">
        <v>6</v>
      </c>
      <c r="AI170" s="16">
        <v>33</v>
      </c>
      <c r="AJ170" s="16">
        <f t="shared" si="8"/>
        <v>1</v>
      </c>
      <c r="AL170" s="16"/>
      <c r="AM170" s="16"/>
      <c r="AN170" s="16"/>
      <c r="AO170" s="16"/>
      <c r="AP170" s="16"/>
      <c r="AQ170" s="16"/>
      <c r="AR170" s="16"/>
      <c r="AS170" s="16"/>
      <c r="BB170" s="172">
        <v>3031.3174825174824</v>
      </c>
      <c r="BC170" s="172">
        <v>3240</v>
      </c>
    </row>
    <row r="171" spans="2:55" x14ac:dyDescent="0.35">
      <c r="B171" s="1">
        <v>167</v>
      </c>
      <c r="C171" s="158" t="s">
        <v>151</v>
      </c>
      <c r="D171" s="89">
        <v>90.458715596330279</v>
      </c>
      <c r="E171" s="89">
        <v>88.073394495412842</v>
      </c>
      <c r="F171" s="89">
        <v>103.74109686609687</v>
      </c>
      <c r="G171" s="89">
        <v>99.004479840716769</v>
      </c>
      <c r="H171" s="89">
        <v>213.80183486238533</v>
      </c>
      <c r="I171" s="89">
        <v>151.60685940305498</v>
      </c>
      <c r="J171" s="89">
        <v>16.572768177865164</v>
      </c>
      <c r="K171" s="89">
        <f t="shared" si="6"/>
        <v>256.56220183486238</v>
      </c>
      <c r="L171" s="87">
        <v>12</v>
      </c>
      <c r="M171" s="116">
        <v>0</v>
      </c>
      <c r="N171" s="116">
        <v>0</v>
      </c>
      <c r="O171" s="88">
        <v>22</v>
      </c>
      <c r="P171" s="168">
        <v>41702</v>
      </c>
      <c r="Q171" s="16">
        <v>126</v>
      </c>
      <c r="R171" s="89">
        <v>86.87700000000001</v>
      </c>
      <c r="S171" s="89">
        <v>90</v>
      </c>
      <c r="T171" s="89">
        <v>98</v>
      </c>
      <c r="U171" s="89">
        <v>98.5</v>
      </c>
      <c r="V171" s="89">
        <v>234</v>
      </c>
      <c r="W171" s="80">
        <v>0</v>
      </c>
      <c r="X171" s="190">
        <v>40</v>
      </c>
      <c r="Y171" s="89">
        <f t="shared" si="7"/>
        <v>280.8</v>
      </c>
      <c r="Z171" s="87">
        <v>12</v>
      </c>
      <c r="AA171" s="116">
        <v>0</v>
      </c>
      <c r="AB171" s="116">
        <v>0</v>
      </c>
      <c r="AC171" s="191">
        <v>20</v>
      </c>
      <c r="AD171" s="16">
        <f>WEEKNUM(tblKPIs[[#This Row],[Production Start Date]])</f>
        <v>10</v>
      </c>
      <c r="AE171" s="16">
        <v>28</v>
      </c>
      <c r="AF171" s="16">
        <v>23</v>
      </c>
      <c r="AG171" s="16">
        <v>28</v>
      </c>
      <c r="AH171" s="16">
        <v>15</v>
      </c>
      <c r="AI171" s="16">
        <v>32</v>
      </c>
      <c r="AJ171" s="16">
        <f t="shared" si="8"/>
        <v>1</v>
      </c>
      <c r="AL171" s="16"/>
      <c r="AM171" s="16"/>
      <c r="AN171" s="16"/>
      <c r="AO171" s="16"/>
      <c r="AP171" s="16"/>
      <c r="AQ171" s="16"/>
      <c r="AR171" s="16"/>
      <c r="AS171" s="16"/>
      <c r="BB171" s="171">
        <v>2565.6220183486239</v>
      </c>
      <c r="BC171" s="171">
        <v>2808</v>
      </c>
    </row>
    <row r="172" spans="2:55" x14ac:dyDescent="0.35">
      <c r="B172" s="1">
        <v>168</v>
      </c>
      <c r="C172" s="158" t="s">
        <v>147</v>
      </c>
      <c r="D172" s="89">
        <v>100.19918475456642</v>
      </c>
      <c r="E172" s="89">
        <v>98.285714285714292</v>
      </c>
      <c r="F172" s="89">
        <v>102.90230444229165</v>
      </c>
      <c r="G172" s="89">
        <v>99.071488735168685</v>
      </c>
      <c r="H172" s="89">
        <v>350.02267857142857</v>
      </c>
      <c r="I172" s="89">
        <v>181.35386693559582</v>
      </c>
      <c r="J172" s="89">
        <v>15.004103794431467</v>
      </c>
      <c r="K172" s="89">
        <f t="shared" si="6"/>
        <v>420.02721428571431</v>
      </c>
      <c r="L172" s="87">
        <v>12</v>
      </c>
      <c r="M172" s="116">
        <v>0</v>
      </c>
      <c r="N172" s="116">
        <v>0</v>
      </c>
      <c r="O172" s="88">
        <v>14</v>
      </c>
      <c r="P172" s="168">
        <v>41703</v>
      </c>
      <c r="Q172" s="16">
        <v>48</v>
      </c>
      <c r="R172" s="89">
        <v>87.494399999999999</v>
      </c>
      <c r="S172" s="89">
        <v>90</v>
      </c>
      <c r="T172" s="89">
        <v>98</v>
      </c>
      <c r="U172" s="89">
        <v>99.2</v>
      </c>
      <c r="V172" s="89">
        <v>346.08333333333331</v>
      </c>
      <c r="W172" s="80">
        <v>0</v>
      </c>
      <c r="X172" s="190">
        <v>40</v>
      </c>
      <c r="Y172" s="89">
        <f t="shared" si="7"/>
        <v>415.3</v>
      </c>
      <c r="Z172" s="87">
        <v>12</v>
      </c>
      <c r="AA172" s="116">
        <v>0</v>
      </c>
      <c r="AB172" s="116">
        <v>0</v>
      </c>
      <c r="AC172" s="191">
        <v>20</v>
      </c>
      <c r="AD172" s="16">
        <f>WEEKNUM(tblKPIs[[#This Row],[Production Start Date]])</f>
        <v>10</v>
      </c>
      <c r="AE172" s="16">
        <v>14</v>
      </c>
      <c r="AF172" s="16">
        <v>3</v>
      </c>
      <c r="AG172" s="16">
        <v>0</v>
      </c>
      <c r="AH172" s="16">
        <v>6</v>
      </c>
      <c r="AI172" s="16">
        <v>25</v>
      </c>
      <c r="AJ172" s="16">
        <f t="shared" si="8"/>
        <v>1</v>
      </c>
      <c r="AL172" s="16"/>
      <c r="AM172" s="16"/>
      <c r="AN172" s="16"/>
      <c r="AO172" s="16"/>
      <c r="AP172" s="16"/>
      <c r="AQ172" s="16"/>
      <c r="AR172" s="16"/>
      <c r="AS172" s="16"/>
      <c r="BB172" s="172">
        <v>4200.2721428571431</v>
      </c>
      <c r="BC172" s="172">
        <v>4153</v>
      </c>
    </row>
    <row r="173" spans="2:55" x14ac:dyDescent="0.35">
      <c r="B173" s="1">
        <v>169</v>
      </c>
      <c r="C173" s="158" t="s">
        <v>147</v>
      </c>
      <c r="D173" s="89">
        <v>89.411406447122289</v>
      </c>
      <c r="E173" s="89">
        <v>93.228346456692918</v>
      </c>
      <c r="F173" s="89">
        <v>98.542257727340612</v>
      </c>
      <c r="G173" s="89">
        <v>97.32455724973957</v>
      </c>
      <c r="H173" s="89">
        <v>332.56692913385825</v>
      </c>
      <c r="I173" s="89">
        <v>184.90176163625537</v>
      </c>
      <c r="J173" s="89">
        <v>0</v>
      </c>
      <c r="K173" s="89">
        <f t="shared" si="6"/>
        <v>399.08031496062989</v>
      </c>
      <c r="L173" s="87">
        <v>12</v>
      </c>
      <c r="M173" s="116">
        <v>0</v>
      </c>
      <c r="N173" s="116">
        <v>0</v>
      </c>
      <c r="O173" s="88">
        <v>18</v>
      </c>
      <c r="P173" s="168">
        <v>41704</v>
      </c>
      <c r="Q173" s="16">
        <v>100</v>
      </c>
      <c r="R173" s="89">
        <v>87.494399999999999</v>
      </c>
      <c r="S173" s="89">
        <v>90</v>
      </c>
      <c r="T173" s="89">
        <v>98</v>
      </c>
      <c r="U173" s="89">
        <v>99.2</v>
      </c>
      <c r="V173" s="89">
        <v>362</v>
      </c>
      <c r="W173" s="80">
        <v>0</v>
      </c>
      <c r="X173" s="190">
        <v>40</v>
      </c>
      <c r="Y173" s="89">
        <f t="shared" si="7"/>
        <v>434.4</v>
      </c>
      <c r="Z173" s="87">
        <v>12</v>
      </c>
      <c r="AA173" s="116">
        <v>0</v>
      </c>
      <c r="AB173" s="116">
        <v>0</v>
      </c>
      <c r="AC173" s="191">
        <v>20</v>
      </c>
      <c r="AD173" s="16">
        <f>WEEKNUM(tblKPIs[[#This Row],[Production Start Date]])</f>
        <v>10</v>
      </c>
      <c r="AE173" s="16">
        <v>28</v>
      </c>
      <c r="AF173" s="16">
        <v>31</v>
      </c>
      <c r="AG173" s="16">
        <v>13</v>
      </c>
      <c r="AH173" s="16">
        <v>12</v>
      </c>
      <c r="AI173" s="16">
        <v>16</v>
      </c>
      <c r="AJ173" s="16">
        <f t="shared" si="8"/>
        <v>1</v>
      </c>
      <c r="AL173" s="16"/>
      <c r="AM173" s="16"/>
      <c r="AN173" s="16"/>
      <c r="AO173" s="16"/>
      <c r="AP173" s="16"/>
      <c r="AQ173" s="16"/>
      <c r="AR173" s="16"/>
      <c r="AS173" s="16"/>
      <c r="BB173" s="171">
        <v>3990.803149606299</v>
      </c>
      <c r="BC173" s="171">
        <v>4344</v>
      </c>
    </row>
    <row r="174" spans="2:55" x14ac:dyDescent="0.35">
      <c r="B174" s="1">
        <v>170</v>
      </c>
      <c r="C174" s="158" t="s">
        <v>147</v>
      </c>
      <c r="D174" s="89">
        <v>85.913001935642768</v>
      </c>
      <c r="E174" s="89">
        <v>88.610478359908868</v>
      </c>
      <c r="F174" s="89">
        <v>98.144278271290261</v>
      </c>
      <c r="G174" s="89">
        <v>98.789054185094955</v>
      </c>
      <c r="H174" s="89">
        <v>300.97522779043283</v>
      </c>
      <c r="I174" s="89">
        <v>184.26883437465136</v>
      </c>
      <c r="J174" s="89">
        <v>0</v>
      </c>
      <c r="K174" s="89">
        <f t="shared" si="6"/>
        <v>361.17027334851934</v>
      </c>
      <c r="L174" s="87">
        <v>12</v>
      </c>
      <c r="M174" s="116">
        <v>0</v>
      </c>
      <c r="N174" s="116">
        <v>0</v>
      </c>
      <c r="O174" s="88">
        <v>18</v>
      </c>
      <c r="P174" s="168">
        <v>41704</v>
      </c>
      <c r="Q174" s="16">
        <v>65</v>
      </c>
      <c r="R174" s="89">
        <v>87.494399999999999</v>
      </c>
      <c r="S174" s="89">
        <v>90</v>
      </c>
      <c r="T174" s="89">
        <v>98</v>
      </c>
      <c r="U174" s="89">
        <v>99.2</v>
      </c>
      <c r="V174" s="89">
        <v>346.08333333333331</v>
      </c>
      <c r="W174" s="80">
        <v>0</v>
      </c>
      <c r="X174" s="190">
        <v>40</v>
      </c>
      <c r="Y174" s="89">
        <f t="shared" si="7"/>
        <v>415.3</v>
      </c>
      <c r="Z174" s="87">
        <v>12</v>
      </c>
      <c r="AA174" s="116">
        <v>0</v>
      </c>
      <c r="AB174" s="116">
        <v>0</v>
      </c>
      <c r="AC174" s="191">
        <v>20</v>
      </c>
      <c r="AD174" s="16">
        <f>WEEKNUM(tblKPIs[[#This Row],[Production Start Date]])</f>
        <v>10</v>
      </c>
      <c r="AE174" s="16">
        <v>0</v>
      </c>
      <c r="AF174" s="16">
        <v>12</v>
      </c>
      <c r="AG174" s="16">
        <v>32</v>
      </c>
      <c r="AH174" s="16">
        <v>2</v>
      </c>
      <c r="AI174" s="16">
        <v>19</v>
      </c>
      <c r="AJ174" s="16">
        <f t="shared" si="8"/>
        <v>1</v>
      </c>
      <c r="AL174" s="16"/>
      <c r="AM174" s="16"/>
      <c r="AN174" s="16"/>
      <c r="AO174" s="16"/>
      <c r="AP174" s="16"/>
      <c r="AQ174" s="16"/>
      <c r="AR174" s="16"/>
      <c r="AS174" s="16"/>
      <c r="BB174" s="172">
        <v>3611.7027334851937</v>
      </c>
      <c r="BC174" s="172">
        <v>4153</v>
      </c>
    </row>
    <row r="175" spans="2:55" x14ac:dyDescent="0.35">
      <c r="B175" s="1">
        <v>171</v>
      </c>
      <c r="C175" s="158" t="s">
        <v>149</v>
      </c>
      <c r="D175" s="89">
        <v>92.092932346502636</v>
      </c>
      <c r="E175" s="89">
        <v>100</v>
      </c>
      <c r="F175" s="89">
        <v>94.725059939539236</v>
      </c>
      <c r="G175" s="89">
        <v>97.221297516500258</v>
      </c>
      <c r="H175" s="89">
        <v>342.90471698113208</v>
      </c>
      <c r="I175" s="89">
        <v>180.73821031485571</v>
      </c>
      <c r="J175" s="89">
        <v>100</v>
      </c>
      <c r="K175" s="89">
        <f t="shared" si="6"/>
        <v>411.48566037735844</v>
      </c>
      <c r="L175" s="87">
        <v>12</v>
      </c>
      <c r="M175" s="116">
        <v>0</v>
      </c>
      <c r="N175" s="116">
        <v>0</v>
      </c>
      <c r="O175" s="88">
        <v>14</v>
      </c>
      <c r="P175" s="168">
        <v>41705</v>
      </c>
      <c r="Q175" s="16">
        <v>130</v>
      </c>
      <c r="R175" s="89">
        <v>87.494399999999999</v>
      </c>
      <c r="S175" s="89">
        <v>90</v>
      </c>
      <c r="T175" s="89">
        <v>98</v>
      </c>
      <c r="U175" s="89">
        <v>99.2</v>
      </c>
      <c r="V175" s="89">
        <v>362</v>
      </c>
      <c r="W175" s="80">
        <v>0</v>
      </c>
      <c r="X175" s="190">
        <v>40</v>
      </c>
      <c r="Y175" s="89">
        <f t="shared" si="7"/>
        <v>434.4</v>
      </c>
      <c r="Z175" s="87">
        <v>12</v>
      </c>
      <c r="AA175" s="116">
        <v>0</v>
      </c>
      <c r="AB175" s="116">
        <v>0</v>
      </c>
      <c r="AC175" s="191">
        <v>20</v>
      </c>
      <c r="AD175" s="16">
        <f>WEEKNUM(tblKPIs[[#This Row],[Production Start Date]])</f>
        <v>10</v>
      </c>
      <c r="AE175" s="16">
        <v>30</v>
      </c>
      <c r="AF175" s="16">
        <v>27</v>
      </c>
      <c r="AG175" s="16">
        <v>33</v>
      </c>
      <c r="AH175" s="16">
        <v>11</v>
      </c>
      <c r="AI175" s="16">
        <v>29</v>
      </c>
      <c r="AJ175" s="16">
        <f t="shared" si="8"/>
        <v>1</v>
      </c>
      <c r="AL175" s="16"/>
      <c r="AM175" s="16"/>
      <c r="AN175" s="16"/>
      <c r="AO175" s="16"/>
      <c r="AP175" s="16"/>
      <c r="AQ175" s="16"/>
      <c r="AR175" s="16"/>
      <c r="AS175" s="16"/>
      <c r="BB175" s="171">
        <v>4114.8566037735845</v>
      </c>
      <c r="BC175" s="171">
        <v>4344</v>
      </c>
    </row>
    <row r="176" spans="2:55" x14ac:dyDescent="0.35">
      <c r="B176" s="1">
        <v>172</v>
      </c>
      <c r="C176" s="158" t="s">
        <v>150</v>
      </c>
      <c r="D176" s="89">
        <v>66.857142857142847</v>
      </c>
      <c r="E176" s="89">
        <v>100</v>
      </c>
      <c r="F176" s="89">
        <v>67.960084033613441</v>
      </c>
      <c r="G176" s="89">
        <v>98.377075025503103</v>
      </c>
      <c r="H176" s="89">
        <v>207.95785714285714</v>
      </c>
      <c r="I176" s="89">
        <v>143.56065088757396</v>
      </c>
      <c r="J176" s="89">
        <v>43.22233875196644</v>
      </c>
      <c r="K176" s="89">
        <f t="shared" si="6"/>
        <v>249.54942857142856</v>
      </c>
      <c r="L176" s="87">
        <v>12</v>
      </c>
      <c r="M176" s="116">
        <v>0</v>
      </c>
      <c r="N176" s="116">
        <v>0</v>
      </c>
      <c r="O176" s="88">
        <v>22</v>
      </c>
      <c r="P176" s="168">
        <v>41705</v>
      </c>
      <c r="Q176" s="16">
        <v>73</v>
      </c>
      <c r="R176" s="89">
        <v>86.87700000000001</v>
      </c>
      <c r="S176" s="89">
        <v>90</v>
      </c>
      <c r="T176" s="89">
        <v>98</v>
      </c>
      <c r="U176" s="89">
        <v>98.5</v>
      </c>
      <c r="V176" s="89">
        <v>306</v>
      </c>
      <c r="W176" s="80">
        <v>0</v>
      </c>
      <c r="X176" s="190">
        <v>40</v>
      </c>
      <c r="Y176" s="89">
        <f t="shared" si="7"/>
        <v>367.19999999999993</v>
      </c>
      <c r="Z176" s="87">
        <v>12</v>
      </c>
      <c r="AA176" s="116">
        <v>0</v>
      </c>
      <c r="AB176" s="116">
        <v>0</v>
      </c>
      <c r="AC176" s="191">
        <v>20</v>
      </c>
      <c r="AD176" s="16">
        <f>WEEKNUM(tblKPIs[[#This Row],[Production Start Date]])</f>
        <v>10</v>
      </c>
      <c r="AE176" s="16">
        <v>12</v>
      </c>
      <c r="AF176" s="16">
        <v>21</v>
      </c>
      <c r="AG176" s="16">
        <v>7</v>
      </c>
      <c r="AH176" s="16">
        <v>5</v>
      </c>
      <c r="AI176" s="16">
        <v>28</v>
      </c>
      <c r="AJ176" s="16">
        <f t="shared" si="8"/>
        <v>1</v>
      </c>
      <c r="AL176" s="16"/>
      <c r="AM176" s="16"/>
      <c r="AN176" s="16"/>
      <c r="AO176" s="16"/>
      <c r="AP176" s="16"/>
      <c r="AQ176" s="16"/>
      <c r="AR176" s="16"/>
      <c r="AS176" s="16"/>
      <c r="BB176" s="172">
        <v>2495.4942857142855</v>
      </c>
      <c r="BC176" s="172">
        <v>3671.9999999999995</v>
      </c>
    </row>
    <row r="177" spans="2:55" x14ac:dyDescent="0.35">
      <c r="B177" s="1">
        <v>173</v>
      </c>
      <c r="C177" s="158" t="s">
        <v>147</v>
      </c>
      <c r="D177" s="89">
        <v>97.482623418285513</v>
      </c>
      <c r="E177" s="89">
        <v>96.451612903225808</v>
      </c>
      <c r="F177" s="89">
        <v>102.51174880048288</v>
      </c>
      <c r="G177" s="89">
        <v>98.592543635653556</v>
      </c>
      <c r="H177" s="89">
        <v>357.92473118279571</v>
      </c>
      <c r="I177" s="89">
        <v>180.83586403220463</v>
      </c>
      <c r="J177" s="89">
        <v>0</v>
      </c>
      <c r="K177" s="89">
        <f t="shared" si="6"/>
        <v>429.50967741935483</v>
      </c>
      <c r="L177" s="87">
        <v>12</v>
      </c>
      <c r="M177" s="116">
        <v>0</v>
      </c>
      <c r="N177" s="116">
        <v>0</v>
      </c>
      <c r="O177" s="88">
        <v>30</v>
      </c>
      <c r="P177" s="168">
        <v>41705</v>
      </c>
      <c r="Q177" s="16">
        <v>71</v>
      </c>
      <c r="R177" s="89">
        <v>87.494399999999999</v>
      </c>
      <c r="S177" s="89">
        <v>90</v>
      </c>
      <c r="T177" s="89">
        <v>98</v>
      </c>
      <c r="U177" s="89">
        <v>99.2</v>
      </c>
      <c r="V177" s="89">
        <v>362</v>
      </c>
      <c r="W177" s="80">
        <v>0</v>
      </c>
      <c r="X177" s="190">
        <v>40</v>
      </c>
      <c r="Y177" s="89">
        <f t="shared" si="7"/>
        <v>434.4</v>
      </c>
      <c r="Z177" s="87">
        <v>12</v>
      </c>
      <c r="AA177" s="116">
        <v>0</v>
      </c>
      <c r="AB177" s="116">
        <v>0</v>
      </c>
      <c r="AC177" s="191">
        <v>20</v>
      </c>
      <c r="AD177" s="16">
        <f>WEEKNUM(tblKPIs[[#This Row],[Production Start Date]])</f>
        <v>10</v>
      </c>
      <c r="AE177" s="16">
        <v>0</v>
      </c>
      <c r="AF177" s="16">
        <v>7</v>
      </c>
      <c r="AG177" s="16">
        <v>33</v>
      </c>
      <c r="AH177" s="16">
        <v>10</v>
      </c>
      <c r="AI177" s="16">
        <v>21</v>
      </c>
      <c r="AJ177" s="16">
        <f t="shared" si="8"/>
        <v>1</v>
      </c>
      <c r="AL177" s="16"/>
      <c r="AM177" s="16"/>
      <c r="AN177" s="16"/>
      <c r="AO177" s="16"/>
      <c r="AP177" s="16"/>
      <c r="AQ177" s="16"/>
      <c r="AR177" s="16"/>
      <c r="AS177" s="16"/>
      <c r="BB177" s="171">
        <v>4295.0967741935483</v>
      </c>
      <c r="BC177" s="171">
        <v>4344</v>
      </c>
    </row>
    <row r="178" spans="2:55" x14ac:dyDescent="0.35">
      <c r="B178" s="1">
        <v>174</v>
      </c>
      <c r="C178" s="158" t="s">
        <v>161</v>
      </c>
      <c r="D178" s="89">
        <v>49.981671554252202</v>
      </c>
      <c r="E178" s="89">
        <v>62.903225806451616</v>
      </c>
      <c r="F178" s="89">
        <v>79.45804195804196</v>
      </c>
      <c r="G178" s="89">
        <v>100</v>
      </c>
      <c r="H178" s="89">
        <v>175.93548387096774</v>
      </c>
      <c r="I178" s="89">
        <v>164.88051151049777</v>
      </c>
      <c r="J178" s="89">
        <v>71.486617789947886</v>
      </c>
      <c r="K178" s="89">
        <f t="shared" si="6"/>
        <v>211.12258064516126</v>
      </c>
      <c r="L178" s="87">
        <v>12</v>
      </c>
      <c r="M178" s="116">
        <v>0</v>
      </c>
      <c r="N178" s="116">
        <v>0</v>
      </c>
      <c r="O178" s="88">
        <v>26</v>
      </c>
      <c r="P178" s="168">
        <v>41704</v>
      </c>
      <c r="Q178" s="16">
        <v>102</v>
      </c>
      <c r="R178" s="89">
        <v>87.494399999999999</v>
      </c>
      <c r="S178" s="89">
        <v>90</v>
      </c>
      <c r="T178" s="89">
        <v>98</v>
      </c>
      <c r="U178" s="89">
        <v>99.2</v>
      </c>
      <c r="V178" s="89">
        <v>352</v>
      </c>
      <c r="W178" s="80">
        <v>0</v>
      </c>
      <c r="X178" s="190">
        <v>40</v>
      </c>
      <c r="Y178" s="89">
        <f t="shared" si="7"/>
        <v>422.4</v>
      </c>
      <c r="Z178" s="87">
        <v>12</v>
      </c>
      <c r="AA178" s="116">
        <v>0</v>
      </c>
      <c r="AB178" s="116">
        <v>0</v>
      </c>
      <c r="AC178" s="191">
        <v>20</v>
      </c>
      <c r="AD178" s="16">
        <f>WEEKNUM(tblKPIs[[#This Row],[Production Start Date]])</f>
        <v>10</v>
      </c>
      <c r="AE178" s="16">
        <v>33</v>
      </c>
      <c r="AF178" s="16">
        <v>14</v>
      </c>
      <c r="AG178" s="16">
        <v>15</v>
      </c>
      <c r="AH178" s="16">
        <v>14</v>
      </c>
      <c r="AI178" s="16">
        <v>26</v>
      </c>
      <c r="AJ178" s="16">
        <f t="shared" si="8"/>
        <v>1</v>
      </c>
      <c r="AL178" s="16"/>
      <c r="AM178" s="16"/>
      <c r="AN178" s="16"/>
      <c r="AO178" s="16"/>
      <c r="AP178" s="16"/>
      <c r="AQ178" s="16"/>
      <c r="AR178" s="16"/>
      <c r="AS178" s="16"/>
      <c r="BB178" s="172">
        <v>2111.2258064516127</v>
      </c>
      <c r="BC178" s="172">
        <v>4224</v>
      </c>
    </row>
    <row r="179" spans="2:55" x14ac:dyDescent="0.35">
      <c r="B179" s="1">
        <v>175</v>
      </c>
      <c r="C179" s="158" t="s">
        <v>147</v>
      </c>
      <c r="D179" s="89">
        <v>89.715223680149762</v>
      </c>
      <c r="E179" s="89">
        <v>93.943661971830977</v>
      </c>
      <c r="F179" s="89">
        <v>97.486291768635297</v>
      </c>
      <c r="G179" s="89">
        <v>97.961428222276538</v>
      </c>
      <c r="H179" s="89">
        <v>316.95070422535213</v>
      </c>
      <c r="I179" s="89">
        <v>177.13398495382441</v>
      </c>
      <c r="J179" s="89">
        <v>0</v>
      </c>
      <c r="K179" s="89">
        <f t="shared" si="6"/>
        <v>380.34084507042252</v>
      </c>
      <c r="L179" s="87">
        <v>12</v>
      </c>
      <c r="M179" s="116">
        <v>0</v>
      </c>
      <c r="N179" s="116">
        <v>0</v>
      </c>
      <c r="O179" s="88">
        <v>30</v>
      </c>
      <c r="P179" s="168">
        <v>41705</v>
      </c>
      <c r="Q179" s="16">
        <v>70</v>
      </c>
      <c r="R179" s="89">
        <v>87.494399999999999</v>
      </c>
      <c r="S179" s="89">
        <v>90</v>
      </c>
      <c r="T179" s="89">
        <v>98</v>
      </c>
      <c r="U179" s="89">
        <v>99.2</v>
      </c>
      <c r="V179" s="89">
        <v>346.08333333333331</v>
      </c>
      <c r="W179" s="80">
        <v>0</v>
      </c>
      <c r="X179" s="190">
        <v>40</v>
      </c>
      <c r="Y179" s="89">
        <f t="shared" si="7"/>
        <v>415.3</v>
      </c>
      <c r="Z179" s="87">
        <v>12</v>
      </c>
      <c r="AA179" s="116">
        <v>0</v>
      </c>
      <c r="AB179" s="116">
        <v>0</v>
      </c>
      <c r="AC179" s="191">
        <v>20</v>
      </c>
      <c r="AD179" s="16">
        <f>WEEKNUM(tblKPIs[[#This Row],[Production Start Date]])</f>
        <v>10</v>
      </c>
      <c r="AE179" s="16">
        <v>14</v>
      </c>
      <c r="AF179" s="16">
        <v>12</v>
      </c>
      <c r="AG179" s="16">
        <v>0</v>
      </c>
      <c r="AH179" s="16">
        <v>13</v>
      </c>
      <c r="AI179" s="16">
        <v>31</v>
      </c>
      <c r="AJ179" s="16">
        <f t="shared" si="8"/>
        <v>1</v>
      </c>
      <c r="AL179" s="16"/>
      <c r="AM179" s="16"/>
      <c r="AN179" s="16"/>
      <c r="AO179" s="16"/>
      <c r="AP179" s="16"/>
      <c r="AQ179" s="16"/>
      <c r="AR179" s="16"/>
      <c r="AS179" s="16"/>
      <c r="BB179" s="171">
        <v>3803.4084507042253</v>
      </c>
      <c r="BC179" s="171">
        <v>4153</v>
      </c>
    </row>
    <row r="180" spans="2:55" x14ac:dyDescent="0.35">
      <c r="B180" s="1">
        <v>176</v>
      </c>
      <c r="C180" s="158" t="s">
        <v>147</v>
      </c>
      <c r="D180" s="89">
        <v>89.208405947569446</v>
      </c>
      <c r="E180" s="89">
        <v>93.557046979865802</v>
      </c>
      <c r="F180" s="89">
        <v>98.050900861624797</v>
      </c>
      <c r="G180" s="89">
        <v>97.247329839207282</v>
      </c>
      <c r="H180" s="89">
        <v>332.07536912751686</v>
      </c>
      <c r="I180" s="89">
        <v>185.64991614106313</v>
      </c>
      <c r="J180" s="89">
        <v>0</v>
      </c>
      <c r="K180" s="89">
        <f t="shared" si="6"/>
        <v>398.49044295302025</v>
      </c>
      <c r="L180" s="87">
        <v>12</v>
      </c>
      <c r="M180" s="116">
        <v>0</v>
      </c>
      <c r="N180" s="116">
        <v>0</v>
      </c>
      <c r="O180" s="88">
        <v>14</v>
      </c>
      <c r="P180" s="168">
        <v>41706</v>
      </c>
      <c r="Q180" s="16">
        <v>80</v>
      </c>
      <c r="R180" s="89">
        <v>87.494399999999999</v>
      </c>
      <c r="S180" s="89">
        <v>90</v>
      </c>
      <c r="T180" s="89">
        <v>98</v>
      </c>
      <c r="U180" s="89">
        <v>99.2</v>
      </c>
      <c r="V180" s="89">
        <v>362</v>
      </c>
      <c r="W180" s="80">
        <v>0</v>
      </c>
      <c r="X180" s="190">
        <v>40</v>
      </c>
      <c r="Y180" s="89">
        <f t="shared" si="7"/>
        <v>434.4</v>
      </c>
      <c r="Z180" s="87">
        <v>12</v>
      </c>
      <c r="AA180" s="116">
        <v>0</v>
      </c>
      <c r="AB180" s="116">
        <v>0</v>
      </c>
      <c r="AC180" s="191">
        <v>20</v>
      </c>
      <c r="AD180" s="16">
        <f>WEEKNUM(tblKPIs[[#This Row],[Production Start Date]])</f>
        <v>10</v>
      </c>
      <c r="AE180" s="16">
        <v>27</v>
      </c>
      <c r="AF180" s="16">
        <v>25</v>
      </c>
      <c r="AG180" s="16">
        <v>0</v>
      </c>
      <c r="AH180" s="16">
        <v>28</v>
      </c>
      <c r="AI180" s="16">
        <v>0</v>
      </c>
      <c r="AJ180" s="16">
        <f t="shared" si="8"/>
        <v>1</v>
      </c>
      <c r="AL180" s="16"/>
      <c r="AM180" s="16"/>
      <c r="AN180" s="16"/>
      <c r="AO180" s="16"/>
      <c r="AP180" s="16"/>
      <c r="AQ180" s="16"/>
      <c r="AR180" s="16"/>
      <c r="AS180" s="16"/>
      <c r="BB180" s="172">
        <v>3984.9044295302024</v>
      </c>
      <c r="BC180" s="172">
        <v>4344</v>
      </c>
    </row>
    <row r="181" spans="2:55" x14ac:dyDescent="0.35">
      <c r="B181" s="1">
        <v>177</v>
      </c>
      <c r="C181" s="158" t="s">
        <v>160</v>
      </c>
      <c r="D181" s="89">
        <v>62.155622369212274</v>
      </c>
      <c r="E181" s="89">
        <v>82.666666666666671</v>
      </c>
      <c r="F181" s="89">
        <v>76.814734351056202</v>
      </c>
      <c r="G181" s="89">
        <v>97.882591798546983</v>
      </c>
      <c r="H181" s="89">
        <v>176.00133333333335</v>
      </c>
      <c r="I181" s="89">
        <v>139.9798515376458</v>
      </c>
      <c r="J181" s="89">
        <v>0</v>
      </c>
      <c r="K181" s="89">
        <f t="shared" si="6"/>
        <v>211.20160000000001</v>
      </c>
      <c r="L181" s="87">
        <v>12</v>
      </c>
      <c r="M181" s="116">
        <v>0</v>
      </c>
      <c r="N181" s="116">
        <v>0</v>
      </c>
      <c r="O181" s="88">
        <v>20</v>
      </c>
      <c r="P181" s="168">
        <v>41708</v>
      </c>
      <c r="Q181" s="16">
        <v>96</v>
      </c>
      <c r="R181" s="89">
        <v>86.87700000000001</v>
      </c>
      <c r="S181" s="89">
        <v>90</v>
      </c>
      <c r="T181" s="89">
        <v>98</v>
      </c>
      <c r="U181" s="89">
        <v>98.5</v>
      </c>
      <c r="V181" s="89">
        <v>277.16666666666669</v>
      </c>
      <c r="W181" s="80">
        <v>0</v>
      </c>
      <c r="X181" s="190">
        <v>40</v>
      </c>
      <c r="Y181" s="89">
        <f t="shared" si="7"/>
        <v>332.6</v>
      </c>
      <c r="Z181" s="87">
        <v>12</v>
      </c>
      <c r="AA181" s="116">
        <v>0</v>
      </c>
      <c r="AB181" s="116">
        <v>0</v>
      </c>
      <c r="AC181" s="191">
        <v>20</v>
      </c>
      <c r="AD181" s="16">
        <f>WEEKNUM(tblKPIs[[#This Row],[Production Start Date]])</f>
        <v>11</v>
      </c>
      <c r="AE181" s="16">
        <v>10</v>
      </c>
      <c r="AF181" s="16">
        <v>25</v>
      </c>
      <c r="AG181" s="16">
        <v>28</v>
      </c>
      <c r="AH181" s="16">
        <v>7</v>
      </c>
      <c r="AI181" s="16">
        <v>26</v>
      </c>
      <c r="AJ181" s="16">
        <f t="shared" si="8"/>
        <v>1</v>
      </c>
      <c r="AL181" s="16"/>
      <c r="AM181" s="16"/>
      <c r="AN181" s="16"/>
      <c r="AO181" s="16"/>
      <c r="AP181" s="16"/>
      <c r="AQ181" s="16"/>
      <c r="AR181" s="16"/>
      <c r="AS181" s="16"/>
      <c r="BB181" s="171">
        <v>2112.0160000000001</v>
      </c>
      <c r="BC181" s="171">
        <v>3326.0000000000005</v>
      </c>
    </row>
    <row r="182" spans="2:55" x14ac:dyDescent="0.35">
      <c r="B182" s="1">
        <v>178</v>
      </c>
      <c r="C182" s="158" t="s">
        <v>146</v>
      </c>
      <c r="D182" s="89">
        <v>78.715071507150711</v>
      </c>
      <c r="E182" s="89">
        <v>84.777227722772281</v>
      </c>
      <c r="F182" s="89">
        <v>94.830927277642601</v>
      </c>
      <c r="G182" s="89">
        <v>97.910368789975237</v>
      </c>
      <c r="H182" s="89">
        <v>217.06658415841585</v>
      </c>
      <c r="I182" s="89">
        <v>202.26587862188262</v>
      </c>
      <c r="J182" s="89">
        <v>34.392388640622748</v>
      </c>
      <c r="K182" s="89">
        <f t="shared" si="6"/>
        <v>260.479900990099</v>
      </c>
      <c r="L182" s="87">
        <v>12</v>
      </c>
      <c r="M182" s="116">
        <v>0</v>
      </c>
      <c r="N182" s="116">
        <v>0</v>
      </c>
      <c r="O182" s="88">
        <v>29</v>
      </c>
      <c r="P182" s="168">
        <v>41708</v>
      </c>
      <c r="Q182" s="16">
        <v>116</v>
      </c>
      <c r="R182" s="89">
        <v>87.317999999999998</v>
      </c>
      <c r="S182" s="89">
        <v>90</v>
      </c>
      <c r="T182" s="89">
        <v>98</v>
      </c>
      <c r="U182" s="89">
        <v>99</v>
      </c>
      <c r="V182" s="89">
        <v>270</v>
      </c>
      <c r="W182" s="80">
        <v>0</v>
      </c>
      <c r="X182" s="190">
        <v>40</v>
      </c>
      <c r="Y182" s="89">
        <f t="shared" si="7"/>
        <v>324</v>
      </c>
      <c r="Z182" s="87">
        <v>12</v>
      </c>
      <c r="AA182" s="116">
        <v>0</v>
      </c>
      <c r="AB182" s="116">
        <v>0</v>
      </c>
      <c r="AC182" s="191">
        <v>20</v>
      </c>
      <c r="AD182" s="16">
        <f>WEEKNUM(tblKPIs[[#This Row],[Production Start Date]])</f>
        <v>11</v>
      </c>
      <c r="AE182" s="16">
        <v>27</v>
      </c>
      <c r="AF182" s="16">
        <v>34</v>
      </c>
      <c r="AG182" s="16">
        <v>14</v>
      </c>
      <c r="AH182" s="16">
        <v>17</v>
      </c>
      <c r="AI182" s="16">
        <v>24</v>
      </c>
      <c r="AJ182" s="16">
        <f t="shared" si="8"/>
        <v>1</v>
      </c>
      <c r="AL182" s="16"/>
      <c r="AM182" s="16"/>
      <c r="AN182" s="16"/>
      <c r="AO182" s="16"/>
      <c r="AP182" s="16"/>
      <c r="AQ182" s="16"/>
      <c r="AR182" s="16"/>
      <c r="AS182" s="16"/>
      <c r="BB182" s="172">
        <v>2604.7990099009899</v>
      </c>
      <c r="BC182" s="172">
        <v>3240</v>
      </c>
    </row>
    <row r="183" spans="2:55" x14ac:dyDescent="0.35">
      <c r="B183" s="1">
        <v>179</v>
      </c>
      <c r="C183" s="158" t="s">
        <v>167</v>
      </c>
      <c r="D183" s="89">
        <v>46.666666666666671</v>
      </c>
      <c r="E183" s="89">
        <v>68.749999999999986</v>
      </c>
      <c r="F183" s="89">
        <v>70.384615384615401</v>
      </c>
      <c r="G183" s="89">
        <v>96.439807915217756</v>
      </c>
      <c r="H183" s="89">
        <v>113.23125</v>
      </c>
      <c r="I183" s="89">
        <v>130.95995373716929</v>
      </c>
      <c r="J183" s="89">
        <v>0</v>
      </c>
      <c r="K183" s="89">
        <f t="shared" si="6"/>
        <v>135.8775</v>
      </c>
      <c r="L183" s="87">
        <v>12</v>
      </c>
      <c r="M183" s="116">
        <v>0</v>
      </c>
      <c r="N183" s="116">
        <v>0</v>
      </c>
      <c r="O183" s="88">
        <v>21</v>
      </c>
      <c r="P183" s="168">
        <v>41708</v>
      </c>
      <c r="Q183" s="16">
        <v>97</v>
      </c>
      <c r="R183" s="89">
        <v>86.87700000000001</v>
      </c>
      <c r="S183" s="89">
        <v>90</v>
      </c>
      <c r="T183" s="89">
        <v>98</v>
      </c>
      <c r="U183" s="89">
        <v>98.5</v>
      </c>
      <c r="V183" s="89">
        <v>234</v>
      </c>
      <c r="W183" s="80">
        <v>0</v>
      </c>
      <c r="X183" s="190">
        <v>40</v>
      </c>
      <c r="Y183" s="89">
        <f t="shared" si="7"/>
        <v>280.8</v>
      </c>
      <c r="Z183" s="87">
        <v>12</v>
      </c>
      <c r="AA183" s="116">
        <v>0</v>
      </c>
      <c r="AB183" s="116">
        <v>0</v>
      </c>
      <c r="AC183" s="191">
        <v>20</v>
      </c>
      <c r="AD183" s="16">
        <f>WEEKNUM(tblKPIs[[#This Row],[Production Start Date]])</f>
        <v>11</v>
      </c>
      <c r="AE183" s="16">
        <v>32</v>
      </c>
      <c r="AF183" s="16">
        <v>25</v>
      </c>
      <c r="AG183" s="16">
        <v>27</v>
      </c>
      <c r="AH183" s="16">
        <v>1</v>
      </c>
      <c r="AI183" s="16">
        <v>12</v>
      </c>
      <c r="AJ183" s="16">
        <f t="shared" si="8"/>
        <v>1</v>
      </c>
      <c r="AL183" s="16"/>
      <c r="AM183" s="16"/>
      <c r="AN183" s="16"/>
      <c r="AO183" s="16"/>
      <c r="AP183" s="16"/>
      <c r="AQ183" s="16"/>
      <c r="AR183" s="16"/>
      <c r="AS183" s="16"/>
      <c r="BB183" s="171">
        <v>1358.7750000000001</v>
      </c>
      <c r="BC183" s="171">
        <v>2808</v>
      </c>
    </row>
    <row r="184" spans="2:55" x14ac:dyDescent="0.35">
      <c r="B184" s="1">
        <v>180</v>
      </c>
      <c r="C184" s="158" t="s">
        <v>147</v>
      </c>
      <c r="D184" s="89">
        <v>98.369176742411724</v>
      </c>
      <c r="E184" s="89">
        <v>96.292134831460672</v>
      </c>
      <c r="F184" s="89">
        <v>103.15502057951949</v>
      </c>
      <c r="G184" s="89">
        <v>99.032524816065319</v>
      </c>
      <c r="H184" s="89">
        <v>343.76516853932583</v>
      </c>
      <c r="I184" s="89">
        <v>184.99879066392552</v>
      </c>
      <c r="J184" s="89">
        <v>26.355657087892268</v>
      </c>
      <c r="K184" s="89">
        <f t="shared" si="6"/>
        <v>412.51820224719097</v>
      </c>
      <c r="L184" s="87">
        <v>12</v>
      </c>
      <c r="M184" s="116">
        <v>0</v>
      </c>
      <c r="N184" s="116">
        <v>0</v>
      </c>
      <c r="O184" s="88">
        <v>20</v>
      </c>
      <c r="P184" s="168">
        <v>41709</v>
      </c>
      <c r="Q184" s="16">
        <v>99</v>
      </c>
      <c r="R184" s="89">
        <v>87.494399999999999</v>
      </c>
      <c r="S184" s="89">
        <v>90</v>
      </c>
      <c r="T184" s="89">
        <v>98</v>
      </c>
      <c r="U184" s="89">
        <v>99.2</v>
      </c>
      <c r="V184" s="89">
        <v>346.08333333333331</v>
      </c>
      <c r="W184" s="80">
        <v>0</v>
      </c>
      <c r="X184" s="190">
        <v>40</v>
      </c>
      <c r="Y184" s="89">
        <f t="shared" si="7"/>
        <v>415.3</v>
      </c>
      <c r="Z184" s="87">
        <v>12</v>
      </c>
      <c r="AA184" s="116">
        <v>0</v>
      </c>
      <c r="AB184" s="116">
        <v>0</v>
      </c>
      <c r="AC184" s="191">
        <v>20</v>
      </c>
      <c r="AD184" s="16">
        <f>WEEKNUM(tblKPIs[[#This Row],[Production Start Date]])</f>
        <v>11</v>
      </c>
      <c r="AE184" s="16">
        <v>33</v>
      </c>
      <c r="AF184" s="16">
        <v>30</v>
      </c>
      <c r="AG184" s="16">
        <v>5</v>
      </c>
      <c r="AH184" s="16">
        <v>5</v>
      </c>
      <c r="AI184" s="16">
        <v>26</v>
      </c>
      <c r="AJ184" s="16">
        <f t="shared" si="8"/>
        <v>1</v>
      </c>
      <c r="AL184" s="16"/>
      <c r="AM184" s="16"/>
      <c r="AN184" s="16"/>
      <c r="AO184" s="16"/>
      <c r="AP184" s="16"/>
      <c r="AQ184" s="16"/>
      <c r="AR184" s="16"/>
      <c r="AS184" s="16"/>
      <c r="BB184" s="172">
        <v>4125.1820224719095</v>
      </c>
      <c r="BC184" s="172">
        <v>4153</v>
      </c>
    </row>
    <row r="185" spans="2:55" x14ac:dyDescent="0.35">
      <c r="B185" s="1">
        <v>181</v>
      </c>
      <c r="C185" s="158" t="s">
        <v>147</v>
      </c>
      <c r="D185" s="89">
        <v>99.580349745915726</v>
      </c>
      <c r="E185" s="89">
        <v>99.374565670604582</v>
      </c>
      <c r="F185" s="89">
        <v>102.25598143729616</v>
      </c>
      <c r="G185" s="89">
        <v>97.996300863131935</v>
      </c>
      <c r="H185" s="89">
        <v>351.67755385684501</v>
      </c>
      <c r="I185" s="89">
        <v>180.83854161083178</v>
      </c>
      <c r="J185" s="89">
        <v>22.234850022324146</v>
      </c>
      <c r="K185" s="89">
        <f t="shared" si="6"/>
        <v>422.01306462821401</v>
      </c>
      <c r="L185" s="87">
        <v>12</v>
      </c>
      <c r="M185" s="116">
        <v>0</v>
      </c>
      <c r="N185" s="116">
        <v>0</v>
      </c>
      <c r="O185" s="88">
        <v>16</v>
      </c>
      <c r="P185" s="168">
        <v>41708</v>
      </c>
      <c r="Q185" s="16">
        <v>72</v>
      </c>
      <c r="R185" s="89">
        <v>87.494399999999999</v>
      </c>
      <c r="S185" s="89">
        <v>90</v>
      </c>
      <c r="T185" s="89">
        <v>98</v>
      </c>
      <c r="U185" s="89">
        <v>99.2</v>
      </c>
      <c r="V185" s="89">
        <v>346.08333333333331</v>
      </c>
      <c r="W185" s="80">
        <v>0</v>
      </c>
      <c r="X185" s="190">
        <v>40</v>
      </c>
      <c r="Y185" s="89">
        <f t="shared" si="7"/>
        <v>415.3</v>
      </c>
      <c r="Z185" s="87">
        <v>12</v>
      </c>
      <c r="AA185" s="116">
        <v>0</v>
      </c>
      <c r="AB185" s="116">
        <v>0</v>
      </c>
      <c r="AC185" s="191">
        <v>20</v>
      </c>
      <c r="AD185" s="16">
        <f>WEEKNUM(tblKPIs[[#This Row],[Production Start Date]])</f>
        <v>11</v>
      </c>
      <c r="AE185" s="16">
        <v>14</v>
      </c>
      <c r="AF185" s="16">
        <v>16</v>
      </c>
      <c r="AG185" s="16">
        <v>18</v>
      </c>
      <c r="AH185" s="16">
        <v>0</v>
      </c>
      <c r="AI185" s="16">
        <v>24</v>
      </c>
      <c r="AJ185" s="16">
        <f t="shared" si="8"/>
        <v>1</v>
      </c>
      <c r="AL185" s="16"/>
      <c r="AM185" s="16"/>
      <c r="AN185" s="16"/>
      <c r="AO185" s="16"/>
      <c r="AP185" s="16"/>
      <c r="AQ185" s="16"/>
      <c r="AR185" s="16"/>
      <c r="AS185" s="16"/>
      <c r="BB185" s="171">
        <v>4220.1306462821403</v>
      </c>
      <c r="BC185" s="171">
        <v>4153</v>
      </c>
    </row>
    <row r="186" spans="2:55" x14ac:dyDescent="0.35">
      <c r="B186" s="1">
        <v>182</v>
      </c>
      <c r="C186" s="158" t="s">
        <v>147</v>
      </c>
      <c r="D186" s="89">
        <v>86.885813748073232</v>
      </c>
      <c r="E186" s="89">
        <v>89.864158829676072</v>
      </c>
      <c r="F186" s="89">
        <v>97.94809199537454</v>
      </c>
      <c r="G186" s="89">
        <v>98.711188068159458</v>
      </c>
      <c r="H186" s="89">
        <v>318.63322884012541</v>
      </c>
      <c r="I186" s="89">
        <v>176.79779678214234</v>
      </c>
      <c r="J186" s="89">
        <v>24.976120681136983</v>
      </c>
      <c r="K186" s="89">
        <f t="shared" si="6"/>
        <v>382.35987460815051</v>
      </c>
      <c r="L186" s="87">
        <v>12</v>
      </c>
      <c r="M186" s="116">
        <v>0</v>
      </c>
      <c r="N186" s="116">
        <v>0</v>
      </c>
      <c r="O186" s="88">
        <v>22</v>
      </c>
      <c r="P186" s="168">
        <v>41709</v>
      </c>
      <c r="Q186" s="16">
        <v>86</v>
      </c>
      <c r="R186" s="89">
        <v>87.494399999999999</v>
      </c>
      <c r="S186" s="89">
        <v>90</v>
      </c>
      <c r="T186" s="89">
        <v>98</v>
      </c>
      <c r="U186" s="89">
        <v>99.2</v>
      </c>
      <c r="V186" s="89">
        <v>362</v>
      </c>
      <c r="W186" s="80">
        <v>0</v>
      </c>
      <c r="X186" s="190">
        <v>40</v>
      </c>
      <c r="Y186" s="89">
        <f t="shared" si="7"/>
        <v>434.4</v>
      </c>
      <c r="Z186" s="87">
        <v>12</v>
      </c>
      <c r="AA186" s="116">
        <v>0</v>
      </c>
      <c r="AB186" s="116">
        <v>0</v>
      </c>
      <c r="AC186" s="191">
        <v>20</v>
      </c>
      <c r="AD186" s="16">
        <f>WEEKNUM(tblKPIs[[#This Row],[Production Start Date]])</f>
        <v>11</v>
      </c>
      <c r="AE186" s="16">
        <v>15</v>
      </c>
      <c r="AF186" s="16">
        <v>6</v>
      </c>
      <c r="AG186" s="16">
        <v>19</v>
      </c>
      <c r="AH186" s="16">
        <v>31</v>
      </c>
      <c r="AI186" s="16">
        <v>15</v>
      </c>
      <c r="AJ186" s="16">
        <f t="shared" si="8"/>
        <v>1</v>
      </c>
      <c r="AL186" s="16"/>
      <c r="AM186" s="16"/>
      <c r="AN186" s="16"/>
      <c r="AO186" s="16"/>
      <c r="AP186" s="16"/>
      <c r="AQ186" s="16"/>
      <c r="AR186" s="16"/>
      <c r="AS186" s="16"/>
      <c r="BB186" s="172">
        <v>3823.5987460815049</v>
      </c>
      <c r="BC186" s="172">
        <v>4344</v>
      </c>
    </row>
    <row r="187" spans="2:55" x14ac:dyDescent="0.35">
      <c r="B187" s="1">
        <v>183</v>
      </c>
      <c r="C187" s="158" t="s">
        <v>146</v>
      </c>
      <c r="D187" s="89">
        <v>91.871310116086235</v>
      </c>
      <c r="E187" s="89">
        <v>94.626865671641795</v>
      </c>
      <c r="F187" s="89">
        <v>98.815691085407181</v>
      </c>
      <c r="G187" s="89">
        <v>98.251579785602004</v>
      </c>
      <c r="H187" s="89">
        <v>252.46671641791045</v>
      </c>
      <c r="I187" s="89">
        <v>178.61859229887912</v>
      </c>
      <c r="J187" s="89">
        <v>0</v>
      </c>
      <c r="K187" s="89">
        <f t="shared" si="6"/>
        <v>302.96005970149258</v>
      </c>
      <c r="L187" s="87">
        <v>12</v>
      </c>
      <c r="M187" s="116">
        <v>0</v>
      </c>
      <c r="N187" s="116">
        <v>0</v>
      </c>
      <c r="O187" s="88">
        <v>26</v>
      </c>
      <c r="P187" s="168">
        <v>41710</v>
      </c>
      <c r="Q187" s="16">
        <v>74</v>
      </c>
      <c r="R187" s="89">
        <v>87.317999999999998</v>
      </c>
      <c r="S187" s="89">
        <v>90</v>
      </c>
      <c r="T187" s="89">
        <v>98</v>
      </c>
      <c r="U187" s="89">
        <v>99</v>
      </c>
      <c r="V187" s="89">
        <v>270</v>
      </c>
      <c r="W187" s="80">
        <v>0</v>
      </c>
      <c r="X187" s="190">
        <v>40</v>
      </c>
      <c r="Y187" s="89">
        <f t="shared" si="7"/>
        <v>324</v>
      </c>
      <c r="Z187" s="87">
        <v>12</v>
      </c>
      <c r="AA187" s="116">
        <v>0</v>
      </c>
      <c r="AB187" s="116">
        <v>0</v>
      </c>
      <c r="AC187" s="191">
        <v>20</v>
      </c>
      <c r="AD187" s="16">
        <f>WEEKNUM(tblKPIs[[#This Row],[Production Start Date]])</f>
        <v>11</v>
      </c>
      <c r="AE187" s="16">
        <v>31</v>
      </c>
      <c r="AF187" s="16">
        <v>24</v>
      </c>
      <c r="AG187" s="16">
        <v>11</v>
      </c>
      <c r="AH187" s="16">
        <v>5</v>
      </c>
      <c r="AI187" s="16">
        <v>3</v>
      </c>
      <c r="AJ187" s="16">
        <f t="shared" si="8"/>
        <v>1</v>
      </c>
      <c r="AL187" s="16"/>
      <c r="AM187" s="16"/>
      <c r="AN187" s="16"/>
      <c r="AO187" s="16"/>
      <c r="AP187" s="16"/>
      <c r="AQ187" s="16"/>
      <c r="AR187" s="16"/>
      <c r="AS187" s="16"/>
      <c r="BB187" s="171">
        <v>3029.6005970149258</v>
      </c>
      <c r="BC187" s="171">
        <v>3240</v>
      </c>
    </row>
    <row r="188" spans="2:55" x14ac:dyDescent="0.35">
      <c r="B188" s="1">
        <v>184</v>
      </c>
      <c r="C188" s="158" t="s">
        <v>153</v>
      </c>
      <c r="D188" s="89">
        <v>19.911111111111111</v>
      </c>
      <c r="E188" s="89">
        <v>76.428571428571416</v>
      </c>
      <c r="F188" s="89">
        <v>26.051921079958461</v>
      </c>
      <c r="G188" s="89">
        <v>100</v>
      </c>
      <c r="H188" s="89">
        <v>53.76</v>
      </c>
      <c r="I188" s="89">
        <v>187.69077306733166</v>
      </c>
      <c r="J188" s="89">
        <v>0</v>
      </c>
      <c r="K188" s="89">
        <f t="shared" si="6"/>
        <v>64.511999999999986</v>
      </c>
      <c r="L188" s="87">
        <v>12</v>
      </c>
      <c r="M188" s="116">
        <v>0</v>
      </c>
      <c r="N188" s="116">
        <v>0</v>
      </c>
      <c r="O188" s="88">
        <v>14</v>
      </c>
      <c r="P188" s="168">
        <v>41710</v>
      </c>
      <c r="Q188" s="16">
        <v>98</v>
      </c>
      <c r="R188" s="89">
        <v>87.317999999999998</v>
      </c>
      <c r="S188" s="89">
        <v>90</v>
      </c>
      <c r="T188" s="89">
        <v>98</v>
      </c>
      <c r="U188" s="89">
        <v>99</v>
      </c>
      <c r="V188" s="89">
        <v>270</v>
      </c>
      <c r="W188" s="80">
        <v>0</v>
      </c>
      <c r="X188" s="190">
        <v>40</v>
      </c>
      <c r="Y188" s="89">
        <f t="shared" si="7"/>
        <v>324</v>
      </c>
      <c r="Z188" s="87">
        <v>12</v>
      </c>
      <c r="AA188" s="116">
        <v>0</v>
      </c>
      <c r="AB188" s="116">
        <v>0</v>
      </c>
      <c r="AC188" s="191">
        <v>20</v>
      </c>
      <c r="AD188" s="16">
        <f>WEEKNUM(tblKPIs[[#This Row],[Production Start Date]])</f>
        <v>11</v>
      </c>
      <c r="AE188" s="16">
        <v>28</v>
      </c>
      <c r="AF188" s="16">
        <v>17</v>
      </c>
      <c r="AG188" s="16">
        <v>7</v>
      </c>
      <c r="AH188" s="16">
        <v>12</v>
      </c>
      <c r="AI188" s="16">
        <v>34</v>
      </c>
      <c r="AJ188" s="16">
        <f t="shared" si="8"/>
        <v>1</v>
      </c>
      <c r="AL188" s="16"/>
      <c r="AM188" s="16"/>
      <c r="AN188" s="16"/>
      <c r="AO188" s="16"/>
      <c r="AP188" s="16"/>
      <c r="AQ188" s="16"/>
      <c r="AR188" s="16"/>
      <c r="AS188" s="16"/>
      <c r="BB188" s="172">
        <v>645.11999999999989</v>
      </c>
      <c r="BC188" s="172">
        <v>3240</v>
      </c>
    </row>
    <row r="189" spans="2:55" x14ac:dyDescent="0.35">
      <c r="B189" s="1">
        <v>185</v>
      </c>
      <c r="C189" s="158" t="s">
        <v>148</v>
      </c>
      <c r="D189" s="89">
        <v>51.719934994582886</v>
      </c>
      <c r="E189" s="89">
        <v>60.281690140845065</v>
      </c>
      <c r="F189" s="89">
        <v>87.324766355140198</v>
      </c>
      <c r="G189" s="89">
        <v>98.250578852585548</v>
      </c>
      <c r="H189" s="89">
        <v>136.86619718309859</v>
      </c>
      <c r="I189" s="89">
        <v>151.01010101010101</v>
      </c>
      <c r="J189" s="89">
        <v>0</v>
      </c>
      <c r="K189" s="89">
        <f t="shared" si="6"/>
        <v>164.2394366197183</v>
      </c>
      <c r="L189" s="87">
        <v>12</v>
      </c>
      <c r="M189" s="116">
        <v>0</v>
      </c>
      <c r="N189" s="116">
        <v>0</v>
      </c>
      <c r="O189" s="88">
        <v>26</v>
      </c>
      <c r="P189" s="168">
        <v>41710</v>
      </c>
      <c r="Q189" s="16">
        <v>79</v>
      </c>
      <c r="R189" s="89">
        <v>87.097500000000011</v>
      </c>
      <c r="S189" s="89">
        <v>90</v>
      </c>
      <c r="T189" s="89">
        <v>98</v>
      </c>
      <c r="U189" s="89">
        <v>98.75</v>
      </c>
      <c r="V189" s="89">
        <v>260</v>
      </c>
      <c r="W189" s="80">
        <v>0</v>
      </c>
      <c r="X189" s="190">
        <v>40</v>
      </c>
      <c r="Y189" s="89">
        <f t="shared" si="7"/>
        <v>312</v>
      </c>
      <c r="Z189" s="87">
        <v>12</v>
      </c>
      <c r="AA189" s="116">
        <v>0</v>
      </c>
      <c r="AB189" s="116">
        <v>0</v>
      </c>
      <c r="AC189" s="191">
        <v>20</v>
      </c>
      <c r="AD189" s="16">
        <f>WEEKNUM(tblKPIs[[#This Row],[Production Start Date]])</f>
        <v>11</v>
      </c>
      <c r="AE189" s="16">
        <v>24</v>
      </c>
      <c r="AF189" s="16">
        <v>6</v>
      </c>
      <c r="AG189" s="16">
        <v>10</v>
      </c>
      <c r="AH189" s="16">
        <v>6</v>
      </c>
      <c r="AI189" s="16">
        <v>33</v>
      </c>
      <c r="AJ189" s="16">
        <f t="shared" si="8"/>
        <v>1</v>
      </c>
      <c r="AL189" s="16"/>
      <c r="AM189" s="16"/>
      <c r="AN189" s="16"/>
      <c r="AO189" s="16"/>
      <c r="AP189" s="16"/>
      <c r="AQ189" s="16"/>
      <c r="AR189" s="16"/>
      <c r="AS189" s="16"/>
      <c r="BB189" s="171">
        <v>1642.394366197183</v>
      </c>
      <c r="BC189" s="171">
        <v>3120</v>
      </c>
    </row>
    <row r="190" spans="2:55" x14ac:dyDescent="0.35">
      <c r="B190" s="1">
        <v>186</v>
      </c>
      <c r="C190" s="158" t="s">
        <v>147</v>
      </c>
      <c r="D190" s="89">
        <v>72.432596057927142</v>
      </c>
      <c r="E190" s="89">
        <v>79.809523809523824</v>
      </c>
      <c r="F190" s="89">
        <v>92.211915704034269</v>
      </c>
      <c r="G190" s="89">
        <v>98.422022876929006</v>
      </c>
      <c r="H190" s="89">
        <v>254.69619047619045</v>
      </c>
      <c r="I190" s="89">
        <v>174.62828859301439</v>
      </c>
      <c r="J190" s="89">
        <v>0</v>
      </c>
      <c r="K190" s="89">
        <f t="shared" si="6"/>
        <v>305.63542857142858</v>
      </c>
      <c r="L190" s="87">
        <v>12</v>
      </c>
      <c r="M190" s="116">
        <v>0</v>
      </c>
      <c r="N190" s="116">
        <v>0</v>
      </c>
      <c r="O190" s="88">
        <v>24</v>
      </c>
      <c r="P190" s="168">
        <v>41710</v>
      </c>
      <c r="Q190" s="16">
        <v>86</v>
      </c>
      <c r="R190" s="89">
        <v>87.494399999999999</v>
      </c>
      <c r="S190" s="89">
        <v>90</v>
      </c>
      <c r="T190" s="89">
        <v>98</v>
      </c>
      <c r="U190" s="89">
        <v>99.2</v>
      </c>
      <c r="V190" s="89">
        <v>346.08333333333331</v>
      </c>
      <c r="W190" s="80">
        <v>0</v>
      </c>
      <c r="X190" s="190">
        <v>40</v>
      </c>
      <c r="Y190" s="89">
        <f t="shared" si="7"/>
        <v>415.3</v>
      </c>
      <c r="Z190" s="87">
        <v>12</v>
      </c>
      <c r="AA190" s="116">
        <v>0</v>
      </c>
      <c r="AB190" s="116">
        <v>0</v>
      </c>
      <c r="AC190" s="191">
        <v>20</v>
      </c>
      <c r="AD190" s="16">
        <f>WEEKNUM(tblKPIs[[#This Row],[Production Start Date]])</f>
        <v>11</v>
      </c>
      <c r="AE190" s="16">
        <v>10</v>
      </c>
      <c r="AF190" s="16">
        <v>23</v>
      </c>
      <c r="AG190" s="16">
        <v>32</v>
      </c>
      <c r="AH190" s="16">
        <v>18</v>
      </c>
      <c r="AI190" s="16">
        <v>3</v>
      </c>
      <c r="AJ190" s="16">
        <f t="shared" si="8"/>
        <v>1</v>
      </c>
      <c r="AL190" s="16"/>
      <c r="AM190" s="16"/>
      <c r="AN190" s="16"/>
      <c r="AO190" s="16"/>
      <c r="AP190" s="16"/>
      <c r="AQ190" s="16"/>
      <c r="AR190" s="16"/>
      <c r="AS190" s="16"/>
      <c r="BB190" s="172">
        <v>3056.3542857142857</v>
      </c>
      <c r="BC190" s="172">
        <v>4153</v>
      </c>
    </row>
    <row r="191" spans="2:55" x14ac:dyDescent="0.35">
      <c r="B191" s="1">
        <v>187</v>
      </c>
      <c r="C191" s="158" t="s">
        <v>164</v>
      </c>
      <c r="D191" s="89">
        <v>68.571428571428569</v>
      </c>
      <c r="E191" s="89">
        <v>76.428571428571416</v>
      </c>
      <c r="F191" s="89">
        <v>91.758708581138492</v>
      </c>
      <c r="G191" s="89">
        <v>97.777777777777771</v>
      </c>
      <c r="H191" s="89">
        <v>231.42857142857142</v>
      </c>
      <c r="I191" s="89">
        <v>187.26699997110077</v>
      </c>
      <c r="J191" s="89">
        <v>82.080729606485392</v>
      </c>
      <c r="K191" s="89">
        <f t="shared" si="6"/>
        <v>277.71428571428567</v>
      </c>
      <c r="L191" s="87">
        <v>12</v>
      </c>
      <c r="M191" s="116">
        <v>0</v>
      </c>
      <c r="N191" s="116">
        <v>0</v>
      </c>
      <c r="O191" s="88">
        <v>24</v>
      </c>
      <c r="P191" s="168">
        <v>41710</v>
      </c>
      <c r="Q191" s="16">
        <v>71</v>
      </c>
      <c r="R191" s="89">
        <v>87.494399999999999</v>
      </c>
      <c r="S191" s="89">
        <v>90</v>
      </c>
      <c r="T191" s="89">
        <v>98</v>
      </c>
      <c r="U191" s="89">
        <v>99.2</v>
      </c>
      <c r="V191" s="89">
        <v>330</v>
      </c>
      <c r="W191" s="80">
        <v>0</v>
      </c>
      <c r="X191" s="190">
        <v>40</v>
      </c>
      <c r="Y191" s="89">
        <f t="shared" si="7"/>
        <v>395.99999999999994</v>
      </c>
      <c r="Z191" s="87">
        <v>12</v>
      </c>
      <c r="AA191" s="116">
        <v>0</v>
      </c>
      <c r="AB191" s="116">
        <v>0</v>
      </c>
      <c r="AC191" s="191">
        <v>20</v>
      </c>
      <c r="AD191" s="16">
        <f>WEEKNUM(tblKPIs[[#This Row],[Production Start Date]])</f>
        <v>11</v>
      </c>
      <c r="AE191" s="16">
        <v>8</v>
      </c>
      <c r="AF191" s="16">
        <v>2</v>
      </c>
      <c r="AG191" s="16">
        <v>11</v>
      </c>
      <c r="AH191" s="16">
        <v>17</v>
      </c>
      <c r="AI191" s="16">
        <v>33</v>
      </c>
      <c r="AJ191" s="16">
        <f t="shared" si="8"/>
        <v>1</v>
      </c>
      <c r="AL191" s="16"/>
      <c r="AM191" s="16"/>
      <c r="AN191" s="16"/>
      <c r="AO191" s="16"/>
      <c r="AP191" s="16"/>
      <c r="AQ191" s="16"/>
      <c r="AR191" s="16"/>
      <c r="AS191" s="16"/>
      <c r="BB191" s="171">
        <v>2777.1428571428569</v>
      </c>
      <c r="BC191" s="171">
        <v>3959.9999999999995</v>
      </c>
    </row>
    <row r="192" spans="2:55" x14ac:dyDescent="0.35">
      <c r="B192" s="1">
        <v>188</v>
      </c>
      <c r="C192" s="158" t="s">
        <v>165</v>
      </c>
      <c r="D192" s="89">
        <v>86.922234392113893</v>
      </c>
      <c r="E192" s="89">
        <v>96.385542168674689</v>
      </c>
      <c r="F192" s="89">
        <v>90.47727272727272</v>
      </c>
      <c r="G192" s="89">
        <v>99.673448882190414</v>
      </c>
      <c r="H192" s="89">
        <v>287.78313253012044</v>
      </c>
      <c r="I192" s="89">
        <v>179.18845319990098</v>
      </c>
      <c r="J192" s="89">
        <v>58.197834947626767</v>
      </c>
      <c r="K192" s="89">
        <f t="shared" si="6"/>
        <v>345.33975903614453</v>
      </c>
      <c r="L192" s="87">
        <v>12</v>
      </c>
      <c r="M192" s="116">
        <v>0</v>
      </c>
      <c r="N192" s="116">
        <v>0</v>
      </c>
      <c r="O192" s="88">
        <v>30</v>
      </c>
      <c r="P192" s="168">
        <v>41710</v>
      </c>
      <c r="Q192" s="16">
        <v>75</v>
      </c>
      <c r="R192" s="89">
        <v>87.494399999999999</v>
      </c>
      <c r="S192" s="89">
        <v>90</v>
      </c>
      <c r="T192" s="89">
        <v>98</v>
      </c>
      <c r="U192" s="89">
        <v>99.2</v>
      </c>
      <c r="V192" s="89">
        <v>330</v>
      </c>
      <c r="W192" s="80">
        <v>0</v>
      </c>
      <c r="X192" s="190">
        <v>40</v>
      </c>
      <c r="Y192" s="89">
        <f t="shared" si="7"/>
        <v>396</v>
      </c>
      <c r="Z192" s="87">
        <v>12</v>
      </c>
      <c r="AA192" s="116">
        <v>0</v>
      </c>
      <c r="AB192" s="116">
        <v>0</v>
      </c>
      <c r="AC192" s="191">
        <v>20</v>
      </c>
      <c r="AD192" s="16">
        <f>WEEKNUM(tblKPIs[[#This Row],[Production Start Date]])</f>
        <v>11</v>
      </c>
      <c r="AE192" s="16">
        <v>21</v>
      </c>
      <c r="AF192" s="16">
        <v>13</v>
      </c>
      <c r="AG192" s="16">
        <v>14</v>
      </c>
      <c r="AH192" s="16">
        <v>23</v>
      </c>
      <c r="AI192" s="16">
        <v>4</v>
      </c>
      <c r="AJ192" s="16">
        <f t="shared" si="8"/>
        <v>1</v>
      </c>
      <c r="AL192" s="16"/>
      <c r="AM192" s="16"/>
      <c r="AN192" s="16"/>
      <c r="AO192" s="16"/>
      <c r="AP192" s="16"/>
      <c r="AQ192" s="16"/>
      <c r="AR192" s="16"/>
      <c r="AS192" s="16"/>
      <c r="BB192" s="172">
        <v>3453.3975903614451</v>
      </c>
      <c r="BC192" s="172">
        <v>3960</v>
      </c>
    </row>
    <row r="193" spans="2:55" x14ac:dyDescent="0.35">
      <c r="B193" s="1">
        <v>189</v>
      </c>
      <c r="C193" s="158" t="s">
        <v>157</v>
      </c>
      <c r="D193" s="89">
        <v>71.919191919191931</v>
      </c>
      <c r="E193" s="89">
        <v>79.259259259259252</v>
      </c>
      <c r="F193" s="89">
        <v>91.133295572547922</v>
      </c>
      <c r="G193" s="89">
        <v>99.567525572963874</v>
      </c>
      <c r="H193" s="89">
        <v>238.3641975308642</v>
      </c>
      <c r="I193" s="89">
        <v>171.85135736537606</v>
      </c>
      <c r="J193" s="89">
        <v>77.449052984895701</v>
      </c>
      <c r="K193" s="89">
        <f t="shared" si="6"/>
        <v>286.03703703703707</v>
      </c>
      <c r="L193" s="87">
        <v>12</v>
      </c>
      <c r="M193" s="116">
        <v>0</v>
      </c>
      <c r="N193" s="116">
        <v>0</v>
      </c>
      <c r="O193" s="88">
        <v>27</v>
      </c>
      <c r="P193" s="168">
        <v>41710</v>
      </c>
      <c r="Q193" s="16">
        <v>95</v>
      </c>
      <c r="R193" s="89">
        <v>87.494399999999999</v>
      </c>
      <c r="S193" s="89">
        <v>90</v>
      </c>
      <c r="T193" s="89">
        <v>98</v>
      </c>
      <c r="U193" s="89">
        <v>99.2</v>
      </c>
      <c r="V193" s="89">
        <v>330</v>
      </c>
      <c r="W193" s="80">
        <v>0</v>
      </c>
      <c r="X193" s="190">
        <v>40</v>
      </c>
      <c r="Y193" s="89">
        <f t="shared" si="7"/>
        <v>396.00000000000006</v>
      </c>
      <c r="Z193" s="87">
        <v>12</v>
      </c>
      <c r="AA193" s="116">
        <v>0</v>
      </c>
      <c r="AB193" s="116">
        <v>0</v>
      </c>
      <c r="AC193" s="191">
        <v>20</v>
      </c>
      <c r="AD193" s="16">
        <f>WEEKNUM(tblKPIs[[#This Row],[Production Start Date]])</f>
        <v>11</v>
      </c>
      <c r="AE193" s="16">
        <v>24</v>
      </c>
      <c r="AF193" s="16">
        <v>6</v>
      </c>
      <c r="AG193" s="16">
        <v>17</v>
      </c>
      <c r="AH193" s="16">
        <v>19</v>
      </c>
      <c r="AI193" s="16">
        <v>29</v>
      </c>
      <c r="AJ193" s="16">
        <f t="shared" si="8"/>
        <v>1</v>
      </c>
      <c r="AL193" s="16"/>
      <c r="AM193" s="16"/>
      <c r="AN193" s="16"/>
      <c r="AO193" s="16"/>
      <c r="AP193" s="16"/>
      <c r="AQ193" s="16"/>
      <c r="AR193" s="16"/>
      <c r="AS193" s="16"/>
      <c r="BB193" s="171">
        <v>2860.3703703703704</v>
      </c>
      <c r="BC193" s="171">
        <v>3960.0000000000005</v>
      </c>
    </row>
    <row r="194" spans="2:55" x14ac:dyDescent="0.35">
      <c r="B194" s="1">
        <v>190</v>
      </c>
      <c r="C194" s="158" t="s">
        <v>147</v>
      </c>
      <c r="D194" s="89">
        <v>96.001092815203094</v>
      </c>
      <c r="E194" s="89">
        <v>96.538461538461533</v>
      </c>
      <c r="F194" s="89">
        <v>100.27797310637057</v>
      </c>
      <c r="G194" s="89">
        <v>99.167703529491902</v>
      </c>
      <c r="H194" s="89">
        <v>335.03224358974359</v>
      </c>
      <c r="I194" s="89">
        <v>185.33830027163313</v>
      </c>
      <c r="J194" s="89">
        <v>32.981764019161872</v>
      </c>
      <c r="K194" s="89">
        <f t="shared" si="6"/>
        <v>402.03869230769226</v>
      </c>
      <c r="L194" s="87">
        <v>12</v>
      </c>
      <c r="M194" s="116">
        <v>0</v>
      </c>
      <c r="N194" s="116">
        <v>0</v>
      </c>
      <c r="O194" s="88">
        <v>14</v>
      </c>
      <c r="P194" s="168">
        <v>41711</v>
      </c>
      <c r="Q194" s="16">
        <v>122</v>
      </c>
      <c r="R194" s="89">
        <v>87.494399999999999</v>
      </c>
      <c r="S194" s="89">
        <v>90</v>
      </c>
      <c r="T194" s="89">
        <v>98</v>
      </c>
      <c r="U194" s="89">
        <v>99.2</v>
      </c>
      <c r="V194" s="89">
        <v>346.08333333333331</v>
      </c>
      <c r="W194" s="80">
        <v>0</v>
      </c>
      <c r="X194" s="190">
        <v>40</v>
      </c>
      <c r="Y194" s="89">
        <f t="shared" si="7"/>
        <v>415.3</v>
      </c>
      <c r="Z194" s="87">
        <v>12</v>
      </c>
      <c r="AA194" s="116">
        <v>0</v>
      </c>
      <c r="AB194" s="116">
        <v>0</v>
      </c>
      <c r="AC194" s="191">
        <v>20</v>
      </c>
      <c r="AD194" s="16">
        <f>WEEKNUM(tblKPIs[[#This Row],[Production Start Date]])</f>
        <v>11</v>
      </c>
      <c r="AE194" s="16">
        <v>28</v>
      </c>
      <c r="AF194" s="16">
        <v>19</v>
      </c>
      <c r="AG194" s="16">
        <v>33</v>
      </c>
      <c r="AH194" s="16">
        <v>34</v>
      </c>
      <c r="AI194" s="16">
        <v>8</v>
      </c>
      <c r="AJ194" s="16">
        <f t="shared" si="8"/>
        <v>1</v>
      </c>
      <c r="AL194" s="16"/>
      <c r="AM194" s="16"/>
      <c r="AN194" s="16"/>
      <c r="AO194" s="16"/>
      <c r="AP194" s="16"/>
      <c r="AQ194" s="16"/>
      <c r="AR194" s="16"/>
      <c r="AS194" s="16"/>
      <c r="BB194" s="172">
        <v>4020.3869230769228</v>
      </c>
      <c r="BC194" s="172">
        <v>4153</v>
      </c>
    </row>
    <row r="195" spans="2:55" x14ac:dyDescent="0.35">
      <c r="B195" s="1">
        <v>191</v>
      </c>
      <c r="C195" s="158" t="s">
        <v>147</v>
      </c>
      <c r="D195" s="89">
        <v>80.620866978325537</v>
      </c>
      <c r="E195" s="89">
        <v>85.999999999999986</v>
      </c>
      <c r="F195" s="89">
        <v>96.171586989395024</v>
      </c>
      <c r="G195" s="89">
        <v>97.477016960509417</v>
      </c>
      <c r="H195" s="89">
        <v>299.40138461538464</v>
      </c>
      <c r="I195" s="89">
        <v>175.94092838448083</v>
      </c>
      <c r="J195" s="89">
        <v>33.766700002564299</v>
      </c>
      <c r="K195" s="89">
        <f t="shared" si="6"/>
        <v>359.28166153846149</v>
      </c>
      <c r="L195" s="87">
        <v>12</v>
      </c>
      <c r="M195" s="116">
        <v>0</v>
      </c>
      <c r="N195" s="116">
        <v>0</v>
      </c>
      <c r="O195" s="88">
        <v>24</v>
      </c>
      <c r="P195" s="168">
        <v>41711</v>
      </c>
      <c r="Q195" s="16">
        <v>68</v>
      </c>
      <c r="R195" s="89">
        <v>87.494399999999999</v>
      </c>
      <c r="S195" s="89">
        <v>90</v>
      </c>
      <c r="T195" s="89">
        <v>98</v>
      </c>
      <c r="U195" s="89">
        <v>99.2</v>
      </c>
      <c r="V195" s="89">
        <v>362</v>
      </c>
      <c r="W195" s="80">
        <v>0</v>
      </c>
      <c r="X195" s="190">
        <v>40</v>
      </c>
      <c r="Y195" s="89">
        <f t="shared" si="7"/>
        <v>434.4</v>
      </c>
      <c r="Z195" s="87">
        <v>12</v>
      </c>
      <c r="AA195" s="116">
        <v>0</v>
      </c>
      <c r="AB195" s="116">
        <v>0</v>
      </c>
      <c r="AC195" s="191">
        <v>20</v>
      </c>
      <c r="AD195" s="16">
        <f>WEEKNUM(tblKPIs[[#This Row],[Production Start Date]])</f>
        <v>11</v>
      </c>
      <c r="AE195" s="16">
        <v>21</v>
      </c>
      <c r="AF195" s="16">
        <v>20</v>
      </c>
      <c r="AG195" s="16">
        <v>10</v>
      </c>
      <c r="AH195" s="16">
        <v>9</v>
      </c>
      <c r="AI195" s="16">
        <v>8</v>
      </c>
      <c r="AJ195" s="16">
        <f t="shared" si="8"/>
        <v>1</v>
      </c>
      <c r="AL195" s="16"/>
      <c r="AM195" s="16"/>
      <c r="AN195" s="16"/>
      <c r="AO195" s="16"/>
      <c r="AP195" s="16"/>
      <c r="AQ195" s="16"/>
      <c r="AR195" s="16"/>
      <c r="AS195" s="16"/>
      <c r="BB195" s="171">
        <v>3592.816615384615</v>
      </c>
      <c r="BC195" s="171">
        <v>4344</v>
      </c>
    </row>
    <row r="196" spans="2:55" x14ac:dyDescent="0.35">
      <c r="B196" s="1">
        <v>192</v>
      </c>
      <c r="C196" s="158" t="s">
        <v>147</v>
      </c>
      <c r="D196" s="89">
        <v>90.677582470503239</v>
      </c>
      <c r="E196" s="89">
        <v>94.733333333333334</v>
      </c>
      <c r="F196" s="89">
        <v>97.022757092242145</v>
      </c>
      <c r="G196" s="89">
        <v>98.655999839041897</v>
      </c>
      <c r="H196" s="89">
        <v>318.09519999999998</v>
      </c>
      <c r="I196" s="89">
        <v>177.95933895024223</v>
      </c>
      <c r="J196" s="89">
        <v>1.1655061141304348</v>
      </c>
      <c r="K196" s="89">
        <f t="shared" si="6"/>
        <v>381.71423999999996</v>
      </c>
      <c r="L196" s="87">
        <v>12</v>
      </c>
      <c r="M196" s="116">
        <v>0</v>
      </c>
      <c r="N196" s="116">
        <v>0</v>
      </c>
      <c r="O196" s="88">
        <v>19</v>
      </c>
      <c r="P196" s="168">
        <v>41712</v>
      </c>
      <c r="Q196" s="16">
        <v>58</v>
      </c>
      <c r="R196" s="89">
        <v>87.494399999999999</v>
      </c>
      <c r="S196" s="89">
        <v>90</v>
      </c>
      <c r="T196" s="89">
        <v>98</v>
      </c>
      <c r="U196" s="89">
        <v>99.2</v>
      </c>
      <c r="V196" s="89">
        <v>346.08333333333331</v>
      </c>
      <c r="W196" s="80">
        <v>0</v>
      </c>
      <c r="X196" s="190">
        <v>40</v>
      </c>
      <c r="Y196" s="89">
        <f t="shared" si="7"/>
        <v>415.3</v>
      </c>
      <c r="Z196" s="87">
        <v>12</v>
      </c>
      <c r="AA196" s="116">
        <v>0</v>
      </c>
      <c r="AB196" s="116">
        <v>0</v>
      </c>
      <c r="AC196" s="191">
        <v>20</v>
      </c>
      <c r="AD196" s="16">
        <f>WEEKNUM(tblKPIs[[#This Row],[Production Start Date]])</f>
        <v>11</v>
      </c>
      <c r="AE196" s="16">
        <v>0</v>
      </c>
      <c r="AF196" s="16">
        <v>23</v>
      </c>
      <c r="AG196" s="16">
        <v>0</v>
      </c>
      <c r="AH196" s="16">
        <v>14</v>
      </c>
      <c r="AI196" s="16">
        <v>21</v>
      </c>
      <c r="AJ196" s="16">
        <f t="shared" si="8"/>
        <v>1</v>
      </c>
      <c r="AL196" s="16"/>
      <c r="AM196" s="16"/>
      <c r="AN196" s="16"/>
      <c r="AO196" s="16"/>
      <c r="AP196" s="16"/>
      <c r="AQ196" s="16"/>
      <c r="AR196" s="16"/>
      <c r="AS196" s="16"/>
      <c r="BB196" s="172">
        <v>3817.1423999999997</v>
      </c>
      <c r="BC196" s="172">
        <v>4153</v>
      </c>
    </row>
    <row r="197" spans="2:55" x14ac:dyDescent="0.35">
      <c r="B197" s="1">
        <v>193</v>
      </c>
      <c r="C197" s="158" t="s">
        <v>147</v>
      </c>
      <c r="D197" s="89">
        <v>93.162584230191939</v>
      </c>
      <c r="E197" s="89">
        <v>98.728323699421978</v>
      </c>
      <c r="F197" s="89">
        <v>95.957276126644842</v>
      </c>
      <c r="G197" s="89">
        <v>98.338108882521496</v>
      </c>
      <c r="H197" s="89">
        <v>342.94797687861274</v>
      </c>
      <c r="I197" s="89">
        <v>177.87438165192623</v>
      </c>
      <c r="J197" s="89">
        <v>0</v>
      </c>
      <c r="K197" s="89">
        <f t="shared" ref="K197:K256" si="9">IF(BB197="","",+BB197/10)</f>
        <v>411.53757225433526</v>
      </c>
      <c r="L197" s="87">
        <v>12</v>
      </c>
      <c r="M197" s="116">
        <v>0</v>
      </c>
      <c r="N197" s="116">
        <v>0</v>
      </c>
      <c r="O197" s="88">
        <v>16</v>
      </c>
      <c r="P197" s="168">
        <v>41712</v>
      </c>
      <c r="Q197" s="16">
        <v>105</v>
      </c>
      <c r="R197" s="89">
        <v>87.494399999999999</v>
      </c>
      <c r="S197" s="89">
        <v>90</v>
      </c>
      <c r="T197" s="89">
        <v>98</v>
      </c>
      <c r="U197" s="89">
        <v>99.2</v>
      </c>
      <c r="V197" s="89">
        <v>362</v>
      </c>
      <c r="W197" s="80">
        <v>0</v>
      </c>
      <c r="X197" s="190">
        <v>40</v>
      </c>
      <c r="Y197" s="89">
        <f t="shared" ref="Y197:Y260" si="10">IF(BC197="","",+BC197/10)</f>
        <v>434.4</v>
      </c>
      <c r="Z197" s="87">
        <v>12</v>
      </c>
      <c r="AA197" s="116">
        <v>0</v>
      </c>
      <c r="AB197" s="116">
        <v>0</v>
      </c>
      <c r="AC197" s="191">
        <v>20</v>
      </c>
      <c r="AD197" s="16">
        <f>WEEKNUM(tblKPIs[[#This Row],[Production Start Date]])</f>
        <v>11</v>
      </c>
      <c r="AE197" s="16">
        <v>21</v>
      </c>
      <c r="AF197" s="16">
        <v>5</v>
      </c>
      <c r="AG197" s="16">
        <v>27</v>
      </c>
      <c r="AH197" s="16">
        <v>34</v>
      </c>
      <c r="AI197" s="16">
        <v>18</v>
      </c>
      <c r="AJ197" s="16">
        <f t="shared" ref="AJ197:AJ256" si="11">IF(AND(P194&gt;=BeginnDate,P194&lt;=EndDate),1,"")</f>
        <v>1</v>
      </c>
      <c r="AL197" s="16"/>
      <c r="AM197" s="16"/>
      <c r="AN197" s="16"/>
      <c r="AO197" s="16"/>
      <c r="AP197" s="16"/>
      <c r="AQ197" s="16"/>
      <c r="AR197" s="16"/>
      <c r="AS197" s="16"/>
      <c r="BB197" s="171">
        <v>4115.3757225433528</v>
      </c>
      <c r="BC197" s="171">
        <v>4344</v>
      </c>
    </row>
    <row r="198" spans="2:55" x14ac:dyDescent="0.35">
      <c r="B198" s="1">
        <v>194</v>
      </c>
      <c r="C198" s="158" t="s">
        <v>147</v>
      </c>
      <c r="D198" s="89">
        <v>91.67559717257069</v>
      </c>
      <c r="E198" s="89">
        <v>94.85294117647058</v>
      </c>
      <c r="F198" s="89">
        <v>97.877275258041038</v>
      </c>
      <c r="G198" s="89">
        <v>98.74635529603627</v>
      </c>
      <c r="H198" s="89">
        <v>336.07889705882354</v>
      </c>
      <c r="I198" s="89">
        <v>186.59540071279562</v>
      </c>
      <c r="J198" s="89">
        <v>0</v>
      </c>
      <c r="K198" s="89">
        <f t="shared" si="9"/>
        <v>403.29467647058823</v>
      </c>
      <c r="L198" s="87">
        <v>12</v>
      </c>
      <c r="M198" s="116">
        <v>0</v>
      </c>
      <c r="N198" s="116">
        <v>0</v>
      </c>
      <c r="O198" s="88">
        <v>24</v>
      </c>
      <c r="P198" s="168">
        <v>41713</v>
      </c>
      <c r="Q198" s="16">
        <v>73</v>
      </c>
      <c r="R198" s="89">
        <v>87.494399999999999</v>
      </c>
      <c r="S198" s="89">
        <v>90</v>
      </c>
      <c r="T198" s="89">
        <v>98</v>
      </c>
      <c r="U198" s="89">
        <v>99.2</v>
      </c>
      <c r="V198" s="89">
        <v>362</v>
      </c>
      <c r="W198" s="80">
        <v>0</v>
      </c>
      <c r="X198" s="190">
        <v>40</v>
      </c>
      <c r="Y198" s="89">
        <f t="shared" si="10"/>
        <v>434.4</v>
      </c>
      <c r="Z198" s="87">
        <v>12</v>
      </c>
      <c r="AA198" s="116">
        <v>0</v>
      </c>
      <c r="AB198" s="116">
        <v>0</v>
      </c>
      <c r="AC198" s="191">
        <v>20</v>
      </c>
      <c r="AD198" s="16">
        <f>WEEKNUM(tblKPIs[[#This Row],[Production Start Date]])</f>
        <v>11</v>
      </c>
      <c r="AE198" s="16">
        <v>29</v>
      </c>
      <c r="AF198" s="16">
        <v>3</v>
      </c>
      <c r="AG198" s="16">
        <v>12</v>
      </c>
      <c r="AH198" s="16">
        <v>28</v>
      </c>
      <c r="AI198" s="16">
        <v>1</v>
      </c>
      <c r="AJ198" s="16">
        <f t="shared" si="11"/>
        <v>1</v>
      </c>
      <c r="AL198" s="16"/>
      <c r="AM198" s="16"/>
      <c r="AN198" s="16"/>
      <c r="AO198" s="16"/>
      <c r="AP198" s="16"/>
      <c r="AQ198" s="16"/>
      <c r="AR198" s="16"/>
      <c r="AS198" s="16"/>
      <c r="BB198" s="172">
        <v>4032.9467647058823</v>
      </c>
      <c r="BC198" s="172">
        <v>4344</v>
      </c>
    </row>
    <row r="199" spans="2:55" x14ac:dyDescent="0.35">
      <c r="B199" s="1">
        <v>195</v>
      </c>
      <c r="C199" s="158" t="s">
        <v>149</v>
      </c>
      <c r="D199" s="89">
        <v>79.401900013475284</v>
      </c>
      <c r="E199" s="89">
        <v>81.463414634146332</v>
      </c>
      <c r="F199" s="89">
        <v>101.43935885135807</v>
      </c>
      <c r="G199" s="89">
        <v>96.086370540806527</v>
      </c>
      <c r="H199" s="89">
        <v>299.1421951219512</v>
      </c>
      <c r="I199" s="89">
        <v>182.79524859902227</v>
      </c>
      <c r="J199" s="89">
        <v>100</v>
      </c>
      <c r="K199" s="89">
        <f t="shared" si="9"/>
        <v>358.97063414634147</v>
      </c>
      <c r="L199" s="87">
        <v>12</v>
      </c>
      <c r="M199" s="116">
        <v>0</v>
      </c>
      <c r="N199" s="116">
        <v>0</v>
      </c>
      <c r="O199" s="88">
        <v>29</v>
      </c>
      <c r="P199" s="168">
        <v>41712</v>
      </c>
      <c r="Q199" s="16">
        <v>82</v>
      </c>
      <c r="R199" s="89">
        <v>87.494399999999999</v>
      </c>
      <c r="S199" s="89">
        <v>90</v>
      </c>
      <c r="T199" s="89">
        <v>98</v>
      </c>
      <c r="U199" s="89">
        <v>99.2</v>
      </c>
      <c r="V199" s="89">
        <v>362</v>
      </c>
      <c r="W199" s="80">
        <v>0</v>
      </c>
      <c r="X199" s="190">
        <v>40</v>
      </c>
      <c r="Y199" s="89">
        <f t="shared" si="10"/>
        <v>434.4</v>
      </c>
      <c r="Z199" s="87">
        <v>12</v>
      </c>
      <c r="AA199" s="116">
        <v>0</v>
      </c>
      <c r="AB199" s="116">
        <v>0</v>
      </c>
      <c r="AC199" s="191">
        <v>20</v>
      </c>
      <c r="AD199" s="16">
        <f>WEEKNUM(tblKPIs[[#This Row],[Production Start Date]])</f>
        <v>11</v>
      </c>
      <c r="AE199" s="16">
        <v>28</v>
      </c>
      <c r="AF199" s="16">
        <v>20</v>
      </c>
      <c r="AG199" s="16">
        <v>28</v>
      </c>
      <c r="AH199" s="16">
        <v>5</v>
      </c>
      <c r="AI199" s="16">
        <v>1</v>
      </c>
      <c r="AJ199" s="16">
        <f t="shared" si="11"/>
        <v>1</v>
      </c>
      <c r="AL199" s="16"/>
      <c r="AM199" s="16"/>
      <c r="AN199" s="16"/>
      <c r="AO199" s="16"/>
      <c r="AP199" s="16"/>
      <c r="AQ199" s="16"/>
      <c r="AR199" s="16"/>
      <c r="AS199" s="16"/>
      <c r="BB199" s="171">
        <v>3589.7063414634149</v>
      </c>
      <c r="BC199" s="171">
        <v>4344</v>
      </c>
    </row>
    <row r="200" spans="2:55" x14ac:dyDescent="0.35">
      <c r="B200" s="1">
        <v>196</v>
      </c>
      <c r="C200" s="158" t="s">
        <v>147</v>
      </c>
      <c r="D200" s="89">
        <v>94.16268411236311</v>
      </c>
      <c r="E200" s="89">
        <v>94.915254237288138</v>
      </c>
      <c r="F200" s="89">
        <v>100.21585084792403</v>
      </c>
      <c r="G200" s="89">
        <v>98.993435448577685</v>
      </c>
      <c r="H200" s="89">
        <v>329.19491525423729</v>
      </c>
      <c r="I200" s="89">
        <v>179.97127501853225</v>
      </c>
      <c r="J200" s="89">
        <v>0</v>
      </c>
      <c r="K200" s="89">
        <f t="shared" si="9"/>
        <v>395.03389830508473</v>
      </c>
      <c r="L200" s="87">
        <v>12</v>
      </c>
      <c r="M200" s="116">
        <v>0</v>
      </c>
      <c r="N200" s="116">
        <v>0</v>
      </c>
      <c r="O200" s="88">
        <v>19</v>
      </c>
      <c r="P200" s="168">
        <v>41713</v>
      </c>
      <c r="Q200" s="16">
        <v>83</v>
      </c>
      <c r="R200" s="89">
        <v>87.494399999999999</v>
      </c>
      <c r="S200" s="89">
        <v>90</v>
      </c>
      <c r="T200" s="89">
        <v>98</v>
      </c>
      <c r="U200" s="89">
        <v>99.2</v>
      </c>
      <c r="V200" s="89">
        <v>346.08333333333331</v>
      </c>
      <c r="W200" s="80">
        <v>0</v>
      </c>
      <c r="X200" s="190">
        <v>40</v>
      </c>
      <c r="Y200" s="89">
        <f t="shared" si="10"/>
        <v>415.3</v>
      </c>
      <c r="Z200" s="87">
        <v>12</v>
      </c>
      <c r="AA200" s="116">
        <v>0</v>
      </c>
      <c r="AB200" s="116">
        <v>0</v>
      </c>
      <c r="AC200" s="191">
        <v>20</v>
      </c>
      <c r="AD200" s="16">
        <f>WEEKNUM(tblKPIs[[#This Row],[Production Start Date]])</f>
        <v>11</v>
      </c>
      <c r="AE200" s="16">
        <v>5</v>
      </c>
      <c r="AF200" s="16">
        <v>7</v>
      </c>
      <c r="AG200" s="16">
        <v>24</v>
      </c>
      <c r="AH200" s="16">
        <v>24</v>
      </c>
      <c r="AI200" s="16">
        <v>23</v>
      </c>
      <c r="AJ200" s="16">
        <f t="shared" si="11"/>
        <v>1</v>
      </c>
      <c r="AL200" s="16"/>
      <c r="AM200" s="16"/>
      <c r="AN200" s="16"/>
      <c r="AO200" s="16"/>
      <c r="AP200" s="16"/>
      <c r="AQ200" s="16"/>
      <c r="AR200" s="16"/>
      <c r="AS200" s="16"/>
      <c r="BB200" s="172">
        <v>3950.3389830508472</v>
      </c>
      <c r="BC200" s="172">
        <v>4153</v>
      </c>
    </row>
    <row r="201" spans="2:55" x14ac:dyDescent="0.35">
      <c r="B201" s="1">
        <v>197</v>
      </c>
      <c r="C201" s="158" t="s">
        <v>150</v>
      </c>
      <c r="D201" s="89">
        <v>72.622837370242223</v>
      </c>
      <c r="E201" s="89">
        <v>97.941176470588232</v>
      </c>
      <c r="F201" s="89">
        <v>75.408055113937479</v>
      </c>
      <c r="G201" s="89">
        <v>98.330932218278932</v>
      </c>
      <c r="H201" s="89">
        <v>225.99794117647059</v>
      </c>
      <c r="I201" s="89">
        <v>142.57222376843862</v>
      </c>
      <c r="J201" s="89">
        <v>46.007492113564666</v>
      </c>
      <c r="K201" s="89">
        <f t="shared" si="9"/>
        <v>271.19752941176472</v>
      </c>
      <c r="L201" s="87">
        <v>12</v>
      </c>
      <c r="M201" s="116">
        <v>0</v>
      </c>
      <c r="N201" s="116">
        <v>0</v>
      </c>
      <c r="O201" s="88">
        <v>30</v>
      </c>
      <c r="P201" s="168">
        <v>41712</v>
      </c>
      <c r="Q201" s="16">
        <v>93</v>
      </c>
      <c r="R201" s="89">
        <v>86.87700000000001</v>
      </c>
      <c r="S201" s="89">
        <v>90</v>
      </c>
      <c r="T201" s="89">
        <v>98</v>
      </c>
      <c r="U201" s="89">
        <v>98.5</v>
      </c>
      <c r="V201" s="89">
        <v>306</v>
      </c>
      <c r="W201" s="80">
        <v>0</v>
      </c>
      <c r="X201" s="190">
        <v>40</v>
      </c>
      <c r="Y201" s="89">
        <f t="shared" si="10"/>
        <v>367.2</v>
      </c>
      <c r="Z201" s="87">
        <v>12</v>
      </c>
      <c r="AA201" s="116">
        <v>0</v>
      </c>
      <c r="AB201" s="116">
        <v>0</v>
      </c>
      <c r="AC201" s="191">
        <v>20</v>
      </c>
      <c r="AD201" s="16">
        <f>WEEKNUM(tblKPIs[[#This Row],[Production Start Date]])</f>
        <v>11</v>
      </c>
      <c r="AE201" s="16">
        <v>23</v>
      </c>
      <c r="AF201" s="16">
        <v>1</v>
      </c>
      <c r="AG201" s="16">
        <v>6</v>
      </c>
      <c r="AH201" s="16">
        <v>29</v>
      </c>
      <c r="AI201" s="16">
        <v>34</v>
      </c>
      <c r="AJ201" s="16">
        <f t="shared" si="11"/>
        <v>1</v>
      </c>
      <c r="AL201" s="16"/>
      <c r="AM201" s="16"/>
      <c r="AN201" s="16"/>
      <c r="AO201" s="16"/>
      <c r="AP201" s="16"/>
      <c r="AQ201" s="16"/>
      <c r="AR201" s="16"/>
      <c r="AS201" s="16"/>
      <c r="BB201" s="171">
        <v>2711.9752941176471</v>
      </c>
      <c r="BC201" s="171">
        <v>3672</v>
      </c>
    </row>
    <row r="202" spans="2:55" x14ac:dyDescent="0.35">
      <c r="B202" s="1">
        <v>198</v>
      </c>
      <c r="C202" s="158" t="s">
        <v>147</v>
      </c>
      <c r="D202" s="89">
        <v>91.269064659743535</v>
      </c>
      <c r="E202" s="89">
        <v>92.907801418439703</v>
      </c>
      <c r="F202" s="89">
        <v>99.575585018096007</v>
      </c>
      <c r="G202" s="89">
        <v>98.654874901704531</v>
      </c>
      <c r="H202" s="89">
        <v>320.1737588652482</v>
      </c>
      <c r="I202" s="89">
        <v>177.34918081409853</v>
      </c>
      <c r="J202" s="89">
        <v>20.784151693486248</v>
      </c>
      <c r="K202" s="89">
        <f t="shared" si="9"/>
        <v>384.20851063829787</v>
      </c>
      <c r="L202" s="87">
        <v>12</v>
      </c>
      <c r="M202" s="116">
        <v>0</v>
      </c>
      <c r="N202" s="116">
        <v>0</v>
      </c>
      <c r="O202" s="88">
        <v>15</v>
      </c>
      <c r="P202" s="168">
        <v>41715</v>
      </c>
      <c r="Q202" s="16">
        <v>99</v>
      </c>
      <c r="R202" s="89">
        <v>87.494399999999999</v>
      </c>
      <c r="S202" s="89">
        <v>90</v>
      </c>
      <c r="T202" s="89">
        <v>98</v>
      </c>
      <c r="U202" s="89">
        <v>99.2</v>
      </c>
      <c r="V202" s="89">
        <v>346.08333333333331</v>
      </c>
      <c r="W202" s="80">
        <v>0</v>
      </c>
      <c r="X202" s="190">
        <v>40</v>
      </c>
      <c r="Y202" s="89">
        <f t="shared" si="10"/>
        <v>415.3</v>
      </c>
      <c r="Z202" s="87">
        <v>12</v>
      </c>
      <c r="AA202" s="116">
        <v>0</v>
      </c>
      <c r="AB202" s="116">
        <v>0</v>
      </c>
      <c r="AC202" s="191">
        <v>20</v>
      </c>
      <c r="AD202" s="16">
        <f>WEEKNUM(tblKPIs[[#This Row],[Production Start Date]])</f>
        <v>12</v>
      </c>
      <c r="AE202" s="16">
        <v>29</v>
      </c>
      <c r="AF202" s="16">
        <v>12</v>
      </c>
      <c r="AG202" s="16">
        <v>1</v>
      </c>
      <c r="AH202" s="16">
        <v>33</v>
      </c>
      <c r="AI202" s="16">
        <v>24</v>
      </c>
      <c r="AJ202" s="16">
        <f t="shared" si="11"/>
        <v>1</v>
      </c>
      <c r="AL202" s="16"/>
      <c r="AM202" s="16"/>
      <c r="AN202" s="16"/>
      <c r="AO202" s="16"/>
      <c r="AP202" s="16"/>
      <c r="AQ202" s="16"/>
      <c r="AR202" s="16"/>
      <c r="AS202" s="16"/>
      <c r="BB202" s="172">
        <v>3842.0851063829787</v>
      </c>
      <c r="BC202" s="172">
        <v>4153</v>
      </c>
    </row>
    <row r="203" spans="2:55" x14ac:dyDescent="0.35">
      <c r="B203" s="1">
        <v>199</v>
      </c>
      <c r="C203" s="158" t="s">
        <v>148</v>
      </c>
      <c r="D203" s="89">
        <v>93.406593406593402</v>
      </c>
      <c r="E203" s="89">
        <v>98.095238095238102</v>
      </c>
      <c r="F203" s="89">
        <v>96.132841672890208</v>
      </c>
      <c r="G203" s="89">
        <v>99.050763516302112</v>
      </c>
      <c r="H203" s="89">
        <v>245.1845238095238</v>
      </c>
      <c r="I203" s="89">
        <v>156.65908554998592</v>
      </c>
      <c r="J203" s="89">
        <v>23.440705785802216</v>
      </c>
      <c r="K203" s="89">
        <f t="shared" si="9"/>
        <v>294.22142857142859</v>
      </c>
      <c r="L203" s="87">
        <v>12</v>
      </c>
      <c r="M203" s="116">
        <v>0</v>
      </c>
      <c r="N203" s="116">
        <v>0</v>
      </c>
      <c r="O203" s="88">
        <v>20</v>
      </c>
      <c r="P203" s="168">
        <v>41715</v>
      </c>
      <c r="Q203" s="16">
        <v>66</v>
      </c>
      <c r="R203" s="89">
        <v>87.097500000000011</v>
      </c>
      <c r="S203" s="89">
        <v>90</v>
      </c>
      <c r="T203" s="89">
        <v>98</v>
      </c>
      <c r="U203" s="89">
        <v>98.75</v>
      </c>
      <c r="V203" s="89">
        <v>260</v>
      </c>
      <c r="W203" s="80">
        <v>0</v>
      </c>
      <c r="X203" s="190">
        <v>40</v>
      </c>
      <c r="Y203" s="89">
        <f t="shared" si="10"/>
        <v>312</v>
      </c>
      <c r="Z203" s="87">
        <v>12</v>
      </c>
      <c r="AA203" s="116">
        <v>0</v>
      </c>
      <c r="AB203" s="116">
        <v>0</v>
      </c>
      <c r="AC203" s="191">
        <v>20</v>
      </c>
      <c r="AD203" s="16">
        <f>WEEKNUM(tblKPIs[[#This Row],[Production Start Date]])</f>
        <v>12</v>
      </c>
      <c r="AE203" s="16">
        <v>1</v>
      </c>
      <c r="AF203" s="16">
        <v>29</v>
      </c>
      <c r="AG203" s="16">
        <v>22</v>
      </c>
      <c r="AH203" s="16">
        <v>8</v>
      </c>
      <c r="AI203" s="16">
        <v>6</v>
      </c>
      <c r="AJ203" s="16">
        <f t="shared" si="11"/>
        <v>1</v>
      </c>
      <c r="AL203" s="16"/>
      <c r="AM203" s="16"/>
      <c r="AN203" s="16"/>
      <c r="AO203" s="16"/>
      <c r="AP203" s="16"/>
      <c r="AQ203" s="16"/>
      <c r="AR203" s="16"/>
      <c r="AS203" s="16"/>
      <c r="BB203" s="171">
        <v>2942.2142857142858</v>
      </c>
      <c r="BC203" s="171">
        <v>3120</v>
      </c>
    </row>
    <row r="204" spans="2:55" x14ac:dyDescent="0.35">
      <c r="B204" s="1">
        <v>200</v>
      </c>
      <c r="C204" s="158" t="s">
        <v>160</v>
      </c>
      <c r="D204" s="89">
        <v>75.335856531427964</v>
      </c>
      <c r="E204" s="89">
        <v>82.35294117647058</v>
      </c>
      <c r="F204" s="89">
        <v>92.735589725968566</v>
      </c>
      <c r="G204" s="89">
        <v>98.645250038210889</v>
      </c>
      <c r="H204" s="89">
        <v>211.67352941176469</v>
      </c>
      <c r="I204" s="89">
        <v>148.77312661498706</v>
      </c>
      <c r="J204" s="89">
        <v>0</v>
      </c>
      <c r="K204" s="89">
        <f t="shared" si="9"/>
        <v>254.00823529411764</v>
      </c>
      <c r="L204" s="87">
        <v>12</v>
      </c>
      <c r="M204" s="116">
        <v>0</v>
      </c>
      <c r="N204" s="116">
        <v>0</v>
      </c>
      <c r="O204" s="88">
        <v>29</v>
      </c>
      <c r="P204" s="168">
        <v>41715</v>
      </c>
      <c r="Q204" s="16">
        <v>85</v>
      </c>
      <c r="R204" s="89">
        <v>86.87700000000001</v>
      </c>
      <c r="S204" s="89">
        <v>90</v>
      </c>
      <c r="T204" s="89">
        <v>98</v>
      </c>
      <c r="U204" s="89">
        <v>98.5</v>
      </c>
      <c r="V204" s="89">
        <v>277.16666666666669</v>
      </c>
      <c r="W204" s="80">
        <v>0</v>
      </c>
      <c r="X204" s="190">
        <v>40</v>
      </c>
      <c r="Y204" s="89">
        <f t="shared" si="10"/>
        <v>332.6</v>
      </c>
      <c r="Z204" s="87">
        <v>12</v>
      </c>
      <c r="AA204" s="116">
        <v>0</v>
      </c>
      <c r="AB204" s="116">
        <v>0</v>
      </c>
      <c r="AC204" s="191">
        <v>20</v>
      </c>
      <c r="AD204" s="16">
        <f>WEEKNUM(tblKPIs[[#This Row],[Production Start Date]])</f>
        <v>12</v>
      </c>
      <c r="AE204" s="16">
        <v>2</v>
      </c>
      <c r="AF204" s="16">
        <v>26</v>
      </c>
      <c r="AG204" s="16">
        <v>20</v>
      </c>
      <c r="AH204" s="16">
        <v>32</v>
      </c>
      <c r="AI204" s="16">
        <v>5</v>
      </c>
      <c r="AJ204" s="16">
        <f t="shared" si="11"/>
        <v>1</v>
      </c>
      <c r="AL204" s="16"/>
      <c r="AM204" s="16"/>
      <c r="AN204" s="16"/>
      <c r="AO204" s="16"/>
      <c r="AP204" s="16"/>
      <c r="AQ204" s="16"/>
      <c r="AR204" s="16"/>
      <c r="AS204" s="16"/>
      <c r="BB204" s="172">
        <v>2540.0823529411764</v>
      </c>
      <c r="BC204" s="172">
        <v>3326</v>
      </c>
    </row>
    <row r="205" spans="2:55" x14ac:dyDescent="0.35">
      <c r="B205" s="1">
        <v>201</v>
      </c>
      <c r="C205" s="158" t="s">
        <v>146</v>
      </c>
      <c r="D205" s="89">
        <v>85.560888888888897</v>
      </c>
      <c r="E205" s="89">
        <v>92.533333333333331</v>
      </c>
      <c r="F205" s="89">
        <v>93.82047176859858</v>
      </c>
      <c r="G205" s="89">
        <v>98.555182911568096</v>
      </c>
      <c r="H205" s="89">
        <v>234.40106666666668</v>
      </c>
      <c r="I205" s="89">
        <v>183.00287827449267</v>
      </c>
      <c r="J205" s="89">
        <v>0</v>
      </c>
      <c r="K205" s="89">
        <f t="shared" si="9"/>
        <v>281.28128000000004</v>
      </c>
      <c r="L205" s="87">
        <v>12</v>
      </c>
      <c r="M205" s="116">
        <v>0</v>
      </c>
      <c r="N205" s="116">
        <v>0</v>
      </c>
      <c r="O205" s="88">
        <v>27</v>
      </c>
      <c r="P205" s="168">
        <v>41715</v>
      </c>
      <c r="Q205" s="16">
        <v>84</v>
      </c>
      <c r="R205" s="89">
        <v>87.317999999999998</v>
      </c>
      <c r="S205" s="89">
        <v>90</v>
      </c>
      <c r="T205" s="89">
        <v>98</v>
      </c>
      <c r="U205" s="89">
        <v>99</v>
      </c>
      <c r="V205" s="89">
        <v>270</v>
      </c>
      <c r="W205" s="80">
        <v>0</v>
      </c>
      <c r="X205" s="190">
        <v>40</v>
      </c>
      <c r="Y205" s="89">
        <f t="shared" si="10"/>
        <v>324</v>
      </c>
      <c r="Z205" s="87">
        <v>12</v>
      </c>
      <c r="AA205" s="116">
        <v>0</v>
      </c>
      <c r="AB205" s="116">
        <v>0</v>
      </c>
      <c r="AC205" s="191">
        <v>20</v>
      </c>
      <c r="AD205" s="16">
        <f>WEEKNUM(tblKPIs[[#This Row],[Production Start Date]])</f>
        <v>12</v>
      </c>
      <c r="AE205" s="16">
        <v>15</v>
      </c>
      <c r="AF205" s="16">
        <v>33</v>
      </c>
      <c r="AG205" s="16">
        <v>20</v>
      </c>
      <c r="AH205" s="16">
        <v>2</v>
      </c>
      <c r="AI205" s="16">
        <v>14</v>
      </c>
      <c r="AJ205" s="16">
        <f t="shared" si="11"/>
        <v>1</v>
      </c>
      <c r="AL205" s="16"/>
      <c r="AM205" s="16"/>
      <c r="AN205" s="16"/>
      <c r="AO205" s="16"/>
      <c r="AP205" s="16"/>
      <c r="AQ205" s="16"/>
      <c r="AR205" s="16"/>
      <c r="AS205" s="16"/>
      <c r="BB205" s="171">
        <v>2812.8128000000002</v>
      </c>
      <c r="BC205" s="171">
        <v>3240</v>
      </c>
    </row>
    <row r="206" spans="2:55" x14ac:dyDescent="0.35">
      <c r="B206" s="1">
        <v>202</v>
      </c>
      <c r="C206" s="158" t="s">
        <v>172</v>
      </c>
      <c r="D206" s="89">
        <v>60.977777777777774</v>
      </c>
      <c r="E206" s="89">
        <v>73.333333333333343</v>
      </c>
      <c r="F206" s="89">
        <v>86.327505827505817</v>
      </c>
      <c r="G206" s="89">
        <v>96.320997988362194</v>
      </c>
      <c r="H206" s="89">
        <v>148.13800000000001</v>
      </c>
      <c r="I206" s="89">
        <v>145.06172436529337</v>
      </c>
      <c r="J206" s="89">
        <v>100</v>
      </c>
      <c r="K206" s="89">
        <f t="shared" si="9"/>
        <v>177.76560000000001</v>
      </c>
      <c r="L206" s="87">
        <v>12</v>
      </c>
      <c r="M206" s="116">
        <v>0</v>
      </c>
      <c r="N206" s="116">
        <v>0</v>
      </c>
      <c r="O206" s="88">
        <v>20</v>
      </c>
      <c r="P206" s="168">
        <v>41716</v>
      </c>
      <c r="Q206" s="16">
        <v>107</v>
      </c>
      <c r="R206" s="89">
        <v>87.494399999999999</v>
      </c>
      <c r="S206" s="89">
        <v>90</v>
      </c>
      <c r="T206" s="89">
        <v>98</v>
      </c>
      <c r="U206" s="89">
        <v>99.2</v>
      </c>
      <c r="V206" s="89">
        <v>234</v>
      </c>
      <c r="W206" s="80">
        <v>0</v>
      </c>
      <c r="X206" s="190">
        <v>40</v>
      </c>
      <c r="Y206" s="89">
        <f t="shared" si="10"/>
        <v>280.8</v>
      </c>
      <c r="Z206" s="87">
        <v>12</v>
      </c>
      <c r="AA206" s="116">
        <v>0</v>
      </c>
      <c r="AB206" s="116">
        <v>0</v>
      </c>
      <c r="AC206" s="191">
        <v>20</v>
      </c>
      <c r="AD206" s="16">
        <f>WEEKNUM(tblKPIs[[#This Row],[Production Start Date]])</f>
        <v>12</v>
      </c>
      <c r="AE206" s="16">
        <v>25</v>
      </c>
      <c r="AF206" s="16">
        <v>25</v>
      </c>
      <c r="AG206" s="16">
        <v>14</v>
      </c>
      <c r="AH206" s="16">
        <v>30</v>
      </c>
      <c r="AI206" s="16">
        <v>13</v>
      </c>
      <c r="AJ206" s="16">
        <f t="shared" si="11"/>
        <v>1</v>
      </c>
      <c r="AL206" s="16"/>
      <c r="AM206" s="16"/>
      <c r="AN206" s="16"/>
      <c r="AO206" s="16"/>
      <c r="AP206" s="16"/>
      <c r="AQ206" s="16"/>
      <c r="AR206" s="16"/>
      <c r="AS206" s="16"/>
      <c r="BB206" s="172">
        <v>1777.6560000000002</v>
      </c>
      <c r="BC206" s="172">
        <v>2808</v>
      </c>
    </row>
    <row r="207" spans="2:55" x14ac:dyDescent="0.35">
      <c r="B207" s="1">
        <v>203</v>
      </c>
      <c r="C207" s="158" t="s">
        <v>147</v>
      </c>
      <c r="D207" s="89">
        <v>89.832625819317201</v>
      </c>
      <c r="E207" s="89">
        <v>93.812154696132609</v>
      </c>
      <c r="F207" s="89">
        <v>97.303120312363063</v>
      </c>
      <c r="G207" s="89">
        <v>98.4120357893555</v>
      </c>
      <c r="H207" s="89">
        <v>315.91232044198892</v>
      </c>
      <c r="I207" s="89">
        <v>180.0211881749205</v>
      </c>
      <c r="J207" s="89">
        <v>0</v>
      </c>
      <c r="K207" s="89">
        <f t="shared" si="9"/>
        <v>379.09478453038673</v>
      </c>
      <c r="L207" s="87">
        <v>12</v>
      </c>
      <c r="M207" s="116">
        <v>0</v>
      </c>
      <c r="N207" s="116">
        <v>0</v>
      </c>
      <c r="O207" s="88">
        <v>27</v>
      </c>
      <c r="P207" s="168">
        <v>41716</v>
      </c>
      <c r="Q207" s="16">
        <v>91</v>
      </c>
      <c r="R207" s="89">
        <v>87.494399999999999</v>
      </c>
      <c r="S207" s="89">
        <v>90</v>
      </c>
      <c r="T207" s="89">
        <v>98</v>
      </c>
      <c r="U207" s="89">
        <v>99.2</v>
      </c>
      <c r="V207" s="89">
        <v>346.08333333333331</v>
      </c>
      <c r="W207" s="80">
        <v>0</v>
      </c>
      <c r="X207" s="190">
        <v>40</v>
      </c>
      <c r="Y207" s="89">
        <f t="shared" si="10"/>
        <v>415.3</v>
      </c>
      <c r="Z207" s="87">
        <v>12</v>
      </c>
      <c r="AA207" s="116">
        <v>0</v>
      </c>
      <c r="AB207" s="116">
        <v>0</v>
      </c>
      <c r="AC207" s="191">
        <v>20</v>
      </c>
      <c r="AD207" s="16">
        <f>WEEKNUM(tblKPIs[[#This Row],[Production Start Date]])</f>
        <v>12</v>
      </c>
      <c r="AE207" s="16">
        <v>12</v>
      </c>
      <c r="AF207" s="16">
        <v>33</v>
      </c>
      <c r="AG207" s="16">
        <v>11</v>
      </c>
      <c r="AH207" s="16">
        <v>33</v>
      </c>
      <c r="AI207" s="16">
        <v>2</v>
      </c>
      <c r="AJ207" s="16">
        <f t="shared" si="11"/>
        <v>1</v>
      </c>
      <c r="AL207" s="16"/>
      <c r="AM207" s="16"/>
      <c r="AN207" s="16"/>
      <c r="AO207" s="16"/>
      <c r="AP207" s="16"/>
      <c r="AQ207" s="16"/>
      <c r="AR207" s="16"/>
      <c r="AS207" s="16"/>
      <c r="BB207" s="171">
        <v>3790.9478453038673</v>
      </c>
      <c r="BC207" s="171">
        <v>4153</v>
      </c>
    </row>
    <row r="208" spans="2:55" x14ac:dyDescent="0.35">
      <c r="B208" s="1">
        <v>204</v>
      </c>
      <c r="C208" s="158" t="s">
        <v>151</v>
      </c>
      <c r="D208" s="89">
        <v>103.82222222222222</v>
      </c>
      <c r="E208" s="89">
        <v>96</v>
      </c>
      <c r="F208" s="89">
        <v>108.4567901234568</v>
      </c>
      <c r="G208" s="89">
        <v>99.715424018212858</v>
      </c>
      <c r="H208" s="89">
        <v>243.63733333333332</v>
      </c>
      <c r="I208" s="89">
        <v>149.42186605609615</v>
      </c>
      <c r="J208" s="89">
        <v>0</v>
      </c>
      <c r="K208" s="89">
        <f t="shared" si="9"/>
        <v>292.36479999999995</v>
      </c>
      <c r="L208" s="87">
        <v>12</v>
      </c>
      <c r="M208" s="116">
        <v>0</v>
      </c>
      <c r="N208" s="116">
        <v>0</v>
      </c>
      <c r="O208" s="88">
        <v>22</v>
      </c>
      <c r="P208" s="168">
        <v>41716</v>
      </c>
      <c r="Q208" s="16">
        <v>134</v>
      </c>
      <c r="R208" s="89">
        <v>86.87700000000001</v>
      </c>
      <c r="S208" s="89">
        <v>90</v>
      </c>
      <c r="T208" s="89">
        <v>98</v>
      </c>
      <c r="U208" s="89">
        <v>98.5</v>
      </c>
      <c r="V208" s="89">
        <v>234</v>
      </c>
      <c r="W208" s="80">
        <v>0</v>
      </c>
      <c r="X208" s="190">
        <v>40</v>
      </c>
      <c r="Y208" s="89">
        <f t="shared" si="10"/>
        <v>280.8</v>
      </c>
      <c r="Z208" s="87">
        <v>12</v>
      </c>
      <c r="AA208" s="116">
        <v>0</v>
      </c>
      <c r="AB208" s="116">
        <v>0</v>
      </c>
      <c r="AC208" s="191">
        <v>20</v>
      </c>
      <c r="AD208" s="16">
        <f>WEEKNUM(tblKPIs[[#This Row],[Production Start Date]])</f>
        <v>12</v>
      </c>
      <c r="AE208" s="16">
        <v>21</v>
      </c>
      <c r="AF208" s="16">
        <v>34</v>
      </c>
      <c r="AG208" s="16">
        <v>15</v>
      </c>
      <c r="AH208" s="16">
        <v>31</v>
      </c>
      <c r="AI208" s="16">
        <v>33</v>
      </c>
      <c r="AJ208" s="16">
        <f t="shared" si="11"/>
        <v>1</v>
      </c>
      <c r="AL208" s="16"/>
      <c r="AM208" s="16"/>
      <c r="AN208" s="16"/>
      <c r="AO208" s="16"/>
      <c r="AP208" s="16"/>
      <c r="AQ208" s="16"/>
      <c r="AR208" s="16"/>
      <c r="AS208" s="16"/>
      <c r="BB208" s="172">
        <v>2923.6479999999997</v>
      </c>
      <c r="BC208" s="172">
        <v>2808</v>
      </c>
    </row>
    <row r="209" spans="2:55" x14ac:dyDescent="0.35">
      <c r="B209" s="1">
        <v>205</v>
      </c>
      <c r="C209" s="158" t="s">
        <v>151</v>
      </c>
      <c r="D209" s="89">
        <v>48.888888888888879</v>
      </c>
      <c r="E209" s="89">
        <v>55.999999999999993</v>
      </c>
      <c r="F209" s="89">
        <v>94.144281644281662</v>
      </c>
      <c r="G209" s="89">
        <v>92.731694136719796</v>
      </c>
      <c r="H209" s="89">
        <v>123.36666666666666</v>
      </c>
      <c r="I209" s="89">
        <v>149.3543179983858</v>
      </c>
      <c r="J209" s="89">
        <v>0</v>
      </c>
      <c r="K209" s="89">
        <f t="shared" si="9"/>
        <v>148.04000000000002</v>
      </c>
      <c r="L209" s="87">
        <v>12</v>
      </c>
      <c r="M209" s="116">
        <v>0</v>
      </c>
      <c r="N209" s="116">
        <v>0</v>
      </c>
      <c r="O209" s="88">
        <v>30</v>
      </c>
      <c r="P209" s="168">
        <v>41716</v>
      </c>
      <c r="Q209" s="16">
        <v>77</v>
      </c>
      <c r="R209" s="89">
        <v>86.87700000000001</v>
      </c>
      <c r="S209" s="89">
        <v>90</v>
      </c>
      <c r="T209" s="89">
        <v>98</v>
      </c>
      <c r="U209" s="89">
        <v>98.5</v>
      </c>
      <c r="V209" s="89">
        <v>234</v>
      </c>
      <c r="W209" s="80">
        <v>0</v>
      </c>
      <c r="X209" s="190">
        <v>40</v>
      </c>
      <c r="Y209" s="89">
        <f t="shared" si="10"/>
        <v>280.8</v>
      </c>
      <c r="Z209" s="87">
        <v>12</v>
      </c>
      <c r="AA209" s="116">
        <v>0</v>
      </c>
      <c r="AB209" s="116">
        <v>0</v>
      </c>
      <c r="AC209" s="191">
        <v>20</v>
      </c>
      <c r="AD209" s="16">
        <f>WEEKNUM(tblKPIs[[#This Row],[Production Start Date]])</f>
        <v>12</v>
      </c>
      <c r="AE209" s="16">
        <v>8</v>
      </c>
      <c r="AF209" s="16">
        <v>8</v>
      </c>
      <c r="AG209" s="16">
        <v>14</v>
      </c>
      <c r="AH209" s="16">
        <v>18</v>
      </c>
      <c r="AI209" s="16">
        <v>29</v>
      </c>
      <c r="AJ209" s="16">
        <f t="shared" si="11"/>
        <v>1</v>
      </c>
      <c r="AL209" s="16"/>
      <c r="AM209" s="16"/>
      <c r="AN209" s="16"/>
      <c r="AO209" s="16"/>
      <c r="AP209" s="16"/>
      <c r="AQ209" s="16"/>
      <c r="AR209" s="16"/>
      <c r="AS209" s="16"/>
      <c r="BB209" s="171">
        <v>1480.4</v>
      </c>
      <c r="BC209" s="171">
        <v>2808</v>
      </c>
    </row>
    <row r="210" spans="2:55" x14ac:dyDescent="0.35">
      <c r="B210" s="1">
        <v>206</v>
      </c>
      <c r="C210" s="158" t="s">
        <v>147</v>
      </c>
      <c r="D210" s="89">
        <v>79.31540723578685</v>
      </c>
      <c r="E210" s="89">
        <v>81.774193548387089</v>
      </c>
      <c r="F210" s="89">
        <v>98.746281342966441</v>
      </c>
      <c r="G210" s="89">
        <v>98.224661071659142</v>
      </c>
      <c r="H210" s="89">
        <v>292.31129032258065</v>
      </c>
      <c r="I210" s="89">
        <v>178.2201877264838</v>
      </c>
      <c r="J210" s="89">
        <v>36.789689513766845</v>
      </c>
      <c r="K210" s="89">
        <f t="shared" si="9"/>
        <v>350.77354838709675</v>
      </c>
      <c r="L210" s="87">
        <v>12</v>
      </c>
      <c r="M210" s="116">
        <v>0</v>
      </c>
      <c r="N210" s="116">
        <v>0</v>
      </c>
      <c r="O210" s="88">
        <v>16</v>
      </c>
      <c r="P210" s="168">
        <v>41717</v>
      </c>
      <c r="Q210" s="16">
        <v>87</v>
      </c>
      <c r="R210" s="89">
        <v>87.494399999999999</v>
      </c>
      <c r="S210" s="89">
        <v>90</v>
      </c>
      <c r="T210" s="89">
        <v>98</v>
      </c>
      <c r="U210" s="89">
        <v>99.2</v>
      </c>
      <c r="V210" s="89">
        <v>362</v>
      </c>
      <c r="W210" s="80">
        <v>0</v>
      </c>
      <c r="X210" s="190">
        <v>40</v>
      </c>
      <c r="Y210" s="89">
        <f t="shared" si="10"/>
        <v>434.4</v>
      </c>
      <c r="Z210" s="87">
        <v>12</v>
      </c>
      <c r="AA210" s="116">
        <v>0</v>
      </c>
      <c r="AB210" s="116">
        <v>0</v>
      </c>
      <c r="AC210" s="191">
        <v>20</v>
      </c>
      <c r="AD210" s="16">
        <f>WEEKNUM(tblKPIs[[#This Row],[Production Start Date]])</f>
        <v>12</v>
      </c>
      <c r="AE210" s="16">
        <v>7</v>
      </c>
      <c r="AF210" s="16">
        <v>20</v>
      </c>
      <c r="AG210" s="16">
        <v>33</v>
      </c>
      <c r="AH210" s="16">
        <v>20</v>
      </c>
      <c r="AI210" s="16">
        <v>7</v>
      </c>
      <c r="AJ210" s="16">
        <f t="shared" si="11"/>
        <v>1</v>
      </c>
      <c r="AL210" s="16"/>
      <c r="AM210" s="16"/>
      <c r="AN210" s="16"/>
      <c r="AO210" s="16"/>
      <c r="AP210" s="16"/>
      <c r="AQ210" s="16"/>
      <c r="AR210" s="16"/>
      <c r="AS210" s="16"/>
      <c r="BB210" s="172">
        <v>3507.7354838709675</v>
      </c>
      <c r="BC210" s="172">
        <v>4344</v>
      </c>
    </row>
    <row r="211" spans="2:55" x14ac:dyDescent="0.35">
      <c r="B211" s="1">
        <v>207</v>
      </c>
      <c r="C211" s="158" t="s">
        <v>166</v>
      </c>
      <c r="D211" s="89">
        <v>120.56451612903226</v>
      </c>
      <c r="E211" s="89">
        <v>84.3010752688172</v>
      </c>
      <c r="F211" s="89">
        <v>144.77765538033395</v>
      </c>
      <c r="G211" s="89">
        <v>98.783601141312502</v>
      </c>
      <c r="H211" s="89">
        <v>214.80645161290323</v>
      </c>
      <c r="I211" s="89">
        <v>179.66543753934707</v>
      </c>
      <c r="J211" s="89">
        <v>53.17220543806647</v>
      </c>
      <c r="K211" s="89">
        <f t="shared" si="9"/>
        <v>257.76774193548385</v>
      </c>
      <c r="L211" s="87">
        <v>12</v>
      </c>
      <c r="M211" s="116">
        <v>0</v>
      </c>
      <c r="N211" s="116">
        <v>0</v>
      </c>
      <c r="O211" s="88">
        <v>18</v>
      </c>
      <c r="P211" s="168">
        <v>41717</v>
      </c>
      <c r="Q211" s="16">
        <v>78</v>
      </c>
      <c r="R211" s="89">
        <v>87.494399999999999</v>
      </c>
      <c r="S211" s="89">
        <v>90</v>
      </c>
      <c r="T211" s="89">
        <v>98</v>
      </c>
      <c r="U211" s="89">
        <v>99.2</v>
      </c>
      <c r="V211" s="89">
        <v>176</v>
      </c>
      <c r="W211" s="80">
        <v>0</v>
      </c>
      <c r="X211" s="190">
        <v>40</v>
      </c>
      <c r="Y211" s="89">
        <f t="shared" si="10"/>
        <v>211.2</v>
      </c>
      <c r="Z211" s="87">
        <v>12</v>
      </c>
      <c r="AA211" s="116">
        <v>0</v>
      </c>
      <c r="AB211" s="116">
        <v>0</v>
      </c>
      <c r="AC211" s="191">
        <v>20</v>
      </c>
      <c r="AD211" s="16">
        <f>WEEKNUM(tblKPIs[[#This Row],[Production Start Date]])</f>
        <v>12</v>
      </c>
      <c r="AE211" s="16">
        <v>11</v>
      </c>
      <c r="AF211" s="16">
        <v>4</v>
      </c>
      <c r="AG211" s="16">
        <v>13</v>
      </c>
      <c r="AH211" s="16">
        <v>16</v>
      </c>
      <c r="AI211" s="16">
        <v>34</v>
      </c>
      <c r="AJ211" s="16">
        <f t="shared" si="11"/>
        <v>1</v>
      </c>
      <c r="AL211" s="16"/>
      <c r="AM211" s="16"/>
      <c r="AN211" s="16"/>
      <c r="AO211" s="16"/>
      <c r="AP211" s="16"/>
      <c r="AQ211" s="16"/>
      <c r="AR211" s="16"/>
      <c r="AS211" s="16"/>
      <c r="BB211" s="171">
        <v>2577.6774193548385</v>
      </c>
      <c r="BC211" s="171">
        <v>2112</v>
      </c>
    </row>
    <row r="212" spans="2:55" x14ac:dyDescent="0.35">
      <c r="B212" s="1">
        <v>208</v>
      </c>
      <c r="C212" s="158" t="s">
        <v>146</v>
      </c>
      <c r="D212" s="89">
        <v>90.263703703703698</v>
      </c>
      <c r="E212" s="89">
        <v>98.000000000000014</v>
      </c>
      <c r="F212" s="89">
        <v>92.902620307382193</v>
      </c>
      <c r="G212" s="89">
        <v>99.142327526472585</v>
      </c>
      <c r="H212" s="89">
        <v>245.82033333333331</v>
      </c>
      <c r="I212" s="89">
        <v>175.19801392155463</v>
      </c>
      <c r="J212" s="89">
        <v>0</v>
      </c>
      <c r="K212" s="89">
        <f t="shared" si="9"/>
        <v>294.98439999999999</v>
      </c>
      <c r="L212" s="87">
        <v>12</v>
      </c>
      <c r="M212" s="116">
        <v>0</v>
      </c>
      <c r="N212" s="116">
        <v>0</v>
      </c>
      <c r="O212" s="88">
        <v>21</v>
      </c>
      <c r="P212" s="168">
        <v>41717</v>
      </c>
      <c r="Q212" s="16">
        <v>86</v>
      </c>
      <c r="R212" s="89">
        <v>87.317999999999998</v>
      </c>
      <c r="S212" s="89">
        <v>90</v>
      </c>
      <c r="T212" s="89">
        <v>98</v>
      </c>
      <c r="U212" s="89">
        <v>99</v>
      </c>
      <c r="V212" s="89">
        <v>270</v>
      </c>
      <c r="W212" s="80">
        <v>0</v>
      </c>
      <c r="X212" s="190">
        <v>40</v>
      </c>
      <c r="Y212" s="89">
        <f t="shared" si="10"/>
        <v>324</v>
      </c>
      <c r="Z212" s="87">
        <v>12</v>
      </c>
      <c r="AA212" s="116">
        <v>0</v>
      </c>
      <c r="AB212" s="116">
        <v>0</v>
      </c>
      <c r="AC212" s="191">
        <v>20</v>
      </c>
      <c r="AD212" s="16">
        <f>WEEKNUM(tblKPIs[[#This Row],[Production Start Date]])</f>
        <v>12</v>
      </c>
      <c r="AE212" s="16">
        <v>18</v>
      </c>
      <c r="AF212" s="16">
        <v>24</v>
      </c>
      <c r="AG212" s="16">
        <v>34</v>
      </c>
      <c r="AH212" s="16">
        <v>10</v>
      </c>
      <c r="AI212" s="16">
        <v>0</v>
      </c>
      <c r="AJ212" s="16">
        <f t="shared" si="11"/>
        <v>1</v>
      </c>
      <c r="AL212" s="16"/>
      <c r="AM212" s="16"/>
      <c r="AN212" s="16"/>
      <c r="AO212" s="16"/>
      <c r="AP212" s="16"/>
      <c r="AQ212" s="16"/>
      <c r="AR212" s="16"/>
      <c r="AS212" s="16"/>
      <c r="BB212" s="172">
        <v>2949.8440000000001</v>
      </c>
      <c r="BC212" s="172">
        <v>3240</v>
      </c>
    </row>
    <row r="213" spans="2:55" x14ac:dyDescent="0.35">
      <c r="B213" s="1">
        <v>209</v>
      </c>
      <c r="C213" s="158" t="s">
        <v>161</v>
      </c>
      <c r="D213" s="89">
        <v>79.999999999999986</v>
      </c>
      <c r="E213" s="89">
        <v>87.027027027027003</v>
      </c>
      <c r="F213" s="89">
        <v>92.697157914549223</v>
      </c>
      <c r="G213" s="89">
        <v>99.167512690355323</v>
      </c>
      <c r="H213" s="89">
        <v>266.21621621621614</v>
      </c>
      <c r="I213" s="89">
        <v>172.80701754385964</v>
      </c>
      <c r="J213" s="89">
        <v>53.101784852870239</v>
      </c>
      <c r="K213" s="89">
        <f t="shared" si="9"/>
        <v>319.45945945945942</v>
      </c>
      <c r="L213" s="87">
        <v>12</v>
      </c>
      <c r="M213" s="116">
        <v>0</v>
      </c>
      <c r="N213" s="116">
        <v>0</v>
      </c>
      <c r="O213" s="88">
        <v>25</v>
      </c>
      <c r="P213" s="168">
        <v>41717</v>
      </c>
      <c r="Q213" s="16">
        <v>95</v>
      </c>
      <c r="R213" s="89">
        <v>87.494399999999999</v>
      </c>
      <c r="S213" s="89">
        <v>90</v>
      </c>
      <c r="T213" s="89">
        <v>98</v>
      </c>
      <c r="U213" s="89">
        <v>99.2</v>
      </c>
      <c r="V213" s="89">
        <v>330</v>
      </c>
      <c r="W213" s="80">
        <v>0</v>
      </c>
      <c r="X213" s="190">
        <v>40</v>
      </c>
      <c r="Y213" s="89">
        <f t="shared" si="10"/>
        <v>396.00000000000006</v>
      </c>
      <c r="Z213" s="87">
        <v>12</v>
      </c>
      <c r="AA213" s="116">
        <v>0</v>
      </c>
      <c r="AB213" s="116">
        <v>0</v>
      </c>
      <c r="AC213" s="191">
        <v>20</v>
      </c>
      <c r="AD213" s="16">
        <f>WEEKNUM(tblKPIs[[#This Row],[Production Start Date]])</f>
        <v>12</v>
      </c>
      <c r="AE213" s="16">
        <v>33</v>
      </c>
      <c r="AF213" s="16">
        <v>10</v>
      </c>
      <c r="AG213" s="16">
        <v>19</v>
      </c>
      <c r="AH213" s="16">
        <v>23</v>
      </c>
      <c r="AI213" s="16">
        <v>10</v>
      </c>
      <c r="AJ213" s="16">
        <f t="shared" si="11"/>
        <v>1</v>
      </c>
      <c r="AL213" s="16"/>
      <c r="AM213" s="16"/>
      <c r="AN213" s="16"/>
      <c r="AO213" s="16"/>
      <c r="AP213" s="16"/>
      <c r="AQ213" s="16"/>
      <c r="AR213" s="16"/>
      <c r="AS213" s="16"/>
      <c r="BB213" s="171">
        <v>3194.5945945945941</v>
      </c>
      <c r="BC213" s="171">
        <v>3960.0000000000005</v>
      </c>
    </row>
    <row r="214" spans="2:55" x14ac:dyDescent="0.35">
      <c r="B214" s="1">
        <v>210</v>
      </c>
      <c r="C214" s="158" t="s">
        <v>165</v>
      </c>
      <c r="D214" s="89">
        <v>86.774595267745951</v>
      </c>
      <c r="E214" s="89">
        <v>94.520547945205479</v>
      </c>
      <c r="F214" s="89">
        <v>92.48792270531402</v>
      </c>
      <c r="G214" s="89">
        <v>99.261615897813343</v>
      </c>
      <c r="H214" s="89">
        <v>288.48630136986299</v>
      </c>
      <c r="I214" s="89">
        <v>178.43102367275009</v>
      </c>
      <c r="J214" s="89">
        <v>54.763120040833371</v>
      </c>
      <c r="K214" s="89">
        <f t="shared" si="9"/>
        <v>346.18356164383562</v>
      </c>
      <c r="L214" s="87">
        <v>12</v>
      </c>
      <c r="M214" s="116">
        <v>0</v>
      </c>
      <c r="N214" s="116">
        <v>0</v>
      </c>
      <c r="O214" s="88">
        <v>17</v>
      </c>
      <c r="P214" s="168">
        <v>41717</v>
      </c>
      <c r="Q214" s="16">
        <v>94</v>
      </c>
      <c r="R214" s="89">
        <v>87.494399999999999</v>
      </c>
      <c r="S214" s="89">
        <v>90</v>
      </c>
      <c r="T214" s="89">
        <v>98</v>
      </c>
      <c r="U214" s="89">
        <v>99.2</v>
      </c>
      <c r="V214" s="89">
        <v>330</v>
      </c>
      <c r="W214" s="80">
        <v>0</v>
      </c>
      <c r="X214" s="190">
        <v>40</v>
      </c>
      <c r="Y214" s="89">
        <f t="shared" si="10"/>
        <v>396</v>
      </c>
      <c r="Z214" s="87">
        <v>12</v>
      </c>
      <c r="AA214" s="116">
        <v>0</v>
      </c>
      <c r="AB214" s="116">
        <v>0</v>
      </c>
      <c r="AC214" s="191">
        <v>20</v>
      </c>
      <c r="AD214" s="16">
        <f>WEEKNUM(tblKPIs[[#This Row],[Production Start Date]])</f>
        <v>12</v>
      </c>
      <c r="AE214" s="16">
        <v>30</v>
      </c>
      <c r="AF214" s="16">
        <v>23</v>
      </c>
      <c r="AG214" s="16">
        <v>3</v>
      </c>
      <c r="AH214" s="16">
        <v>26</v>
      </c>
      <c r="AI214" s="16">
        <v>12</v>
      </c>
      <c r="AJ214" s="16">
        <f t="shared" si="11"/>
        <v>1</v>
      </c>
      <c r="AL214" s="16"/>
      <c r="AM214" s="16"/>
      <c r="AN214" s="16"/>
      <c r="AO214" s="16"/>
      <c r="AP214" s="16"/>
      <c r="AQ214" s="16"/>
      <c r="AR214" s="16"/>
      <c r="AS214" s="16"/>
      <c r="BB214" s="172">
        <v>3461.8356164383563</v>
      </c>
      <c r="BC214" s="172">
        <v>3960</v>
      </c>
    </row>
    <row r="215" spans="2:55" x14ac:dyDescent="0.35">
      <c r="B215" s="1">
        <v>211</v>
      </c>
      <c r="C215" s="158" t="s">
        <v>147</v>
      </c>
      <c r="D215" s="89">
        <v>86.649650854803753</v>
      </c>
      <c r="E215" s="89">
        <v>88.92307692307692</v>
      </c>
      <c r="F215" s="89">
        <v>99.064335865930914</v>
      </c>
      <c r="G215" s="89">
        <v>98.363733161085861</v>
      </c>
      <c r="H215" s="89">
        <v>304.86846153846153</v>
      </c>
      <c r="I215" s="89">
        <v>172.93501121399089</v>
      </c>
      <c r="J215" s="89">
        <v>43.330530688955932</v>
      </c>
      <c r="K215" s="89">
        <f t="shared" si="9"/>
        <v>365.84215384615385</v>
      </c>
      <c r="L215" s="87">
        <v>12</v>
      </c>
      <c r="M215" s="116">
        <v>0</v>
      </c>
      <c r="N215" s="116">
        <v>0</v>
      </c>
      <c r="O215" s="88">
        <v>15</v>
      </c>
      <c r="P215" s="168">
        <v>41717</v>
      </c>
      <c r="Q215" s="16">
        <v>86</v>
      </c>
      <c r="R215" s="89">
        <v>87.494399999999999</v>
      </c>
      <c r="S215" s="89">
        <v>90</v>
      </c>
      <c r="T215" s="89">
        <v>98</v>
      </c>
      <c r="U215" s="89">
        <v>99.2</v>
      </c>
      <c r="V215" s="89">
        <v>346.08333333333331</v>
      </c>
      <c r="W215" s="80">
        <v>0</v>
      </c>
      <c r="X215" s="190">
        <v>40</v>
      </c>
      <c r="Y215" s="89">
        <f t="shared" si="10"/>
        <v>415.3</v>
      </c>
      <c r="Z215" s="87">
        <v>12</v>
      </c>
      <c r="AA215" s="116">
        <v>0</v>
      </c>
      <c r="AB215" s="116">
        <v>0</v>
      </c>
      <c r="AC215" s="191">
        <v>20</v>
      </c>
      <c r="AD215" s="16">
        <f>WEEKNUM(tblKPIs[[#This Row],[Production Start Date]])</f>
        <v>12</v>
      </c>
      <c r="AE215" s="16">
        <v>19</v>
      </c>
      <c r="AF215" s="16">
        <v>29</v>
      </c>
      <c r="AG215" s="16">
        <v>30</v>
      </c>
      <c r="AH215" s="16">
        <v>0</v>
      </c>
      <c r="AI215" s="16">
        <v>8</v>
      </c>
      <c r="AJ215" s="16">
        <f t="shared" si="11"/>
        <v>1</v>
      </c>
      <c r="AL215" s="16"/>
      <c r="AM215" s="16"/>
      <c r="AN215" s="16"/>
      <c r="AO215" s="16"/>
      <c r="AP215" s="16"/>
      <c r="AQ215" s="16"/>
      <c r="AR215" s="16"/>
      <c r="AS215" s="16"/>
      <c r="BB215" s="171">
        <v>3658.4215384615386</v>
      </c>
      <c r="BC215" s="171">
        <v>4153</v>
      </c>
    </row>
    <row r="216" spans="2:55" x14ac:dyDescent="0.35">
      <c r="B216" s="1">
        <v>212</v>
      </c>
      <c r="C216" s="158" t="s">
        <v>147</v>
      </c>
      <c r="D216" s="89">
        <v>91.10410384868338</v>
      </c>
      <c r="E216" s="89">
        <v>92.686567164179095</v>
      </c>
      <c r="F216" s="89">
        <v>100.59936882830758</v>
      </c>
      <c r="G216" s="89">
        <v>97.707046847472711</v>
      </c>
      <c r="H216" s="89">
        <v>322.69537313432835</v>
      </c>
      <c r="I216" s="89">
        <v>188.5749547545845</v>
      </c>
      <c r="J216" s="89">
        <v>0</v>
      </c>
      <c r="K216" s="89">
        <f t="shared" si="9"/>
        <v>387.23444776119402</v>
      </c>
      <c r="L216" s="87">
        <v>12</v>
      </c>
      <c r="M216" s="116">
        <v>0</v>
      </c>
      <c r="N216" s="116">
        <v>0</v>
      </c>
      <c r="O216" s="88">
        <v>30</v>
      </c>
      <c r="P216" s="168">
        <v>41706</v>
      </c>
      <c r="Q216" s="16">
        <v>99</v>
      </c>
      <c r="R216" s="89">
        <v>87.494399999999999</v>
      </c>
      <c r="S216" s="89">
        <v>90</v>
      </c>
      <c r="T216" s="89">
        <v>98</v>
      </c>
      <c r="U216" s="89">
        <v>99.2</v>
      </c>
      <c r="V216" s="89">
        <v>346.08333333333331</v>
      </c>
      <c r="W216" s="80">
        <v>0</v>
      </c>
      <c r="X216" s="190">
        <v>40</v>
      </c>
      <c r="Y216" s="89">
        <f t="shared" si="10"/>
        <v>415.3</v>
      </c>
      <c r="Z216" s="87">
        <v>12</v>
      </c>
      <c r="AA216" s="116">
        <v>0</v>
      </c>
      <c r="AB216" s="116">
        <v>0</v>
      </c>
      <c r="AC216" s="191">
        <v>20</v>
      </c>
      <c r="AD216" s="16">
        <f>WEEKNUM(tblKPIs[[#This Row],[Production Start Date]])</f>
        <v>10</v>
      </c>
      <c r="AE216" s="16">
        <v>19</v>
      </c>
      <c r="AF216" s="16">
        <v>30</v>
      </c>
      <c r="AG216" s="16">
        <v>10</v>
      </c>
      <c r="AH216" s="16">
        <v>18</v>
      </c>
      <c r="AI216" s="16">
        <v>22</v>
      </c>
      <c r="AJ216" s="16">
        <f t="shared" si="11"/>
        <v>1</v>
      </c>
      <c r="AL216" s="16"/>
      <c r="AM216" s="16"/>
      <c r="AN216" s="16"/>
      <c r="AO216" s="16"/>
      <c r="AP216" s="16"/>
      <c r="AQ216" s="16"/>
      <c r="AR216" s="16"/>
      <c r="AS216" s="16"/>
      <c r="BB216" s="172">
        <v>3872.3444776119404</v>
      </c>
      <c r="BC216" s="172">
        <v>4153</v>
      </c>
    </row>
    <row r="217" spans="2:55" x14ac:dyDescent="0.35">
      <c r="B217" s="1">
        <v>213</v>
      </c>
      <c r="C217" s="158" t="s">
        <v>147</v>
      </c>
      <c r="D217" s="89">
        <v>87.594600952193488</v>
      </c>
      <c r="E217" s="89">
        <v>93.704092339979013</v>
      </c>
      <c r="F217" s="89">
        <v>95.067934808253924</v>
      </c>
      <c r="G217" s="89">
        <v>98.329701447960787</v>
      </c>
      <c r="H217" s="89">
        <v>308.2998426023085</v>
      </c>
      <c r="I217" s="89">
        <v>191.52928253868916</v>
      </c>
      <c r="J217" s="89">
        <v>28.283294273956933</v>
      </c>
      <c r="K217" s="89">
        <f t="shared" si="9"/>
        <v>369.95981112277019</v>
      </c>
      <c r="L217" s="87">
        <v>12</v>
      </c>
      <c r="M217" s="116">
        <v>0</v>
      </c>
      <c r="N217" s="116">
        <v>0</v>
      </c>
      <c r="O217" s="88">
        <v>14</v>
      </c>
      <c r="P217" s="168">
        <v>41718</v>
      </c>
      <c r="Q217" s="16">
        <v>111</v>
      </c>
      <c r="R217" s="89">
        <v>87.494399999999999</v>
      </c>
      <c r="S217" s="89">
        <v>90</v>
      </c>
      <c r="T217" s="89">
        <v>98</v>
      </c>
      <c r="U217" s="89">
        <v>99.2</v>
      </c>
      <c r="V217" s="89">
        <v>346.08333333333331</v>
      </c>
      <c r="W217" s="80">
        <v>0</v>
      </c>
      <c r="X217" s="190">
        <v>40</v>
      </c>
      <c r="Y217" s="89">
        <f t="shared" si="10"/>
        <v>415.3</v>
      </c>
      <c r="Z217" s="87">
        <v>12</v>
      </c>
      <c r="AA217" s="116">
        <v>0</v>
      </c>
      <c r="AB217" s="116">
        <v>0</v>
      </c>
      <c r="AC217" s="191">
        <v>20</v>
      </c>
      <c r="AD217" s="16">
        <f>WEEKNUM(tblKPIs[[#This Row],[Production Start Date]])</f>
        <v>12</v>
      </c>
      <c r="AE217" s="16">
        <v>29</v>
      </c>
      <c r="AF217" s="16">
        <v>21</v>
      </c>
      <c r="AG217" s="16">
        <v>33</v>
      </c>
      <c r="AH217" s="16">
        <v>26</v>
      </c>
      <c r="AI217" s="16">
        <v>2</v>
      </c>
      <c r="AJ217" s="16">
        <f t="shared" si="11"/>
        <v>1</v>
      </c>
      <c r="AL217" s="16"/>
      <c r="AM217" s="16"/>
      <c r="AN217" s="16"/>
      <c r="AO217" s="16"/>
      <c r="AP217" s="16"/>
      <c r="AQ217" s="16"/>
      <c r="AR217" s="16"/>
      <c r="AS217" s="16"/>
      <c r="BB217" s="171">
        <v>3699.5981112277018</v>
      </c>
      <c r="BC217" s="171">
        <v>4153</v>
      </c>
    </row>
    <row r="218" spans="2:55" x14ac:dyDescent="0.35">
      <c r="B218" s="1">
        <v>214</v>
      </c>
      <c r="C218" s="158" t="s">
        <v>147</v>
      </c>
      <c r="D218" s="89">
        <v>93.023223148234834</v>
      </c>
      <c r="E218" s="89">
        <v>99.322033898305094</v>
      </c>
      <c r="F218" s="89">
        <v>95.337965669174523</v>
      </c>
      <c r="G218" s="89">
        <v>98.238087311097075</v>
      </c>
      <c r="H218" s="89">
        <v>342.78361581920905</v>
      </c>
      <c r="I218" s="89">
        <v>180.40813777846495</v>
      </c>
      <c r="J218" s="89">
        <v>25.829647884946489</v>
      </c>
      <c r="K218" s="89">
        <f t="shared" si="9"/>
        <v>411.3403389830508</v>
      </c>
      <c r="L218" s="87">
        <v>12</v>
      </c>
      <c r="M218" s="116">
        <v>0</v>
      </c>
      <c r="N218" s="116">
        <v>0</v>
      </c>
      <c r="O218" s="88">
        <v>22</v>
      </c>
      <c r="P218" s="168">
        <v>41718</v>
      </c>
      <c r="Q218" s="16">
        <v>120</v>
      </c>
      <c r="R218" s="89">
        <v>87.494399999999999</v>
      </c>
      <c r="S218" s="89">
        <v>90</v>
      </c>
      <c r="T218" s="89">
        <v>98</v>
      </c>
      <c r="U218" s="89">
        <v>99.2</v>
      </c>
      <c r="V218" s="89">
        <v>362</v>
      </c>
      <c r="W218" s="80">
        <v>0</v>
      </c>
      <c r="X218" s="190">
        <v>40</v>
      </c>
      <c r="Y218" s="89">
        <f t="shared" si="10"/>
        <v>434.4</v>
      </c>
      <c r="Z218" s="87">
        <v>12</v>
      </c>
      <c r="AA218" s="116">
        <v>0</v>
      </c>
      <c r="AB218" s="116">
        <v>0</v>
      </c>
      <c r="AC218" s="191">
        <v>20</v>
      </c>
      <c r="AD218" s="16">
        <f>WEEKNUM(tblKPIs[[#This Row],[Production Start Date]])</f>
        <v>12</v>
      </c>
      <c r="AE218" s="16">
        <v>31</v>
      </c>
      <c r="AF218" s="16">
        <v>16</v>
      </c>
      <c r="AG218" s="16">
        <v>22</v>
      </c>
      <c r="AH218" s="16">
        <v>25</v>
      </c>
      <c r="AI218" s="16">
        <v>26</v>
      </c>
      <c r="AJ218" s="16">
        <f t="shared" si="11"/>
        <v>1</v>
      </c>
      <c r="AL218" s="16"/>
      <c r="AM218" s="16"/>
      <c r="AN218" s="16"/>
      <c r="AO218" s="16"/>
      <c r="AP218" s="16"/>
      <c r="AQ218" s="16"/>
      <c r="AR218" s="16"/>
      <c r="AS218" s="16"/>
      <c r="BB218" s="172">
        <v>4113.4033898305079</v>
      </c>
      <c r="BC218" s="172">
        <v>4344</v>
      </c>
    </row>
    <row r="219" spans="2:55" x14ac:dyDescent="0.35">
      <c r="B219" s="1">
        <v>215</v>
      </c>
      <c r="C219" s="158" t="s">
        <v>147</v>
      </c>
      <c r="D219" s="89">
        <v>95.929181315921639</v>
      </c>
      <c r="E219" s="89">
        <v>99.300699300699307</v>
      </c>
      <c r="F219" s="89">
        <v>98.264142868259256</v>
      </c>
      <c r="G219" s="89">
        <v>98.311282336567558</v>
      </c>
      <c r="H219" s="89">
        <v>353.22867132867128</v>
      </c>
      <c r="I219" s="89">
        <v>180.10818250538415</v>
      </c>
      <c r="J219" s="89">
        <v>0</v>
      </c>
      <c r="K219" s="89">
        <f t="shared" si="9"/>
        <v>423.87440559440557</v>
      </c>
      <c r="L219" s="87">
        <v>12</v>
      </c>
      <c r="M219" s="116">
        <v>0</v>
      </c>
      <c r="N219" s="116">
        <v>0</v>
      </c>
      <c r="O219" s="88">
        <v>21</v>
      </c>
      <c r="P219" s="168">
        <v>41720</v>
      </c>
      <c r="Q219" s="16">
        <v>39</v>
      </c>
      <c r="R219" s="89">
        <v>87.494399999999999</v>
      </c>
      <c r="S219" s="89">
        <v>90</v>
      </c>
      <c r="T219" s="89">
        <v>98</v>
      </c>
      <c r="U219" s="89">
        <v>99.2</v>
      </c>
      <c r="V219" s="89">
        <v>362</v>
      </c>
      <c r="W219" s="80">
        <v>0</v>
      </c>
      <c r="X219" s="190">
        <v>40</v>
      </c>
      <c r="Y219" s="89">
        <f t="shared" si="10"/>
        <v>434.4</v>
      </c>
      <c r="Z219" s="87">
        <v>12</v>
      </c>
      <c r="AA219" s="116">
        <v>0</v>
      </c>
      <c r="AB219" s="116">
        <v>0</v>
      </c>
      <c r="AC219" s="191">
        <v>20</v>
      </c>
      <c r="AD219" s="16">
        <f>WEEKNUM(tblKPIs[[#This Row],[Production Start Date]])</f>
        <v>12</v>
      </c>
      <c r="AE219" s="16">
        <v>3</v>
      </c>
      <c r="AF219" s="16">
        <v>7</v>
      </c>
      <c r="AG219" s="16">
        <v>14</v>
      </c>
      <c r="AH219" s="16">
        <v>3</v>
      </c>
      <c r="AI219" s="16">
        <v>12</v>
      </c>
      <c r="AJ219" s="16">
        <f t="shared" si="11"/>
        <v>1</v>
      </c>
      <c r="AL219" s="16"/>
      <c r="AM219" s="16"/>
      <c r="AN219" s="16"/>
      <c r="AO219" s="16"/>
      <c r="AP219" s="16"/>
      <c r="AQ219" s="16"/>
      <c r="AR219" s="16"/>
      <c r="AS219" s="16"/>
      <c r="BB219" s="171">
        <v>4238.7440559440556</v>
      </c>
      <c r="BC219" s="171">
        <v>4344</v>
      </c>
    </row>
    <row r="220" spans="2:55" x14ac:dyDescent="0.35">
      <c r="B220" s="1">
        <v>216</v>
      </c>
      <c r="C220" s="158" t="s">
        <v>150</v>
      </c>
      <c r="D220" s="89">
        <v>78.402188782489759</v>
      </c>
      <c r="E220" s="89">
        <v>100</v>
      </c>
      <c r="F220" s="89">
        <v>79.20398236814107</v>
      </c>
      <c r="G220" s="89">
        <v>98.987685263192233</v>
      </c>
      <c r="H220" s="89">
        <v>242.36418604651163</v>
      </c>
      <c r="I220" s="89">
        <v>143.6281697905182</v>
      </c>
      <c r="J220" s="89">
        <v>45.677381476588877</v>
      </c>
      <c r="K220" s="89">
        <f t="shared" si="9"/>
        <v>290.83702325581396</v>
      </c>
      <c r="L220" s="87">
        <v>12</v>
      </c>
      <c r="M220" s="116">
        <v>0</v>
      </c>
      <c r="N220" s="116">
        <v>0</v>
      </c>
      <c r="O220" s="88">
        <v>15</v>
      </c>
      <c r="P220" s="168">
        <v>41719</v>
      </c>
      <c r="Q220" s="16">
        <v>61</v>
      </c>
      <c r="R220" s="89">
        <v>86.87700000000001</v>
      </c>
      <c r="S220" s="89">
        <v>90</v>
      </c>
      <c r="T220" s="89">
        <v>98</v>
      </c>
      <c r="U220" s="89">
        <v>98.5</v>
      </c>
      <c r="V220" s="89">
        <v>306</v>
      </c>
      <c r="W220" s="80">
        <v>0</v>
      </c>
      <c r="X220" s="190">
        <v>40</v>
      </c>
      <c r="Y220" s="89">
        <f t="shared" si="10"/>
        <v>367.2</v>
      </c>
      <c r="Z220" s="87">
        <v>12</v>
      </c>
      <c r="AA220" s="116">
        <v>0</v>
      </c>
      <c r="AB220" s="116">
        <v>0</v>
      </c>
      <c r="AC220" s="191">
        <v>20</v>
      </c>
      <c r="AD220" s="16">
        <f>WEEKNUM(tblKPIs[[#This Row],[Production Start Date]])</f>
        <v>12</v>
      </c>
      <c r="AE220" s="16">
        <v>34</v>
      </c>
      <c r="AF220" s="16">
        <v>3</v>
      </c>
      <c r="AG220" s="16">
        <v>14</v>
      </c>
      <c r="AH220" s="16">
        <v>6</v>
      </c>
      <c r="AI220" s="16">
        <v>4</v>
      </c>
      <c r="AJ220" s="16">
        <f t="shared" si="11"/>
        <v>1</v>
      </c>
      <c r="AL220" s="16"/>
      <c r="AM220" s="16"/>
      <c r="AN220" s="16"/>
      <c r="AO220" s="16"/>
      <c r="AP220" s="16"/>
      <c r="AQ220" s="16"/>
      <c r="AR220" s="16"/>
      <c r="AS220" s="16"/>
      <c r="BB220" s="172">
        <v>2908.3702325581398</v>
      </c>
      <c r="BC220" s="172">
        <v>3672</v>
      </c>
    </row>
    <row r="221" spans="2:55" x14ac:dyDescent="0.35">
      <c r="B221" s="1">
        <v>217</v>
      </c>
      <c r="C221" s="158" t="s">
        <v>147</v>
      </c>
      <c r="D221" s="89">
        <v>93.554576676123659</v>
      </c>
      <c r="E221" s="89">
        <v>96.972972972972983</v>
      </c>
      <c r="F221" s="89">
        <v>98.196412843302113</v>
      </c>
      <c r="G221" s="89">
        <v>98.246865762919171</v>
      </c>
      <c r="H221" s="89">
        <v>344.71081081081087</v>
      </c>
      <c r="I221" s="89">
        <v>179.84827333361534</v>
      </c>
      <c r="J221" s="89">
        <v>38.455895252220785</v>
      </c>
      <c r="K221" s="89">
        <f t="shared" si="9"/>
        <v>413.65297297297303</v>
      </c>
      <c r="L221" s="87">
        <v>12</v>
      </c>
      <c r="M221" s="116">
        <v>0</v>
      </c>
      <c r="N221" s="116">
        <v>0</v>
      </c>
      <c r="O221" s="88">
        <v>28</v>
      </c>
      <c r="P221" s="168">
        <v>41719</v>
      </c>
      <c r="Q221" s="16">
        <v>100</v>
      </c>
      <c r="R221" s="89">
        <v>87.494399999999999</v>
      </c>
      <c r="S221" s="89">
        <v>90</v>
      </c>
      <c r="T221" s="89">
        <v>98</v>
      </c>
      <c r="U221" s="89">
        <v>99.2</v>
      </c>
      <c r="V221" s="89">
        <v>362</v>
      </c>
      <c r="W221" s="80">
        <v>0</v>
      </c>
      <c r="X221" s="190">
        <v>40</v>
      </c>
      <c r="Y221" s="89">
        <f t="shared" si="10"/>
        <v>434.4</v>
      </c>
      <c r="Z221" s="87">
        <v>12</v>
      </c>
      <c r="AA221" s="116">
        <v>0</v>
      </c>
      <c r="AB221" s="116">
        <v>0</v>
      </c>
      <c r="AC221" s="191">
        <v>20</v>
      </c>
      <c r="AD221" s="16">
        <f>WEEKNUM(tblKPIs[[#This Row],[Production Start Date]])</f>
        <v>12</v>
      </c>
      <c r="AE221" s="16">
        <v>11</v>
      </c>
      <c r="AF221" s="16">
        <v>18</v>
      </c>
      <c r="AG221" s="16">
        <v>23</v>
      </c>
      <c r="AH221" s="16">
        <v>25</v>
      </c>
      <c r="AI221" s="16">
        <v>23</v>
      </c>
      <c r="AJ221" s="16">
        <f t="shared" si="11"/>
        <v>1</v>
      </c>
      <c r="AL221" s="16"/>
      <c r="AM221" s="16"/>
      <c r="AN221" s="16"/>
      <c r="AO221" s="16"/>
      <c r="AP221" s="16"/>
      <c r="AQ221" s="16"/>
      <c r="AR221" s="16"/>
      <c r="AS221" s="16"/>
      <c r="BB221" s="171">
        <v>4136.5297297297302</v>
      </c>
      <c r="BC221" s="171">
        <v>4344</v>
      </c>
    </row>
    <row r="222" spans="2:55" x14ac:dyDescent="0.35">
      <c r="B222" s="1">
        <v>218</v>
      </c>
      <c r="C222" s="158" t="s">
        <v>149</v>
      </c>
      <c r="D222" s="89">
        <v>82.815277444150823</v>
      </c>
      <c r="E222" s="89">
        <v>85.652173913043455</v>
      </c>
      <c r="F222" s="89">
        <v>100.31971281936225</v>
      </c>
      <c r="G222" s="89">
        <v>96.37974895865365</v>
      </c>
      <c r="H222" s="89">
        <v>311.05217391304342</v>
      </c>
      <c r="I222" s="89">
        <v>170.9751813304336</v>
      </c>
      <c r="J222" s="89">
        <v>100</v>
      </c>
      <c r="K222" s="89">
        <f t="shared" si="9"/>
        <v>373.26260869565215</v>
      </c>
      <c r="L222" s="87">
        <v>12</v>
      </c>
      <c r="M222" s="116">
        <v>0</v>
      </c>
      <c r="N222" s="116">
        <v>0</v>
      </c>
      <c r="O222" s="88">
        <v>17</v>
      </c>
      <c r="P222" s="168">
        <v>41719</v>
      </c>
      <c r="Q222" s="16">
        <v>103</v>
      </c>
      <c r="R222" s="89">
        <v>87.494399999999999</v>
      </c>
      <c r="S222" s="89">
        <v>90</v>
      </c>
      <c r="T222" s="89">
        <v>98</v>
      </c>
      <c r="U222" s="89">
        <v>99.2</v>
      </c>
      <c r="V222" s="89">
        <v>362</v>
      </c>
      <c r="W222" s="80">
        <v>0</v>
      </c>
      <c r="X222" s="190">
        <v>40</v>
      </c>
      <c r="Y222" s="89">
        <f t="shared" si="10"/>
        <v>434.4</v>
      </c>
      <c r="Z222" s="87">
        <v>12</v>
      </c>
      <c r="AA222" s="116">
        <v>0</v>
      </c>
      <c r="AB222" s="116">
        <v>0</v>
      </c>
      <c r="AC222" s="191">
        <v>20</v>
      </c>
      <c r="AD222" s="16">
        <f>WEEKNUM(tblKPIs[[#This Row],[Production Start Date]])</f>
        <v>12</v>
      </c>
      <c r="AE222" s="16">
        <v>7</v>
      </c>
      <c r="AF222" s="16">
        <v>30</v>
      </c>
      <c r="AG222" s="16">
        <v>23</v>
      </c>
      <c r="AH222" s="16">
        <v>13</v>
      </c>
      <c r="AI222" s="16">
        <v>30</v>
      </c>
      <c r="AJ222" s="16">
        <f t="shared" si="11"/>
        <v>1</v>
      </c>
      <c r="AL222" s="16"/>
      <c r="AM222" s="16"/>
      <c r="AN222" s="16"/>
      <c r="AO222" s="16"/>
      <c r="AP222" s="16"/>
      <c r="AQ222" s="16"/>
      <c r="AR222" s="16"/>
      <c r="AS222" s="16"/>
      <c r="BB222" s="172">
        <v>3732.6260869565212</v>
      </c>
      <c r="BC222" s="172">
        <v>4344</v>
      </c>
    </row>
    <row r="223" spans="2:55" x14ac:dyDescent="0.35">
      <c r="B223" s="1">
        <v>219</v>
      </c>
      <c r="C223" s="158" t="s">
        <v>147</v>
      </c>
      <c r="D223" s="89">
        <v>97.843807689220654</v>
      </c>
      <c r="E223" s="89">
        <v>98.592592592592595</v>
      </c>
      <c r="F223" s="89">
        <v>100.70480311409402</v>
      </c>
      <c r="G223" s="89">
        <v>98.545971132838304</v>
      </c>
      <c r="H223" s="89">
        <v>343.61740740740737</v>
      </c>
      <c r="I223" s="89">
        <v>182.48689029547484</v>
      </c>
      <c r="J223" s="89">
        <v>24.508545338855335</v>
      </c>
      <c r="K223" s="89">
        <f t="shared" si="9"/>
        <v>412.34088888888891</v>
      </c>
      <c r="L223" s="87">
        <v>12</v>
      </c>
      <c r="M223" s="116">
        <v>0</v>
      </c>
      <c r="N223" s="116">
        <v>0</v>
      </c>
      <c r="O223" s="88">
        <v>22</v>
      </c>
      <c r="P223" s="168">
        <v>41719</v>
      </c>
      <c r="Q223" s="16">
        <v>54</v>
      </c>
      <c r="R223" s="89">
        <v>87.494399999999999</v>
      </c>
      <c r="S223" s="89">
        <v>90</v>
      </c>
      <c r="T223" s="89">
        <v>98</v>
      </c>
      <c r="U223" s="89">
        <v>99.2</v>
      </c>
      <c r="V223" s="89">
        <v>346.08333333333331</v>
      </c>
      <c r="W223" s="80">
        <v>0</v>
      </c>
      <c r="X223" s="190">
        <v>40</v>
      </c>
      <c r="Y223" s="89">
        <f t="shared" si="10"/>
        <v>415.3</v>
      </c>
      <c r="Z223" s="87">
        <v>12</v>
      </c>
      <c r="AA223" s="116">
        <v>0</v>
      </c>
      <c r="AB223" s="116">
        <v>0</v>
      </c>
      <c r="AC223" s="191">
        <v>20</v>
      </c>
      <c r="AD223" s="16">
        <f>WEEKNUM(tblKPIs[[#This Row],[Production Start Date]])</f>
        <v>12</v>
      </c>
      <c r="AE223" s="16">
        <v>2</v>
      </c>
      <c r="AF223" s="16">
        <v>6</v>
      </c>
      <c r="AG223" s="16">
        <v>16</v>
      </c>
      <c r="AH223" s="16">
        <v>10</v>
      </c>
      <c r="AI223" s="16">
        <v>20</v>
      </c>
      <c r="AJ223" s="16">
        <f t="shared" si="11"/>
        <v>1</v>
      </c>
      <c r="AL223" s="16"/>
      <c r="AM223" s="16"/>
      <c r="AN223" s="16"/>
      <c r="AO223" s="16"/>
      <c r="AP223" s="16"/>
      <c r="AQ223" s="16"/>
      <c r="AR223" s="16"/>
      <c r="AS223" s="16"/>
      <c r="BB223" s="171">
        <v>4123.4088888888891</v>
      </c>
      <c r="BC223" s="171">
        <v>4153</v>
      </c>
    </row>
    <row r="224" spans="2:55" x14ac:dyDescent="0.35">
      <c r="B224" s="1">
        <v>220</v>
      </c>
      <c r="C224" s="158" t="s">
        <v>147</v>
      </c>
      <c r="D224" s="89">
        <v>97.032711128116659</v>
      </c>
      <c r="E224" s="89">
        <v>98.493150684931507</v>
      </c>
      <c r="F224" s="89">
        <v>100.02424642674983</v>
      </c>
      <c r="G224" s="89">
        <v>98.493336025239628</v>
      </c>
      <c r="H224" s="89">
        <v>340.95102739726025</v>
      </c>
      <c r="I224" s="89">
        <v>192.06729841727949</v>
      </c>
      <c r="J224" s="89">
        <v>0</v>
      </c>
      <c r="K224" s="89">
        <f t="shared" si="9"/>
        <v>409.14123287671231</v>
      </c>
      <c r="L224" s="87">
        <v>12</v>
      </c>
      <c r="M224" s="116">
        <v>0</v>
      </c>
      <c r="N224" s="116">
        <v>0</v>
      </c>
      <c r="O224" s="88">
        <v>17</v>
      </c>
      <c r="P224" s="168">
        <v>41720</v>
      </c>
      <c r="Q224" s="16">
        <v>103</v>
      </c>
      <c r="R224" s="89">
        <v>87.494399999999999</v>
      </c>
      <c r="S224" s="89">
        <v>90</v>
      </c>
      <c r="T224" s="89">
        <v>98</v>
      </c>
      <c r="U224" s="89">
        <v>99.2</v>
      </c>
      <c r="V224" s="89">
        <v>346.08333333333331</v>
      </c>
      <c r="W224" s="80">
        <v>0</v>
      </c>
      <c r="X224" s="190">
        <v>40</v>
      </c>
      <c r="Y224" s="89">
        <f t="shared" si="10"/>
        <v>415.3</v>
      </c>
      <c r="Z224" s="87">
        <v>12</v>
      </c>
      <c r="AA224" s="116">
        <v>0</v>
      </c>
      <c r="AB224" s="116">
        <v>0</v>
      </c>
      <c r="AC224" s="191">
        <v>20</v>
      </c>
      <c r="AD224" s="16">
        <f>WEEKNUM(tblKPIs[[#This Row],[Production Start Date]])</f>
        <v>12</v>
      </c>
      <c r="AE224" s="16">
        <v>28</v>
      </c>
      <c r="AF224" s="16">
        <v>1</v>
      </c>
      <c r="AG224" s="16">
        <v>25</v>
      </c>
      <c r="AH224" s="16">
        <v>30</v>
      </c>
      <c r="AI224" s="16">
        <v>19</v>
      </c>
      <c r="AJ224" s="16">
        <f t="shared" si="11"/>
        <v>1</v>
      </c>
      <c r="AL224" s="16"/>
      <c r="AM224" s="16"/>
      <c r="AN224" s="16"/>
      <c r="AO224" s="16"/>
      <c r="AP224" s="16"/>
      <c r="AQ224" s="16"/>
      <c r="AR224" s="16"/>
      <c r="AS224" s="16"/>
      <c r="BB224" s="172">
        <v>4091.4123287671232</v>
      </c>
      <c r="BC224" s="172">
        <v>4153</v>
      </c>
    </row>
    <row r="225" spans="2:55" x14ac:dyDescent="0.35">
      <c r="B225" s="1">
        <v>221</v>
      </c>
      <c r="C225" s="158" t="s">
        <v>171</v>
      </c>
      <c r="D225" s="89">
        <v>81.363636363636388</v>
      </c>
      <c r="E225" s="89">
        <v>87</v>
      </c>
      <c r="F225" s="89">
        <v>97.233106931382807</v>
      </c>
      <c r="G225" s="89">
        <v>96.182693384081503</v>
      </c>
      <c r="H225" s="89">
        <v>223.32499999999999</v>
      </c>
      <c r="I225" s="89">
        <v>182.00896495517523</v>
      </c>
      <c r="J225" s="89">
        <v>77.941526028048486</v>
      </c>
      <c r="K225" s="89">
        <f t="shared" si="9"/>
        <v>267.99</v>
      </c>
      <c r="L225" s="87">
        <v>12</v>
      </c>
      <c r="M225" s="116">
        <v>0</v>
      </c>
      <c r="N225" s="116">
        <v>0</v>
      </c>
      <c r="O225" s="88">
        <v>19</v>
      </c>
      <c r="P225" s="168">
        <v>41710</v>
      </c>
      <c r="Q225" s="16">
        <v>79</v>
      </c>
      <c r="R225" s="89">
        <v>87.494399999999999</v>
      </c>
      <c r="S225" s="89">
        <v>90</v>
      </c>
      <c r="T225" s="89">
        <v>98</v>
      </c>
      <c r="U225" s="89">
        <v>99.2</v>
      </c>
      <c r="V225" s="89">
        <v>263.99999999999994</v>
      </c>
      <c r="W225" s="80">
        <v>0</v>
      </c>
      <c r="X225" s="190">
        <v>40</v>
      </c>
      <c r="Y225" s="89">
        <f t="shared" si="10"/>
        <v>316.79999999999995</v>
      </c>
      <c r="Z225" s="87">
        <v>12</v>
      </c>
      <c r="AA225" s="116">
        <v>0</v>
      </c>
      <c r="AB225" s="116">
        <v>0</v>
      </c>
      <c r="AC225" s="191">
        <v>20</v>
      </c>
      <c r="AD225" s="16">
        <f>WEEKNUM(tblKPIs[[#This Row],[Production Start Date]])</f>
        <v>11</v>
      </c>
      <c r="AE225" s="16">
        <v>7</v>
      </c>
      <c r="AF225" s="16">
        <v>22</v>
      </c>
      <c r="AG225" s="16">
        <v>31</v>
      </c>
      <c r="AH225" s="16">
        <v>3</v>
      </c>
      <c r="AI225" s="16">
        <v>16</v>
      </c>
      <c r="AJ225" s="16">
        <f t="shared" si="11"/>
        <v>1</v>
      </c>
      <c r="AL225" s="16"/>
      <c r="AM225" s="16"/>
      <c r="AN225" s="16"/>
      <c r="AO225" s="16"/>
      <c r="AP225" s="16"/>
      <c r="AQ225" s="16"/>
      <c r="AR225" s="16"/>
      <c r="AS225" s="16"/>
      <c r="BB225" s="171">
        <v>2679.9</v>
      </c>
      <c r="BC225" s="171">
        <v>3167.9999999999995</v>
      </c>
    </row>
    <row r="226" spans="2:55" x14ac:dyDescent="0.35">
      <c r="B226" s="1">
        <v>222</v>
      </c>
      <c r="C226" s="158" t="s">
        <v>153</v>
      </c>
      <c r="D226" s="89">
        <v>42.207885304659484</v>
      </c>
      <c r="E226" s="89">
        <v>41.935483870967737</v>
      </c>
      <c r="F226" s="89">
        <v>104.79843304843304</v>
      </c>
      <c r="G226" s="89">
        <v>96.041104548821849</v>
      </c>
      <c r="H226" s="89">
        <v>118.6588709677419</v>
      </c>
      <c r="I226" s="89">
        <v>163.48555555555555</v>
      </c>
      <c r="J226" s="89">
        <v>0</v>
      </c>
      <c r="K226" s="89">
        <f t="shared" si="9"/>
        <v>142.39064516129031</v>
      </c>
      <c r="L226" s="87">
        <v>12</v>
      </c>
      <c r="M226" s="116">
        <v>0</v>
      </c>
      <c r="N226" s="116">
        <v>0</v>
      </c>
      <c r="O226" s="88">
        <v>29</v>
      </c>
      <c r="P226" s="168">
        <v>41722</v>
      </c>
      <c r="Q226" s="16">
        <v>83</v>
      </c>
      <c r="R226" s="89">
        <v>87.317999999999998</v>
      </c>
      <c r="S226" s="89">
        <v>90</v>
      </c>
      <c r="T226" s="89">
        <v>98</v>
      </c>
      <c r="U226" s="89">
        <v>99</v>
      </c>
      <c r="V226" s="89">
        <v>270</v>
      </c>
      <c r="W226" s="80">
        <v>0</v>
      </c>
      <c r="X226" s="190">
        <v>40</v>
      </c>
      <c r="Y226" s="89">
        <f t="shared" si="10"/>
        <v>324</v>
      </c>
      <c r="Z226" s="87">
        <v>12</v>
      </c>
      <c r="AA226" s="116">
        <v>0</v>
      </c>
      <c r="AB226" s="116">
        <v>0</v>
      </c>
      <c r="AC226" s="191">
        <v>20</v>
      </c>
      <c r="AD226" s="16">
        <f>WEEKNUM(tblKPIs[[#This Row],[Production Start Date]])</f>
        <v>13</v>
      </c>
      <c r="AE226" s="16">
        <v>10</v>
      </c>
      <c r="AF226" s="16">
        <v>22</v>
      </c>
      <c r="AG226" s="16">
        <v>19</v>
      </c>
      <c r="AH226" s="16">
        <v>17</v>
      </c>
      <c r="AI226" s="16">
        <v>15</v>
      </c>
      <c r="AJ226" s="16">
        <f t="shared" si="11"/>
        <v>1</v>
      </c>
      <c r="AL226" s="16"/>
      <c r="AM226" s="16"/>
      <c r="AN226" s="16"/>
      <c r="AO226" s="16"/>
      <c r="AP226" s="16"/>
      <c r="AQ226" s="16"/>
      <c r="AR226" s="16"/>
      <c r="AS226" s="16"/>
      <c r="BB226" s="172">
        <v>1423.9064516129031</v>
      </c>
      <c r="BC226" s="172">
        <v>3240</v>
      </c>
    </row>
    <row r="227" spans="2:55" x14ac:dyDescent="0.35">
      <c r="B227" s="1">
        <v>223</v>
      </c>
      <c r="C227" s="158" t="s">
        <v>159</v>
      </c>
      <c r="D227" s="89">
        <v>74.470691163604556</v>
      </c>
      <c r="E227" s="89">
        <v>81.102362204724415</v>
      </c>
      <c r="F227" s="89">
        <v>94.317691477885646</v>
      </c>
      <c r="G227" s="89">
        <v>97.355102507648766</v>
      </c>
      <c r="H227" s="89">
        <v>165.22677165354332</v>
      </c>
      <c r="I227" s="89">
        <v>165.29184718393068</v>
      </c>
      <c r="J227" s="89">
        <v>0</v>
      </c>
      <c r="K227" s="89">
        <f t="shared" si="9"/>
        <v>198.27212598425197</v>
      </c>
      <c r="L227" s="87">
        <v>12</v>
      </c>
      <c r="M227" s="116">
        <v>0</v>
      </c>
      <c r="N227" s="116">
        <v>0</v>
      </c>
      <c r="O227" s="88">
        <v>29</v>
      </c>
      <c r="P227" s="168">
        <v>41722</v>
      </c>
      <c r="Q227" s="16">
        <v>108</v>
      </c>
      <c r="R227" s="89">
        <v>86.87700000000001</v>
      </c>
      <c r="S227" s="89">
        <v>90</v>
      </c>
      <c r="T227" s="89">
        <v>98</v>
      </c>
      <c r="U227" s="89">
        <v>98.5</v>
      </c>
      <c r="V227" s="89">
        <v>216</v>
      </c>
      <c r="W227" s="80">
        <v>0</v>
      </c>
      <c r="X227" s="190">
        <v>40</v>
      </c>
      <c r="Y227" s="89">
        <f t="shared" si="10"/>
        <v>259.2</v>
      </c>
      <c r="Z227" s="87">
        <v>12</v>
      </c>
      <c r="AA227" s="116">
        <v>0</v>
      </c>
      <c r="AB227" s="116">
        <v>0</v>
      </c>
      <c r="AC227" s="191">
        <v>20</v>
      </c>
      <c r="AD227" s="16">
        <f>WEEKNUM(tblKPIs[[#This Row],[Production Start Date]])</f>
        <v>13</v>
      </c>
      <c r="AE227" s="16">
        <v>26</v>
      </c>
      <c r="AF227" s="16">
        <v>28</v>
      </c>
      <c r="AG227" s="16">
        <v>34</v>
      </c>
      <c r="AH227" s="16">
        <v>11</v>
      </c>
      <c r="AI227" s="16">
        <v>9</v>
      </c>
      <c r="AJ227" s="16">
        <f t="shared" si="11"/>
        <v>1</v>
      </c>
      <c r="AL227" s="16"/>
      <c r="AM227" s="16"/>
      <c r="AN227" s="16"/>
      <c r="AO227" s="16"/>
      <c r="AP227" s="16"/>
      <c r="AQ227" s="16"/>
      <c r="AR227" s="16"/>
      <c r="AS227" s="16"/>
      <c r="BB227" s="171">
        <v>1982.7212598425197</v>
      </c>
      <c r="BC227" s="171">
        <v>2592</v>
      </c>
    </row>
    <row r="228" spans="2:55" x14ac:dyDescent="0.35">
      <c r="B228" s="1">
        <v>224</v>
      </c>
      <c r="C228" s="158" t="s">
        <v>170</v>
      </c>
      <c r="D228" s="89">
        <v>66.705998033431669</v>
      </c>
      <c r="E228" s="89">
        <v>95.575221238938042</v>
      </c>
      <c r="F228" s="89">
        <v>72.162637174211255</v>
      </c>
      <c r="G228" s="89">
        <v>96.717971260714862</v>
      </c>
      <c r="H228" s="89">
        <v>148.97433628318583</v>
      </c>
      <c r="I228" s="89">
        <v>30.820395459538631</v>
      </c>
      <c r="J228" s="89">
        <v>0</v>
      </c>
      <c r="K228" s="89">
        <f t="shared" si="9"/>
        <v>178.76920353982302</v>
      </c>
      <c r="L228" s="87">
        <v>12</v>
      </c>
      <c r="M228" s="116">
        <v>0</v>
      </c>
      <c r="N228" s="116">
        <v>0</v>
      </c>
      <c r="O228" s="88">
        <v>28</v>
      </c>
      <c r="P228" s="168">
        <v>41722</v>
      </c>
      <c r="Q228" s="16">
        <v>65</v>
      </c>
      <c r="R228" s="89">
        <v>86.87700000000001</v>
      </c>
      <c r="S228" s="89">
        <v>90</v>
      </c>
      <c r="T228" s="89">
        <v>98</v>
      </c>
      <c r="U228" s="89">
        <v>98.5</v>
      </c>
      <c r="V228" s="89">
        <v>216</v>
      </c>
      <c r="W228" s="80">
        <v>0</v>
      </c>
      <c r="X228" s="190">
        <v>40</v>
      </c>
      <c r="Y228" s="89">
        <f t="shared" si="10"/>
        <v>259.2</v>
      </c>
      <c r="Z228" s="87">
        <v>12</v>
      </c>
      <c r="AA228" s="116">
        <v>0</v>
      </c>
      <c r="AB228" s="116">
        <v>0</v>
      </c>
      <c r="AC228" s="191">
        <v>20</v>
      </c>
      <c r="AD228" s="16">
        <f>WEEKNUM(tblKPIs[[#This Row],[Production Start Date]])</f>
        <v>13</v>
      </c>
      <c r="AE228" s="16">
        <v>5</v>
      </c>
      <c r="AF228" s="16">
        <v>1</v>
      </c>
      <c r="AG228" s="16">
        <v>17</v>
      </c>
      <c r="AH228" s="16">
        <v>27</v>
      </c>
      <c r="AI228" s="16">
        <v>15</v>
      </c>
      <c r="AJ228" s="16">
        <f t="shared" si="11"/>
        <v>1</v>
      </c>
      <c r="AL228" s="16"/>
      <c r="AM228" s="16"/>
      <c r="AN228" s="16"/>
      <c r="AO228" s="16"/>
      <c r="AP228" s="16"/>
      <c r="AQ228" s="16"/>
      <c r="AR228" s="16"/>
      <c r="AS228" s="16"/>
      <c r="BB228" s="172">
        <v>1787.6920353982302</v>
      </c>
      <c r="BC228" s="172">
        <v>2592</v>
      </c>
    </row>
    <row r="229" spans="2:55" x14ac:dyDescent="0.35">
      <c r="B229" s="1">
        <v>225</v>
      </c>
      <c r="C229" s="158" t="s">
        <v>148</v>
      </c>
      <c r="D229" s="89">
        <v>89.217032967032964</v>
      </c>
      <c r="E229" s="89">
        <v>97.61904761904762</v>
      </c>
      <c r="F229" s="89">
        <v>93.447467166979365</v>
      </c>
      <c r="G229" s="89">
        <v>97.801535913266065</v>
      </c>
      <c r="H229" s="89">
        <v>237.17857142857142</v>
      </c>
      <c r="I229" s="89">
        <v>155.6350626118068</v>
      </c>
      <c r="J229" s="89">
        <v>0</v>
      </c>
      <c r="K229" s="89">
        <f t="shared" si="9"/>
        <v>284.61428571428576</v>
      </c>
      <c r="L229" s="87">
        <v>12</v>
      </c>
      <c r="M229" s="116">
        <v>0</v>
      </c>
      <c r="N229" s="116">
        <v>0</v>
      </c>
      <c r="O229" s="88">
        <v>24</v>
      </c>
      <c r="P229" s="168">
        <v>41722</v>
      </c>
      <c r="Q229" s="16">
        <v>63</v>
      </c>
      <c r="R229" s="89">
        <v>87.097500000000011</v>
      </c>
      <c r="S229" s="89">
        <v>90</v>
      </c>
      <c r="T229" s="89">
        <v>98</v>
      </c>
      <c r="U229" s="89">
        <v>98.75</v>
      </c>
      <c r="V229" s="89">
        <v>260</v>
      </c>
      <c r="W229" s="80">
        <v>0</v>
      </c>
      <c r="X229" s="190">
        <v>40</v>
      </c>
      <c r="Y229" s="89">
        <f t="shared" si="10"/>
        <v>312</v>
      </c>
      <c r="Z229" s="87">
        <v>12</v>
      </c>
      <c r="AA229" s="116">
        <v>0</v>
      </c>
      <c r="AB229" s="116">
        <v>0</v>
      </c>
      <c r="AC229" s="191">
        <v>20</v>
      </c>
      <c r="AD229" s="16">
        <f>WEEKNUM(tblKPIs[[#This Row],[Production Start Date]])</f>
        <v>13</v>
      </c>
      <c r="AE229" s="16">
        <v>20</v>
      </c>
      <c r="AF229" s="16">
        <v>9</v>
      </c>
      <c r="AG229" s="16">
        <v>16</v>
      </c>
      <c r="AH229" s="16">
        <v>9</v>
      </c>
      <c r="AI229" s="16">
        <v>9</v>
      </c>
      <c r="AJ229" s="16">
        <f t="shared" si="11"/>
        <v>1</v>
      </c>
      <c r="AL229" s="16"/>
      <c r="AM229" s="16"/>
      <c r="AN229" s="16"/>
      <c r="AO229" s="16"/>
      <c r="AP229" s="16"/>
      <c r="AQ229" s="16"/>
      <c r="AR229" s="16"/>
      <c r="AS229" s="16"/>
      <c r="BB229" s="171">
        <v>2846.1428571428573</v>
      </c>
      <c r="BC229" s="171">
        <v>3120</v>
      </c>
    </row>
    <row r="230" spans="2:55" x14ac:dyDescent="0.35">
      <c r="B230" s="1">
        <v>226</v>
      </c>
      <c r="C230" s="158" t="s">
        <v>146</v>
      </c>
      <c r="D230" s="89">
        <v>96.10591016548463</v>
      </c>
      <c r="E230" s="89">
        <v>98.723404255319153</v>
      </c>
      <c r="F230" s="89">
        <v>98.146871008939968</v>
      </c>
      <c r="G230" s="89">
        <v>99.186716808286377</v>
      </c>
      <c r="H230" s="89">
        <v>261.61361702127658</v>
      </c>
      <c r="I230" s="89">
        <v>185.71672393610996</v>
      </c>
      <c r="J230" s="89">
        <v>0</v>
      </c>
      <c r="K230" s="89">
        <f t="shared" si="9"/>
        <v>313.93634042553191</v>
      </c>
      <c r="L230" s="87">
        <v>12</v>
      </c>
      <c r="M230" s="116">
        <v>0</v>
      </c>
      <c r="N230" s="116">
        <v>0</v>
      </c>
      <c r="O230" s="88">
        <v>21</v>
      </c>
      <c r="P230" s="168">
        <v>41722</v>
      </c>
      <c r="Q230" s="16">
        <v>117</v>
      </c>
      <c r="R230" s="89">
        <v>87.317999999999998</v>
      </c>
      <c r="S230" s="89">
        <v>90</v>
      </c>
      <c r="T230" s="89">
        <v>98</v>
      </c>
      <c r="U230" s="89">
        <v>99</v>
      </c>
      <c r="V230" s="89">
        <v>270</v>
      </c>
      <c r="W230" s="80">
        <v>0</v>
      </c>
      <c r="X230" s="190">
        <v>40</v>
      </c>
      <c r="Y230" s="89">
        <f t="shared" si="10"/>
        <v>324</v>
      </c>
      <c r="Z230" s="87">
        <v>12</v>
      </c>
      <c r="AA230" s="116">
        <v>0</v>
      </c>
      <c r="AB230" s="116">
        <v>0</v>
      </c>
      <c r="AC230" s="191">
        <v>20</v>
      </c>
      <c r="AD230" s="16">
        <f>WEEKNUM(tblKPIs[[#This Row],[Production Start Date]])</f>
        <v>13</v>
      </c>
      <c r="AE230" s="16">
        <v>27</v>
      </c>
      <c r="AF230" s="16">
        <v>20</v>
      </c>
      <c r="AG230" s="16">
        <v>29</v>
      </c>
      <c r="AH230" s="16">
        <v>12</v>
      </c>
      <c r="AI230" s="16">
        <v>29</v>
      </c>
      <c r="AJ230" s="16">
        <f t="shared" si="11"/>
        <v>1</v>
      </c>
      <c r="AL230" s="16"/>
      <c r="AM230" s="16"/>
      <c r="AN230" s="16"/>
      <c r="AO230" s="16"/>
      <c r="AP230" s="16"/>
      <c r="AQ230" s="16"/>
      <c r="AR230" s="16"/>
      <c r="AS230" s="16"/>
      <c r="BB230" s="172">
        <v>3139.363404255319</v>
      </c>
      <c r="BC230" s="172">
        <v>3240</v>
      </c>
    </row>
    <row r="231" spans="2:55" x14ac:dyDescent="0.35">
      <c r="B231" s="1">
        <v>227</v>
      </c>
      <c r="C231" s="158" t="s">
        <v>147</v>
      </c>
      <c r="D231" s="89">
        <v>92.46026968456539</v>
      </c>
      <c r="E231" s="89">
        <v>94.444444444444457</v>
      </c>
      <c r="F231" s="89">
        <v>99.539843628277225</v>
      </c>
      <c r="G231" s="89">
        <v>98.351680602765171</v>
      </c>
      <c r="H231" s="89">
        <v>325.35243055555554</v>
      </c>
      <c r="I231" s="89">
        <v>184.85860614501996</v>
      </c>
      <c r="J231" s="89">
        <v>33.912975583639145</v>
      </c>
      <c r="K231" s="89">
        <f t="shared" si="9"/>
        <v>390.42291666666665</v>
      </c>
      <c r="L231" s="87">
        <v>12</v>
      </c>
      <c r="M231" s="116">
        <v>0</v>
      </c>
      <c r="N231" s="116">
        <v>0</v>
      </c>
      <c r="O231" s="88">
        <v>14</v>
      </c>
      <c r="P231" s="168">
        <v>41722</v>
      </c>
      <c r="Q231" s="16">
        <v>103</v>
      </c>
      <c r="R231" s="89">
        <v>87.494399999999999</v>
      </c>
      <c r="S231" s="89">
        <v>90</v>
      </c>
      <c r="T231" s="89">
        <v>98</v>
      </c>
      <c r="U231" s="89">
        <v>99.2</v>
      </c>
      <c r="V231" s="89">
        <v>346.08333333333331</v>
      </c>
      <c r="W231" s="80">
        <v>0</v>
      </c>
      <c r="X231" s="190">
        <v>40</v>
      </c>
      <c r="Y231" s="89">
        <f t="shared" si="10"/>
        <v>415.3</v>
      </c>
      <c r="Z231" s="87">
        <v>12</v>
      </c>
      <c r="AA231" s="116">
        <v>0</v>
      </c>
      <c r="AB231" s="116">
        <v>0</v>
      </c>
      <c r="AC231" s="191">
        <v>20</v>
      </c>
      <c r="AD231" s="16">
        <f>WEEKNUM(tblKPIs[[#This Row],[Production Start Date]])</f>
        <v>13</v>
      </c>
      <c r="AE231" s="16">
        <v>27</v>
      </c>
      <c r="AF231" s="16">
        <v>14</v>
      </c>
      <c r="AG231" s="16">
        <v>33</v>
      </c>
      <c r="AH231" s="16">
        <v>24</v>
      </c>
      <c r="AI231" s="16">
        <v>5</v>
      </c>
      <c r="AJ231" s="16">
        <f t="shared" si="11"/>
        <v>1</v>
      </c>
      <c r="AL231" s="16"/>
      <c r="AM231" s="16"/>
      <c r="AN231" s="16"/>
      <c r="AO231" s="16"/>
      <c r="AP231" s="16"/>
      <c r="AQ231" s="16"/>
      <c r="AR231" s="16"/>
      <c r="AS231" s="16"/>
      <c r="BB231" s="171">
        <v>3904.2291666666665</v>
      </c>
      <c r="BC231" s="171">
        <v>4153</v>
      </c>
    </row>
    <row r="232" spans="2:55" x14ac:dyDescent="0.35">
      <c r="B232" s="1">
        <v>228</v>
      </c>
      <c r="C232" s="158" t="s">
        <v>155</v>
      </c>
      <c r="D232" s="89">
        <v>47.503081664098609</v>
      </c>
      <c r="E232" s="89">
        <v>73.559322033898283</v>
      </c>
      <c r="F232" s="89">
        <v>65.563076036866377</v>
      </c>
      <c r="G232" s="89">
        <v>98.49739515212751</v>
      </c>
      <c r="H232" s="89">
        <v>169.76169491525425</v>
      </c>
      <c r="I232" s="89">
        <v>180.13697398285666</v>
      </c>
      <c r="J232" s="89">
        <v>0</v>
      </c>
      <c r="K232" s="89">
        <f t="shared" si="9"/>
        <v>203.7140338983051</v>
      </c>
      <c r="L232" s="87">
        <v>12</v>
      </c>
      <c r="M232" s="116">
        <v>0</v>
      </c>
      <c r="N232" s="116">
        <v>0</v>
      </c>
      <c r="O232" s="88">
        <v>23</v>
      </c>
      <c r="P232" s="168">
        <v>41723</v>
      </c>
      <c r="Q232" s="16">
        <v>79</v>
      </c>
      <c r="R232" s="89">
        <v>87.494399999999999</v>
      </c>
      <c r="S232" s="89">
        <v>90</v>
      </c>
      <c r="T232" s="89">
        <v>98</v>
      </c>
      <c r="U232" s="89">
        <v>99.2</v>
      </c>
      <c r="V232" s="89">
        <v>352</v>
      </c>
      <c r="W232" s="80">
        <v>0</v>
      </c>
      <c r="X232" s="190">
        <v>40</v>
      </c>
      <c r="Y232" s="89">
        <f t="shared" si="10"/>
        <v>422.4</v>
      </c>
      <c r="Z232" s="87">
        <v>12</v>
      </c>
      <c r="AA232" s="116">
        <v>0</v>
      </c>
      <c r="AB232" s="116">
        <v>0</v>
      </c>
      <c r="AC232" s="191">
        <v>20</v>
      </c>
      <c r="AD232" s="16">
        <f>WEEKNUM(tblKPIs[[#This Row],[Production Start Date]])</f>
        <v>13</v>
      </c>
      <c r="AE232" s="16">
        <v>11</v>
      </c>
      <c r="AF232" s="16">
        <v>12</v>
      </c>
      <c r="AG232" s="16">
        <v>14</v>
      </c>
      <c r="AH232" s="16">
        <v>25</v>
      </c>
      <c r="AI232" s="16">
        <v>17</v>
      </c>
      <c r="AJ232" s="16">
        <f t="shared" si="11"/>
        <v>1</v>
      </c>
      <c r="AL232" s="16"/>
      <c r="AM232" s="16"/>
      <c r="AN232" s="16"/>
      <c r="AO232" s="16"/>
      <c r="AP232" s="16"/>
      <c r="AQ232" s="16"/>
      <c r="AR232" s="16"/>
      <c r="AS232" s="16"/>
      <c r="BB232" s="172">
        <v>2037.1403389830509</v>
      </c>
      <c r="BC232" s="172">
        <v>4224</v>
      </c>
    </row>
    <row r="233" spans="2:55" x14ac:dyDescent="0.35">
      <c r="B233" s="1">
        <v>229</v>
      </c>
      <c r="C233" s="158" t="s">
        <v>161</v>
      </c>
      <c r="D233" s="89">
        <v>75.336700336700318</v>
      </c>
      <c r="E233" s="89">
        <v>98.271604938271594</v>
      </c>
      <c r="F233" s="89">
        <v>77.368375970762898</v>
      </c>
      <c r="G233" s="89">
        <v>99.086631608081916</v>
      </c>
      <c r="H233" s="89">
        <v>267.62962962962962</v>
      </c>
      <c r="I233" s="89">
        <v>180.10368548735502</v>
      </c>
      <c r="J233" s="89">
        <v>13.083340973686624</v>
      </c>
      <c r="K233" s="89">
        <f t="shared" si="9"/>
        <v>321.15555555555557</v>
      </c>
      <c r="L233" s="87">
        <v>12</v>
      </c>
      <c r="M233" s="116">
        <v>0</v>
      </c>
      <c r="N233" s="116">
        <v>0</v>
      </c>
      <c r="O233" s="88">
        <v>22</v>
      </c>
      <c r="P233" s="168">
        <v>41724</v>
      </c>
      <c r="Q233" s="16">
        <v>78</v>
      </c>
      <c r="R233" s="89">
        <v>87.494399999999999</v>
      </c>
      <c r="S233" s="89">
        <v>90</v>
      </c>
      <c r="T233" s="89">
        <v>98</v>
      </c>
      <c r="U233" s="89">
        <v>99.2</v>
      </c>
      <c r="V233" s="89">
        <v>352</v>
      </c>
      <c r="W233" s="80">
        <v>0</v>
      </c>
      <c r="X233" s="190">
        <v>40</v>
      </c>
      <c r="Y233" s="89">
        <f t="shared" si="10"/>
        <v>422.4</v>
      </c>
      <c r="Z233" s="87">
        <v>12</v>
      </c>
      <c r="AA233" s="116">
        <v>0</v>
      </c>
      <c r="AB233" s="116">
        <v>0</v>
      </c>
      <c r="AC233" s="191">
        <v>20</v>
      </c>
      <c r="AD233" s="16">
        <f>WEEKNUM(tblKPIs[[#This Row],[Production Start Date]])</f>
        <v>13</v>
      </c>
      <c r="AE233" s="16">
        <v>22</v>
      </c>
      <c r="AF233" s="16">
        <v>10</v>
      </c>
      <c r="AG233" s="16">
        <v>24</v>
      </c>
      <c r="AH233" s="16">
        <v>12</v>
      </c>
      <c r="AI233" s="16">
        <v>10</v>
      </c>
      <c r="AJ233" s="16">
        <f t="shared" si="11"/>
        <v>1</v>
      </c>
      <c r="AL233" s="16"/>
      <c r="AM233" s="16"/>
      <c r="AN233" s="16"/>
      <c r="AO233" s="16"/>
      <c r="AP233" s="16"/>
      <c r="AQ233" s="16"/>
      <c r="AR233" s="16"/>
      <c r="AS233" s="16"/>
      <c r="BB233" s="171">
        <v>3211.5555555555557</v>
      </c>
      <c r="BC233" s="171">
        <v>4224</v>
      </c>
    </row>
    <row r="234" spans="2:55" x14ac:dyDescent="0.35">
      <c r="B234" s="1">
        <v>230</v>
      </c>
      <c r="C234" s="158" t="s">
        <v>157</v>
      </c>
      <c r="D234" s="89">
        <v>60.146103896103888</v>
      </c>
      <c r="E234" s="89">
        <v>57.142857142857139</v>
      </c>
      <c r="F234" s="89">
        <v>106.42755681818181</v>
      </c>
      <c r="G234" s="89">
        <v>98.898898898898906</v>
      </c>
      <c r="H234" s="89">
        <v>214.07142857142858</v>
      </c>
      <c r="I234" s="89">
        <v>170.87633274417013</v>
      </c>
      <c r="J234" s="89">
        <v>77.411402157164872</v>
      </c>
      <c r="K234" s="89">
        <f t="shared" si="9"/>
        <v>256.88571428571424</v>
      </c>
      <c r="L234" s="87">
        <v>12</v>
      </c>
      <c r="M234" s="116">
        <v>0</v>
      </c>
      <c r="N234" s="116">
        <v>0</v>
      </c>
      <c r="O234" s="88">
        <v>30</v>
      </c>
      <c r="P234" s="168">
        <v>41723</v>
      </c>
      <c r="Q234" s="16">
        <v>87</v>
      </c>
      <c r="R234" s="89">
        <v>87.494399999999999</v>
      </c>
      <c r="S234" s="89">
        <v>90</v>
      </c>
      <c r="T234" s="89">
        <v>98</v>
      </c>
      <c r="U234" s="89">
        <v>99.2</v>
      </c>
      <c r="V234" s="89">
        <v>352</v>
      </c>
      <c r="W234" s="80">
        <v>0</v>
      </c>
      <c r="X234" s="190">
        <v>40</v>
      </c>
      <c r="Y234" s="89">
        <f t="shared" si="10"/>
        <v>422.4</v>
      </c>
      <c r="Z234" s="87">
        <v>12</v>
      </c>
      <c r="AA234" s="116">
        <v>0</v>
      </c>
      <c r="AB234" s="116">
        <v>0</v>
      </c>
      <c r="AC234" s="191">
        <v>20</v>
      </c>
      <c r="AD234" s="16">
        <f>WEEKNUM(tblKPIs[[#This Row],[Production Start Date]])</f>
        <v>13</v>
      </c>
      <c r="AE234" s="16">
        <v>10</v>
      </c>
      <c r="AF234" s="16">
        <v>27</v>
      </c>
      <c r="AG234" s="16">
        <v>19</v>
      </c>
      <c r="AH234" s="16">
        <v>10</v>
      </c>
      <c r="AI234" s="16">
        <v>21</v>
      </c>
      <c r="AJ234" s="16">
        <f t="shared" si="11"/>
        <v>1</v>
      </c>
      <c r="AL234" s="16"/>
      <c r="AM234" s="16"/>
      <c r="AN234" s="16"/>
      <c r="AO234" s="16"/>
      <c r="AP234" s="16"/>
      <c r="AQ234" s="16"/>
      <c r="AR234" s="16"/>
      <c r="AS234" s="16"/>
      <c r="BB234" s="172">
        <v>2568.8571428571427</v>
      </c>
      <c r="BC234" s="172">
        <v>4224</v>
      </c>
    </row>
    <row r="235" spans="2:55" x14ac:dyDescent="0.35">
      <c r="B235" s="1">
        <v>231</v>
      </c>
      <c r="C235" s="158" t="s">
        <v>147</v>
      </c>
      <c r="D235" s="89">
        <v>87.691213266470541</v>
      </c>
      <c r="E235" s="89">
        <v>93.369565217391298</v>
      </c>
      <c r="F235" s="89">
        <v>95.147869879327601</v>
      </c>
      <c r="G235" s="89">
        <v>98.707845446295337</v>
      </c>
      <c r="H235" s="89">
        <v>307.45749999999998</v>
      </c>
      <c r="I235" s="89">
        <v>182.09733801139473</v>
      </c>
      <c r="J235" s="89">
        <v>0</v>
      </c>
      <c r="K235" s="89">
        <f t="shared" si="9"/>
        <v>368.94899999999996</v>
      </c>
      <c r="L235" s="87">
        <v>12</v>
      </c>
      <c r="M235" s="116">
        <v>0</v>
      </c>
      <c r="N235" s="116">
        <v>0</v>
      </c>
      <c r="O235" s="88">
        <v>30</v>
      </c>
      <c r="P235" s="168">
        <v>41723</v>
      </c>
      <c r="Q235" s="16">
        <v>110</v>
      </c>
      <c r="R235" s="89">
        <v>87.494399999999999</v>
      </c>
      <c r="S235" s="89">
        <v>90</v>
      </c>
      <c r="T235" s="89">
        <v>98</v>
      </c>
      <c r="U235" s="89">
        <v>99.2</v>
      </c>
      <c r="V235" s="89">
        <v>346.08333333333331</v>
      </c>
      <c r="W235" s="80">
        <v>0</v>
      </c>
      <c r="X235" s="190">
        <v>40</v>
      </c>
      <c r="Y235" s="89">
        <f t="shared" si="10"/>
        <v>415.3</v>
      </c>
      <c r="Z235" s="87">
        <v>12</v>
      </c>
      <c r="AA235" s="116">
        <v>0</v>
      </c>
      <c r="AB235" s="116">
        <v>0</v>
      </c>
      <c r="AC235" s="191">
        <v>20</v>
      </c>
      <c r="AD235" s="16">
        <f>WEEKNUM(tblKPIs[[#This Row],[Production Start Date]])</f>
        <v>13</v>
      </c>
      <c r="AE235" s="16">
        <v>18</v>
      </c>
      <c r="AF235" s="16">
        <v>1</v>
      </c>
      <c r="AG235" s="16">
        <v>31</v>
      </c>
      <c r="AH235" s="16">
        <v>27</v>
      </c>
      <c r="AI235" s="16">
        <v>33</v>
      </c>
      <c r="AJ235" s="16">
        <f t="shared" si="11"/>
        <v>1</v>
      </c>
      <c r="AL235" s="16"/>
      <c r="AM235" s="16"/>
      <c r="AN235" s="16"/>
      <c r="AO235" s="16"/>
      <c r="AP235" s="16"/>
      <c r="AQ235" s="16"/>
      <c r="AR235" s="16"/>
      <c r="AS235" s="16"/>
      <c r="BB235" s="171">
        <v>3689.4899999999993</v>
      </c>
      <c r="BC235" s="171">
        <v>4153</v>
      </c>
    </row>
    <row r="236" spans="2:55" x14ac:dyDescent="0.35">
      <c r="B236" s="1">
        <v>232</v>
      </c>
      <c r="C236" s="158" t="s">
        <v>157</v>
      </c>
      <c r="D236" s="89">
        <v>89.56228956228955</v>
      </c>
      <c r="E236" s="89">
        <v>98.271604938271594</v>
      </c>
      <c r="F236" s="89">
        <v>91.360210141617188</v>
      </c>
      <c r="G236" s="89">
        <v>99.756234764672797</v>
      </c>
      <c r="H236" s="89">
        <v>296.27777777777777</v>
      </c>
      <c r="I236" s="89">
        <v>165.94177845387915</v>
      </c>
      <c r="J236" s="89">
        <v>77.361733931240664</v>
      </c>
      <c r="K236" s="89">
        <f t="shared" si="9"/>
        <v>355.53333333333336</v>
      </c>
      <c r="L236" s="87">
        <v>12</v>
      </c>
      <c r="M236" s="116">
        <v>0</v>
      </c>
      <c r="N236" s="116">
        <v>0</v>
      </c>
      <c r="O236" s="88">
        <v>29</v>
      </c>
      <c r="P236" s="168">
        <v>41724</v>
      </c>
      <c r="Q236" s="16">
        <v>65</v>
      </c>
      <c r="R236" s="89">
        <v>87.494399999999999</v>
      </c>
      <c r="S236" s="89">
        <v>90</v>
      </c>
      <c r="T236" s="89">
        <v>98</v>
      </c>
      <c r="U236" s="89">
        <v>99.2</v>
      </c>
      <c r="V236" s="89">
        <v>330</v>
      </c>
      <c r="W236" s="80">
        <v>0</v>
      </c>
      <c r="X236" s="190">
        <v>40</v>
      </c>
      <c r="Y236" s="89">
        <f t="shared" si="10"/>
        <v>395.99999999999994</v>
      </c>
      <c r="Z236" s="87">
        <v>12</v>
      </c>
      <c r="AA236" s="116">
        <v>0</v>
      </c>
      <c r="AB236" s="116">
        <v>0</v>
      </c>
      <c r="AC236" s="191">
        <v>20</v>
      </c>
      <c r="AD236" s="16">
        <f>WEEKNUM(tblKPIs[[#This Row],[Production Start Date]])</f>
        <v>13</v>
      </c>
      <c r="AE236" s="16">
        <v>17</v>
      </c>
      <c r="AF236" s="16">
        <v>18</v>
      </c>
      <c r="AG236" s="16">
        <v>3</v>
      </c>
      <c r="AH236" s="16">
        <v>13</v>
      </c>
      <c r="AI236" s="16">
        <v>14</v>
      </c>
      <c r="AJ236" s="16">
        <f t="shared" si="11"/>
        <v>1</v>
      </c>
      <c r="AL236" s="16"/>
      <c r="AM236" s="16"/>
      <c r="AN236" s="16"/>
      <c r="AO236" s="16"/>
      <c r="AP236" s="16"/>
      <c r="AQ236" s="16"/>
      <c r="AR236" s="16"/>
      <c r="AS236" s="16"/>
      <c r="BB236" s="172">
        <v>3555.3333333333335</v>
      </c>
      <c r="BC236" s="172">
        <v>3959.9999999999995</v>
      </c>
    </row>
    <row r="237" spans="2:55" x14ac:dyDescent="0.35">
      <c r="B237" s="1">
        <v>233</v>
      </c>
      <c r="C237" s="158" t="s">
        <v>147</v>
      </c>
      <c r="D237" s="89">
        <v>60.043102261025027</v>
      </c>
      <c r="E237" s="89">
        <v>65.867158671586722</v>
      </c>
      <c r="F237" s="89">
        <v>94.172806131843529</v>
      </c>
      <c r="G237" s="89">
        <v>96.798512103128303</v>
      </c>
      <c r="H237" s="89">
        <v>214.67186346863468</v>
      </c>
      <c r="I237" s="89">
        <v>183.33711503462621</v>
      </c>
      <c r="J237" s="89">
        <v>47.870725828051071</v>
      </c>
      <c r="K237" s="89">
        <f t="shared" si="9"/>
        <v>257.6062361623616</v>
      </c>
      <c r="L237" s="87">
        <v>12</v>
      </c>
      <c r="M237" s="116">
        <v>0</v>
      </c>
      <c r="N237" s="116">
        <v>0</v>
      </c>
      <c r="O237" s="88">
        <v>15</v>
      </c>
      <c r="P237" s="168">
        <v>41724</v>
      </c>
      <c r="Q237" s="16">
        <v>60</v>
      </c>
      <c r="R237" s="89">
        <v>87.494399999999999</v>
      </c>
      <c r="S237" s="89">
        <v>90</v>
      </c>
      <c r="T237" s="89">
        <v>98</v>
      </c>
      <c r="U237" s="89">
        <v>99.2</v>
      </c>
      <c r="V237" s="89">
        <v>346.08333333333331</v>
      </c>
      <c r="W237" s="80">
        <v>0</v>
      </c>
      <c r="X237" s="190">
        <v>40</v>
      </c>
      <c r="Y237" s="89">
        <f t="shared" si="10"/>
        <v>415.3</v>
      </c>
      <c r="Z237" s="87">
        <v>12</v>
      </c>
      <c r="AA237" s="116">
        <v>0</v>
      </c>
      <c r="AB237" s="116">
        <v>0</v>
      </c>
      <c r="AC237" s="191">
        <v>20</v>
      </c>
      <c r="AD237" s="16">
        <f>WEEKNUM(tblKPIs[[#This Row],[Production Start Date]])</f>
        <v>13</v>
      </c>
      <c r="AE237" s="16">
        <v>14</v>
      </c>
      <c r="AF237" s="16">
        <v>9</v>
      </c>
      <c r="AG237" s="16">
        <v>32</v>
      </c>
      <c r="AH237" s="16">
        <v>1</v>
      </c>
      <c r="AI237" s="16">
        <v>4</v>
      </c>
      <c r="AJ237" s="16">
        <f t="shared" si="11"/>
        <v>1</v>
      </c>
      <c r="AL237" s="16"/>
      <c r="AM237" s="16"/>
      <c r="AN237" s="16"/>
      <c r="AO237" s="16"/>
      <c r="AP237" s="16"/>
      <c r="AQ237" s="16"/>
      <c r="AR237" s="16"/>
      <c r="AS237" s="16"/>
      <c r="BB237" s="171">
        <v>2576.0623616236162</v>
      </c>
      <c r="BC237" s="171">
        <v>4153</v>
      </c>
    </row>
    <row r="238" spans="2:55" x14ac:dyDescent="0.35">
      <c r="B238" s="1">
        <v>234</v>
      </c>
      <c r="C238" s="158" t="s">
        <v>147</v>
      </c>
      <c r="D238" s="89">
        <v>90.267904814748874</v>
      </c>
      <c r="E238" s="89">
        <v>92.282608695652158</v>
      </c>
      <c r="F238" s="89">
        <v>99.346634345813271</v>
      </c>
      <c r="G238" s="89">
        <v>98.460115448519218</v>
      </c>
      <c r="H238" s="89">
        <v>317.28804347826082</v>
      </c>
      <c r="I238" s="89">
        <v>181.04095213877707</v>
      </c>
      <c r="J238" s="89">
        <v>15.260399202301326</v>
      </c>
      <c r="K238" s="89">
        <f t="shared" si="9"/>
        <v>380.74565217391302</v>
      </c>
      <c r="L238" s="87">
        <v>12</v>
      </c>
      <c r="M238" s="116">
        <v>0</v>
      </c>
      <c r="N238" s="116">
        <v>0</v>
      </c>
      <c r="O238" s="88">
        <v>21</v>
      </c>
      <c r="P238" s="168">
        <v>41725</v>
      </c>
      <c r="Q238" s="16">
        <v>68</v>
      </c>
      <c r="R238" s="89">
        <v>87.494399999999999</v>
      </c>
      <c r="S238" s="89">
        <v>90</v>
      </c>
      <c r="T238" s="89">
        <v>98</v>
      </c>
      <c r="U238" s="89">
        <v>99.2</v>
      </c>
      <c r="V238" s="89">
        <v>346.08333333333331</v>
      </c>
      <c r="W238" s="80">
        <v>0</v>
      </c>
      <c r="X238" s="190">
        <v>40</v>
      </c>
      <c r="Y238" s="89">
        <f t="shared" si="10"/>
        <v>415.3</v>
      </c>
      <c r="Z238" s="87">
        <v>12</v>
      </c>
      <c r="AA238" s="116">
        <v>0</v>
      </c>
      <c r="AB238" s="116">
        <v>0</v>
      </c>
      <c r="AC238" s="191">
        <v>20</v>
      </c>
      <c r="AD238" s="16">
        <f>WEEKNUM(tblKPIs[[#This Row],[Production Start Date]])</f>
        <v>13</v>
      </c>
      <c r="AE238" s="16">
        <v>18</v>
      </c>
      <c r="AF238" s="16">
        <v>27</v>
      </c>
      <c r="AG238" s="16">
        <v>7</v>
      </c>
      <c r="AH238" s="16">
        <v>0</v>
      </c>
      <c r="AI238" s="16">
        <v>16</v>
      </c>
      <c r="AJ238" s="16">
        <f t="shared" si="11"/>
        <v>1</v>
      </c>
      <c r="AL238" s="16"/>
      <c r="AM238" s="16"/>
      <c r="AN238" s="16"/>
      <c r="AO238" s="16"/>
      <c r="AP238" s="16"/>
      <c r="AQ238" s="16"/>
      <c r="AR238" s="16"/>
      <c r="AS238" s="16"/>
      <c r="BB238" s="172">
        <v>3807.45652173913</v>
      </c>
      <c r="BC238" s="172">
        <v>4153</v>
      </c>
    </row>
    <row r="239" spans="2:55" x14ac:dyDescent="0.35">
      <c r="B239" s="1">
        <v>235</v>
      </c>
      <c r="C239" s="158" t="s">
        <v>151</v>
      </c>
      <c r="D239" s="89">
        <v>88.52459016393442</v>
      </c>
      <c r="E239" s="89">
        <v>96.174863387978121</v>
      </c>
      <c r="F239" s="89">
        <v>92.259129759129763</v>
      </c>
      <c r="G239" s="89">
        <v>99.768396673334038</v>
      </c>
      <c r="H239" s="89">
        <v>207.62841530054644</v>
      </c>
      <c r="I239" s="89">
        <v>167.17999260810646</v>
      </c>
      <c r="J239" s="89">
        <v>23.87079237076972</v>
      </c>
      <c r="K239" s="89">
        <f t="shared" si="9"/>
        <v>249.15409836065572</v>
      </c>
      <c r="L239" s="87">
        <v>12</v>
      </c>
      <c r="M239" s="116">
        <v>0</v>
      </c>
      <c r="N239" s="116">
        <v>0</v>
      </c>
      <c r="O239" s="88">
        <v>25</v>
      </c>
      <c r="P239" s="168">
        <v>41725</v>
      </c>
      <c r="Q239" s="16">
        <v>83</v>
      </c>
      <c r="R239" s="89">
        <v>86.87700000000001</v>
      </c>
      <c r="S239" s="89">
        <v>90</v>
      </c>
      <c r="T239" s="89">
        <v>98</v>
      </c>
      <c r="U239" s="89">
        <v>98.5</v>
      </c>
      <c r="V239" s="89">
        <v>234</v>
      </c>
      <c r="W239" s="80">
        <v>0</v>
      </c>
      <c r="X239" s="190">
        <v>40</v>
      </c>
      <c r="Y239" s="89">
        <f t="shared" si="10"/>
        <v>280.8</v>
      </c>
      <c r="Z239" s="87">
        <v>12</v>
      </c>
      <c r="AA239" s="116">
        <v>0</v>
      </c>
      <c r="AB239" s="116">
        <v>0</v>
      </c>
      <c r="AC239" s="191">
        <v>20</v>
      </c>
      <c r="AD239" s="16">
        <f>WEEKNUM(tblKPIs[[#This Row],[Production Start Date]])</f>
        <v>13</v>
      </c>
      <c r="AE239" s="16">
        <v>21</v>
      </c>
      <c r="AF239" s="16">
        <v>27</v>
      </c>
      <c r="AG239" s="16">
        <v>10</v>
      </c>
      <c r="AH239" s="16">
        <v>17</v>
      </c>
      <c r="AI239" s="16">
        <v>8</v>
      </c>
      <c r="AJ239" s="16">
        <f t="shared" si="11"/>
        <v>1</v>
      </c>
      <c r="AL239" s="16"/>
      <c r="AM239" s="16"/>
      <c r="AN239" s="16"/>
      <c r="AO239" s="16"/>
      <c r="AP239" s="16"/>
      <c r="AQ239" s="16"/>
      <c r="AR239" s="16"/>
      <c r="AS239" s="16"/>
      <c r="BB239" s="171">
        <v>2491.5409836065573</v>
      </c>
      <c r="BC239" s="171">
        <v>2808</v>
      </c>
    </row>
    <row r="240" spans="2:55" x14ac:dyDescent="0.35">
      <c r="B240" s="1">
        <v>236</v>
      </c>
      <c r="C240" s="158" t="s">
        <v>150</v>
      </c>
      <c r="D240" s="89">
        <v>71.924369747899149</v>
      </c>
      <c r="E240" s="89">
        <v>88.214285714285694</v>
      </c>
      <c r="F240" s="89">
        <v>82.674843216638877</v>
      </c>
      <c r="G240" s="89">
        <v>98.619719527007888</v>
      </c>
      <c r="H240" s="89">
        <v>223.16892857142855</v>
      </c>
      <c r="I240" s="89">
        <v>144.92329100713167</v>
      </c>
      <c r="J240" s="89">
        <v>45.960436309853947</v>
      </c>
      <c r="K240" s="89">
        <f t="shared" si="9"/>
        <v>267.80271428571422</v>
      </c>
      <c r="L240" s="87">
        <v>12</v>
      </c>
      <c r="M240" s="116">
        <v>0</v>
      </c>
      <c r="N240" s="116">
        <v>0</v>
      </c>
      <c r="O240" s="88">
        <v>22</v>
      </c>
      <c r="P240" s="168">
        <v>41726</v>
      </c>
      <c r="Q240" s="16">
        <v>70</v>
      </c>
      <c r="R240" s="89">
        <v>86.87700000000001</v>
      </c>
      <c r="S240" s="89">
        <v>90</v>
      </c>
      <c r="T240" s="89">
        <v>98</v>
      </c>
      <c r="U240" s="89">
        <v>98.5</v>
      </c>
      <c r="V240" s="89">
        <v>306</v>
      </c>
      <c r="W240" s="80">
        <v>0</v>
      </c>
      <c r="X240" s="190">
        <v>40</v>
      </c>
      <c r="Y240" s="89">
        <f t="shared" si="10"/>
        <v>367.2</v>
      </c>
      <c r="Z240" s="87">
        <v>12</v>
      </c>
      <c r="AA240" s="116">
        <v>0</v>
      </c>
      <c r="AB240" s="116">
        <v>0</v>
      </c>
      <c r="AC240" s="191">
        <v>20</v>
      </c>
      <c r="AD240" s="16">
        <f>WEEKNUM(tblKPIs[[#This Row],[Production Start Date]])</f>
        <v>13</v>
      </c>
      <c r="AE240" s="16">
        <v>1</v>
      </c>
      <c r="AF240" s="16">
        <v>14</v>
      </c>
      <c r="AG240" s="16">
        <v>15</v>
      </c>
      <c r="AH240" s="16">
        <v>14</v>
      </c>
      <c r="AI240" s="16">
        <v>26</v>
      </c>
      <c r="AJ240" s="16">
        <f t="shared" si="11"/>
        <v>1</v>
      </c>
      <c r="AL240" s="16"/>
      <c r="AM240" s="16"/>
      <c r="AN240" s="16"/>
      <c r="AO240" s="16"/>
      <c r="AP240" s="16"/>
      <c r="AQ240" s="16"/>
      <c r="AR240" s="16"/>
      <c r="AS240" s="16"/>
      <c r="BB240" s="172">
        <v>2678.0271428571423</v>
      </c>
      <c r="BC240" s="172">
        <v>3672</v>
      </c>
    </row>
    <row r="241" spans="2:55" x14ac:dyDescent="0.35">
      <c r="B241" s="1">
        <v>237</v>
      </c>
      <c r="C241" s="158" t="s">
        <v>149</v>
      </c>
      <c r="D241" s="89">
        <v>81.991728987584125</v>
      </c>
      <c r="E241" s="89">
        <v>81.229773462783172</v>
      </c>
      <c r="F241" s="89">
        <v>102.24462132207984</v>
      </c>
      <c r="G241" s="89">
        <v>98.722087894456848</v>
      </c>
      <c r="H241" s="89">
        <v>287.43284789644008</v>
      </c>
      <c r="I241" s="89">
        <v>182.38461933364135</v>
      </c>
      <c r="J241" s="89">
        <v>100</v>
      </c>
      <c r="K241" s="89">
        <f t="shared" si="9"/>
        <v>344.9194174757281</v>
      </c>
      <c r="L241" s="87">
        <v>12</v>
      </c>
      <c r="M241" s="116">
        <v>0</v>
      </c>
      <c r="N241" s="116">
        <v>0</v>
      </c>
      <c r="O241" s="88">
        <v>29</v>
      </c>
      <c r="P241" s="168">
        <v>41726</v>
      </c>
      <c r="Q241" s="16">
        <v>69</v>
      </c>
      <c r="R241" s="89">
        <v>87.494399999999999</v>
      </c>
      <c r="S241" s="89">
        <v>90</v>
      </c>
      <c r="T241" s="89">
        <v>98</v>
      </c>
      <c r="U241" s="89">
        <v>99.2</v>
      </c>
      <c r="V241" s="89">
        <v>346.08333333333331</v>
      </c>
      <c r="W241" s="80">
        <v>0</v>
      </c>
      <c r="X241" s="190">
        <v>40</v>
      </c>
      <c r="Y241" s="89">
        <f t="shared" si="10"/>
        <v>415.3</v>
      </c>
      <c r="Z241" s="87">
        <v>12</v>
      </c>
      <c r="AA241" s="116">
        <v>0</v>
      </c>
      <c r="AB241" s="116">
        <v>0</v>
      </c>
      <c r="AC241" s="191">
        <v>20</v>
      </c>
      <c r="AD241" s="16">
        <f>WEEKNUM(tblKPIs[[#This Row],[Production Start Date]])</f>
        <v>13</v>
      </c>
      <c r="AE241" s="16">
        <v>7</v>
      </c>
      <c r="AF241" s="16">
        <v>12</v>
      </c>
      <c r="AG241" s="16">
        <v>11</v>
      </c>
      <c r="AH241" s="16">
        <v>29</v>
      </c>
      <c r="AI241" s="16">
        <v>10</v>
      </c>
      <c r="AJ241" s="16">
        <f t="shared" si="11"/>
        <v>1</v>
      </c>
      <c r="AL241" s="16"/>
      <c r="AM241" s="16"/>
      <c r="AN241" s="16"/>
      <c r="AO241" s="16"/>
      <c r="AP241" s="16"/>
      <c r="AQ241" s="16"/>
      <c r="AR241" s="16"/>
      <c r="AS241" s="16"/>
      <c r="BB241" s="171">
        <v>3449.194174757281</v>
      </c>
      <c r="BC241" s="171">
        <v>4153</v>
      </c>
    </row>
    <row r="242" spans="2:55" x14ac:dyDescent="0.35">
      <c r="B242" s="1">
        <v>238</v>
      </c>
      <c r="C242" s="158" t="s">
        <v>147</v>
      </c>
      <c r="D242" s="89">
        <v>99.858769416748146</v>
      </c>
      <c r="E242" s="89">
        <v>95.238095238095227</v>
      </c>
      <c r="F242" s="89">
        <v>105.47088163461868</v>
      </c>
      <c r="G242" s="89">
        <v>99.412943423400861</v>
      </c>
      <c r="H242" s="89">
        <v>347.63537414965981</v>
      </c>
      <c r="I242" s="89">
        <v>111</v>
      </c>
      <c r="J242" s="89">
        <v>0</v>
      </c>
      <c r="K242" s="89">
        <f t="shared" si="9"/>
        <v>417.16244897959177</v>
      </c>
      <c r="L242" s="87">
        <v>12</v>
      </c>
      <c r="M242" s="116">
        <v>1.1400089305648584</v>
      </c>
      <c r="N242" s="116">
        <v>0</v>
      </c>
      <c r="O242" s="88">
        <v>25</v>
      </c>
      <c r="P242" s="168">
        <v>41726</v>
      </c>
      <c r="Q242" s="16">
        <v>59</v>
      </c>
      <c r="R242" s="89">
        <v>87.494399999999999</v>
      </c>
      <c r="S242" s="89">
        <v>90</v>
      </c>
      <c r="T242" s="89">
        <v>98</v>
      </c>
      <c r="U242" s="89">
        <v>99.2</v>
      </c>
      <c r="V242" s="89">
        <v>346.08333333333331</v>
      </c>
      <c r="W242" s="80">
        <v>0</v>
      </c>
      <c r="X242" s="190">
        <v>40</v>
      </c>
      <c r="Y242" s="89">
        <f t="shared" si="10"/>
        <v>415.3</v>
      </c>
      <c r="Z242" s="87">
        <v>12</v>
      </c>
      <c r="AA242" s="116">
        <v>0</v>
      </c>
      <c r="AB242" s="116">
        <v>0</v>
      </c>
      <c r="AC242" s="191">
        <v>20</v>
      </c>
      <c r="AD242" s="16">
        <f>WEEKNUM(tblKPIs[[#This Row],[Production Start Date]])</f>
        <v>13</v>
      </c>
      <c r="AE242" s="16">
        <v>10</v>
      </c>
      <c r="AF242" s="16">
        <v>26</v>
      </c>
      <c r="AG242" s="16">
        <v>5</v>
      </c>
      <c r="AH242" s="16">
        <v>0</v>
      </c>
      <c r="AI242" s="16">
        <v>18</v>
      </c>
      <c r="AJ242" s="16">
        <f t="shared" si="11"/>
        <v>1</v>
      </c>
      <c r="AL242" s="16"/>
      <c r="AM242" s="16"/>
      <c r="AN242" s="16"/>
      <c r="AO242" s="16"/>
      <c r="AP242" s="16"/>
      <c r="AQ242" s="16"/>
      <c r="AR242" s="16"/>
      <c r="AS242" s="16"/>
      <c r="BB242" s="172">
        <v>4171.6244897959177</v>
      </c>
      <c r="BC242" s="172">
        <v>4153</v>
      </c>
    </row>
    <row r="243" spans="2:55" x14ac:dyDescent="0.35">
      <c r="B243" s="1">
        <v>239</v>
      </c>
      <c r="C243" s="158" t="s">
        <v>148</v>
      </c>
      <c r="D243" s="89">
        <v>63.360323886639677</v>
      </c>
      <c r="E243" s="89">
        <v>78.596491228070178</v>
      </c>
      <c r="F243" s="89">
        <v>81.77584134615384</v>
      </c>
      <c r="G243" s="89">
        <v>98.580089761423579</v>
      </c>
      <c r="H243" s="89">
        <v>167.10964912280701</v>
      </c>
      <c r="I243" s="89">
        <v>158.73432487605717</v>
      </c>
      <c r="J243" s="89">
        <v>0</v>
      </c>
      <c r="K243" s="89">
        <f t="shared" si="9"/>
        <v>200.53157894736842</v>
      </c>
      <c r="L243" s="87">
        <v>12</v>
      </c>
      <c r="M243" s="116">
        <v>0</v>
      </c>
      <c r="N243" s="116">
        <v>0</v>
      </c>
      <c r="O243" s="88">
        <v>21</v>
      </c>
      <c r="P243" s="168">
        <v>41729</v>
      </c>
      <c r="Q243" s="16">
        <v>62</v>
      </c>
      <c r="R243" s="89">
        <v>87.097500000000011</v>
      </c>
      <c r="S243" s="89">
        <v>90</v>
      </c>
      <c r="T243" s="89">
        <v>98</v>
      </c>
      <c r="U243" s="89">
        <v>98.75</v>
      </c>
      <c r="V243" s="89">
        <v>260</v>
      </c>
      <c r="W243" s="80">
        <v>0</v>
      </c>
      <c r="X243" s="190">
        <v>40</v>
      </c>
      <c r="Y243" s="89">
        <f t="shared" si="10"/>
        <v>312</v>
      </c>
      <c r="Z243" s="87">
        <v>12</v>
      </c>
      <c r="AA243" s="116">
        <v>0</v>
      </c>
      <c r="AB243" s="116">
        <v>0</v>
      </c>
      <c r="AC243" s="191">
        <v>20</v>
      </c>
      <c r="AD243" s="16">
        <f>WEEKNUM(tblKPIs[[#This Row],[Production Start Date]])</f>
        <v>14</v>
      </c>
      <c r="AE243" s="16">
        <v>11</v>
      </c>
      <c r="AF243" s="16">
        <v>0</v>
      </c>
      <c r="AG243" s="16">
        <v>6</v>
      </c>
      <c r="AH243" s="16">
        <v>21</v>
      </c>
      <c r="AI243" s="16">
        <v>24</v>
      </c>
      <c r="AJ243" s="16">
        <f t="shared" si="11"/>
        <v>1</v>
      </c>
      <c r="AL243" s="16"/>
      <c r="AM243" s="16"/>
      <c r="AN243" s="16"/>
      <c r="AO243" s="16"/>
      <c r="AP243" s="16"/>
      <c r="AQ243" s="16"/>
      <c r="AR243" s="16"/>
      <c r="AS243" s="16"/>
      <c r="BB243" s="171">
        <v>2005.3157894736842</v>
      </c>
      <c r="BC243" s="171">
        <v>3120</v>
      </c>
    </row>
    <row r="244" spans="2:55" x14ac:dyDescent="0.35">
      <c r="B244" s="1">
        <v>240</v>
      </c>
      <c r="C244" s="158" t="s">
        <v>147</v>
      </c>
      <c r="D244" s="89">
        <v>86.15474285066783</v>
      </c>
      <c r="E244" s="89">
        <v>90.14705882352942</v>
      </c>
      <c r="F244" s="89">
        <v>96.811024008666863</v>
      </c>
      <c r="G244" s="89">
        <v>98.719469948199389</v>
      </c>
      <c r="H244" s="89">
        <v>302.03485294117644</v>
      </c>
      <c r="I244" s="89">
        <v>178.39208550297272</v>
      </c>
      <c r="J244" s="89">
        <v>37.772909641371498</v>
      </c>
      <c r="K244" s="89">
        <f t="shared" si="9"/>
        <v>362.44182352941175</v>
      </c>
      <c r="L244" s="87">
        <v>12</v>
      </c>
      <c r="M244" s="116">
        <v>0</v>
      </c>
      <c r="N244" s="116">
        <v>0</v>
      </c>
      <c r="O244" s="88">
        <v>17</v>
      </c>
      <c r="P244" s="168">
        <v>41729</v>
      </c>
      <c r="Q244" s="16">
        <v>115</v>
      </c>
      <c r="R244" s="89">
        <v>87.494399999999999</v>
      </c>
      <c r="S244" s="89">
        <v>90</v>
      </c>
      <c r="T244" s="89">
        <v>98</v>
      </c>
      <c r="U244" s="89">
        <v>99.2</v>
      </c>
      <c r="V244" s="89">
        <v>346.08333333333331</v>
      </c>
      <c r="W244" s="80">
        <v>0</v>
      </c>
      <c r="X244" s="190">
        <v>40</v>
      </c>
      <c r="Y244" s="89">
        <f t="shared" si="10"/>
        <v>415.3</v>
      </c>
      <c r="Z244" s="87">
        <v>12</v>
      </c>
      <c r="AA244" s="116">
        <v>0</v>
      </c>
      <c r="AB244" s="116">
        <v>0</v>
      </c>
      <c r="AC244" s="191">
        <v>20</v>
      </c>
      <c r="AD244" s="16">
        <f>WEEKNUM(tblKPIs[[#This Row],[Production Start Date]])</f>
        <v>14</v>
      </c>
      <c r="AE244" s="16">
        <v>15</v>
      </c>
      <c r="AF244" s="16">
        <v>19</v>
      </c>
      <c r="AG244" s="16">
        <v>21</v>
      </c>
      <c r="AH244" s="16">
        <v>33</v>
      </c>
      <c r="AI244" s="16">
        <v>27</v>
      </c>
      <c r="AJ244" s="16">
        <f t="shared" si="11"/>
        <v>1</v>
      </c>
      <c r="AL244" s="16"/>
      <c r="AM244" s="16"/>
      <c r="AN244" s="16"/>
      <c r="AO244" s="16"/>
      <c r="AP244" s="16"/>
      <c r="AQ244" s="16"/>
      <c r="AR244" s="16"/>
      <c r="AS244" s="16"/>
      <c r="BB244" s="172">
        <v>3624.4182352941175</v>
      </c>
      <c r="BC244" s="172">
        <v>4153</v>
      </c>
    </row>
    <row r="245" spans="2:55" x14ac:dyDescent="0.35">
      <c r="B245" s="1">
        <v>241</v>
      </c>
      <c r="C245" s="158" t="s">
        <v>146</v>
      </c>
      <c r="D245" s="89">
        <v>74.628796844181451</v>
      </c>
      <c r="E245" s="89">
        <v>81.65680473372781</v>
      </c>
      <c r="F245" s="89">
        <v>92.482877079978536</v>
      </c>
      <c r="G245" s="89">
        <v>98.821792315067825</v>
      </c>
      <c r="H245" s="89">
        <v>203.90011834319529</v>
      </c>
      <c r="I245" s="89">
        <v>175.81183673469388</v>
      </c>
      <c r="J245" s="89">
        <v>0</v>
      </c>
      <c r="K245" s="89">
        <f t="shared" si="9"/>
        <v>244.68014201183433</v>
      </c>
      <c r="L245" s="87">
        <v>12</v>
      </c>
      <c r="M245" s="116">
        <v>0</v>
      </c>
      <c r="N245" s="116">
        <v>0</v>
      </c>
      <c r="O245" s="88">
        <v>26</v>
      </c>
      <c r="P245" s="168">
        <v>41729</v>
      </c>
      <c r="Q245" s="16">
        <v>118</v>
      </c>
      <c r="R245" s="89">
        <v>87.317999999999998</v>
      </c>
      <c r="S245" s="89">
        <v>90</v>
      </c>
      <c r="T245" s="89">
        <v>98</v>
      </c>
      <c r="U245" s="89">
        <v>99</v>
      </c>
      <c r="V245" s="89">
        <v>270</v>
      </c>
      <c r="W245" s="80">
        <v>0</v>
      </c>
      <c r="X245" s="190">
        <v>40</v>
      </c>
      <c r="Y245" s="89">
        <f t="shared" si="10"/>
        <v>324</v>
      </c>
      <c r="Z245" s="87">
        <v>12</v>
      </c>
      <c r="AA245" s="116">
        <v>0</v>
      </c>
      <c r="AB245" s="116">
        <v>0</v>
      </c>
      <c r="AC245" s="191">
        <v>20</v>
      </c>
      <c r="AD245" s="16">
        <f>WEEKNUM(tblKPIs[[#This Row],[Production Start Date]])</f>
        <v>14</v>
      </c>
      <c r="AE245" s="16">
        <v>24</v>
      </c>
      <c r="AF245" s="16">
        <v>15</v>
      </c>
      <c r="AG245" s="16">
        <v>31</v>
      </c>
      <c r="AH245" s="16">
        <v>31</v>
      </c>
      <c r="AI245" s="16">
        <v>17</v>
      </c>
      <c r="AJ245" s="16">
        <f t="shared" si="11"/>
        <v>1</v>
      </c>
      <c r="AL245" s="16"/>
      <c r="AM245" s="16"/>
      <c r="AN245" s="16"/>
      <c r="AO245" s="16"/>
      <c r="AP245" s="16"/>
      <c r="AQ245" s="16"/>
      <c r="AR245" s="16"/>
      <c r="AS245" s="16"/>
      <c r="BB245" s="171">
        <v>2446.8014201183432</v>
      </c>
      <c r="BC245" s="171">
        <v>3240</v>
      </c>
    </row>
    <row r="246" spans="2:55" x14ac:dyDescent="0.35">
      <c r="B246" s="1">
        <v>242</v>
      </c>
      <c r="C246" s="158" t="s">
        <v>171</v>
      </c>
      <c r="D246" s="89">
        <v>37.878787878787882</v>
      </c>
      <c r="E246" s="89">
        <v>42.222222222222221</v>
      </c>
      <c r="F246" s="89">
        <v>102.37240829346095</v>
      </c>
      <c r="G246" s="89">
        <v>87.633885102239532</v>
      </c>
      <c r="H246" s="89">
        <v>114.11111111111111</v>
      </c>
      <c r="I246" s="89">
        <v>232.35294117647061</v>
      </c>
      <c r="J246" s="89">
        <v>0</v>
      </c>
      <c r="K246" s="89">
        <f t="shared" si="9"/>
        <v>136.93333333333334</v>
      </c>
      <c r="L246" s="87">
        <v>12</v>
      </c>
      <c r="M246" s="116">
        <v>0</v>
      </c>
      <c r="N246" s="116">
        <v>0</v>
      </c>
      <c r="O246" s="88">
        <v>15</v>
      </c>
      <c r="P246" s="168">
        <v>41724</v>
      </c>
      <c r="Q246" s="16">
        <v>111</v>
      </c>
      <c r="R246" s="89">
        <v>87.494399999999999</v>
      </c>
      <c r="S246" s="89">
        <v>90</v>
      </c>
      <c r="T246" s="89">
        <v>98</v>
      </c>
      <c r="U246" s="89">
        <v>99.2</v>
      </c>
      <c r="V246" s="89">
        <v>263.99999999999994</v>
      </c>
      <c r="W246" s="80">
        <v>0</v>
      </c>
      <c r="X246" s="190">
        <v>40</v>
      </c>
      <c r="Y246" s="89">
        <f t="shared" si="10"/>
        <v>316.79999999999995</v>
      </c>
      <c r="Z246" s="87">
        <v>12</v>
      </c>
      <c r="AA246" s="116">
        <v>0</v>
      </c>
      <c r="AB246" s="116">
        <v>0</v>
      </c>
      <c r="AC246" s="191">
        <v>20</v>
      </c>
      <c r="AD246" s="16">
        <f>WEEKNUM(tblKPIs[[#This Row],[Production Start Date]])</f>
        <v>13</v>
      </c>
      <c r="AE246" s="16">
        <v>27</v>
      </c>
      <c r="AF246" s="16">
        <v>30</v>
      </c>
      <c r="AG246" s="16">
        <v>22</v>
      </c>
      <c r="AH246" s="16">
        <v>2</v>
      </c>
      <c r="AI246" s="16">
        <v>30</v>
      </c>
      <c r="AJ246" s="16">
        <f t="shared" si="11"/>
        <v>1</v>
      </c>
      <c r="AL246" s="16"/>
      <c r="AM246" s="16"/>
      <c r="AN246" s="16"/>
      <c r="AO246" s="16"/>
      <c r="AP246" s="16"/>
      <c r="AQ246" s="16"/>
      <c r="AR246" s="16"/>
      <c r="AS246" s="16"/>
      <c r="BB246" s="172">
        <v>1369.3333333333333</v>
      </c>
      <c r="BC246" s="172">
        <v>3167.9999999999995</v>
      </c>
    </row>
    <row r="247" spans="2:55" x14ac:dyDescent="0.35">
      <c r="B247" s="1">
        <v>243</v>
      </c>
      <c r="C247" s="158" t="s">
        <v>147</v>
      </c>
      <c r="D247" s="89">
        <v>80.670615708834077</v>
      </c>
      <c r="E247" s="89">
        <v>81.030927835051529</v>
      </c>
      <c r="F247" s="89">
        <v>101.19311711863695</v>
      </c>
      <c r="G247" s="89">
        <v>98.381533084103324</v>
      </c>
      <c r="H247" s="89">
        <v>296.83175257731961</v>
      </c>
      <c r="I247" s="89">
        <v>171.45133533807723</v>
      </c>
      <c r="J247" s="89">
        <v>0</v>
      </c>
      <c r="K247" s="89">
        <f t="shared" si="9"/>
        <v>356.19810309278353</v>
      </c>
      <c r="L247" s="87">
        <v>12</v>
      </c>
      <c r="M247" s="116">
        <v>0</v>
      </c>
      <c r="N247" s="116">
        <v>0</v>
      </c>
      <c r="O247" s="88">
        <v>15</v>
      </c>
      <c r="P247" s="168">
        <v>41726</v>
      </c>
      <c r="Q247" s="16">
        <v>109</v>
      </c>
      <c r="R247" s="89">
        <v>87.494399999999999</v>
      </c>
      <c r="S247" s="89">
        <v>90</v>
      </c>
      <c r="T247" s="89">
        <v>98</v>
      </c>
      <c r="U247" s="89">
        <v>99.2</v>
      </c>
      <c r="V247" s="89">
        <v>362</v>
      </c>
      <c r="W247" s="80">
        <v>0</v>
      </c>
      <c r="X247" s="190">
        <v>40</v>
      </c>
      <c r="Y247" s="89">
        <f t="shared" si="10"/>
        <v>434.4</v>
      </c>
      <c r="Z247" s="87">
        <v>12</v>
      </c>
      <c r="AA247" s="116">
        <v>0</v>
      </c>
      <c r="AB247" s="116">
        <v>0</v>
      </c>
      <c r="AC247" s="191">
        <v>20</v>
      </c>
      <c r="AD247" s="16">
        <f>WEEKNUM(tblKPIs[[#This Row],[Production Start Date]])</f>
        <v>13</v>
      </c>
      <c r="AE247" s="16">
        <v>13</v>
      </c>
      <c r="AF247" s="16">
        <v>6</v>
      </c>
      <c r="AG247" s="16">
        <v>30</v>
      </c>
      <c r="AH247" s="16">
        <v>31</v>
      </c>
      <c r="AI247" s="16">
        <v>29</v>
      </c>
      <c r="AJ247" s="16">
        <f t="shared" si="11"/>
        <v>1</v>
      </c>
      <c r="AL247" s="16"/>
      <c r="AM247" s="16"/>
      <c r="AN247" s="16"/>
      <c r="AO247" s="16"/>
      <c r="AP247" s="16"/>
      <c r="AQ247" s="16"/>
      <c r="AR247" s="16"/>
      <c r="AS247" s="16"/>
      <c r="BB247" s="171">
        <v>3561.981030927835</v>
      </c>
      <c r="BC247" s="171">
        <v>4344</v>
      </c>
    </row>
    <row r="248" spans="2:55" x14ac:dyDescent="0.35">
      <c r="B248" s="1">
        <v>244</v>
      </c>
      <c r="C248" s="158" t="s">
        <v>162</v>
      </c>
      <c r="D248" s="89">
        <v>69.882352941176478</v>
      </c>
      <c r="E248" s="89">
        <v>89.999999999999986</v>
      </c>
      <c r="F248" s="89">
        <v>81.777414669571542</v>
      </c>
      <c r="G248" s="89">
        <v>94.949270696889641</v>
      </c>
      <c r="H248" s="89">
        <v>225.215</v>
      </c>
      <c r="I248" s="89">
        <v>145.61314655172413</v>
      </c>
      <c r="J248" s="89">
        <v>0</v>
      </c>
      <c r="K248" s="89">
        <f t="shared" si="9"/>
        <v>270.25799999999998</v>
      </c>
      <c r="L248" s="87">
        <v>12</v>
      </c>
      <c r="M248" s="116">
        <v>0</v>
      </c>
      <c r="N248" s="116">
        <v>0</v>
      </c>
      <c r="O248" s="88">
        <v>29</v>
      </c>
      <c r="P248" s="168">
        <v>41726</v>
      </c>
      <c r="Q248" s="16">
        <v>74</v>
      </c>
      <c r="R248" s="89">
        <v>86.87700000000001</v>
      </c>
      <c r="S248" s="89">
        <v>90</v>
      </c>
      <c r="T248" s="89">
        <v>98</v>
      </c>
      <c r="U248" s="89">
        <v>98.5</v>
      </c>
      <c r="V248" s="89">
        <v>306</v>
      </c>
      <c r="W248" s="80">
        <v>0</v>
      </c>
      <c r="X248" s="190">
        <v>40</v>
      </c>
      <c r="Y248" s="89">
        <f t="shared" si="10"/>
        <v>367.2</v>
      </c>
      <c r="Z248" s="87">
        <v>12</v>
      </c>
      <c r="AA248" s="116">
        <v>0</v>
      </c>
      <c r="AB248" s="116">
        <v>0</v>
      </c>
      <c r="AC248" s="191">
        <v>20</v>
      </c>
      <c r="AD248" s="16">
        <f>WEEKNUM(tblKPIs[[#This Row],[Production Start Date]])</f>
        <v>13</v>
      </c>
      <c r="AE248" s="16">
        <v>10</v>
      </c>
      <c r="AF248" s="16">
        <v>2</v>
      </c>
      <c r="AG248" s="16">
        <v>5</v>
      </c>
      <c r="AH248" s="16">
        <v>25</v>
      </c>
      <c r="AI248" s="16">
        <v>32</v>
      </c>
      <c r="AJ248" s="16">
        <f t="shared" si="11"/>
        <v>1</v>
      </c>
      <c r="AL248" s="16"/>
      <c r="AM248" s="16"/>
      <c r="AN248" s="16"/>
      <c r="AO248" s="16"/>
      <c r="AP248" s="16"/>
      <c r="AQ248" s="16"/>
      <c r="AR248" s="16"/>
      <c r="AS248" s="16"/>
      <c r="BB248" s="172">
        <v>2702.58</v>
      </c>
      <c r="BC248" s="172">
        <v>3672</v>
      </c>
    </row>
    <row r="249" spans="2:55" x14ac:dyDescent="0.35">
      <c r="B249" s="1">
        <v>245</v>
      </c>
      <c r="C249" s="158" t="s">
        <v>146</v>
      </c>
      <c r="D249" s="89">
        <v>92.19801980198018</v>
      </c>
      <c r="E249" s="89">
        <v>93.193069306930695</v>
      </c>
      <c r="F249" s="89">
        <v>100.70788451133734</v>
      </c>
      <c r="G249" s="89">
        <v>98.236867347955453</v>
      </c>
      <c r="H249" s="89">
        <v>253.40247524752473</v>
      </c>
      <c r="I249" s="89">
        <v>180.84669263449834</v>
      </c>
      <c r="J249" s="89">
        <v>0</v>
      </c>
      <c r="K249" s="89">
        <f t="shared" si="9"/>
        <v>304.08297029702965</v>
      </c>
      <c r="L249" s="87">
        <v>12</v>
      </c>
      <c r="M249" s="116">
        <v>0</v>
      </c>
      <c r="N249" s="116">
        <v>0</v>
      </c>
      <c r="O249" s="88">
        <v>16</v>
      </c>
      <c r="P249" s="168">
        <v>41724</v>
      </c>
      <c r="Q249" s="16">
        <v>81</v>
      </c>
      <c r="R249" s="89">
        <v>87.317999999999998</v>
      </c>
      <c r="S249" s="89">
        <v>90</v>
      </c>
      <c r="T249" s="89">
        <v>98</v>
      </c>
      <c r="U249" s="89">
        <v>99</v>
      </c>
      <c r="V249" s="89">
        <v>270</v>
      </c>
      <c r="W249" s="80">
        <v>0</v>
      </c>
      <c r="X249" s="190">
        <v>40</v>
      </c>
      <c r="Y249" s="89">
        <f t="shared" si="10"/>
        <v>324</v>
      </c>
      <c r="Z249" s="87">
        <v>12</v>
      </c>
      <c r="AA249" s="116">
        <v>0</v>
      </c>
      <c r="AB249" s="116">
        <v>0</v>
      </c>
      <c r="AC249" s="191">
        <v>20</v>
      </c>
      <c r="AD249" s="16">
        <f>WEEKNUM(tblKPIs[[#This Row],[Production Start Date]])</f>
        <v>13</v>
      </c>
      <c r="AE249" s="16">
        <v>25</v>
      </c>
      <c r="AF249" s="16">
        <v>30</v>
      </c>
      <c r="AG249" s="16">
        <v>4</v>
      </c>
      <c r="AH249" s="16">
        <v>18</v>
      </c>
      <c r="AI249" s="16">
        <v>4</v>
      </c>
      <c r="AJ249" s="16">
        <f t="shared" si="11"/>
        <v>1</v>
      </c>
      <c r="AL249" s="16"/>
      <c r="AM249" s="16"/>
      <c r="AN249" s="16"/>
      <c r="AO249" s="16"/>
      <c r="AP249" s="16"/>
      <c r="AQ249" s="16"/>
      <c r="AR249" s="16"/>
      <c r="AS249" s="16"/>
      <c r="BB249" s="171">
        <v>3040.8297029702967</v>
      </c>
      <c r="BC249" s="171">
        <v>3240</v>
      </c>
    </row>
    <row r="250" spans="2:55" x14ac:dyDescent="0.35">
      <c r="B250" s="1">
        <v>246</v>
      </c>
      <c r="C250" s="158" t="s">
        <v>146</v>
      </c>
      <c r="D250" s="89">
        <v>87.656964006259784</v>
      </c>
      <c r="E250" s="89">
        <v>97.183098591549282</v>
      </c>
      <c r="F250" s="89">
        <v>91.284702093397755</v>
      </c>
      <c r="G250" s="89">
        <v>98.809267602552936</v>
      </c>
      <c r="H250" s="89">
        <v>239.52591549295775</v>
      </c>
      <c r="I250" s="89">
        <v>185.08791119092319</v>
      </c>
      <c r="J250" s="89">
        <v>0</v>
      </c>
      <c r="K250" s="89">
        <f t="shared" si="9"/>
        <v>287.4310985915493</v>
      </c>
      <c r="L250" s="87">
        <v>12</v>
      </c>
      <c r="M250" s="116">
        <v>0</v>
      </c>
      <c r="N250" s="116">
        <v>0</v>
      </c>
      <c r="O250" s="88">
        <v>23</v>
      </c>
      <c r="P250" s="168">
        <v>41731</v>
      </c>
      <c r="Q250" s="16">
        <v>61</v>
      </c>
      <c r="R250" s="89">
        <v>87.317999999999998</v>
      </c>
      <c r="S250" s="89">
        <v>90</v>
      </c>
      <c r="T250" s="89">
        <v>98</v>
      </c>
      <c r="U250" s="89">
        <v>99</v>
      </c>
      <c r="V250" s="89">
        <v>270</v>
      </c>
      <c r="W250" s="80">
        <v>0</v>
      </c>
      <c r="X250" s="190">
        <v>40</v>
      </c>
      <c r="Y250" s="89">
        <f t="shared" si="10"/>
        <v>324</v>
      </c>
      <c r="Z250" s="87">
        <v>12</v>
      </c>
      <c r="AA250" s="116">
        <v>0</v>
      </c>
      <c r="AB250" s="116">
        <v>0</v>
      </c>
      <c r="AC250" s="191">
        <v>20</v>
      </c>
      <c r="AD250" s="16">
        <f>WEEKNUM(tblKPIs[[#This Row],[Production Start Date]])</f>
        <v>14</v>
      </c>
      <c r="AE250" s="16">
        <v>20</v>
      </c>
      <c r="AF250" s="16">
        <v>6</v>
      </c>
      <c r="AG250" s="16">
        <v>4</v>
      </c>
      <c r="AH250" s="16">
        <v>12</v>
      </c>
      <c r="AI250" s="16">
        <v>19</v>
      </c>
      <c r="AJ250" s="16">
        <f t="shared" si="11"/>
        <v>1</v>
      </c>
      <c r="AL250" s="16"/>
      <c r="AM250" s="16"/>
      <c r="AN250" s="16"/>
      <c r="AO250" s="16"/>
      <c r="AP250" s="16"/>
      <c r="AQ250" s="16"/>
      <c r="AR250" s="16"/>
      <c r="AS250" s="16"/>
      <c r="BB250" s="172">
        <v>2874.3109859154929</v>
      </c>
      <c r="BC250" s="172">
        <v>3240</v>
      </c>
    </row>
    <row r="251" spans="2:55" x14ac:dyDescent="0.35">
      <c r="B251" s="1">
        <v>247</v>
      </c>
      <c r="C251" s="158" t="s">
        <v>153</v>
      </c>
      <c r="D251" s="89">
        <v>38.290598290598297</v>
      </c>
      <c r="E251" s="89">
        <v>53.846153846153854</v>
      </c>
      <c r="F251" s="89">
        <v>71.111111111111114</v>
      </c>
      <c r="G251" s="89">
        <v>100</v>
      </c>
      <c r="H251" s="89">
        <v>103.38461538461539</v>
      </c>
      <c r="I251" s="89">
        <v>149.41634241245137</v>
      </c>
      <c r="J251" s="89">
        <v>0</v>
      </c>
      <c r="K251" s="89">
        <f t="shared" si="9"/>
        <v>124.06153846153848</v>
      </c>
      <c r="L251" s="87">
        <v>12</v>
      </c>
      <c r="M251" s="116">
        <v>0</v>
      </c>
      <c r="N251" s="116">
        <v>0</v>
      </c>
      <c r="O251" s="88">
        <v>18</v>
      </c>
      <c r="P251" s="168">
        <v>41731</v>
      </c>
      <c r="Q251" s="16">
        <v>98</v>
      </c>
      <c r="R251" s="89">
        <v>87.317999999999998</v>
      </c>
      <c r="S251" s="89">
        <v>90</v>
      </c>
      <c r="T251" s="89">
        <v>98</v>
      </c>
      <c r="U251" s="89">
        <v>99</v>
      </c>
      <c r="V251" s="89">
        <v>270</v>
      </c>
      <c r="W251" s="80">
        <v>0</v>
      </c>
      <c r="X251" s="190">
        <v>40</v>
      </c>
      <c r="Y251" s="89">
        <f t="shared" si="10"/>
        <v>324</v>
      </c>
      <c r="Z251" s="87">
        <v>12</v>
      </c>
      <c r="AA251" s="116">
        <v>0</v>
      </c>
      <c r="AB251" s="116">
        <v>0</v>
      </c>
      <c r="AC251" s="191">
        <v>20</v>
      </c>
      <c r="AD251" s="16">
        <f>WEEKNUM(tblKPIs[[#This Row],[Production Start Date]])</f>
        <v>14</v>
      </c>
      <c r="AE251" s="16">
        <v>26</v>
      </c>
      <c r="AF251" s="16">
        <v>30</v>
      </c>
      <c r="AG251" s="16">
        <v>18</v>
      </c>
      <c r="AH251" s="16">
        <v>1</v>
      </c>
      <c r="AI251" s="16">
        <v>23</v>
      </c>
      <c r="AJ251" s="16">
        <f t="shared" si="11"/>
        <v>1</v>
      </c>
      <c r="AL251" s="16"/>
      <c r="AM251" s="16"/>
      <c r="AN251" s="16"/>
      <c r="AO251" s="16"/>
      <c r="AP251" s="16"/>
      <c r="AQ251" s="16"/>
      <c r="AR251" s="16"/>
      <c r="AS251" s="16"/>
      <c r="BB251" s="171">
        <v>1240.6153846153848</v>
      </c>
      <c r="BC251" s="171">
        <v>3240</v>
      </c>
    </row>
    <row r="252" spans="2:55" x14ac:dyDescent="0.35">
      <c r="B252" s="1">
        <v>248</v>
      </c>
      <c r="C252" s="158" t="s">
        <v>165</v>
      </c>
      <c r="D252" s="89">
        <v>87.676767676767682</v>
      </c>
      <c r="E252" s="89">
        <v>90.277777777777786</v>
      </c>
      <c r="F252" s="89">
        <v>97.496503496503493</v>
      </c>
      <c r="G252" s="89">
        <v>99.612681107445127</v>
      </c>
      <c r="H252" s="89">
        <v>290.45833333333331</v>
      </c>
      <c r="I252" s="89">
        <v>179.58009531578722</v>
      </c>
      <c r="J252" s="89">
        <v>53.149862396797602</v>
      </c>
      <c r="K252" s="89">
        <f t="shared" si="9"/>
        <v>348.55</v>
      </c>
      <c r="L252" s="87">
        <v>12</v>
      </c>
      <c r="M252" s="116">
        <v>0</v>
      </c>
      <c r="N252" s="116">
        <v>0</v>
      </c>
      <c r="O252" s="88">
        <v>27</v>
      </c>
      <c r="P252" s="168">
        <v>41731</v>
      </c>
      <c r="Q252" s="16">
        <v>79</v>
      </c>
      <c r="R252" s="89">
        <v>87.494399999999999</v>
      </c>
      <c r="S252" s="89">
        <v>90</v>
      </c>
      <c r="T252" s="89">
        <v>98</v>
      </c>
      <c r="U252" s="89">
        <v>99.2</v>
      </c>
      <c r="V252" s="89">
        <v>330</v>
      </c>
      <c r="W252" s="80">
        <v>0</v>
      </c>
      <c r="X252" s="190">
        <v>40</v>
      </c>
      <c r="Y252" s="89">
        <f t="shared" si="10"/>
        <v>396</v>
      </c>
      <c r="Z252" s="87">
        <v>12</v>
      </c>
      <c r="AA252" s="116">
        <v>0</v>
      </c>
      <c r="AB252" s="116">
        <v>0</v>
      </c>
      <c r="AC252" s="191">
        <v>20</v>
      </c>
      <c r="AD252" s="16">
        <f>WEEKNUM(tblKPIs[[#This Row],[Production Start Date]])</f>
        <v>14</v>
      </c>
      <c r="AE252" s="16">
        <v>12</v>
      </c>
      <c r="AF252" s="16">
        <v>24</v>
      </c>
      <c r="AG252" s="16">
        <v>15</v>
      </c>
      <c r="AH252" s="16">
        <v>23</v>
      </c>
      <c r="AI252" s="16">
        <v>5</v>
      </c>
      <c r="AJ252" s="16">
        <f t="shared" si="11"/>
        <v>1</v>
      </c>
      <c r="AL252" s="16"/>
      <c r="AM252" s="16"/>
      <c r="AN252" s="16"/>
      <c r="AO252" s="16"/>
      <c r="AP252" s="16"/>
      <c r="AQ252" s="16"/>
      <c r="AR252" s="16"/>
      <c r="AS252" s="16"/>
      <c r="BB252" s="172">
        <v>3485.5</v>
      </c>
      <c r="BC252" s="172">
        <v>3960</v>
      </c>
    </row>
    <row r="253" spans="2:55" x14ac:dyDescent="0.35">
      <c r="B253" s="1">
        <v>249</v>
      </c>
      <c r="C253" s="158" t="s">
        <v>157</v>
      </c>
      <c r="D253" s="89">
        <v>85.893416927899679</v>
      </c>
      <c r="E253" s="89">
        <v>96.551724137931032</v>
      </c>
      <c r="F253" s="89">
        <v>94.128787878787875</v>
      </c>
      <c r="G253" s="89">
        <v>94.509916642713421</v>
      </c>
      <c r="H253" s="89">
        <v>299.91379310344826</v>
      </c>
      <c r="I253" s="89">
        <v>187.24434876210981</v>
      </c>
      <c r="J253" s="89">
        <v>47.567409144196951</v>
      </c>
      <c r="K253" s="89">
        <f t="shared" si="9"/>
        <v>359.89655172413791</v>
      </c>
      <c r="L253" s="87">
        <v>12</v>
      </c>
      <c r="M253" s="116">
        <v>0</v>
      </c>
      <c r="N253" s="116">
        <v>0</v>
      </c>
      <c r="O253" s="88">
        <v>22</v>
      </c>
      <c r="P253" s="168">
        <v>41732</v>
      </c>
      <c r="Q253" s="16">
        <v>114</v>
      </c>
      <c r="R253" s="89">
        <v>87.494399999999999</v>
      </c>
      <c r="S253" s="89">
        <v>90</v>
      </c>
      <c r="T253" s="89">
        <v>98</v>
      </c>
      <c r="U253" s="89">
        <v>99.2</v>
      </c>
      <c r="V253" s="89">
        <v>330</v>
      </c>
      <c r="W253" s="80">
        <v>0</v>
      </c>
      <c r="X253" s="190">
        <v>40</v>
      </c>
      <c r="Y253" s="89">
        <f t="shared" si="10"/>
        <v>396</v>
      </c>
      <c r="Z253" s="87">
        <v>12</v>
      </c>
      <c r="AA253" s="116">
        <v>0</v>
      </c>
      <c r="AB253" s="116">
        <v>0</v>
      </c>
      <c r="AC253" s="191">
        <v>20</v>
      </c>
      <c r="AD253" s="16">
        <f>WEEKNUM(tblKPIs[[#This Row],[Production Start Date]])</f>
        <v>14</v>
      </c>
      <c r="AE253" s="16">
        <v>13</v>
      </c>
      <c r="AF253" s="16">
        <v>32</v>
      </c>
      <c r="AG253" s="16">
        <v>29</v>
      </c>
      <c r="AH253" s="16">
        <v>29</v>
      </c>
      <c r="AI253" s="16">
        <v>11</v>
      </c>
      <c r="AJ253" s="16">
        <f t="shared" si="11"/>
        <v>1</v>
      </c>
      <c r="AL253" s="16"/>
      <c r="AM253" s="16"/>
      <c r="AN253" s="16"/>
      <c r="AO253" s="16"/>
      <c r="AP253" s="16"/>
      <c r="AQ253" s="16"/>
      <c r="AR253" s="16"/>
      <c r="AS253" s="16"/>
      <c r="BB253" s="171">
        <v>3598.9655172413791</v>
      </c>
      <c r="BC253" s="171">
        <v>3960</v>
      </c>
    </row>
    <row r="254" spans="2:55" x14ac:dyDescent="0.35">
      <c r="B254" s="1">
        <v>250</v>
      </c>
      <c r="C254" s="158" t="s">
        <v>147</v>
      </c>
      <c r="D254" s="89">
        <v>80.127762430939228</v>
      </c>
      <c r="E254" s="89">
        <v>85.18518518518519</v>
      </c>
      <c r="F254" s="89">
        <v>96.289484746576974</v>
      </c>
      <c r="G254" s="89">
        <v>97.687744108269086</v>
      </c>
      <c r="H254" s="89">
        <v>296.92824074074076</v>
      </c>
      <c r="I254" s="89">
        <v>210.64273515501841</v>
      </c>
      <c r="J254" s="89">
        <v>48.407264066686508</v>
      </c>
      <c r="K254" s="89">
        <f t="shared" si="9"/>
        <v>356.31388888888887</v>
      </c>
      <c r="L254" s="87">
        <v>12</v>
      </c>
      <c r="M254" s="116">
        <v>0</v>
      </c>
      <c r="N254" s="116">
        <v>0</v>
      </c>
      <c r="O254" s="88">
        <v>29</v>
      </c>
      <c r="P254" s="168">
        <v>41731</v>
      </c>
      <c r="Q254" s="16">
        <v>70</v>
      </c>
      <c r="R254" s="89">
        <v>87.494399999999999</v>
      </c>
      <c r="S254" s="89">
        <v>90</v>
      </c>
      <c r="T254" s="89">
        <v>98</v>
      </c>
      <c r="U254" s="89">
        <v>99.2</v>
      </c>
      <c r="V254" s="89">
        <v>362</v>
      </c>
      <c r="W254" s="80">
        <v>0</v>
      </c>
      <c r="X254" s="190">
        <v>40</v>
      </c>
      <c r="Y254" s="89">
        <f t="shared" si="10"/>
        <v>434.4</v>
      </c>
      <c r="Z254" s="87">
        <v>12</v>
      </c>
      <c r="AA254" s="116">
        <v>0</v>
      </c>
      <c r="AB254" s="116">
        <v>0</v>
      </c>
      <c r="AC254" s="191">
        <v>20</v>
      </c>
      <c r="AD254" s="16">
        <f>WEEKNUM(tblKPIs[[#This Row],[Production Start Date]])</f>
        <v>14</v>
      </c>
      <c r="AE254" s="16">
        <v>22</v>
      </c>
      <c r="AF254" s="16">
        <v>12</v>
      </c>
      <c r="AG254" s="16">
        <v>5</v>
      </c>
      <c r="AH254" s="16">
        <v>28</v>
      </c>
      <c r="AI254" s="16">
        <v>3</v>
      </c>
      <c r="AJ254" s="16">
        <f t="shared" si="11"/>
        <v>1</v>
      </c>
      <c r="AL254" s="16"/>
      <c r="AM254" s="16"/>
      <c r="AN254" s="16"/>
      <c r="AO254" s="16"/>
      <c r="AP254" s="16"/>
      <c r="AQ254" s="16"/>
      <c r="AR254" s="16"/>
      <c r="AS254" s="16"/>
      <c r="BB254" s="172">
        <v>3563.1388888888887</v>
      </c>
      <c r="BC254" s="172">
        <v>4344</v>
      </c>
    </row>
    <row r="255" spans="2:55" x14ac:dyDescent="0.35">
      <c r="B255" s="1">
        <v>251</v>
      </c>
      <c r="C255" s="158" t="s">
        <v>147</v>
      </c>
      <c r="D255" s="89">
        <v>98.180871152115785</v>
      </c>
      <c r="E255" s="89">
        <v>98.947368421052644</v>
      </c>
      <c r="F255" s="89">
        <v>101.96881516053506</v>
      </c>
      <c r="G255" s="89">
        <v>97.309504232820572</v>
      </c>
      <c r="H255" s="89">
        <v>349.18236842105262</v>
      </c>
      <c r="I255" s="89">
        <v>174.27016023115314</v>
      </c>
      <c r="J255" s="89">
        <v>48.344370860927157</v>
      </c>
      <c r="K255" s="89">
        <f t="shared" si="9"/>
        <v>419.01884210526316</v>
      </c>
      <c r="L255" s="87">
        <v>12</v>
      </c>
      <c r="M255" s="116">
        <v>0</v>
      </c>
      <c r="N255" s="116">
        <v>0</v>
      </c>
      <c r="O255" s="88">
        <v>19</v>
      </c>
      <c r="P255" s="168">
        <v>41732</v>
      </c>
      <c r="Q255" s="16">
        <v>79</v>
      </c>
      <c r="R255" s="89">
        <v>87.494399999999999</v>
      </c>
      <c r="S255" s="89">
        <v>90</v>
      </c>
      <c r="T255" s="89">
        <v>98</v>
      </c>
      <c r="U255" s="89">
        <v>99.2</v>
      </c>
      <c r="V255" s="89">
        <v>346.08333333333331</v>
      </c>
      <c r="W255" s="80">
        <v>0</v>
      </c>
      <c r="X255" s="190">
        <v>40</v>
      </c>
      <c r="Y255" s="89">
        <f t="shared" si="10"/>
        <v>415.3</v>
      </c>
      <c r="Z255" s="87">
        <v>12</v>
      </c>
      <c r="AA255" s="116">
        <v>0</v>
      </c>
      <c r="AB255" s="116">
        <v>0</v>
      </c>
      <c r="AC255" s="191">
        <v>20</v>
      </c>
      <c r="AD255" s="16">
        <f>WEEKNUM(tblKPIs[[#This Row],[Production Start Date]])</f>
        <v>14</v>
      </c>
      <c r="AE255" s="16">
        <v>23</v>
      </c>
      <c r="AF255" s="16">
        <v>6</v>
      </c>
      <c r="AG255" s="16">
        <v>5</v>
      </c>
      <c r="AH255" s="16">
        <v>23</v>
      </c>
      <c r="AI255" s="16">
        <v>22</v>
      </c>
      <c r="AJ255" s="16">
        <f t="shared" si="11"/>
        <v>1</v>
      </c>
      <c r="AL255" s="16"/>
      <c r="AM255" s="16"/>
      <c r="AN255" s="16"/>
      <c r="AO255" s="16"/>
      <c r="AP255" s="16"/>
      <c r="AQ255" s="16"/>
      <c r="AR255" s="16"/>
      <c r="AS255" s="16"/>
      <c r="BB255" s="171">
        <v>4190.1884210526314</v>
      </c>
      <c r="BC255" s="171">
        <v>4153</v>
      </c>
    </row>
    <row r="256" spans="2:55" x14ac:dyDescent="0.35">
      <c r="B256" s="1">
        <v>252</v>
      </c>
      <c r="C256" s="158" t="s">
        <v>161</v>
      </c>
      <c r="D256" s="89">
        <v>84.056895485466924</v>
      </c>
      <c r="E256" s="89">
        <v>91.972789115646265</v>
      </c>
      <c r="F256" s="89">
        <v>91.624081047157972</v>
      </c>
      <c r="G256" s="89">
        <v>99.748036889356399</v>
      </c>
      <c r="H256" s="89">
        <v>278.08843537414964</v>
      </c>
      <c r="I256" s="89">
        <v>178.58500251195909</v>
      </c>
      <c r="J256" s="89">
        <v>58.278830566269782</v>
      </c>
      <c r="K256" s="89">
        <f t="shared" si="9"/>
        <v>333.70612244897961</v>
      </c>
      <c r="L256" s="87">
        <v>12</v>
      </c>
      <c r="M256" s="116">
        <v>0</v>
      </c>
      <c r="N256" s="116">
        <v>0</v>
      </c>
      <c r="O256" s="88">
        <v>25</v>
      </c>
      <c r="P256" s="168">
        <v>41731</v>
      </c>
      <c r="Q256" s="16">
        <v>101</v>
      </c>
      <c r="R256" s="89">
        <v>87.494399999999999</v>
      </c>
      <c r="S256" s="89">
        <v>90</v>
      </c>
      <c r="T256" s="89">
        <v>98</v>
      </c>
      <c r="U256" s="89">
        <v>99.2</v>
      </c>
      <c r="V256" s="89">
        <v>330</v>
      </c>
      <c r="W256" s="80">
        <v>0</v>
      </c>
      <c r="X256" s="190">
        <v>40</v>
      </c>
      <c r="Y256" s="89">
        <f t="shared" si="10"/>
        <v>395.99999999999994</v>
      </c>
      <c r="Z256" s="87">
        <v>12</v>
      </c>
      <c r="AA256" s="116">
        <v>0</v>
      </c>
      <c r="AB256" s="116">
        <v>0</v>
      </c>
      <c r="AC256" s="191">
        <v>20</v>
      </c>
      <c r="AD256" s="16">
        <f>WEEKNUM(tblKPIs[[#This Row],[Production Start Date]])</f>
        <v>14</v>
      </c>
      <c r="AE256" s="16">
        <v>21</v>
      </c>
      <c r="AF256" s="16">
        <v>21</v>
      </c>
      <c r="AG256" s="16">
        <v>34</v>
      </c>
      <c r="AH256" s="16">
        <v>22</v>
      </c>
      <c r="AI256" s="16">
        <v>3</v>
      </c>
      <c r="AJ256" s="16">
        <f t="shared" si="11"/>
        <v>1</v>
      </c>
      <c r="AL256" s="16"/>
      <c r="AM256" s="16"/>
      <c r="AN256" s="16"/>
      <c r="AO256" s="16"/>
      <c r="AP256" s="16"/>
      <c r="AQ256" s="16"/>
      <c r="AR256" s="16"/>
      <c r="AS256" s="16"/>
      <c r="BB256" s="172">
        <v>3337.0612244897961</v>
      </c>
      <c r="BC256" s="172">
        <v>3959.9999999999995</v>
      </c>
    </row>
    <row r="257" spans="3:55" x14ac:dyDescent="0.35">
      <c r="C257" s="91"/>
      <c r="D257" s="88"/>
      <c r="E257" s="89"/>
      <c r="F257" s="93"/>
      <c r="G257" s="88"/>
      <c r="H257" s="88"/>
      <c r="I257" s="88"/>
      <c r="J257" s="88"/>
      <c r="K257" s="88"/>
      <c r="L257" s="88"/>
      <c r="M257" s="88"/>
      <c r="N257" s="88"/>
      <c r="O257" s="88"/>
      <c r="P257" s="85"/>
      <c r="Q257" s="85"/>
      <c r="Y257" s="89" t="str">
        <f t="shared" si="10"/>
        <v/>
      </c>
      <c r="AC257" s="191"/>
      <c r="AD257" s="16">
        <f>WEEKNUM(tblKPIs[[#This Row],[Production Start Date]])</f>
        <v>0</v>
      </c>
      <c r="AE257" s="16"/>
      <c r="AF257" s="16"/>
      <c r="AG257" s="16"/>
      <c r="AH257" s="16"/>
      <c r="AI257" s="16"/>
      <c r="AJ257" s="16"/>
      <c r="AL257" s="16"/>
      <c r="AM257" s="16"/>
      <c r="AN257" s="16"/>
      <c r="AO257" s="16"/>
      <c r="AP257" s="16"/>
      <c r="AQ257" s="16"/>
      <c r="AR257" s="16"/>
      <c r="AS257" s="16"/>
      <c r="BB257" s="171"/>
      <c r="BC257" s="171"/>
    </row>
    <row r="258" spans="3:55" x14ac:dyDescent="0.35">
      <c r="C258" s="91"/>
      <c r="D258" s="88"/>
      <c r="E258" s="89"/>
      <c r="F258" s="93"/>
      <c r="G258" s="88"/>
      <c r="H258" s="88"/>
      <c r="I258" s="88"/>
      <c r="J258" s="88"/>
      <c r="K258" s="88"/>
      <c r="L258" s="88"/>
      <c r="M258" s="88"/>
      <c r="N258" s="88"/>
      <c r="O258" s="88"/>
      <c r="P258" s="85"/>
      <c r="Q258" s="85"/>
      <c r="Y258" s="89" t="str">
        <f t="shared" si="10"/>
        <v/>
      </c>
      <c r="AC258" s="191"/>
      <c r="AD258" s="16">
        <f>WEEKNUM(tblKPIs[[#This Row],[Production Start Date]])</f>
        <v>0</v>
      </c>
      <c r="AE258" s="16"/>
      <c r="AF258" s="16"/>
      <c r="AG258" s="16"/>
      <c r="AH258" s="16"/>
      <c r="AI258" s="16"/>
      <c r="AJ258" s="16"/>
      <c r="AL258" s="16"/>
      <c r="AM258" s="16"/>
      <c r="AN258" s="16"/>
      <c r="AO258" s="16"/>
      <c r="AP258" s="16"/>
      <c r="AQ258" s="16"/>
      <c r="AR258" s="16"/>
      <c r="AS258" s="16"/>
      <c r="BB258" s="172"/>
      <c r="BC258" s="172"/>
    </row>
    <row r="259" spans="3:55" x14ac:dyDescent="0.35">
      <c r="C259" s="91"/>
      <c r="D259" s="88"/>
      <c r="E259" s="89"/>
      <c r="F259" s="93"/>
      <c r="G259" s="88"/>
      <c r="H259" s="88"/>
      <c r="I259" s="88"/>
      <c r="J259" s="88"/>
      <c r="K259" s="88"/>
      <c r="L259" s="88"/>
      <c r="M259" s="88"/>
      <c r="N259" s="88"/>
      <c r="O259" s="88"/>
      <c r="P259" s="85"/>
      <c r="Q259" s="85"/>
      <c r="Y259" s="89" t="str">
        <f t="shared" si="10"/>
        <v/>
      </c>
      <c r="AC259" s="191"/>
      <c r="AD259" s="16">
        <f>WEEKNUM(tblKPIs[[#This Row],[Production Start Date]])</f>
        <v>0</v>
      </c>
      <c r="AE259" s="16"/>
      <c r="AF259" s="16"/>
      <c r="AG259" s="16"/>
      <c r="AH259" s="16"/>
      <c r="AI259" s="16"/>
      <c r="AJ259" s="16"/>
      <c r="AL259" s="16"/>
      <c r="AM259" s="16"/>
      <c r="AN259" s="16"/>
      <c r="AO259" s="16"/>
      <c r="AP259" s="16"/>
      <c r="AQ259" s="16"/>
      <c r="AR259" s="16"/>
      <c r="AS259" s="16"/>
      <c r="BB259" s="171"/>
      <c r="BC259" s="171"/>
    </row>
    <row r="260" spans="3:55" x14ac:dyDescent="0.35">
      <c r="C260" s="91"/>
      <c r="D260" s="88"/>
      <c r="E260" s="89"/>
      <c r="F260" s="93"/>
      <c r="G260" s="88"/>
      <c r="H260" s="88"/>
      <c r="I260" s="88"/>
      <c r="J260" s="88"/>
      <c r="K260" s="88"/>
      <c r="L260" s="88"/>
      <c r="M260" s="88"/>
      <c r="N260" s="88"/>
      <c r="O260" s="88"/>
      <c r="P260" s="85"/>
      <c r="Q260" s="85"/>
      <c r="Y260" s="89" t="str">
        <f t="shared" si="10"/>
        <v/>
      </c>
      <c r="AC260" s="191"/>
      <c r="AD260" s="16">
        <f>WEEKNUM(tblKPIs[[#This Row],[Production Start Date]])</f>
        <v>0</v>
      </c>
      <c r="AE260" s="16"/>
      <c r="AF260" s="16"/>
      <c r="AG260" s="16"/>
      <c r="AH260" s="16"/>
      <c r="AI260" s="16"/>
      <c r="AJ260" s="16"/>
      <c r="AL260" s="16"/>
      <c r="AM260" s="16"/>
      <c r="AN260" s="16"/>
      <c r="AO260" s="16"/>
      <c r="AP260" s="16"/>
      <c r="AQ260" s="16"/>
      <c r="AR260" s="16"/>
      <c r="AS260" s="16"/>
      <c r="BB260" s="172"/>
      <c r="BC260" s="172"/>
    </row>
    <row r="261" spans="3:55" x14ac:dyDescent="0.35">
      <c r="C261" s="91"/>
      <c r="D261" s="88"/>
      <c r="E261" s="89"/>
      <c r="F261" s="93"/>
      <c r="G261" s="88"/>
      <c r="H261" s="88"/>
      <c r="I261" s="88"/>
      <c r="J261" s="88"/>
      <c r="K261" s="88"/>
      <c r="L261" s="88"/>
      <c r="M261" s="88"/>
      <c r="N261" s="88"/>
      <c r="O261" s="88"/>
      <c r="P261" s="86"/>
      <c r="Q261" s="86"/>
      <c r="Y261" s="89" t="str">
        <f t="shared" ref="Y261:Y324" si="12">IF(BC261="","",+BC261/10)</f>
        <v/>
      </c>
      <c r="AC261" s="191"/>
      <c r="AD261" s="16">
        <f>WEEKNUM(tblKPIs[[#This Row],[Production Start Date]])</f>
        <v>0</v>
      </c>
      <c r="AE261" s="16"/>
      <c r="AF261" s="16"/>
      <c r="AG261" s="16"/>
      <c r="AH261" s="16"/>
      <c r="AI261" s="16"/>
      <c r="AJ261" s="16"/>
      <c r="AL261" s="16"/>
      <c r="AM261" s="16"/>
      <c r="AN261" s="16"/>
      <c r="AO261" s="16"/>
      <c r="AP261" s="16"/>
      <c r="AQ261" s="16"/>
      <c r="AR261" s="16"/>
      <c r="AS261" s="16"/>
      <c r="BB261" s="171"/>
      <c r="BC261" s="171"/>
    </row>
    <row r="262" spans="3:55" x14ac:dyDescent="0.35">
      <c r="C262" s="91"/>
      <c r="D262" s="88"/>
      <c r="E262" s="89"/>
      <c r="F262" s="93"/>
      <c r="G262" s="88"/>
      <c r="H262" s="88"/>
      <c r="I262" s="88"/>
      <c r="J262" s="88"/>
      <c r="K262" s="88"/>
      <c r="L262" s="88"/>
      <c r="M262" s="88"/>
      <c r="N262" s="88"/>
      <c r="O262" s="88"/>
      <c r="P262" s="85"/>
      <c r="Q262" s="85"/>
      <c r="Y262" s="89" t="str">
        <f t="shared" si="12"/>
        <v/>
      </c>
      <c r="AC262" s="191"/>
      <c r="AD262" s="16">
        <f>WEEKNUM(tblKPIs[[#This Row],[Production Start Date]])</f>
        <v>0</v>
      </c>
      <c r="AE262" s="16"/>
      <c r="AF262" s="16"/>
      <c r="AG262" s="16"/>
      <c r="AH262" s="16"/>
      <c r="AI262" s="16"/>
      <c r="AJ262" s="16"/>
      <c r="AL262" s="16"/>
      <c r="AM262" s="16"/>
      <c r="AN262" s="16"/>
      <c r="AO262" s="16"/>
      <c r="AP262" s="16"/>
      <c r="AQ262" s="16"/>
      <c r="AR262" s="16"/>
      <c r="AS262" s="16"/>
      <c r="BB262" s="172"/>
      <c r="BC262" s="172"/>
    </row>
    <row r="263" spans="3:55" x14ac:dyDescent="0.35">
      <c r="C263" s="91"/>
      <c r="D263" s="88"/>
      <c r="E263" s="89"/>
      <c r="F263" s="93"/>
      <c r="G263" s="88"/>
      <c r="H263" s="88"/>
      <c r="I263" s="88"/>
      <c r="J263" s="88"/>
      <c r="K263" s="88"/>
      <c r="L263" s="88"/>
      <c r="M263" s="88"/>
      <c r="N263" s="88"/>
      <c r="O263" s="88"/>
      <c r="P263" s="85"/>
      <c r="Q263" s="85"/>
      <c r="Y263" s="89" t="str">
        <f t="shared" si="12"/>
        <v/>
      </c>
      <c r="AC263" s="191"/>
      <c r="AD263" s="16">
        <f>WEEKNUM(tblKPIs[[#This Row],[Production Start Date]])</f>
        <v>0</v>
      </c>
      <c r="AE263" s="16"/>
      <c r="AF263" s="16"/>
      <c r="AG263" s="16"/>
      <c r="AH263" s="16"/>
      <c r="AI263" s="16"/>
      <c r="AJ263" s="16"/>
      <c r="AL263" s="16"/>
      <c r="AM263" s="16"/>
      <c r="AN263" s="16"/>
      <c r="AO263" s="16"/>
      <c r="AP263" s="16"/>
      <c r="AQ263" s="16"/>
      <c r="AR263" s="16"/>
      <c r="AS263" s="16"/>
      <c r="BB263" s="171"/>
      <c r="BC263" s="171"/>
    </row>
    <row r="264" spans="3:55" x14ac:dyDescent="0.35">
      <c r="C264" s="91"/>
      <c r="D264" s="88"/>
      <c r="E264" s="89"/>
      <c r="F264" s="93"/>
      <c r="G264" s="88"/>
      <c r="H264" s="88"/>
      <c r="I264" s="88"/>
      <c r="J264" s="88"/>
      <c r="K264" s="88"/>
      <c r="L264" s="88"/>
      <c r="M264" s="88"/>
      <c r="N264" s="88"/>
      <c r="O264" s="88"/>
      <c r="P264" s="85"/>
      <c r="Q264" s="85"/>
      <c r="Y264" s="89" t="str">
        <f t="shared" si="12"/>
        <v/>
      </c>
      <c r="AC264" s="191"/>
      <c r="AD264" s="16">
        <f>WEEKNUM(tblKPIs[[#This Row],[Production Start Date]])</f>
        <v>0</v>
      </c>
      <c r="AE264" s="16"/>
      <c r="AF264" s="16"/>
      <c r="AG264" s="16"/>
      <c r="AH264" s="16"/>
      <c r="AI264" s="16"/>
      <c r="AJ264" s="16"/>
      <c r="AL264" s="16"/>
      <c r="AM264" s="16"/>
      <c r="AN264" s="16"/>
      <c r="AO264" s="16"/>
      <c r="AP264" s="16"/>
      <c r="AQ264" s="16"/>
      <c r="AR264" s="16"/>
      <c r="AS264" s="16"/>
      <c r="BB264" s="172"/>
      <c r="BC264" s="172"/>
    </row>
    <row r="265" spans="3:55" x14ac:dyDescent="0.35">
      <c r="C265" s="91"/>
      <c r="D265" s="88"/>
      <c r="E265" s="89"/>
      <c r="F265" s="93"/>
      <c r="G265" s="88"/>
      <c r="H265" s="88"/>
      <c r="I265" s="88"/>
      <c r="J265" s="88"/>
      <c r="K265" s="88"/>
      <c r="L265" s="88"/>
      <c r="M265" s="88"/>
      <c r="N265" s="88"/>
      <c r="O265" s="88"/>
      <c r="P265" s="85"/>
      <c r="Q265" s="85"/>
      <c r="Y265" s="89" t="str">
        <f t="shared" si="12"/>
        <v/>
      </c>
      <c r="AC265" s="191"/>
      <c r="AD265" s="16">
        <f>WEEKNUM(tblKPIs[[#This Row],[Production Start Date]])</f>
        <v>0</v>
      </c>
      <c r="AE265" s="16"/>
      <c r="AF265" s="16"/>
      <c r="AG265" s="16"/>
      <c r="AH265" s="16"/>
      <c r="AI265" s="16"/>
      <c r="AJ265" s="16"/>
      <c r="AL265" s="16"/>
      <c r="AM265" s="16"/>
      <c r="AN265" s="16"/>
      <c r="AO265" s="16"/>
      <c r="AP265" s="16"/>
      <c r="AQ265" s="16"/>
      <c r="AR265" s="16"/>
      <c r="AS265" s="16"/>
      <c r="BB265" s="171"/>
      <c r="BC265" s="171"/>
    </row>
    <row r="266" spans="3:55" x14ac:dyDescent="0.35">
      <c r="C266" s="91"/>
      <c r="D266" s="88"/>
      <c r="E266" s="89"/>
      <c r="F266" s="93"/>
      <c r="G266" s="88"/>
      <c r="H266" s="88"/>
      <c r="I266" s="88"/>
      <c r="J266" s="88"/>
      <c r="K266" s="88"/>
      <c r="L266" s="88"/>
      <c r="M266" s="88"/>
      <c r="N266" s="88"/>
      <c r="O266" s="88"/>
      <c r="P266" s="86"/>
      <c r="Q266" s="86"/>
      <c r="Y266" s="89" t="str">
        <f t="shared" si="12"/>
        <v/>
      </c>
      <c r="AC266" s="191"/>
      <c r="AD266" s="16">
        <f>WEEKNUM(tblKPIs[[#This Row],[Production Start Date]])</f>
        <v>0</v>
      </c>
      <c r="AE266" s="16"/>
      <c r="AF266" s="16"/>
      <c r="AG266" s="16"/>
      <c r="AH266" s="16"/>
      <c r="AI266" s="16"/>
      <c r="AJ266" s="16"/>
      <c r="AL266" s="16"/>
      <c r="AM266" s="16"/>
      <c r="AN266" s="16"/>
      <c r="AO266" s="16"/>
      <c r="AP266" s="16"/>
      <c r="AQ266" s="16"/>
      <c r="AR266" s="16"/>
      <c r="AS266" s="16"/>
      <c r="BB266" s="172"/>
      <c r="BC266" s="172"/>
    </row>
    <row r="267" spans="3:55" x14ac:dyDescent="0.35">
      <c r="C267" s="91"/>
      <c r="D267" s="88"/>
      <c r="E267" s="89"/>
      <c r="F267" s="93"/>
      <c r="G267" s="88"/>
      <c r="H267" s="88"/>
      <c r="I267" s="88"/>
      <c r="J267" s="88"/>
      <c r="K267" s="88"/>
      <c r="L267" s="88"/>
      <c r="M267" s="88"/>
      <c r="N267" s="88"/>
      <c r="O267" s="88"/>
      <c r="P267" s="85"/>
      <c r="Q267" s="85"/>
      <c r="Y267" s="89" t="str">
        <f t="shared" si="12"/>
        <v/>
      </c>
      <c r="AC267" s="191"/>
      <c r="AD267" s="16">
        <f>WEEKNUM(tblKPIs[[#This Row],[Production Start Date]])</f>
        <v>0</v>
      </c>
      <c r="AE267" s="16"/>
      <c r="AF267" s="16"/>
      <c r="AG267" s="16"/>
      <c r="AH267" s="16"/>
      <c r="AI267" s="16"/>
      <c r="AJ267" s="16"/>
      <c r="AL267" s="16"/>
      <c r="AM267" s="16"/>
      <c r="AN267" s="16"/>
      <c r="AO267" s="16"/>
      <c r="AP267" s="16"/>
      <c r="AQ267" s="16"/>
      <c r="AR267" s="16"/>
      <c r="AS267" s="16"/>
      <c r="BB267" s="171"/>
      <c r="BC267" s="171"/>
    </row>
    <row r="268" spans="3:55" x14ac:dyDescent="0.35">
      <c r="C268" s="91"/>
      <c r="D268" s="88"/>
      <c r="E268" s="89"/>
      <c r="F268" s="93"/>
      <c r="G268" s="88"/>
      <c r="H268" s="88"/>
      <c r="I268" s="88"/>
      <c r="J268" s="88"/>
      <c r="K268" s="88"/>
      <c r="L268" s="88"/>
      <c r="M268" s="88"/>
      <c r="N268" s="88"/>
      <c r="O268" s="88"/>
      <c r="P268" s="85"/>
      <c r="Q268" s="85"/>
      <c r="Y268" s="89" t="str">
        <f t="shared" si="12"/>
        <v/>
      </c>
      <c r="AC268" s="191"/>
      <c r="AD268" s="16">
        <f>WEEKNUM(tblKPIs[[#This Row],[Production Start Date]])</f>
        <v>0</v>
      </c>
      <c r="AE268" s="16"/>
      <c r="AF268" s="16"/>
      <c r="AG268" s="16"/>
      <c r="AH268" s="16"/>
      <c r="AI268" s="16"/>
      <c r="AJ268" s="16"/>
      <c r="AL268" s="16"/>
      <c r="AM268" s="16"/>
      <c r="AN268" s="16"/>
      <c r="AO268" s="16"/>
      <c r="AP268" s="16"/>
      <c r="AQ268" s="16"/>
      <c r="AR268" s="16"/>
      <c r="AS268" s="16"/>
      <c r="BB268" s="172"/>
      <c r="BC268" s="172"/>
    </row>
    <row r="269" spans="3:55" x14ac:dyDescent="0.35">
      <c r="C269" s="91"/>
      <c r="D269" s="88"/>
      <c r="E269" s="89"/>
      <c r="F269" s="93"/>
      <c r="G269" s="88"/>
      <c r="H269" s="88"/>
      <c r="I269" s="88"/>
      <c r="J269" s="88"/>
      <c r="K269" s="88"/>
      <c r="L269" s="88"/>
      <c r="M269" s="88"/>
      <c r="N269" s="88"/>
      <c r="O269" s="88"/>
      <c r="P269" s="85"/>
      <c r="Q269" s="85"/>
      <c r="Y269" s="89" t="str">
        <f t="shared" si="12"/>
        <v/>
      </c>
      <c r="AC269" s="191"/>
      <c r="AD269" s="16">
        <f>WEEKNUM(tblKPIs[[#This Row],[Production Start Date]])</f>
        <v>0</v>
      </c>
      <c r="AE269" s="16"/>
      <c r="AF269" s="16"/>
      <c r="AG269" s="16"/>
      <c r="AH269" s="16"/>
      <c r="AI269" s="16"/>
      <c r="AJ269" s="16"/>
      <c r="AL269" s="16"/>
      <c r="AM269" s="16"/>
      <c r="AN269" s="16"/>
      <c r="AO269" s="16"/>
      <c r="AP269" s="16"/>
      <c r="AQ269" s="16"/>
      <c r="AR269" s="16"/>
      <c r="AS269" s="16"/>
      <c r="BB269" s="171"/>
      <c r="BC269" s="171"/>
    </row>
    <row r="270" spans="3:55" x14ac:dyDescent="0.35">
      <c r="C270" s="91"/>
      <c r="D270" s="88"/>
      <c r="E270" s="89"/>
      <c r="F270" s="93"/>
      <c r="G270" s="88"/>
      <c r="H270" s="88"/>
      <c r="I270" s="88"/>
      <c r="J270" s="88"/>
      <c r="K270" s="88"/>
      <c r="L270" s="88"/>
      <c r="M270" s="88"/>
      <c r="N270" s="88"/>
      <c r="O270" s="88"/>
      <c r="P270" s="85"/>
      <c r="Q270" s="85"/>
      <c r="Y270" s="89" t="str">
        <f t="shared" si="12"/>
        <v/>
      </c>
      <c r="AC270" s="191"/>
      <c r="AD270" s="16">
        <f>WEEKNUM(tblKPIs[[#This Row],[Production Start Date]])</f>
        <v>0</v>
      </c>
      <c r="AE270" s="16"/>
      <c r="AF270" s="16"/>
      <c r="AG270" s="16"/>
      <c r="AH270" s="16"/>
      <c r="AI270" s="16"/>
      <c r="AJ270" s="16"/>
      <c r="AL270" s="16"/>
      <c r="AM270" s="16"/>
      <c r="AN270" s="16"/>
      <c r="AO270" s="16"/>
      <c r="AP270" s="16"/>
      <c r="AQ270" s="16"/>
      <c r="AR270" s="16"/>
      <c r="AS270" s="16"/>
      <c r="BB270" s="172"/>
      <c r="BC270" s="172"/>
    </row>
    <row r="271" spans="3:55" x14ac:dyDescent="0.35">
      <c r="C271" s="91"/>
      <c r="D271" s="88"/>
      <c r="E271" s="89"/>
      <c r="F271" s="93"/>
      <c r="G271" s="88"/>
      <c r="H271" s="88"/>
      <c r="I271" s="88"/>
      <c r="J271" s="88"/>
      <c r="K271" s="88"/>
      <c r="L271" s="88"/>
      <c r="M271" s="88"/>
      <c r="N271" s="88"/>
      <c r="O271" s="88"/>
      <c r="P271" s="86"/>
      <c r="Q271" s="86"/>
      <c r="Y271" s="89" t="str">
        <f t="shared" si="12"/>
        <v/>
      </c>
      <c r="AC271" s="191"/>
      <c r="AD271" s="16">
        <f>WEEKNUM(tblKPIs[[#This Row],[Production Start Date]])</f>
        <v>0</v>
      </c>
      <c r="AE271" s="16"/>
      <c r="AF271" s="16"/>
      <c r="AG271" s="16"/>
      <c r="AH271" s="16"/>
      <c r="AI271" s="16"/>
      <c r="AJ271" s="16"/>
      <c r="AL271" s="16"/>
      <c r="AM271" s="16"/>
      <c r="AN271" s="16"/>
      <c r="AO271" s="16"/>
      <c r="AP271" s="16"/>
      <c r="AQ271" s="16"/>
      <c r="AR271" s="16"/>
      <c r="AS271" s="16"/>
      <c r="BB271" s="171"/>
      <c r="BC271" s="171"/>
    </row>
    <row r="272" spans="3:55" x14ac:dyDescent="0.35">
      <c r="C272" s="91"/>
      <c r="D272" s="88"/>
      <c r="E272" s="89"/>
      <c r="F272" s="93"/>
      <c r="G272" s="88"/>
      <c r="H272" s="88"/>
      <c r="I272" s="88"/>
      <c r="J272" s="88"/>
      <c r="K272" s="88"/>
      <c r="L272" s="88"/>
      <c r="M272" s="88"/>
      <c r="N272" s="88"/>
      <c r="O272" s="88"/>
      <c r="P272" s="85"/>
      <c r="Q272" s="85"/>
      <c r="Y272" s="89" t="str">
        <f t="shared" si="12"/>
        <v/>
      </c>
      <c r="AC272" s="191"/>
      <c r="AD272" s="16">
        <f>WEEKNUM(tblKPIs[[#This Row],[Production Start Date]])</f>
        <v>0</v>
      </c>
      <c r="AE272" s="16"/>
      <c r="AF272" s="16"/>
      <c r="AG272" s="16"/>
      <c r="AH272" s="16"/>
      <c r="AI272" s="16"/>
      <c r="AJ272" s="16"/>
      <c r="AL272" s="16"/>
      <c r="AM272" s="16"/>
      <c r="AN272" s="16"/>
      <c r="AO272" s="16"/>
      <c r="AP272" s="16"/>
      <c r="AQ272" s="16"/>
      <c r="AR272" s="16"/>
      <c r="AS272" s="16"/>
      <c r="BB272" s="172"/>
      <c r="BC272" s="172"/>
    </row>
    <row r="273" spans="3:55" x14ac:dyDescent="0.35">
      <c r="C273" s="91"/>
      <c r="D273" s="88"/>
      <c r="E273" s="89"/>
      <c r="F273" s="93"/>
      <c r="G273" s="88"/>
      <c r="H273" s="88"/>
      <c r="I273" s="88"/>
      <c r="J273" s="88"/>
      <c r="K273" s="88"/>
      <c r="L273" s="88"/>
      <c r="M273" s="88"/>
      <c r="N273" s="88"/>
      <c r="O273" s="88"/>
      <c r="P273" s="85"/>
      <c r="Q273" s="85"/>
      <c r="Y273" s="89" t="str">
        <f t="shared" si="12"/>
        <v/>
      </c>
      <c r="AC273" s="191"/>
      <c r="AD273" s="16">
        <f>WEEKNUM(tblKPIs[[#This Row],[Production Start Date]])</f>
        <v>0</v>
      </c>
      <c r="AE273" s="16"/>
      <c r="AF273" s="16"/>
      <c r="AG273" s="16"/>
      <c r="AH273" s="16"/>
      <c r="AI273" s="16"/>
      <c r="AJ273" s="16"/>
      <c r="AL273" s="16"/>
      <c r="AM273" s="16"/>
      <c r="AN273" s="16"/>
      <c r="AO273" s="16"/>
      <c r="AP273" s="16"/>
      <c r="AQ273" s="16"/>
      <c r="AR273" s="16"/>
      <c r="AS273" s="16"/>
      <c r="BB273" s="171"/>
      <c r="BC273" s="171"/>
    </row>
    <row r="274" spans="3:55" x14ac:dyDescent="0.35">
      <c r="C274" s="91"/>
      <c r="D274" s="88"/>
      <c r="E274" s="89"/>
      <c r="F274" s="93"/>
      <c r="G274" s="88"/>
      <c r="H274" s="88"/>
      <c r="I274" s="88"/>
      <c r="J274" s="88"/>
      <c r="K274" s="88"/>
      <c r="L274" s="88"/>
      <c r="M274" s="88"/>
      <c r="N274" s="88"/>
      <c r="O274" s="88"/>
      <c r="P274" s="85"/>
      <c r="Q274" s="85"/>
      <c r="Y274" s="89" t="str">
        <f t="shared" si="12"/>
        <v/>
      </c>
      <c r="AC274" s="191"/>
      <c r="AD274" s="16">
        <f>WEEKNUM(tblKPIs[[#This Row],[Production Start Date]])</f>
        <v>0</v>
      </c>
      <c r="AE274" s="16"/>
      <c r="AF274" s="16"/>
      <c r="AG274" s="16"/>
      <c r="AH274" s="16"/>
      <c r="AI274" s="16"/>
      <c r="AJ274" s="16"/>
      <c r="AL274" s="16"/>
      <c r="AM274" s="16"/>
      <c r="AN274" s="16"/>
      <c r="AO274" s="16"/>
      <c r="AP274" s="16"/>
      <c r="AQ274" s="16"/>
      <c r="AR274" s="16"/>
      <c r="AS274" s="16"/>
      <c r="BB274" s="172"/>
      <c r="BC274" s="172"/>
    </row>
    <row r="275" spans="3:55" x14ac:dyDescent="0.35">
      <c r="C275" s="91"/>
      <c r="D275" s="88"/>
      <c r="E275" s="89"/>
      <c r="F275" s="93"/>
      <c r="G275" s="88"/>
      <c r="H275" s="88"/>
      <c r="I275" s="88"/>
      <c r="J275" s="88"/>
      <c r="K275" s="88"/>
      <c r="L275" s="88"/>
      <c r="M275" s="88"/>
      <c r="N275" s="88"/>
      <c r="O275" s="88"/>
      <c r="P275" s="85"/>
      <c r="Q275" s="85"/>
      <c r="Y275" s="89" t="str">
        <f t="shared" si="12"/>
        <v/>
      </c>
      <c r="AC275" s="191"/>
      <c r="AD275" s="16">
        <f>WEEKNUM(tblKPIs[[#This Row],[Production Start Date]])</f>
        <v>0</v>
      </c>
      <c r="AE275" s="16"/>
      <c r="AF275" s="16"/>
      <c r="AG275" s="16"/>
      <c r="AH275" s="16"/>
      <c r="AI275" s="16"/>
      <c r="AJ275" s="16"/>
      <c r="AL275" s="16"/>
      <c r="AM275" s="16"/>
      <c r="AN275" s="16"/>
      <c r="AO275" s="16"/>
      <c r="AP275" s="16"/>
      <c r="AQ275" s="16"/>
      <c r="AR275" s="16"/>
      <c r="AS275" s="16"/>
      <c r="BB275" s="171"/>
      <c r="BC275" s="171"/>
    </row>
    <row r="276" spans="3:55" x14ac:dyDescent="0.35">
      <c r="C276" s="91"/>
      <c r="D276" s="88"/>
      <c r="E276" s="89"/>
      <c r="F276" s="93"/>
      <c r="G276" s="88"/>
      <c r="H276" s="88"/>
      <c r="I276" s="88"/>
      <c r="J276" s="88"/>
      <c r="K276" s="88"/>
      <c r="L276" s="88"/>
      <c r="M276" s="88"/>
      <c r="N276" s="88"/>
      <c r="O276" s="88"/>
      <c r="P276" s="86"/>
      <c r="Q276" s="86"/>
      <c r="Y276" s="89" t="str">
        <f t="shared" si="12"/>
        <v/>
      </c>
      <c r="AC276" s="191"/>
      <c r="AD276" s="16">
        <f>WEEKNUM(tblKPIs[[#This Row],[Production Start Date]])</f>
        <v>0</v>
      </c>
      <c r="AE276" s="16"/>
      <c r="AF276" s="16"/>
      <c r="AG276" s="16"/>
      <c r="AH276" s="16"/>
      <c r="AI276" s="16"/>
      <c r="AJ276" s="16"/>
      <c r="AL276" s="16"/>
      <c r="AM276" s="16"/>
      <c r="AN276" s="16"/>
      <c r="AO276" s="16"/>
      <c r="AP276" s="16"/>
      <c r="AQ276" s="16"/>
      <c r="AR276" s="16"/>
      <c r="AS276" s="16"/>
      <c r="BB276" s="172"/>
      <c r="BC276" s="172"/>
    </row>
    <row r="277" spans="3:55" x14ac:dyDescent="0.35">
      <c r="C277" s="91"/>
      <c r="D277" s="88"/>
      <c r="E277" s="89"/>
      <c r="F277" s="93"/>
      <c r="G277" s="88"/>
      <c r="H277" s="88"/>
      <c r="I277" s="88"/>
      <c r="J277" s="88"/>
      <c r="K277" s="88"/>
      <c r="L277" s="88"/>
      <c r="M277" s="88"/>
      <c r="N277" s="88"/>
      <c r="O277" s="88"/>
      <c r="P277" s="85"/>
      <c r="Q277" s="85"/>
      <c r="Y277" s="89" t="str">
        <f t="shared" si="12"/>
        <v/>
      </c>
      <c r="AC277" s="191"/>
      <c r="AD277" s="16">
        <f>WEEKNUM(tblKPIs[[#This Row],[Production Start Date]])</f>
        <v>0</v>
      </c>
      <c r="AE277" s="16"/>
      <c r="AF277" s="16"/>
      <c r="AG277" s="16"/>
      <c r="AH277" s="16"/>
      <c r="AI277" s="16"/>
      <c r="AJ277" s="16"/>
      <c r="AL277" s="16"/>
      <c r="AM277" s="16"/>
      <c r="AN277" s="16"/>
      <c r="AO277" s="16"/>
      <c r="AP277" s="16"/>
      <c r="AQ277" s="16"/>
      <c r="AR277" s="16"/>
      <c r="AS277" s="16"/>
      <c r="BB277" s="171"/>
      <c r="BC277" s="171"/>
    </row>
    <row r="278" spans="3:55" x14ac:dyDescent="0.35">
      <c r="C278" s="91"/>
      <c r="D278" s="88"/>
      <c r="E278" s="89"/>
      <c r="F278" s="93"/>
      <c r="G278" s="88"/>
      <c r="H278" s="88"/>
      <c r="I278" s="88"/>
      <c r="J278" s="88"/>
      <c r="K278" s="88"/>
      <c r="L278" s="88"/>
      <c r="M278" s="88"/>
      <c r="N278" s="88"/>
      <c r="O278" s="88"/>
      <c r="P278" s="85"/>
      <c r="Q278" s="85"/>
      <c r="Y278" s="89" t="str">
        <f t="shared" si="12"/>
        <v/>
      </c>
      <c r="AC278" s="191"/>
      <c r="AD278" s="16">
        <f>WEEKNUM(tblKPIs[[#This Row],[Production Start Date]])</f>
        <v>0</v>
      </c>
      <c r="AE278" s="16"/>
      <c r="AF278" s="16"/>
      <c r="AG278" s="16"/>
      <c r="AH278" s="16"/>
      <c r="AI278" s="16"/>
      <c r="AJ278" s="16"/>
      <c r="AL278" s="16"/>
      <c r="AM278" s="16"/>
      <c r="AN278" s="16"/>
      <c r="AO278" s="16"/>
      <c r="AP278" s="16"/>
      <c r="AQ278" s="16"/>
      <c r="AR278" s="16"/>
      <c r="AS278" s="16"/>
      <c r="BB278" s="172"/>
      <c r="BC278" s="172"/>
    </row>
    <row r="279" spans="3:55" x14ac:dyDescent="0.35">
      <c r="C279" s="91"/>
      <c r="D279" s="88"/>
      <c r="E279" s="89"/>
      <c r="F279" s="93"/>
      <c r="G279" s="88"/>
      <c r="H279" s="88"/>
      <c r="I279" s="88"/>
      <c r="J279" s="88"/>
      <c r="K279" s="88"/>
      <c r="L279" s="88"/>
      <c r="M279" s="88"/>
      <c r="N279" s="88"/>
      <c r="O279" s="88"/>
      <c r="P279" s="85"/>
      <c r="Q279" s="85"/>
      <c r="Y279" s="89" t="str">
        <f t="shared" si="12"/>
        <v/>
      </c>
      <c r="AC279" s="191"/>
      <c r="AD279" s="16">
        <f>WEEKNUM(tblKPIs[[#This Row],[Production Start Date]])</f>
        <v>0</v>
      </c>
      <c r="AE279" s="16"/>
      <c r="AF279" s="16"/>
      <c r="AG279" s="16"/>
      <c r="AH279" s="16"/>
      <c r="AI279" s="16"/>
      <c r="AJ279" s="16"/>
      <c r="AL279" s="16"/>
      <c r="AM279" s="16"/>
      <c r="AN279" s="16"/>
      <c r="AO279" s="16"/>
      <c r="AP279" s="16"/>
      <c r="AQ279" s="16"/>
      <c r="AR279" s="16"/>
      <c r="AS279" s="16"/>
      <c r="BB279" s="171"/>
      <c r="BC279" s="171"/>
    </row>
    <row r="280" spans="3:55" x14ac:dyDescent="0.35">
      <c r="C280" s="91"/>
      <c r="D280" s="88"/>
      <c r="E280" s="89"/>
      <c r="F280" s="93"/>
      <c r="G280" s="88"/>
      <c r="H280" s="88"/>
      <c r="I280" s="88"/>
      <c r="J280" s="88"/>
      <c r="K280" s="88"/>
      <c r="L280" s="88"/>
      <c r="M280" s="88"/>
      <c r="N280" s="88"/>
      <c r="O280" s="88"/>
      <c r="P280" s="85"/>
      <c r="Q280" s="85"/>
      <c r="Y280" s="89" t="str">
        <f t="shared" si="12"/>
        <v/>
      </c>
      <c r="AC280" s="191"/>
      <c r="AD280" s="16">
        <f>WEEKNUM(tblKPIs[[#This Row],[Production Start Date]])</f>
        <v>0</v>
      </c>
      <c r="AE280" s="16"/>
      <c r="AF280" s="16"/>
      <c r="AG280" s="16"/>
      <c r="AH280" s="16"/>
      <c r="AI280" s="16"/>
      <c r="AJ280" s="16"/>
      <c r="AL280" s="16"/>
      <c r="AM280" s="16"/>
      <c r="AN280" s="16"/>
      <c r="AO280" s="16"/>
      <c r="AP280" s="16"/>
      <c r="AQ280" s="16"/>
      <c r="AR280" s="16"/>
      <c r="AS280" s="16"/>
      <c r="BB280" s="172"/>
      <c r="BC280" s="172"/>
    </row>
    <row r="281" spans="3:55" x14ac:dyDescent="0.35">
      <c r="C281" s="91"/>
      <c r="D281" s="88"/>
      <c r="E281" s="89"/>
      <c r="F281" s="93"/>
      <c r="G281" s="88"/>
      <c r="H281" s="88"/>
      <c r="I281" s="88"/>
      <c r="J281" s="88"/>
      <c r="K281" s="88"/>
      <c r="L281" s="88"/>
      <c r="M281" s="88"/>
      <c r="N281" s="88"/>
      <c r="O281" s="88"/>
      <c r="P281" s="86"/>
      <c r="Q281" s="86"/>
      <c r="Y281" s="89" t="str">
        <f t="shared" si="12"/>
        <v/>
      </c>
      <c r="AC281" s="191"/>
      <c r="AD281" s="16">
        <f>WEEKNUM(tblKPIs[[#This Row],[Production Start Date]])</f>
        <v>0</v>
      </c>
      <c r="AE281" s="16"/>
      <c r="AF281" s="16"/>
      <c r="AG281" s="16"/>
      <c r="AH281" s="16"/>
      <c r="AI281" s="16"/>
      <c r="AJ281" s="16"/>
      <c r="AL281" s="16"/>
      <c r="AM281" s="16"/>
      <c r="AN281" s="16"/>
      <c r="AO281" s="16"/>
      <c r="AP281" s="16"/>
      <c r="AQ281" s="16"/>
      <c r="AR281" s="16"/>
      <c r="AS281" s="16"/>
      <c r="BB281" s="171"/>
      <c r="BC281" s="171"/>
    </row>
    <row r="282" spans="3:55" x14ac:dyDescent="0.35">
      <c r="C282" s="91"/>
      <c r="D282" s="88"/>
      <c r="E282" s="89"/>
      <c r="F282" s="93"/>
      <c r="G282" s="88"/>
      <c r="H282" s="88"/>
      <c r="I282" s="88"/>
      <c r="J282" s="88"/>
      <c r="K282" s="88"/>
      <c r="L282" s="88"/>
      <c r="M282" s="88"/>
      <c r="N282" s="88"/>
      <c r="O282" s="88"/>
      <c r="P282" s="85"/>
      <c r="Q282" s="85"/>
      <c r="Y282" s="89" t="str">
        <f t="shared" si="12"/>
        <v/>
      </c>
      <c r="AC282" s="191"/>
      <c r="AD282" s="16">
        <f>WEEKNUM(tblKPIs[[#This Row],[Production Start Date]])</f>
        <v>0</v>
      </c>
      <c r="AE282" s="16"/>
      <c r="AF282" s="16"/>
      <c r="AG282" s="16"/>
      <c r="AH282" s="16"/>
      <c r="AI282" s="16"/>
      <c r="AJ282" s="16"/>
      <c r="AL282" s="16"/>
      <c r="AM282" s="16"/>
      <c r="AN282" s="16"/>
      <c r="AO282" s="16"/>
      <c r="AP282" s="16"/>
      <c r="AQ282" s="16"/>
      <c r="AR282" s="16"/>
      <c r="AS282" s="16"/>
      <c r="BB282" s="172"/>
      <c r="BC282" s="172"/>
    </row>
    <row r="283" spans="3:55" x14ac:dyDescent="0.35">
      <c r="C283" s="91"/>
      <c r="D283" s="88"/>
      <c r="E283" s="89"/>
      <c r="F283" s="93"/>
      <c r="G283" s="88"/>
      <c r="H283" s="88"/>
      <c r="I283" s="88"/>
      <c r="J283" s="88"/>
      <c r="K283" s="88"/>
      <c r="L283" s="88"/>
      <c r="M283" s="88"/>
      <c r="N283" s="88"/>
      <c r="O283" s="88"/>
      <c r="P283" s="85"/>
      <c r="Q283" s="85"/>
      <c r="Y283" s="89" t="str">
        <f t="shared" si="12"/>
        <v/>
      </c>
      <c r="AC283" s="191"/>
      <c r="AD283" s="16">
        <f>WEEKNUM(tblKPIs[[#This Row],[Production Start Date]])</f>
        <v>0</v>
      </c>
      <c r="AE283" s="16"/>
      <c r="AF283" s="16"/>
      <c r="AG283" s="16"/>
      <c r="AH283" s="16"/>
      <c r="AI283" s="16"/>
      <c r="AJ283" s="16"/>
      <c r="AL283" s="16"/>
      <c r="AM283" s="16"/>
      <c r="AN283" s="16"/>
      <c r="AO283" s="16"/>
      <c r="AP283" s="16"/>
      <c r="AQ283" s="16"/>
      <c r="AR283" s="16"/>
      <c r="AS283" s="16"/>
      <c r="BB283" s="171"/>
      <c r="BC283" s="171"/>
    </row>
    <row r="284" spans="3:55" x14ac:dyDescent="0.35">
      <c r="C284" s="91"/>
      <c r="D284" s="88"/>
      <c r="E284" s="89"/>
      <c r="F284" s="93"/>
      <c r="G284" s="88"/>
      <c r="H284" s="88"/>
      <c r="I284" s="88"/>
      <c r="J284" s="88"/>
      <c r="K284" s="88"/>
      <c r="L284" s="88"/>
      <c r="M284" s="88"/>
      <c r="N284" s="88"/>
      <c r="O284" s="88"/>
      <c r="P284" s="85"/>
      <c r="Q284" s="85"/>
      <c r="Y284" s="89" t="str">
        <f t="shared" si="12"/>
        <v/>
      </c>
      <c r="AC284" s="191"/>
      <c r="AD284" s="16">
        <f>WEEKNUM(tblKPIs[[#This Row],[Production Start Date]])</f>
        <v>0</v>
      </c>
      <c r="AE284" s="16"/>
      <c r="AF284" s="16"/>
      <c r="AG284" s="16"/>
      <c r="AH284" s="16"/>
      <c r="AI284" s="16"/>
      <c r="AJ284" s="16"/>
      <c r="AL284" s="16"/>
      <c r="AM284" s="16"/>
      <c r="AN284" s="16"/>
      <c r="AO284" s="16"/>
      <c r="AP284" s="16"/>
      <c r="AQ284" s="16"/>
      <c r="AR284" s="16"/>
      <c r="AS284" s="16"/>
      <c r="BB284" s="172"/>
      <c r="BC284" s="172"/>
    </row>
    <row r="285" spans="3:55" x14ac:dyDescent="0.35">
      <c r="C285" s="91"/>
      <c r="D285" s="88"/>
      <c r="E285" s="89"/>
      <c r="F285" s="93"/>
      <c r="G285" s="88"/>
      <c r="H285" s="88"/>
      <c r="I285" s="88"/>
      <c r="J285" s="88"/>
      <c r="K285" s="88"/>
      <c r="L285" s="88"/>
      <c r="M285" s="88"/>
      <c r="N285" s="88"/>
      <c r="O285" s="88"/>
      <c r="P285" s="85"/>
      <c r="Q285" s="85"/>
      <c r="Y285" s="89" t="str">
        <f t="shared" si="12"/>
        <v/>
      </c>
      <c r="AC285" s="191"/>
      <c r="AD285" s="16">
        <f>WEEKNUM(tblKPIs[[#This Row],[Production Start Date]])</f>
        <v>0</v>
      </c>
      <c r="AE285" s="16"/>
      <c r="AF285" s="16"/>
      <c r="AG285" s="16"/>
      <c r="AH285" s="16"/>
      <c r="AI285" s="16"/>
      <c r="AJ285" s="16"/>
      <c r="AL285" s="16"/>
      <c r="AM285" s="16"/>
      <c r="AN285" s="16"/>
      <c r="AO285" s="16"/>
      <c r="AP285" s="16"/>
      <c r="AQ285" s="16"/>
      <c r="AR285" s="16"/>
      <c r="AS285" s="16"/>
      <c r="BB285" s="171"/>
      <c r="BC285" s="171"/>
    </row>
    <row r="286" spans="3:55" x14ac:dyDescent="0.35">
      <c r="C286" s="91"/>
      <c r="D286" s="88"/>
      <c r="E286" s="89"/>
      <c r="F286" s="93"/>
      <c r="G286" s="88"/>
      <c r="H286" s="88"/>
      <c r="I286" s="88"/>
      <c r="J286" s="88"/>
      <c r="K286" s="88"/>
      <c r="L286" s="88"/>
      <c r="M286" s="88"/>
      <c r="N286" s="88"/>
      <c r="O286" s="88"/>
      <c r="P286" s="86"/>
      <c r="Q286" s="86"/>
      <c r="Y286" s="89" t="str">
        <f t="shared" si="12"/>
        <v/>
      </c>
      <c r="AC286" s="191"/>
      <c r="AD286" s="16">
        <f>WEEKNUM(tblKPIs[[#This Row],[Production Start Date]])</f>
        <v>0</v>
      </c>
      <c r="AE286" s="16"/>
      <c r="AF286" s="16"/>
      <c r="AG286" s="16"/>
      <c r="AH286" s="16"/>
      <c r="AI286" s="16"/>
      <c r="AJ286" s="16"/>
      <c r="AL286" s="16"/>
      <c r="AM286" s="16"/>
      <c r="AN286" s="16"/>
      <c r="AO286" s="16"/>
      <c r="AP286" s="16"/>
      <c r="AQ286" s="16"/>
      <c r="AR286" s="16"/>
      <c r="AS286" s="16"/>
      <c r="BB286" s="172"/>
      <c r="BC286" s="172"/>
    </row>
    <row r="287" spans="3:55" x14ac:dyDescent="0.35">
      <c r="C287" s="91"/>
      <c r="D287" s="88"/>
      <c r="E287" s="89"/>
      <c r="F287" s="93"/>
      <c r="G287" s="88"/>
      <c r="H287" s="88"/>
      <c r="I287" s="88"/>
      <c r="J287" s="88"/>
      <c r="K287" s="88"/>
      <c r="L287" s="88"/>
      <c r="M287" s="88"/>
      <c r="N287" s="88"/>
      <c r="O287" s="88"/>
      <c r="P287" s="85"/>
      <c r="Q287" s="85"/>
      <c r="Y287" s="89" t="str">
        <f t="shared" si="12"/>
        <v/>
      </c>
      <c r="AC287" s="191"/>
      <c r="AD287" s="16">
        <f>WEEKNUM(tblKPIs[[#This Row],[Production Start Date]])</f>
        <v>0</v>
      </c>
      <c r="AE287" s="16"/>
      <c r="AF287" s="16"/>
      <c r="AG287" s="16"/>
      <c r="AH287" s="16"/>
      <c r="AI287" s="16"/>
      <c r="AJ287" s="16"/>
      <c r="AL287" s="16"/>
      <c r="AM287" s="16"/>
      <c r="AN287" s="16"/>
      <c r="AO287" s="16"/>
      <c r="AP287" s="16"/>
      <c r="AQ287" s="16"/>
      <c r="AR287" s="16"/>
      <c r="AS287" s="16"/>
      <c r="BB287" s="171"/>
      <c r="BC287" s="171"/>
    </row>
    <row r="288" spans="3:55" x14ac:dyDescent="0.35">
      <c r="C288" s="91"/>
      <c r="D288" s="88"/>
      <c r="E288" s="89"/>
      <c r="F288" s="93"/>
      <c r="G288" s="88"/>
      <c r="H288" s="88"/>
      <c r="I288" s="88"/>
      <c r="J288" s="88"/>
      <c r="K288" s="88"/>
      <c r="L288" s="88"/>
      <c r="M288" s="88"/>
      <c r="N288" s="88"/>
      <c r="O288" s="88"/>
      <c r="P288" s="85"/>
      <c r="Q288" s="85"/>
      <c r="Y288" s="89" t="str">
        <f t="shared" si="12"/>
        <v/>
      </c>
      <c r="AC288" s="191"/>
      <c r="AD288" s="16">
        <f>WEEKNUM(tblKPIs[[#This Row],[Production Start Date]])</f>
        <v>0</v>
      </c>
      <c r="AE288" s="16"/>
      <c r="AF288" s="16"/>
      <c r="AG288" s="16"/>
      <c r="AH288" s="16"/>
      <c r="AI288" s="16"/>
      <c r="AJ288" s="16"/>
      <c r="AL288" s="16"/>
      <c r="AM288" s="16"/>
      <c r="AN288" s="16"/>
      <c r="AO288" s="16"/>
      <c r="AP288" s="16"/>
      <c r="AQ288" s="16"/>
      <c r="AR288" s="16"/>
      <c r="AS288" s="16"/>
      <c r="BB288" s="172"/>
      <c r="BC288" s="172"/>
    </row>
    <row r="289" spans="3:55" x14ac:dyDescent="0.35">
      <c r="C289" s="91"/>
      <c r="D289" s="88"/>
      <c r="E289" s="89"/>
      <c r="F289" s="93"/>
      <c r="G289" s="88"/>
      <c r="H289" s="88"/>
      <c r="I289" s="88"/>
      <c r="J289" s="88"/>
      <c r="K289" s="88"/>
      <c r="L289" s="88"/>
      <c r="M289" s="88"/>
      <c r="N289" s="88"/>
      <c r="O289" s="88"/>
      <c r="P289" s="85"/>
      <c r="Q289" s="85"/>
      <c r="Y289" s="89" t="str">
        <f t="shared" si="12"/>
        <v/>
      </c>
      <c r="AC289" s="191"/>
      <c r="AD289" s="16">
        <f>WEEKNUM(tblKPIs[[#This Row],[Production Start Date]])</f>
        <v>0</v>
      </c>
      <c r="AE289" s="16"/>
      <c r="AF289" s="16"/>
      <c r="AG289" s="16"/>
      <c r="AH289" s="16"/>
      <c r="AI289" s="16"/>
      <c r="AJ289" s="16"/>
      <c r="AL289" s="16"/>
      <c r="AM289" s="16"/>
      <c r="AN289" s="16"/>
      <c r="AO289" s="16"/>
      <c r="AP289" s="16"/>
      <c r="AQ289" s="16"/>
      <c r="AR289" s="16"/>
      <c r="AS289" s="16"/>
      <c r="BB289" s="171"/>
      <c r="BC289" s="171"/>
    </row>
    <row r="290" spans="3:55" x14ac:dyDescent="0.35">
      <c r="C290" s="91"/>
      <c r="D290" s="88"/>
      <c r="E290" s="89"/>
      <c r="F290" s="93"/>
      <c r="G290" s="88"/>
      <c r="H290" s="88"/>
      <c r="I290" s="88"/>
      <c r="J290" s="88"/>
      <c r="K290" s="88"/>
      <c r="L290" s="88"/>
      <c r="M290" s="88"/>
      <c r="N290" s="88"/>
      <c r="O290" s="88"/>
      <c r="P290" s="85"/>
      <c r="Q290" s="85"/>
      <c r="Y290" s="89" t="str">
        <f t="shared" si="12"/>
        <v/>
      </c>
      <c r="AC290" s="191"/>
      <c r="AD290" s="16">
        <f>WEEKNUM(tblKPIs[[#This Row],[Production Start Date]])</f>
        <v>0</v>
      </c>
      <c r="AE290" s="16"/>
      <c r="AF290" s="16"/>
      <c r="AG290" s="16"/>
      <c r="AH290" s="16"/>
      <c r="AI290" s="16"/>
      <c r="AJ290" s="16"/>
      <c r="AL290" s="16"/>
      <c r="AM290" s="16"/>
      <c r="AN290" s="16"/>
      <c r="AO290" s="16"/>
      <c r="AP290" s="16"/>
      <c r="AQ290" s="16"/>
      <c r="AR290" s="16"/>
      <c r="AS290" s="16"/>
      <c r="BB290" s="172"/>
      <c r="BC290" s="172"/>
    </row>
    <row r="291" spans="3:55" x14ac:dyDescent="0.35">
      <c r="C291" s="91"/>
      <c r="D291" s="88"/>
      <c r="E291" s="89"/>
      <c r="F291" s="93"/>
      <c r="G291" s="88"/>
      <c r="H291" s="88"/>
      <c r="I291" s="88"/>
      <c r="J291" s="88"/>
      <c r="K291" s="88"/>
      <c r="L291" s="88"/>
      <c r="M291" s="88"/>
      <c r="N291" s="88"/>
      <c r="O291" s="88"/>
      <c r="P291" s="86"/>
      <c r="Q291" s="86"/>
      <c r="Y291" s="89" t="str">
        <f t="shared" si="12"/>
        <v/>
      </c>
      <c r="AC291" s="191"/>
      <c r="AD291" s="16">
        <f>WEEKNUM(tblKPIs[[#This Row],[Production Start Date]])</f>
        <v>0</v>
      </c>
      <c r="AE291" s="16"/>
      <c r="AF291" s="16"/>
      <c r="AG291" s="16"/>
      <c r="AH291" s="16"/>
      <c r="AI291" s="16"/>
      <c r="AJ291" s="16"/>
      <c r="AL291" s="16"/>
      <c r="AM291" s="16"/>
      <c r="AN291" s="16"/>
      <c r="AO291" s="16"/>
      <c r="AP291" s="16"/>
      <c r="AQ291" s="16"/>
      <c r="AR291" s="16"/>
      <c r="AS291" s="16"/>
      <c r="BB291" s="171"/>
      <c r="BC291" s="171"/>
    </row>
    <row r="292" spans="3:55" x14ac:dyDescent="0.35">
      <c r="C292" s="91"/>
      <c r="D292" s="88"/>
      <c r="E292" s="89"/>
      <c r="F292" s="93"/>
      <c r="G292" s="88"/>
      <c r="H292" s="88"/>
      <c r="I292" s="88"/>
      <c r="J292" s="88"/>
      <c r="K292" s="88"/>
      <c r="L292" s="88"/>
      <c r="M292" s="88"/>
      <c r="N292" s="88"/>
      <c r="O292" s="88"/>
      <c r="P292" s="85"/>
      <c r="Q292" s="85"/>
      <c r="Y292" s="89" t="str">
        <f t="shared" si="12"/>
        <v/>
      </c>
      <c r="AC292" s="191"/>
      <c r="AD292" s="16">
        <f>WEEKNUM(tblKPIs[[#This Row],[Production Start Date]])</f>
        <v>0</v>
      </c>
      <c r="AE292" s="16"/>
      <c r="AF292" s="16"/>
      <c r="AG292" s="16"/>
      <c r="AH292" s="16"/>
      <c r="AI292" s="16"/>
      <c r="AJ292" s="16"/>
      <c r="AL292" s="16"/>
      <c r="AM292" s="16"/>
      <c r="AN292" s="16"/>
      <c r="AO292" s="16"/>
      <c r="AP292" s="16"/>
      <c r="AQ292" s="16"/>
      <c r="AR292" s="16"/>
      <c r="AS292" s="16"/>
      <c r="BB292" s="172"/>
      <c r="BC292" s="172"/>
    </row>
    <row r="293" spans="3:55" x14ac:dyDescent="0.35">
      <c r="C293" s="91"/>
      <c r="D293" s="88"/>
      <c r="E293" s="89"/>
      <c r="F293" s="93"/>
      <c r="G293" s="88"/>
      <c r="H293" s="88"/>
      <c r="I293" s="88"/>
      <c r="J293" s="88"/>
      <c r="K293" s="88"/>
      <c r="L293" s="88"/>
      <c r="M293" s="88"/>
      <c r="N293" s="88"/>
      <c r="O293" s="88"/>
      <c r="P293" s="85"/>
      <c r="Q293" s="85"/>
      <c r="Y293" s="89" t="str">
        <f t="shared" si="12"/>
        <v/>
      </c>
      <c r="AC293" s="191"/>
      <c r="AD293" s="16">
        <f>WEEKNUM(tblKPIs[[#This Row],[Production Start Date]])</f>
        <v>0</v>
      </c>
      <c r="AE293" s="16"/>
      <c r="AF293" s="16"/>
      <c r="AG293" s="16"/>
      <c r="AH293" s="16"/>
      <c r="AI293" s="16"/>
      <c r="AJ293" s="16"/>
      <c r="AL293" s="16"/>
      <c r="AM293" s="16"/>
      <c r="AN293" s="16"/>
      <c r="AO293" s="16"/>
      <c r="AP293" s="16"/>
      <c r="AQ293" s="16"/>
      <c r="AR293" s="16"/>
      <c r="AS293" s="16"/>
      <c r="BB293" s="171"/>
      <c r="BC293" s="171"/>
    </row>
    <row r="294" spans="3:55" x14ac:dyDescent="0.35">
      <c r="C294" s="91"/>
      <c r="D294" s="88"/>
      <c r="E294" s="89"/>
      <c r="F294" s="93"/>
      <c r="G294" s="88"/>
      <c r="H294" s="88"/>
      <c r="I294" s="88"/>
      <c r="J294" s="88"/>
      <c r="K294" s="88"/>
      <c r="L294" s="88"/>
      <c r="M294" s="88"/>
      <c r="N294" s="88"/>
      <c r="O294" s="88"/>
      <c r="P294" s="85"/>
      <c r="Q294" s="85"/>
      <c r="Y294" s="89" t="str">
        <f t="shared" si="12"/>
        <v/>
      </c>
      <c r="AC294" s="191"/>
      <c r="AD294" s="16">
        <f>WEEKNUM(tblKPIs[[#This Row],[Production Start Date]])</f>
        <v>0</v>
      </c>
      <c r="AE294" s="16"/>
      <c r="AF294" s="16"/>
      <c r="AG294" s="16"/>
      <c r="AH294" s="16"/>
      <c r="AI294" s="16"/>
      <c r="AJ294" s="16"/>
      <c r="AL294" s="16"/>
      <c r="AM294" s="16"/>
      <c r="AN294" s="16"/>
      <c r="AO294" s="16"/>
      <c r="AP294" s="16"/>
      <c r="AQ294" s="16"/>
      <c r="AR294" s="16"/>
      <c r="AS294" s="16"/>
      <c r="BB294" s="172"/>
      <c r="BC294" s="172"/>
    </row>
    <row r="295" spans="3:55" x14ac:dyDescent="0.35">
      <c r="C295" s="91"/>
      <c r="D295" s="88"/>
      <c r="E295" s="89"/>
      <c r="F295" s="93"/>
      <c r="G295" s="88"/>
      <c r="H295" s="88"/>
      <c r="I295" s="88"/>
      <c r="J295" s="88"/>
      <c r="K295" s="88"/>
      <c r="L295" s="88"/>
      <c r="M295" s="88"/>
      <c r="N295" s="88"/>
      <c r="O295" s="88"/>
      <c r="P295" s="85"/>
      <c r="Q295" s="85"/>
      <c r="Y295" s="89" t="str">
        <f t="shared" si="12"/>
        <v/>
      </c>
      <c r="AC295" s="191"/>
      <c r="AD295" s="16">
        <f>WEEKNUM(tblKPIs[[#This Row],[Production Start Date]])</f>
        <v>0</v>
      </c>
      <c r="AE295" s="16"/>
      <c r="AF295" s="16"/>
      <c r="AG295" s="16"/>
      <c r="AH295" s="16"/>
      <c r="AI295" s="16"/>
      <c r="AJ295" s="16"/>
      <c r="AL295" s="16"/>
      <c r="AM295" s="16"/>
      <c r="AN295" s="16"/>
      <c r="AO295" s="16"/>
      <c r="AP295" s="16"/>
      <c r="AQ295" s="16"/>
      <c r="AR295" s="16"/>
      <c r="AS295" s="16"/>
      <c r="BB295" s="171"/>
      <c r="BC295" s="171"/>
    </row>
    <row r="296" spans="3:55" x14ac:dyDescent="0.35">
      <c r="C296" s="91"/>
      <c r="D296" s="88"/>
      <c r="E296" s="89"/>
      <c r="F296" s="93"/>
      <c r="G296" s="88"/>
      <c r="H296" s="88"/>
      <c r="I296" s="88"/>
      <c r="J296" s="88"/>
      <c r="K296" s="88"/>
      <c r="L296" s="88"/>
      <c r="M296" s="88"/>
      <c r="N296" s="88"/>
      <c r="O296" s="88"/>
      <c r="P296" s="86"/>
      <c r="Q296" s="86"/>
      <c r="Y296" s="89" t="str">
        <f t="shared" si="12"/>
        <v/>
      </c>
      <c r="AC296" s="191"/>
      <c r="AD296" s="16">
        <f>WEEKNUM(tblKPIs[[#This Row],[Production Start Date]])</f>
        <v>0</v>
      </c>
      <c r="AE296" s="16"/>
      <c r="AF296" s="16"/>
      <c r="AG296" s="16"/>
      <c r="AH296" s="16"/>
      <c r="AI296" s="16"/>
      <c r="AJ296" s="16"/>
      <c r="AL296" s="16"/>
      <c r="AM296" s="16"/>
      <c r="AN296" s="16"/>
      <c r="AO296" s="16"/>
      <c r="AP296" s="16"/>
      <c r="AQ296" s="16"/>
      <c r="AR296" s="16"/>
      <c r="AS296" s="16"/>
      <c r="BB296" s="172"/>
      <c r="BC296" s="172"/>
    </row>
    <row r="297" spans="3:55" x14ac:dyDescent="0.35">
      <c r="C297" s="91"/>
      <c r="D297" s="88"/>
      <c r="E297" s="89"/>
      <c r="F297" s="93"/>
      <c r="G297" s="88"/>
      <c r="H297" s="88"/>
      <c r="I297" s="88"/>
      <c r="J297" s="88"/>
      <c r="K297" s="88"/>
      <c r="L297" s="88"/>
      <c r="M297" s="88"/>
      <c r="N297" s="88"/>
      <c r="O297" s="88"/>
      <c r="P297" s="85"/>
      <c r="Q297" s="85"/>
      <c r="Y297" s="89" t="str">
        <f t="shared" si="12"/>
        <v/>
      </c>
      <c r="AC297" s="191"/>
      <c r="AD297" s="16">
        <f>WEEKNUM(tblKPIs[[#This Row],[Production Start Date]])</f>
        <v>0</v>
      </c>
      <c r="AE297" s="16"/>
      <c r="AF297" s="16"/>
      <c r="AG297" s="16"/>
      <c r="AH297" s="16"/>
      <c r="AI297" s="16"/>
      <c r="AJ297" s="16"/>
      <c r="AL297" s="16"/>
      <c r="AM297" s="16"/>
      <c r="AN297" s="16"/>
      <c r="AO297" s="16"/>
      <c r="AP297" s="16"/>
      <c r="AQ297" s="16"/>
      <c r="AR297" s="16"/>
      <c r="AS297" s="16"/>
      <c r="BB297" s="171"/>
      <c r="BC297" s="171"/>
    </row>
    <row r="298" spans="3:55" x14ac:dyDescent="0.35">
      <c r="C298" s="91"/>
      <c r="D298" s="88"/>
      <c r="E298" s="89"/>
      <c r="F298" s="93"/>
      <c r="G298" s="88"/>
      <c r="H298" s="88"/>
      <c r="I298" s="88"/>
      <c r="J298" s="88"/>
      <c r="K298" s="88"/>
      <c r="L298" s="88"/>
      <c r="M298" s="88"/>
      <c r="N298" s="88"/>
      <c r="O298" s="88"/>
      <c r="P298" s="85"/>
      <c r="Q298" s="85"/>
      <c r="Y298" s="89" t="str">
        <f t="shared" si="12"/>
        <v/>
      </c>
      <c r="AC298" s="191"/>
      <c r="AD298" s="16">
        <f>WEEKNUM(tblKPIs[[#This Row],[Production Start Date]])</f>
        <v>0</v>
      </c>
      <c r="AE298" s="16"/>
      <c r="AF298" s="16"/>
      <c r="AG298" s="16"/>
      <c r="AH298" s="16"/>
      <c r="AI298" s="16"/>
      <c r="AJ298" s="16"/>
      <c r="AL298" s="16"/>
      <c r="AM298" s="16"/>
      <c r="AN298" s="16"/>
      <c r="AO298" s="16"/>
      <c r="AP298" s="16"/>
      <c r="AQ298" s="16"/>
      <c r="AR298" s="16"/>
      <c r="AS298" s="16"/>
      <c r="BB298" s="172"/>
      <c r="BC298" s="172"/>
    </row>
    <row r="299" spans="3:55" x14ac:dyDescent="0.35">
      <c r="C299" s="91"/>
      <c r="D299" s="88"/>
      <c r="E299" s="89"/>
      <c r="F299" s="93"/>
      <c r="G299" s="88"/>
      <c r="H299" s="88"/>
      <c r="I299" s="88"/>
      <c r="J299" s="88"/>
      <c r="K299" s="88"/>
      <c r="L299" s="88"/>
      <c r="M299" s="88"/>
      <c r="N299" s="88"/>
      <c r="O299" s="88"/>
      <c r="P299" s="85"/>
      <c r="Q299" s="85"/>
      <c r="Y299" s="89" t="str">
        <f t="shared" si="12"/>
        <v/>
      </c>
      <c r="AC299" s="191"/>
      <c r="AD299" s="16">
        <f>WEEKNUM(tblKPIs[[#This Row],[Production Start Date]])</f>
        <v>0</v>
      </c>
      <c r="AE299" s="16"/>
      <c r="AF299" s="16"/>
      <c r="AG299" s="16"/>
      <c r="AH299" s="16"/>
      <c r="AI299" s="16"/>
      <c r="AJ299" s="16"/>
      <c r="AL299" s="16"/>
      <c r="AM299" s="16"/>
      <c r="AN299" s="16"/>
      <c r="AO299" s="16"/>
      <c r="AP299" s="16"/>
      <c r="AQ299" s="16"/>
      <c r="AR299" s="16"/>
      <c r="AS299" s="16"/>
      <c r="BB299" s="171"/>
      <c r="BC299" s="171"/>
    </row>
    <row r="300" spans="3:55" x14ac:dyDescent="0.35">
      <c r="C300" s="91"/>
      <c r="D300" s="88"/>
      <c r="E300" s="89"/>
      <c r="F300" s="93"/>
      <c r="G300" s="88"/>
      <c r="H300" s="88"/>
      <c r="I300" s="88"/>
      <c r="J300" s="88"/>
      <c r="K300" s="88"/>
      <c r="L300" s="88"/>
      <c r="M300" s="88"/>
      <c r="N300" s="88"/>
      <c r="O300" s="88"/>
      <c r="P300" s="85"/>
      <c r="Q300" s="85"/>
      <c r="Y300" s="89" t="str">
        <f t="shared" si="12"/>
        <v/>
      </c>
      <c r="AC300" s="191"/>
      <c r="AD300" s="16">
        <f>WEEKNUM(tblKPIs[[#This Row],[Production Start Date]])</f>
        <v>0</v>
      </c>
      <c r="AE300" s="16"/>
      <c r="AF300" s="16"/>
      <c r="AG300" s="16"/>
      <c r="AH300" s="16"/>
      <c r="AI300" s="16"/>
      <c r="AJ300" s="16"/>
      <c r="AL300" s="16"/>
      <c r="AM300" s="16"/>
      <c r="AN300" s="16"/>
      <c r="AO300" s="16"/>
      <c r="AP300" s="16"/>
      <c r="AQ300" s="16"/>
      <c r="AR300" s="16"/>
      <c r="AS300" s="16"/>
      <c r="BB300" s="172"/>
      <c r="BC300" s="172"/>
    </row>
    <row r="301" spans="3:55" x14ac:dyDescent="0.35">
      <c r="C301" s="91"/>
      <c r="D301" s="88"/>
      <c r="E301" s="89"/>
      <c r="F301" s="93"/>
      <c r="G301" s="88"/>
      <c r="H301" s="88"/>
      <c r="I301" s="88"/>
      <c r="J301" s="88"/>
      <c r="K301" s="88"/>
      <c r="L301" s="88"/>
      <c r="M301" s="88"/>
      <c r="N301" s="88"/>
      <c r="O301" s="88"/>
      <c r="P301" s="86"/>
      <c r="Q301" s="86"/>
      <c r="Y301" s="89" t="str">
        <f t="shared" si="12"/>
        <v/>
      </c>
      <c r="AC301" s="191"/>
      <c r="AD301" s="16">
        <f>WEEKNUM(tblKPIs[[#This Row],[Production Start Date]])</f>
        <v>0</v>
      </c>
      <c r="AE301" s="16"/>
      <c r="AF301" s="16"/>
      <c r="AG301" s="16"/>
      <c r="AH301" s="16"/>
      <c r="AI301" s="16"/>
      <c r="AJ301" s="16"/>
      <c r="AL301" s="16"/>
      <c r="AM301" s="16"/>
      <c r="AN301" s="16"/>
      <c r="AO301" s="16"/>
      <c r="AP301" s="16"/>
      <c r="AQ301" s="16"/>
      <c r="AR301" s="16"/>
      <c r="AS301" s="16"/>
      <c r="BB301" s="171"/>
      <c r="BC301" s="171"/>
    </row>
    <row r="302" spans="3:55" x14ac:dyDescent="0.35">
      <c r="C302" s="91"/>
      <c r="D302" s="88"/>
      <c r="E302" s="89"/>
      <c r="F302" s="93"/>
      <c r="G302" s="88"/>
      <c r="H302" s="88"/>
      <c r="I302" s="88"/>
      <c r="J302" s="88"/>
      <c r="K302" s="88"/>
      <c r="L302" s="88"/>
      <c r="M302" s="88"/>
      <c r="N302" s="88"/>
      <c r="O302" s="88"/>
      <c r="P302" s="85"/>
      <c r="Q302" s="85"/>
      <c r="Y302" s="89" t="str">
        <f t="shared" si="12"/>
        <v/>
      </c>
      <c r="AC302" s="191"/>
      <c r="AD302" s="16">
        <f>WEEKNUM(tblKPIs[[#This Row],[Production Start Date]])</f>
        <v>0</v>
      </c>
      <c r="AE302" s="16"/>
      <c r="AF302" s="16"/>
      <c r="AG302" s="16"/>
      <c r="AH302" s="16"/>
      <c r="AI302" s="16"/>
      <c r="AJ302" s="16"/>
      <c r="AL302" s="16"/>
      <c r="AM302" s="16"/>
      <c r="AN302" s="16"/>
      <c r="AO302" s="16"/>
      <c r="AP302" s="16"/>
      <c r="AQ302" s="16"/>
      <c r="AR302" s="16"/>
      <c r="AS302" s="16"/>
      <c r="BB302" s="172"/>
      <c r="BC302" s="172"/>
    </row>
    <row r="303" spans="3:55" x14ac:dyDescent="0.35">
      <c r="C303" s="91"/>
      <c r="D303" s="88"/>
      <c r="E303" s="89"/>
      <c r="F303" s="93"/>
      <c r="G303" s="88"/>
      <c r="H303" s="88"/>
      <c r="I303" s="88"/>
      <c r="J303" s="88"/>
      <c r="K303" s="88"/>
      <c r="L303" s="88"/>
      <c r="M303" s="88"/>
      <c r="N303" s="88"/>
      <c r="O303" s="88"/>
      <c r="P303" s="85"/>
      <c r="Q303" s="85"/>
      <c r="Y303" s="89" t="str">
        <f t="shared" si="12"/>
        <v/>
      </c>
      <c r="AC303" s="191"/>
      <c r="AD303" s="16">
        <f>WEEKNUM(tblKPIs[[#This Row],[Production Start Date]])</f>
        <v>0</v>
      </c>
      <c r="AE303" s="16"/>
      <c r="AF303" s="16"/>
      <c r="AG303" s="16"/>
      <c r="AH303" s="16"/>
      <c r="AI303" s="16"/>
      <c r="AJ303" s="16"/>
      <c r="AL303" s="16"/>
      <c r="AM303" s="16"/>
      <c r="AN303" s="16"/>
      <c r="AO303" s="16"/>
      <c r="AP303" s="16"/>
      <c r="AQ303" s="16"/>
      <c r="AR303" s="16"/>
      <c r="AS303" s="16"/>
      <c r="BB303" s="171"/>
      <c r="BC303" s="171"/>
    </row>
    <row r="304" spans="3:55" x14ac:dyDescent="0.35">
      <c r="C304" s="91"/>
      <c r="D304" s="88"/>
      <c r="E304" s="89"/>
      <c r="F304" s="93"/>
      <c r="G304" s="88"/>
      <c r="H304" s="88"/>
      <c r="I304" s="88"/>
      <c r="J304" s="88"/>
      <c r="K304" s="88"/>
      <c r="L304" s="88"/>
      <c r="M304" s="88"/>
      <c r="N304" s="88"/>
      <c r="O304" s="88"/>
      <c r="P304" s="85"/>
      <c r="Q304" s="85"/>
      <c r="Y304" s="89" t="str">
        <f t="shared" si="12"/>
        <v/>
      </c>
      <c r="AC304" s="191"/>
      <c r="AD304" s="16">
        <f>WEEKNUM(tblKPIs[[#This Row],[Production Start Date]])</f>
        <v>0</v>
      </c>
      <c r="AE304" s="16"/>
      <c r="AF304" s="16"/>
      <c r="AG304" s="16"/>
      <c r="AH304" s="16"/>
      <c r="AI304" s="16"/>
      <c r="AJ304" s="16"/>
      <c r="AL304" s="16"/>
      <c r="AM304" s="16"/>
      <c r="AN304" s="16"/>
      <c r="AO304" s="16"/>
      <c r="AP304" s="16"/>
      <c r="AQ304" s="16"/>
      <c r="AR304" s="16"/>
      <c r="AS304" s="16"/>
      <c r="BB304" s="172"/>
      <c r="BC304" s="172"/>
    </row>
    <row r="305" spans="3:55" x14ac:dyDescent="0.35">
      <c r="C305" s="91"/>
      <c r="D305" s="88"/>
      <c r="E305" s="89"/>
      <c r="F305" s="93"/>
      <c r="G305" s="88"/>
      <c r="H305" s="88"/>
      <c r="I305" s="88"/>
      <c r="J305" s="88"/>
      <c r="K305" s="88"/>
      <c r="L305" s="88"/>
      <c r="M305" s="88"/>
      <c r="N305" s="88"/>
      <c r="O305" s="88"/>
      <c r="P305" s="85"/>
      <c r="Q305" s="85"/>
      <c r="Y305" s="89" t="str">
        <f t="shared" si="12"/>
        <v/>
      </c>
      <c r="AC305" s="191"/>
      <c r="AD305" s="16">
        <f>WEEKNUM(tblKPIs[[#This Row],[Production Start Date]])</f>
        <v>0</v>
      </c>
      <c r="AE305" s="16"/>
      <c r="AF305" s="16"/>
      <c r="AG305" s="16"/>
      <c r="AH305" s="16"/>
      <c r="AI305" s="16"/>
      <c r="AJ305" s="16"/>
      <c r="AL305" s="16"/>
      <c r="AM305" s="16"/>
      <c r="AN305" s="16"/>
      <c r="AO305" s="16"/>
      <c r="AP305" s="16"/>
      <c r="AQ305" s="16"/>
      <c r="AR305" s="16"/>
      <c r="AS305" s="16"/>
      <c r="BB305" s="171"/>
      <c r="BC305" s="171"/>
    </row>
    <row r="306" spans="3:55" x14ac:dyDescent="0.35">
      <c r="C306" s="91"/>
      <c r="D306" s="88"/>
      <c r="E306" s="89"/>
      <c r="F306" s="93"/>
      <c r="G306" s="88"/>
      <c r="H306" s="88"/>
      <c r="I306" s="88"/>
      <c r="J306" s="88"/>
      <c r="K306" s="88"/>
      <c r="L306" s="88"/>
      <c r="M306" s="88"/>
      <c r="N306" s="88"/>
      <c r="O306" s="88"/>
      <c r="P306" s="86"/>
      <c r="Q306" s="86"/>
      <c r="Y306" s="89" t="str">
        <f t="shared" si="12"/>
        <v/>
      </c>
      <c r="AC306" s="191"/>
      <c r="AD306" s="16">
        <f>WEEKNUM(tblKPIs[[#This Row],[Production Start Date]])</f>
        <v>0</v>
      </c>
      <c r="AE306" s="16"/>
      <c r="AF306" s="16"/>
      <c r="AG306" s="16"/>
      <c r="AH306" s="16"/>
      <c r="AI306" s="16"/>
      <c r="AJ306" s="16"/>
      <c r="AL306" s="16"/>
      <c r="AM306" s="16"/>
      <c r="AN306" s="16"/>
      <c r="AO306" s="16"/>
      <c r="AP306" s="16"/>
      <c r="AQ306" s="16"/>
      <c r="AR306" s="16"/>
      <c r="AS306" s="16"/>
      <c r="BB306" s="172"/>
      <c r="BC306" s="172"/>
    </row>
    <row r="307" spans="3:55" x14ac:dyDescent="0.35">
      <c r="C307" s="91"/>
      <c r="D307" s="88"/>
      <c r="E307" s="89"/>
      <c r="F307" s="93"/>
      <c r="G307" s="88"/>
      <c r="H307" s="88"/>
      <c r="I307" s="88"/>
      <c r="J307" s="88"/>
      <c r="K307" s="88"/>
      <c r="L307" s="88"/>
      <c r="M307" s="88"/>
      <c r="N307" s="88"/>
      <c r="O307" s="88"/>
      <c r="P307" s="85"/>
      <c r="Q307" s="85"/>
      <c r="Y307" s="89" t="str">
        <f t="shared" si="12"/>
        <v/>
      </c>
      <c r="AC307" s="191"/>
      <c r="AD307" s="16">
        <f>WEEKNUM(tblKPIs[[#This Row],[Production Start Date]])</f>
        <v>0</v>
      </c>
      <c r="AE307" s="16"/>
      <c r="AF307" s="16"/>
      <c r="AG307" s="16"/>
      <c r="AH307" s="16"/>
      <c r="AI307" s="16"/>
      <c r="AJ307" s="16"/>
      <c r="AL307" s="16"/>
      <c r="AM307" s="16"/>
      <c r="AN307" s="16"/>
      <c r="AO307" s="16"/>
      <c r="AP307" s="16"/>
      <c r="AQ307" s="16"/>
      <c r="AR307" s="16"/>
      <c r="AS307" s="16"/>
      <c r="BB307" s="171"/>
      <c r="BC307" s="171"/>
    </row>
    <row r="308" spans="3:55" x14ac:dyDescent="0.35">
      <c r="C308" s="91"/>
      <c r="D308" s="88"/>
      <c r="E308" s="89"/>
      <c r="F308" s="93"/>
      <c r="G308" s="88"/>
      <c r="H308" s="88"/>
      <c r="I308" s="88"/>
      <c r="J308" s="88"/>
      <c r="K308" s="88"/>
      <c r="L308" s="88"/>
      <c r="M308" s="88"/>
      <c r="N308" s="88"/>
      <c r="O308" s="88"/>
      <c r="P308" s="85"/>
      <c r="Q308" s="85"/>
      <c r="Y308" s="89" t="str">
        <f t="shared" si="12"/>
        <v/>
      </c>
      <c r="AC308" s="191"/>
      <c r="AD308" s="16">
        <f>WEEKNUM(tblKPIs[[#This Row],[Production Start Date]])</f>
        <v>0</v>
      </c>
      <c r="AE308" s="16"/>
      <c r="AF308" s="16"/>
      <c r="AG308" s="16"/>
      <c r="AH308" s="16"/>
      <c r="AI308" s="16"/>
      <c r="AJ308" s="16"/>
      <c r="AL308" s="16"/>
      <c r="AM308" s="16"/>
      <c r="AN308" s="16"/>
      <c r="AO308" s="16"/>
      <c r="AP308" s="16"/>
      <c r="AQ308" s="16"/>
      <c r="AR308" s="16"/>
      <c r="AS308" s="16"/>
      <c r="BB308" s="172"/>
      <c r="BC308" s="172"/>
    </row>
    <row r="309" spans="3:55" x14ac:dyDescent="0.35">
      <c r="C309" s="91"/>
      <c r="D309" s="88"/>
      <c r="E309" s="89"/>
      <c r="F309" s="93"/>
      <c r="G309" s="88"/>
      <c r="H309" s="88"/>
      <c r="I309" s="88"/>
      <c r="J309" s="88"/>
      <c r="K309" s="88"/>
      <c r="L309" s="88"/>
      <c r="M309" s="88"/>
      <c r="N309" s="88"/>
      <c r="O309" s="88"/>
      <c r="P309" s="85"/>
      <c r="Q309" s="85"/>
      <c r="Y309" s="89" t="str">
        <f t="shared" si="12"/>
        <v/>
      </c>
      <c r="AC309" s="191"/>
      <c r="AD309" s="16">
        <f>WEEKNUM(tblKPIs[[#This Row],[Production Start Date]])</f>
        <v>0</v>
      </c>
      <c r="AE309" s="16"/>
      <c r="AF309" s="16"/>
      <c r="AG309" s="16"/>
      <c r="AH309" s="16"/>
      <c r="AI309" s="16"/>
      <c r="AJ309" s="16"/>
      <c r="AL309" s="16"/>
      <c r="AM309" s="16"/>
      <c r="AN309" s="16"/>
      <c r="AO309" s="16"/>
      <c r="AP309" s="16"/>
      <c r="AQ309" s="16"/>
      <c r="AR309" s="16"/>
      <c r="AS309" s="16"/>
      <c r="BB309" s="171"/>
      <c r="BC309" s="171"/>
    </row>
    <row r="310" spans="3:55" x14ac:dyDescent="0.35">
      <c r="C310" s="91"/>
      <c r="D310" s="88"/>
      <c r="E310" s="89"/>
      <c r="F310" s="93"/>
      <c r="G310" s="88"/>
      <c r="H310" s="88"/>
      <c r="I310" s="88"/>
      <c r="J310" s="88"/>
      <c r="K310" s="88"/>
      <c r="L310" s="88"/>
      <c r="M310" s="88"/>
      <c r="N310" s="88"/>
      <c r="O310" s="88"/>
      <c r="P310" s="85"/>
      <c r="Q310" s="85"/>
      <c r="Y310" s="89" t="str">
        <f t="shared" si="12"/>
        <v/>
      </c>
      <c r="AC310" s="191"/>
      <c r="AD310" s="16">
        <f>WEEKNUM(tblKPIs[[#This Row],[Production Start Date]])</f>
        <v>0</v>
      </c>
      <c r="AE310" s="16"/>
      <c r="AF310" s="16"/>
      <c r="AG310" s="16"/>
      <c r="AH310" s="16"/>
      <c r="AI310" s="16"/>
      <c r="AJ310" s="16"/>
      <c r="AL310" s="16"/>
      <c r="AM310" s="16"/>
      <c r="AN310" s="16"/>
      <c r="AO310" s="16"/>
      <c r="AP310" s="16"/>
      <c r="AQ310" s="16"/>
      <c r="AR310" s="16"/>
      <c r="AS310" s="16"/>
      <c r="BB310" s="172"/>
      <c r="BC310" s="172"/>
    </row>
    <row r="311" spans="3:55" x14ac:dyDescent="0.35">
      <c r="C311" s="91"/>
      <c r="D311" s="88"/>
      <c r="E311" s="89"/>
      <c r="F311" s="93"/>
      <c r="G311" s="88"/>
      <c r="H311" s="88"/>
      <c r="I311" s="88"/>
      <c r="J311" s="88"/>
      <c r="K311" s="88"/>
      <c r="L311" s="88"/>
      <c r="M311" s="88"/>
      <c r="N311" s="88"/>
      <c r="O311" s="88"/>
      <c r="P311" s="86"/>
      <c r="Q311" s="86"/>
      <c r="Y311" s="89" t="str">
        <f t="shared" si="12"/>
        <v/>
      </c>
      <c r="AC311" s="191"/>
      <c r="AD311" s="16">
        <f>WEEKNUM(tblKPIs[[#This Row],[Production Start Date]])</f>
        <v>0</v>
      </c>
      <c r="AE311" s="16"/>
      <c r="AF311" s="16"/>
      <c r="AG311" s="16"/>
      <c r="AH311" s="16"/>
      <c r="AI311" s="16"/>
      <c r="AJ311" s="16"/>
      <c r="AL311" s="16"/>
      <c r="AM311" s="16"/>
      <c r="AN311" s="16"/>
      <c r="AO311" s="16"/>
      <c r="AP311" s="16"/>
      <c r="AQ311" s="16"/>
      <c r="AR311" s="16"/>
      <c r="AS311" s="16"/>
      <c r="BB311" s="171"/>
      <c r="BC311" s="171"/>
    </row>
    <row r="312" spans="3:55" x14ac:dyDescent="0.35">
      <c r="C312" s="91"/>
      <c r="D312" s="88"/>
      <c r="E312" s="89"/>
      <c r="F312" s="93"/>
      <c r="G312" s="88"/>
      <c r="H312" s="88"/>
      <c r="I312" s="88"/>
      <c r="J312" s="88"/>
      <c r="K312" s="88"/>
      <c r="L312" s="88"/>
      <c r="M312" s="88"/>
      <c r="N312" s="88"/>
      <c r="O312" s="88"/>
      <c r="P312" s="85"/>
      <c r="Q312" s="85"/>
      <c r="Y312" s="89" t="str">
        <f t="shared" si="12"/>
        <v/>
      </c>
      <c r="AC312" s="191"/>
      <c r="AD312" s="16">
        <f>WEEKNUM(tblKPIs[[#This Row],[Production Start Date]])</f>
        <v>0</v>
      </c>
      <c r="AE312" s="16"/>
      <c r="AF312" s="16"/>
      <c r="AG312" s="16"/>
      <c r="AH312" s="16"/>
      <c r="AI312" s="16"/>
      <c r="AJ312" s="16"/>
      <c r="AL312" s="16"/>
      <c r="AM312" s="16"/>
      <c r="AN312" s="16"/>
      <c r="AO312" s="16"/>
      <c r="AP312" s="16"/>
      <c r="AQ312" s="16"/>
      <c r="AR312" s="16"/>
      <c r="AS312" s="16"/>
      <c r="BB312" s="172"/>
      <c r="BC312" s="172"/>
    </row>
    <row r="313" spans="3:55" x14ac:dyDescent="0.35">
      <c r="C313" s="91"/>
      <c r="D313" s="88"/>
      <c r="E313" s="89"/>
      <c r="F313" s="93"/>
      <c r="G313" s="88"/>
      <c r="H313" s="88"/>
      <c r="I313" s="88"/>
      <c r="J313" s="88"/>
      <c r="K313" s="88"/>
      <c r="L313" s="88"/>
      <c r="M313" s="88"/>
      <c r="N313" s="88"/>
      <c r="O313" s="88"/>
      <c r="P313" s="85"/>
      <c r="Q313" s="85"/>
      <c r="Y313" s="89" t="str">
        <f t="shared" si="12"/>
        <v/>
      </c>
      <c r="AC313" s="191"/>
      <c r="AD313" s="16">
        <f>WEEKNUM(tblKPIs[[#This Row],[Production Start Date]])</f>
        <v>0</v>
      </c>
      <c r="AE313" s="16"/>
      <c r="AF313" s="16"/>
      <c r="AG313" s="16"/>
      <c r="AH313" s="16"/>
      <c r="AI313" s="16"/>
      <c r="AJ313" s="16"/>
      <c r="AL313" s="16"/>
      <c r="AM313" s="16"/>
      <c r="AN313" s="16"/>
      <c r="AO313" s="16"/>
      <c r="AP313" s="16"/>
      <c r="AQ313" s="16"/>
      <c r="AR313" s="16"/>
      <c r="AS313" s="16"/>
      <c r="BB313" s="171"/>
      <c r="BC313" s="171"/>
    </row>
    <row r="314" spans="3:55" x14ac:dyDescent="0.35">
      <c r="C314" s="91"/>
      <c r="D314" s="88"/>
      <c r="E314" s="89"/>
      <c r="F314" s="93"/>
      <c r="G314" s="88"/>
      <c r="H314" s="88"/>
      <c r="I314" s="88"/>
      <c r="J314" s="88"/>
      <c r="K314" s="88"/>
      <c r="L314" s="88"/>
      <c r="M314" s="88"/>
      <c r="N314" s="88"/>
      <c r="O314" s="88"/>
      <c r="P314" s="85"/>
      <c r="Q314" s="85"/>
      <c r="Y314" s="89" t="str">
        <f t="shared" si="12"/>
        <v/>
      </c>
      <c r="AC314" s="191"/>
      <c r="AD314" s="16">
        <f>WEEKNUM(tblKPIs[[#This Row],[Production Start Date]])</f>
        <v>0</v>
      </c>
      <c r="AE314" s="16"/>
      <c r="AF314" s="16"/>
      <c r="AG314" s="16"/>
      <c r="AH314" s="16"/>
      <c r="AI314" s="16"/>
      <c r="AJ314" s="16"/>
      <c r="AL314" s="16"/>
      <c r="AM314" s="16"/>
      <c r="AN314" s="16"/>
      <c r="AO314" s="16"/>
      <c r="AP314" s="16"/>
      <c r="AQ314" s="16"/>
      <c r="AR314" s="16"/>
      <c r="AS314" s="16"/>
      <c r="BB314" s="172"/>
      <c r="BC314" s="172"/>
    </row>
    <row r="315" spans="3:55" x14ac:dyDescent="0.35">
      <c r="C315" s="91"/>
      <c r="D315" s="88"/>
      <c r="E315" s="89"/>
      <c r="F315" s="93"/>
      <c r="G315" s="88"/>
      <c r="H315" s="88"/>
      <c r="I315" s="88"/>
      <c r="J315" s="88"/>
      <c r="K315" s="88"/>
      <c r="L315" s="88"/>
      <c r="M315" s="88"/>
      <c r="N315" s="88"/>
      <c r="O315" s="88"/>
      <c r="P315" s="85"/>
      <c r="Q315" s="85"/>
      <c r="Y315" s="89" t="str">
        <f t="shared" si="12"/>
        <v/>
      </c>
      <c r="AC315" s="191"/>
      <c r="AD315" s="16">
        <f>WEEKNUM(tblKPIs[[#This Row],[Production Start Date]])</f>
        <v>0</v>
      </c>
      <c r="AE315" s="16"/>
      <c r="AF315" s="16"/>
      <c r="AG315" s="16"/>
      <c r="AH315" s="16"/>
      <c r="AI315" s="16"/>
      <c r="AJ315" s="16"/>
      <c r="AL315" s="16"/>
      <c r="AM315" s="16"/>
      <c r="AN315" s="16"/>
      <c r="AO315" s="16"/>
      <c r="AP315" s="16"/>
      <c r="AQ315" s="16"/>
      <c r="AR315" s="16"/>
      <c r="AS315" s="16"/>
      <c r="BB315" s="171"/>
      <c r="BC315" s="171"/>
    </row>
    <row r="316" spans="3:55" x14ac:dyDescent="0.35">
      <c r="C316" s="91"/>
      <c r="D316" s="88"/>
      <c r="E316" s="89"/>
      <c r="F316" s="93"/>
      <c r="G316" s="88"/>
      <c r="H316" s="88"/>
      <c r="I316" s="88"/>
      <c r="J316" s="88"/>
      <c r="K316" s="88"/>
      <c r="L316" s="88"/>
      <c r="M316" s="88"/>
      <c r="N316" s="88"/>
      <c r="O316" s="88"/>
      <c r="P316" s="86"/>
      <c r="Q316" s="86"/>
      <c r="Y316" s="89" t="str">
        <f t="shared" si="12"/>
        <v/>
      </c>
      <c r="AC316" s="191"/>
      <c r="AD316" s="16">
        <f>WEEKNUM(tblKPIs[[#This Row],[Production Start Date]])</f>
        <v>0</v>
      </c>
      <c r="AE316" s="16"/>
      <c r="AF316" s="16"/>
      <c r="AG316" s="16"/>
      <c r="AH316" s="16"/>
      <c r="AI316" s="16"/>
      <c r="AJ316" s="16"/>
      <c r="AL316" s="16"/>
      <c r="AM316" s="16"/>
      <c r="AN316" s="16"/>
      <c r="AO316" s="16"/>
      <c r="AP316" s="16"/>
      <c r="AQ316" s="16"/>
      <c r="AR316" s="16"/>
      <c r="AS316" s="16"/>
      <c r="BB316" s="172"/>
      <c r="BC316" s="172"/>
    </row>
    <row r="317" spans="3:55" x14ac:dyDescent="0.35">
      <c r="C317" s="91"/>
      <c r="D317" s="88"/>
      <c r="E317" s="89"/>
      <c r="F317" s="93"/>
      <c r="G317" s="88"/>
      <c r="H317" s="88"/>
      <c r="I317" s="88"/>
      <c r="J317" s="88"/>
      <c r="K317" s="88"/>
      <c r="L317" s="88"/>
      <c r="M317" s="88"/>
      <c r="N317" s="88"/>
      <c r="O317" s="88"/>
      <c r="P317" s="85"/>
      <c r="Q317" s="85"/>
      <c r="Y317" s="89" t="str">
        <f t="shared" si="12"/>
        <v/>
      </c>
      <c r="AC317" s="191"/>
      <c r="AD317" s="16">
        <f>WEEKNUM(tblKPIs[[#This Row],[Production Start Date]])</f>
        <v>0</v>
      </c>
      <c r="AE317" s="16"/>
      <c r="AF317" s="16"/>
      <c r="AG317" s="16"/>
      <c r="AH317" s="16"/>
      <c r="AI317" s="16"/>
      <c r="AJ317" s="16"/>
      <c r="AL317" s="16"/>
      <c r="AM317" s="16"/>
      <c r="AN317" s="16"/>
      <c r="AO317" s="16"/>
      <c r="AP317" s="16"/>
      <c r="AQ317" s="16"/>
      <c r="AR317" s="16"/>
      <c r="AS317" s="16"/>
      <c r="BB317" s="171"/>
      <c r="BC317" s="171"/>
    </row>
    <row r="318" spans="3:55" x14ac:dyDescent="0.35">
      <c r="C318" s="91"/>
      <c r="D318" s="88"/>
      <c r="E318" s="89"/>
      <c r="F318" s="93"/>
      <c r="G318" s="88"/>
      <c r="H318" s="88"/>
      <c r="I318" s="88"/>
      <c r="J318" s="88"/>
      <c r="K318" s="88"/>
      <c r="L318" s="88"/>
      <c r="M318" s="88"/>
      <c r="N318" s="88"/>
      <c r="O318" s="88"/>
      <c r="P318" s="85"/>
      <c r="Q318" s="85"/>
      <c r="Y318" s="89" t="str">
        <f t="shared" si="12"/>
        <v/>
      </c>
      <c r="AC318" s="191"/>
      <c r="AD318" s="16">
        <f>WEEKNUM(tblKPIs[[#This Row],[Production Start Date]])</f>
        <v>0</v>
      </c>
      <c r="AE318" s="16"/>
      <c r="AF318" s="16"/>
      <c r="AG318" s="16"/>
      <c r="AH318" s="16"/>
      <c r="AI318" s="16"/>
      <c r="AJ318" s="16"/>
      <c r="AL318" s="16"/>
      <c r="AM318" s="16"/>
      <c r="AN318" s="16"/>
      <c r="AO318" s="16"/>
      <c r="AP318" s="16"/>
      <c r="AQ318" s="16"/>
      <c r="AR318" s="16"/>
      <c r="AS318" s="16"/>
      <c r="BB318" s="172"/>
      <c r="BC318" s="172"/>
    </row>
    <row r="319" spans="3:55" x14ac:dyDescent="0.35">
      <c r="C319" s="91"/>
      <c r="D319" s="88"/>
      <c r="E319" s="89"/>
      <c r="F319" s="93"/>
      <c r="G319" s="88"/>
      <c r="H319" s="88"/>
      <c r="I319" s="88"/>
      <c r="J319" s="88"/>
      <c r="K319" s="88"/>
      <c r="L319" s="88"/>
      <c r="M319" s="88"/>
      <c r="N319" s="88"/>
      <c r="O319" s="88"/>
      <c r="P319" s="85"/>
      <c r="Q319" s="85"/>
      <c r="Y319" s="89" t="str">
        <f t="shared" si="12"/>
        <v/>
      </c>
      <c r="AC319" s="191"/>
      <c r="AD319" s="16">
        <f>WEEKNUM(tblKPIs[[#This Row],[Production Start Date]])</f>
        <v>0</v>
      </c>
      <c r="AE319" s="16"/>
      <c r="AF319" s="16"/>
      <c r="AG319" s="16"/>
      <c r="AH319" s="16"/>
      <c r="AI319" s="16"/>
      <c r="AJ319" s="16"/>
      <c r="AL319" s="16"/>
      <c r="AM319" s="16"/>
      <c r="AN319" s="16"/>
      <c r="AO319" s="16"/>
      <c r="AP319" s="16"/>
      <c r="AQ319" s="16"/>
      <c r="AR319" s="16"/>
      <c r="AS319" s="16"/>
      <c r="BB319" s="171"/>
      <c r="BC319" s="171"/>
    </row>
    <row r="320" spans="3:55" x14ac:dyDescent="0.35">
      <c r="C320" s="91"/>
      <c r="D320" s="88"/>
      <c r="E320" s="89"/>
      <c r="F320" s="93"/>
      <c r="G320" s="88"/>
      <c r="H320" s="88"/>
      <c r="I320" s="88"/>
      <c r="J320" s="88"/>
      <c r="K320" s="88"/>
      <c r="L320" s="88"/>
      <c r="M320" s="88"/>
      <c r="N320" s="88"/>
      <c r="O320" s="88"/>
      <c r="P320" s="85"/>
      <c r="Q320" s="85"/>
      <c r="Y320" s="89" t="str">
        <f t="shared" si="12"/>
        <v/>
      </c>
      <c r="AC320" s="191"/>
      <c r="AD320" s="16">
        <f>WEEKNUM(tblKPIs[[#This Row],[Production Start Date]])</f>
        <v>0</v>
      </c>
      <c r="AE320" s="16"/>
      <c r="AF320" s="16"/>
      <c r="AG320" s="16"/>
      <c r="AH320" s="16"/>
      <c r="AI320" s="16"/>
      <c r="AJ320" s="16"/>
      <c r="AL320" s="16"/>
      <c r="AM320" s="16"/>
      <c r="AN320" s="16"/>
      <c r="AO320" s="16"/>
      <c r="AP320" s="16"/>
      <c r="AQ320" s="16"/>
      <c r="AR320" s="16"/>
      <c r="AS320" s="16"/>
      <c r="BB320" s="172"/>
      <c r="BC320" s="172"/>
    </row>
    <row r="321" spans="3:55" x14ac:dyDescent="0.35">
      <c r="C321" s="91"/>
      <c r="D321" s="88"/>
      <c r="E321" s="89"/>
      <c r="F321" s="93"/>
      <c r="G321" s="88"/>
      <c r="H321" s="88"/>
      <c r="I321" s="88"/>
      <c r="J321" s="88"/>
      <c r="K321" s="88"/>
      <c r="L321" s="88"/>
      <c r="M321" s="88"/>
      <c r="N321" s="88"/>
      <c r="O321" s="88"/>
      <c r="P321" s="86"/>
      <c r="Q321" s="86"/>
      <c r="Y321" s="89" t="str">
        <f t="shared" si="12"/>
        <v/>
      </c>
      <c r="AC321" s="191"/>
      <c r="AD321" s="16">
        <f>WEEKNUM(tblKPIs[[#This Row],[Production Start Date]])</f>
        <v>0</v>
      </c>
      <c r="AE321" s="16"/>
      <c r="AF321" s="16"/>
      <c r="AG321" s="16"/>
      <c r="AH321" s="16"/>
      <c r="AI321" s="16"/>
      <c r="AJ321" s="16"/>
      <c r="AL321" s="16"/>
      <c r="AM321" s="16"/>
      <c r="AN321" s="16"/>
      <c r="AO321" s="16"/>
      <c r="AP321" s="16"/>
      <c r="AQ321" s="16"/>
      <c r="AR321" s="16"/>
      <c r="AS321" s="16"/>
      <c r="BB321" s="171"/>
      <c r="BC321" s="171"/>
    </row>
    <row r="322" spans="3:55" x14ac:dyDescent="0.35">
      <c r="C322" s="91"/>
      <c r="D322" s="88"/>
      <c r="E322" s="89"/>
      <c r="F322" s="93"/>
      <c r="G322" s="88"/>
      <c r="H322" s="88"/>
      <c r="I322" s="88"/>
      <c r="J322" s="88"/>
      <c r="K322" s="88"/>
      <c r="L322" s="88"/>
      <c r="M322" s="88"/>
      <c r="N322" s="88"/>
      <c r="O322" s="88"/>
      <c r="P322" s="85"/>
      <c r="Q322" s="85"/>
      <c r="Y322" s="89" t="str">
        <f t="shared" si="12"/>
        <v/>
      </c>
      <c r="AC322" s="191"/>
      <c r="AD322" s="16">
        <f>WEEKNUM(tblKPIs[[#This Row],[Production Start Date]])</f>
        <v>0</v>
      </c>
      <c r="AE322" s="16"/>
      <c r="AF322" s="16"/>
      <c r="AG322" s="16"/>
      <c r="AH322" s="16"/>
      <c r="AI322" s="16"/>
      <c r="AJ322" s="16"/>
      <c r="AL322" s="16"/>
      <c r="AM322" s="16"/>
      <c r="AN322" s="16"/>
      <c r="AO322" s="16"/>
      <c r="AP322" s="16"/>
      <c r="AQ322" s="16"/>
      <c r="AR322" s="16"/>
      <c r="AS322" s="16"/>
      <c r="BB322" s="172"/>
      <c r="BC322" s="172"/>
    </row>
    <row r="323" spans="3:55" x14ac:dyDescent="0.35">
      <c r="C323" s="91"/>
      <c r="D323" s="88"/>
      <c r="E323" s="89"/>
      <c r="F323" s="93"/>
      <c r="G323" s="88"/>
      <c r="H323" s="88"/>
      <c r="I323" s="88"/>
      <c r="J323" s="88"/>
      <c r="K323" s="88"/>
      <c r="L323" s="88"/>
      <c r="M323" s="88"/>
      <c r="N323" s="88"/>
      <c r="O323" s="88"/>
      <c r="P323" s="85"/>
      <c r="Q323" s="85"/>
      <c r="Y323" s="89" t="str">
        <f t="shared" si="12"/>
        <v/>
      </c>
      <c r="AC323" s="191"/>
      <c r="AD323" s="16">
        <f>WEEKNUM(tblKPIs[[#This Row],[Production Start Date]])</f>
        <v>0</v>
      </c>
      <c r="AE323" s="16"/>
      <c r="AF323" s="16"/>
      <c r="AG323" s="16"/>
      <c r="AH323" s="16"/>
      <c r="AI323" s="16"/>
      <c r="AJ323" s="16"/>
      <c r="AL323" s="16"/>
      <c r="AM323" s="16"/>
      <c r="AN323" s="16"/>
      <c r="AO323" s="16"/>
      <c r="AP323" s="16"/>
      <c r="AQ323" s="16"/>
      <c r="AR323" s="16"/>
      <c r="AS323" s="16"/>
      <c r="BB323" s="171"/>
      <c r="BC323" s="171"/>
    </row>
    <row r="324" spans="3:55" x14ac:dyDescent="0.35">
      <c r="C324" s="91"/>
      <c r="D324" s="88"/>
      <c r="E324" s="89"/>
      <c r="F324" s="93"/>
      <c r="G324" s="88"/>
      <c r="H324" s="88"/>
      <c r="I324" s="88"/>
      <c r="J324" s="88"/>
      <c r="K324" s="88"/>
      <c r="L324" s="88"/>
      <c r="M324" s="88"/>
      <c r="N324" s="88"/>
      <c r="O324" s="88"/>
      <c r="P324" s="85"/>
      <c r="Q324" s="85"/>
      <c r="Y324" s="89" t="str">
        <f t="shared" si="12"/>
        <v/>
      </c>
      <c r="AC324" s="191"/>
      <c r="AD324" s="16">
        <f>WEEKNUM(tblKPIs[[#This Row],[Production Start Date]])</f>
        <v>0</v>
      </c>
      <c r="AE324" s="16"/>
      <c r="AF324" s="16"/>
      <c r="AG324" s="16"/>
      <c r="AH324" s="16"/>
      <c r="AI324" s="16"/>
      <c r="AJ324" s="16"/>
      <c r="AL324" s="16"/>
      <c r="AM324" s="16"/>
      <c r="AN324" s="16"/>
      <c r="AO324" s="16"/>
      <c r="AP324" s="16"/>
      <c r="AQ324" s="16"/>
      <c r="AR324" s="16"/>
      <c r="AS324" s="16"/>
      <c r="BB324" s="172"/>
      <c r="BC324" s="172"/>
    </row>
    <row r="325" spans="3:55" x14ac:dyDescent="0.35">
      <c r="C325" s="91"/>
      <c r="D325" s="88"/>
      <c r="E325" s="89"/>
      <c r="F325" s="93"/>
      <c r="G325" s="88"/>
      <c r="H325" s="88"/>
      <c r="I325" s="88"/>
      <c r="J325" s="88"/>
      <c r="K325" s="88"/>
      <c r="L325" s="88"/>
      <c r="M325" s="88"/>
      <c r="N325" s="88"/>
      <c r="O325" s="88"/>
      <c r="P325" s="85"/>
      <c r="Q325" s="85"/>
      <c r="Y325" s="89" t="str">
        <f t="shared" ref="Y325:Y364" si="13">IF(BC325="","",+BC325/10)</f>
        <v/>
      </c>
      <c r="AC325" s="191"/>
      <c r="AD325" s="16">
        <f>WEEKNUM(tblKPIs[[#This Row],[Production Start Date]])</f>
        <v>0</v>
      </c>
      <c r="AE325" s="16"/>
      <c r="AF325" s="16"/>
      <c r="AG325" s="16"/>
      <c r="AH325" s="16"/>
      <c r="AI325" s="16"/>
      <c r="AJ325" s="16"/>
      <c r="AL325" s="16"/>
      <c r="AM325" s="16"/>
      <c r="AN325" s="16"/>
      <c r="AO325" s="16"/>
      <c r="AP325" s="16"/>
      <c r="AQ325" s="16"/>
      <c r="AR325" s="16"/>
      <c r="AS325" s="16"/>
      <c r="BB325" s="171"/>
      <c r="BC325" s="171"/>
    </row>
    <row r="326" spans="3:55" x14ac:dyDescent="0.35">
      <c r="C326" s="91"/>
      <c r="D326" s="88"/>
      <c r="E326" s="89"/>
      <c r="F326" s="93"/>
      <c r="G326" s="88"/>
      <c r="H326" s="88"/>
      <c r="I326" s="88"/>
      <c r="J326" s="88"/>
      <c r="K326" s="88"/>
      <c r="L326" s="88"/>
      <c r="M326" s="88"/>
      <c r="N326" s="88"/>
      <c r="O326" s="88"/>
      <c r="P326" s="86"/>
      <c r="Q326" s="86"/>
      <c r="Y326" s="89" t="str">
        <f t="shared" si="13"/>
        <v/>
      </c>
      <c r="AC326" s="191"/>
      <c r="AD326" s="16">
        <f>WEEKNUM(tblKPIs[[#This Row],[Production Start Date]])</f>
        <v>0</v>
      </c>
      <c r="AE326" s="16"/>
      <c r="AF326" s="16"/>
      <c r="AG326" s="16"/>
      <c r="AH326" s="16"/>
      <c r="AI326" s="16"/>
      <c r="AJ326" s="16"/>
      <c r="AL326" s="16"/>
      <c r="AM326" s="16"/>
      <c r="AN326" s="16"/>
      <c r="AO326" s="16"/>
      <c r="AP326" s="16"/>
      <c r="AQ326" s="16"/>
      <c r="AR326" s="16"/>
      <c r="AS326" s="16"/>
      <c r="BB326" s="172"/>
      <c r="BC326" s="172"/>
    </row>
    <row r="327" spans="3:55" x14ac:dyDescent="0.35">
      <c r="C327" s="91"/>
      <c r="D327" s="88"/>
      <c r="E327" s="89"/>
      <c r="F327" s="93"/>
      <c r="G327" s="88"/>
      <c r="H327" s="88"/>
      <c r="I327" s="88"/>
      <c r="J327" s="88"/>
      <c r="K327" s="88"/>
      <c r="L327" s="88"/>
      <c r="M327" s="88"/>
      <c r="N327" s="88"/>
      <c r="O327" s="88"/>
      <c r="P327" s="85"/>
      <c r="Q327" s="85"/>
      <c r="Y327" s="89" t="str">
        <f t="shared" si="13"/>
        <v/>
      </c>
      <c r="AC327" s="191"/>
      <c r="AD327" s="16">
        <f>WEEKNUM(tblKPIs[[#This Row],[Production Start Date]])</f>
        <v>0</v>
      </c>
      <c r="AE327" s="16"/>
      <c r="AF327" s="16"/>
      <c r="AG327" s="16"/>
      <c r="AH327" s="16"/>
      <c r="AI327" s="16"/>
      <c r="AJ327" s="16"/>
      <c r="AL327" s="16"/>
      <c r="AM327" s="16"/>
      <c r="AN327" s="16"/>
      <c r="AO327" s="16"/>
      <c r="AP327" s="16"/>
      <c r="AQ327" s="16"/>
      <c r="AR327" s="16"/>
      <c r="AS327" s="16"/>
      <c r="BB327" s="171"/>
      <c r="BC327" s="171"/>
    </row>
    <row r="328" spans="3:55" x14ac:dyDescent="0.35">
      <c r="C328" s="91"/>
      <c r="D328" s="88"/>
      <c r="E328" s="89"/>
      <c r="F328" s="93"/>
      <c r="G328" s="88"/>
      <c r="H328" s="88"/>
      <c r="I328" s="88"/>
      <c r="J328" s="88"/>
      <c r="K328" s="88"/>
      <c r="L328" s="88"/>
      <c r="M328" s="88"/>
      <c r="N328" s="88"/>
      <c r="O328" s="88"/>
      <c r="P328" s="85"/>
      <c r="Q328" s="85"/>
      <c r="Y328" s="89" t="str">
        <f t="shared" si="13"/>
        <v/>
      </c>
      <c r="AC328" s="191"/>
      <c r="AD328" s="16">
        <f>WEEKNUM(tblKPIs[[#This Row],[Production Start Date]])</f>
        <v>0</v>
      </c>
      <c r="AE328" s="16"/>
      <c r="AF328" s="16"/>
      <c r="AG328" s="16"/>
      <c r="AH328" s="16"/>
      <c r="AI328" s="16"/>
      <c r="AJ328" s="16"/>
      <c r="AL328" s="16"/>
      <c r="AM328" s="16"/>
      <c r="AN328" s="16"/>
      <c r="AO328" s="16"/>
      <c r="AP328" s="16"/>
      <c r="AQ328" s="16"/>
      <c r="AR328" s="16"/>
      <c r="AS328" s="16"/>
      <c r="BB328" s="172"/>
      <c r="BC328" s="172"/>
    </row>
    <row r="329" spans="3:55" x14ac:dyDescent="0.35">
      <c r="C329" s="91"/>
      <c r="D329" s="88"/>
      <c r="E329" s="89"/>
      <c r="F329" s="93"/>
      <c r="G329" s="88"/>
      <c r="H329" s="88"/>
      <c r="I329" s="88"/>
      <c r="J329" s="88"/>
      <c r="K329" s="88"/>
      <c r="L329" s="88"/>
      <c r="M329" s="88"/>
      <c r="N329" s="88"/>
      <c r="O329" s="88"/>
      <c r="P329" s="85"/>
      <c r="Q329" s="85"/>
      <c r="Y329" s="89" t="str">
        <f t="shared" si="13"/>
        <v/>
      </c>
      <c r="AC329" s="191"/>
      <c r="AD329" s="16">
        <f>WEEKNUM(tblKPIs[[#This Row],[Production Start Date]])</f>
        <v>0</v>
      </c>
      <c r="AE329" s="16"/>
      <c r="AF329" s="16"/>
      <c r="AG329" s="16"/>
      <c r="AH329" s="16"/>
      <c r="AI329" s="16"/>
      <c r="AJ329" s="16"/>
      <c r="AL329" s="16"/>
      <c r="AM329" s="16"/>
      <c r="AN329" s="16"/>
      <c r="AO329" s="16"/>
      <c r="AP329" s="16"/>
      <c r="AQ329" s="16"/>
      <c r="AR329" s="16"/>
      <c r="AS329" s="16"/>
      <c r="BB329" s="171"/>
      <c r="BC329" s="171"/>
    </row>
    <row r="330" spans="3:55" x14ac:dyDescent="0.35">
      <c r="C330" s="91"/>
      <c r="D330" s="88"/>
      <c r="E330" s="89"/>
      <c r="F330" s="93"/>
      <c r="G330" s="88"/>
      <c r="H330" s="88"/>
      <c r="I330" s="88"/>
      <c r="J330" s="88"/>
      <c r="K330" s="88"/>
      <c r="L330" s="88"/>
      <c r="M330" s="88"/>
      <c r="N330" s="88"/>
      <c r="O330" s="88"/>
      <c r="P330" s="85"/>
      <c r="Q330" s="85"/>
      <c r="Y330" s="89" t="str">
        <f t="shared" si="13"/>
        <v/>
      </c>
      <c r="AC330" s="191"/>
      <c r="AD330" s="16">
        <f>WEEKNUM(tblKPIs[[#This Row],[Production Start Date]])</f>
        <v>0</v>
      </c>
      <c r="AE330" s="16"/>
      <c r="AF330" s="16"/>
      <c r="AG330" s="16"/>
      <c r="AH330" s="16"/>
      <c r="AI330" s="16"/>
      <c r="AJ330" s="16"/>
      <c r="AL330" s="16"/>
      <c r="AM330" s="16"/>
      <c r="AN330" s="16"/>
      <c r="AO330" s="16"/>
      <c r="AP330" s="16"/>
      <c r="AQ330" s="16"/>
      <c r="AR330" s="16"/>
      <c r="AS330" s="16"/>
      <c r="BB330" s="172"/>
      <c r="BC330" s="172"/>
    </row>
    <row r="331" spans="3:55" x14ac:dyDescent="0.35">
      <c r="C331" s="91"/>
      <c r="D331" s="88"/>
      <c r="E331" s="89"/>
      <c r="F331" s="93"/>
      <c r="G331" s="88"/>
      <c r="H331" s="88"/>
      <c r="I331" s="88"/>
      <c r="J331" s="88"/>
      <c r="K331" s="88"/>
      <c r="L331" s="88"/>
      <c r="M331" s="88"/>
      <c r="N331" s="88"/>
      <c r="O331" s="88"/>
      <c r="P331" s="86"/>
      <c r="Q331" s="86"/>
      <c r="Y331" s="89" t="str">
        <f t="shared" si="13"/>
        <v/>
      </c>
      <c r="AC331" s="191"/>
      <c r="AD331" s="16">
        <f>WEEKNUM(tblKPIs[[#This Row],[Production Start Date]])</f>
        <v>0</v>
      </c>
      <c r="AE331" s="16"/>
      <c r="AF331" s="16"/>
      <c r="AG331" s="16"/>
      <c r="AH331" s="16"/>
      <c r="AI331" s="16"/>
      <c r="AJ331" s="16"/>
      <c r="AL331" s="16"/>
      <c r="AM331" s="16"/>
      <c r="AN331" s="16"/>
      <c r="AO331" s="16"/>
      <c r="AP331" s="16"/>
      <c r="AQ331" s="16"/>
      <c r="AR331" s="16"/>
      <c r="AS331" s="16"/>
      <c r="BB331" s="171"/>
      <c r="BC331" s="171"/>
    </row>
    <row r="332" spans="3:55" x14ac:dyDescent="0.35">
      <c r="C332" s="91"/>
      <c r="D332" s="88"/>
      <c r="E332" s="89"/>
      <c r="F332" s="93"/>
      <c r="G332" s="88"/>
      <c r="H332" s="88"/>
      <c r="I332" s="88"/>
      <c r="J332" s="88"/>
      <c r="K332" s="88"/>
      <c r="L332" s="88"/>
      <c r="M332" s="88"/>
      <c r="N332" s="88"/>
      <c r="O332" s="88"/>
      <c r="P332" s="85"/>
      <c r="Q332" s="85"/>
      <c r="Y332" s="89" t="str">
        <f t="shared" si="13"/>
        <v/>
      </c>
      <c r="AC332" s="191"/>
      <c r="AD332" s="16">
        <f>WEEKNUM(tblKPIs[[#This Row],[Production Start Date]])</f>
        <v>0</v>
      </c>
      <c r="AE332" s="16"/>
      <c r="AF332" s="16"/>
      <c r="AG332" s="16"/>
      <c r="AH332" s="16"/>
      <c r="AI332" s="16"/>
      <c r="AJ332" s="16"/>
      <c r="AL332" s="16"/>
      <c r="AM332" s="16"/>
      <c r="AN332" s="16"/>
      <c r="AO332" s="16"/>
      <c r="AP332" s="16"/>
      <c r="AQ332" s="16"/>
      <c r="AR332" s="16"/>
      <c r="AS332" s="16"/>
      <c r="BB332" s="172"/>
      <c r="BC332" s="172"/>
    </row>
    <row r="333" spans="3:55" x14ac:dyDescent="0.35">
      <c r="C333" s="91"/>
      <c r="D333" s="88"/>
      <c r="E333" s="89"/>
      <c r="F333" s="93"/>
      <c r="G333" s="88"/>
      <c r="H333" s="88"/>
      <c r="I333" s="88"/>
      <c r="J333" s="88"/>
      <c r="K333" s="88"/>
      <c r="L333" s="88"/>
      <c r="M333" s="88"/>
      <c r="N333" s="88"/>
      <c r="O333" s="88"/>
      <c r="P333" s="85"/>
      <c r="Q333" s="85"/>
      <c r="Y333" s="89" t="str">
        <f t="shared" si="13"/>
        <v/>
      </c>
      <c r="AC333" s="191"/>
      <c r="AD333" s="16">
        <f>WEEKNUM(tblKPIs[[#This Row],[Production Start Date]])</f>
        <v>0</v>
      </c>
      <c r="AE333" s="16"/>
      <c r="AF333" s="16"/>
      <c r="AG333" s="16"/>
      <c r="AH333" s="16"/>
      <c r="AI333" s="16"/>
      <c r="AJ333" s="16"/>
      <c r="AL333" s="16"/>
      <c r="AM333" s="16"/>
      <c r="AN333" s="16"/>
      <c r="AO333" s="16"/>
      <c r="AP333" s="16"/>
      <c r="AQ333" s="16"/>
      <c r="AR333" s="16"/>
      <c r="AS333" s="16"/>
      <c r="BB333" s="171"/>
      <c r="BC333" s="171"/>
    </row>
    <row r="334" spans="3:55" x14ac:dyDescent="0.35">
      <c r="C334" s="91"/>
      <c r="D334" s="88"/>
      <c r="E334" s="89"/>
      <c r="F334" s="93"/>
      <c r="G334" s="88"/>
      <c r="H334" s="88"/>
      <c r="I334" s="88"/>
      <c r="J334" s="88"/>
      <c r="K334" s="88"/>
      <c r="L334" s="88"/>
      <c r="M334" s="88"/>
      <c r="N334" s="88"/>
      <c r="O334" s="88"/>
      <c r="P334" s="85"/>
      <c r="Q334" s="85"/>
      <c r="Y334" s="89" t="str">
        <f t="shared" si="13"/>
        <v/>
      </c>
      <c r="AC334" s="191"/>
      <c r="AD334" s="16">
        <f>WEEKNUM(tblKPIs[[#This Row],[Production Start Date]])</f>
        <v>0</v>
      </c>
      <c r="AE334" s="16"/>
      <c r="AF334" s="16"/>
      <c r="AG334" s="16"/>
      <c r="AH334" s="16"/>
      <c r="AI334" s="16"/>
      <c r="AJ334" s="16"/>
      <c r="AL334" s="16"/>
      <c r="AM334" s="16"/>
      <c r="AN334" s="16"/>
      <c r="AO334" s="16"/>
      <c r="AP334" s="16"/>
      <c r="AQ334" s="16"/>
      <c r="AR334" s="16"/>
      <c r="AS334" s="16"/>
      <c r="BB334" s="172"/>
      <c r="BC334" s="172"/>
    </row>
    <row r="335" spans="3:55" x14ac:dyDescent="0.35">
      <c r="C335" s="91"/>
      <c r="D335" s="88"/>
      <c r="E335" s="89"/>
      <c r="F335" s="93"/>
      <c r="G335" s="88"/>
      <c r="H335" s="88"/>
      <c r="I335" s="88"/>
      <c r="J335" s="88"/>
      <c r="K335" s="88"/>
      <c r="L335" s="88"/>
      <c r="M335" s="88"/>
      <c r="N335" s="88"/>
      <c r="O335" s="88"/>
      <c r="P335" s="85"/>
      <c r="Q335" s="85"/>
      <c r="Y335" s="89" t="str">
        <f t="shared" si="13"/>
        <v/>
      </c>
      <c r="AC335" s="191"/>
      <c r="AD335" s="16">
        <f>WEEKNUM(tblKPIs[[#This Row],[Production Start Date]])</f>
        <v>0</v>
      </c>
      <c r="AE335" s="16"/>
      <c r="AF335" s="16"/>
      <c r="AG335" s="16"/>
      <c r="AH335" s="16"/>
      <c r="AI335" s="16"/>
      <c r="AJ335" s="16"/>
      <c r="AL335" s="16"/>
      <c r="AM335" s="16"/>
      <c r="AN335" s="16"/>
      <c r="AO335" s="16"/>
      <c r="AP335" s="16"/>
      <c r="AQ335" s="16"/>
      <c r="AR335" s="16"/>
      <c r="AS335" s="16"/>
      <c r="BB335" s="171"/>
      <c r="BC335" s="171"/>
    </row>
    <row r="336" spans="3:55" x14ac:dyDescent="0.35">
      <c r="C336" s="91"/>
      <c r="D336" s="88"/>
      <c r="E336" s="89"/>
      <c r="F336" s="93"/>
      <c r="G336" s="88"/>
      <c r="H336" s="88"/>
      <c r="I336" s="88"/>
      <c r="J336" s="88"/>
      <c r="K336" s="88"/>
      <c r="L336" s="88"/>
      <c r="M336" s="88"/>
      <c r="N336" s="88"/>
      <c r="O336" s="88"/>
      <c r="P336" s="86"/>
      <c r="Q336" s="86"/>
      <c r="Y336" s="89" t="str">
        <f t="shared" si="13"/>
        <v/>
      </c>
      <c r="AC336" s="191"/>
      <c r="AD336" s="16">
        <f>WEEKNUM(tblKPIs[[#This Row],[Production Start Date]])</f>
        <v>0</v>
      </c>
      <c r="AE336" s="16"/>
      <c r="AF336" s="16"/>
      <c r="AG336" s="16"/>
      <c r="AH336" s="16"/>
      <c r="AI336" s="16"/>
      <c r="AJ336" s="16"/>
      <c r="AL336" s="16"/>
      <c r="AM336" s="16"/>
      <c r="AN336" s="16"/>
      <c r="AO336" s="16"/>
      <c r="AP336" s="16"/>
      <c r="AQ336" s="16"/>
      <c r="AR336" s="16"/>
      <c r="AS336" s="16"/>
      <c r="BB336" s="172"/>
      <c r="BC336" s="172"/>
    </row>
    <row r="337" spans="3:55" x14ac:dyDescent="0.35">
      <c r="C337" s="91"/>
      <c r="D337" s="88"/>
      <c r="E337" s="89"/>
      <c r="F337" s="93"/>
      <c r="G337" s="88"/>
      <c r="H337" s="88"/>
      <c r="I337" s="88"/>
      <c r="J337" s="88"/>
      <c r="K337" s="88"/>
      <c r="L337" s="88"/>
      <c r="M337" s="88"/>
      <c r="N337" s="88"/>
      <c r="O337" s="88"/>
      <c r="P337" s="85"/>
      <c r="Q337" s="85"/>
      <c r="Y337" s="89" t="str">
        <f t="shared" si="13"/>
        <v/>
      </c>
      <c r="AC337" s="191"/>
      <c r="AD337" s="16">
        <f>WEEKNUM(tblKPIs[[#This Row],[Production Start Date]])</f>
        <v>0</v>
      </c>
      <c r="AE337" s="16"/>
      <c r="AF337" s="16"/>
      <c r="AG337" s="16"/>
      <c r="AH337" s="16"/>
      <c r="AI337" s="16"/>
      <c r="AJ337" s="16"/>
      <c r="AL337" s="16"/>
      <c r="AM337" s="16"/>
      <c r="AN337" s="16"/>
      <c r="AO337" s="16"/>
      <c r="AP337" s="16"/>
      <c r="AQ337" s="16"/>
      <c r="AR337" s="16"/>
      <c r="AS337" s="16"/>
      <c r="BB337" s="171"/>
      <c r="BC337" s="171"/>
    </row>
    <row r="338" spans="3:55" x14ac:dyDescent="0.35">
      <c r="C338" s="91"/>
      <c r="D338" s="88"/>
      <c r="E338" s="89"/>
      <c r="F338" s="93"/>
      <c r="G338" s="88"/>
      <c r="H338" s="88"/>
      <c r="I338" s="88"/>
      <c r="J338" s="88"/>
      <c r="K338" s="88"/>
      <c r="L338" s="88"/>
      <c r="M338" s="88"/>
      <c r="N338" s="88"/>
      <c r="O338" s="88"/>
      <c r="P338" s="85"/>
      <c r="Q338" s="85"/>
      <c r="Y338" s="89" t="str">
        <f t="shared" si="13"/>
        <v/>
      </c>
      <c r="AC338" s="191"/>
      <c r="AD338" s="16">
        <f>WEEKNUM(tblKPIs[[#This Row],[Production Start Date]])</f>
        <v>0</v>
      </c>
      <c r="AE338" s="16"/>
      <c r="AF338" s="16"/>
      <c r="AG338" s="16"/>
      <c r="AH338" s="16"/>
      <c r="AI338" s="16"/>
      <c r="AJ338" s="16"/>
      <c r="AL338" s="16"/>
      <c r="AM338" s="16"/>
      <c r="AN338" s="16"/>
      <c r="AO338" s="16"/>
      <c r="AP338" s="16"/>
      <c r="AQ338" s="16"/>
      <c r="AR338" s="16"/>
      <c r="AS338" s="16"/>
      <c r="BB338" s="172"/>
      <c r="BC338" s="172"/>
    </row>
    <row r="339" spans="3:55" x14ac:dyDescent="0.35">
      <c r="C339" s="91"/>
      <c r="D339" s="88"/>
      <c r="E339" s="89"/>
      <c r="F339" s="93"/>
      <c r="G339" s="88"/>
      <c r="H339" s="88"/>
      <c r="I339" s="88"/>
      <c r="J339" s="88"/>
      <c r="K339" s="88"/>
      <c r="L339" s="88"/>
      <c r="M339" s="88"/>
      <c r="N339" s="88"/>
      <c r="O339" s="88"/>
      <c r="P339" s="85"/>
      <c r="Q339" s="85"/>
      <c r="Y339" s="89" t="str">
        <f t="shared" si="13"/>
        <v/>
      </c>
      <c r="AC339" s="191"/>
      <c r="AD339" s="16">
        <f>WEEKNUM(tblKPIs[[#This Row],[Production Start Date]])</f>
        <v>0</v>
      </c>
      <c r="AE339" s="16"/>
      <c r="AF339" s="16"/>
      <c r="AG339" s="16"/>
      <c r="AH339" s="16"/>
      <c r="AI339" s="16"/>
      <c r="AJ339" s="16"/>
      <c r="AL339" s="16"/>
      <c r="AM339" s="16"/>
      <c r="AN339" s="16"/>
      <c r="AO339" s="16"/>
      <c r="AP339" s="16"/>
      <c r="AQ339" s="16"/>
      <c r="AR339" s="16"/>
      <c r="AS339" s="16"/>
      <c r="BB339" s="171"/>
      <c r="BC339" s="171"/>
    </row>
    <row r="340" spans="3:55" x14ac:dyDescent="0.35">
      <c r="C340" s="91"/>
      <c r="D340" s="88"/>
      <c r="E340" s="89"/>
      <c r="F340" s="93"/>
      <c r="G340" s="88"/>
      <c r="H340" s="88"/>
      <c r="I340" s="88"/>
      <c r="J340" s="88"/>
      <c r="K340" s="88"/>
      <c r="L340" s="88"/>
      <c r="M340" s="88"/>
      <c r="N340" s="88"/>
      <c r="O340" s="88"/>
      <c r="P340" s="85"/>
      <c r="Q340" s="85"/>
      <c r="Y340" s="89" t="str">
        <f t="shared" si="13"/>
        <v/>
      </c>
      <c r="AC340" s="191"/>
      <c r="AD340" s="16">
        <f>WEEKNUM(tblKPIs[[#This Row],[Production Start Date]])</f>
        <v>0</v>
      </c>
      <c r="AE340" s="16"/>
      <c r="AF340" s="16"/>
      <c r="AG340" s="16"/>
      <c r="AH340" s="16"/>
      <c r="AI340" s="16"/>
      <c r="AJ340" s="16"/>
      <c r="AL340" s="16"/>
      <c r="AM340" s="16"/>
      <c r="AN340" s="16"/>
      <c r="AO340" s="16"/>
      <c r="AP340" s="16"/>
      <c r="AQ340" s="16"/>
      <c r="AR340" s="16"/>
      <c r="AS340" s="16"/>
      <c r="BB340" s="172"/>
      <c r="BC340" s="172"/>
    </row>
    <row r="341" spans="3:55" x14ac:dyDescent="0.35">
      <c r="C341" s="91"/>
      <c r="D341" s="88"/>
      <c r="E341" s="89"/>
      <c r="F341" s="93"/>
      <c r="G341" s="88"/>
      <c r="H341" s="88"/>
      <c r="I341" s="88"/>
      <c r="J341" s="88"/>
      <c r="K341" s="88"/>
      <c r="L341" s="88"/>
      <c r="M341" s="88"/>
      <c r="N341" s="88"/>
      <c r="O341" s="88"/>
      <c r="P341" s="86"/>
      <c r="Q341" s="86"/>
      <c r="Y341" s="89" t="str">
        <f t="shared" si="13"/>
        <v/>
      </c>
      <c r="AC341" s="191"/>
      <c r="AD341" s="16">
        <f>WEEKNUM(tblKPIs[[#This Row],[Production Start Date]])</f>
        <v>0</v>
      </c>
      <c r="AE341" s="16"/>
      <c r="AF341" s="16"/>
      <c r="AG341" s="16"/>
      <c r="AH341" s="16"/>
      <c r="AI341" s="16"/>
      <c r="AJ341" s="16"/>
      <c r="AL341" s="16"/>
      <c r="AM341" s="16"/>
      <c r="AN341" s="16"/>
      <c r="AO341" s="16"/>
      <c r="AP341" s="16"/>
      <c r="AQ341" s="16"/>
      <c r="AR341" s="16"/>
      <c r="AS341" s="16"/>
      <c r="BB341" s="171"/>
      <c r="BC341" s="171"/>
    </row>
    <row r="342" spans="3:55" x14ac:dyDescent="0.35">
      <c r="C342" s="91"/>
      <c r="D342" s="88"/>
      <c r="E342" s="89"/>
      <c r="F342" s="93"/>
      <c r="G342" s="88"/>
      <c r="H342" s="88"/>
      <c r="I342" s="88"/>
      <c r="J342" s="88"/>
      <c r="K342" s="88"/>
      <c r="L342" s="88"/>
      <c r="M342" s="88"/>
      <c r="N342" s="88"/>
      <c r="O342" s="88"/>
      <c r="P342" s="85"/>
      <c r="Q342" s="85"/>
      <c r="Y342" s="89" t="str">
        <f t="shared" si="13"/>
        <v/>
      </c>
      <c r="AC342" s="191"/>
      <c r="AD342" s="16">
        <f>WEEKNUM(tblKPIs[[#This Row],[Production Start Date]])</f>
        <v>0</v>
      </c>
      <c r="AE342" s="16"/>
      <c r="AF342" s="16"/>
      <c r="AG342" s="16"/>
      <c r="AH342" s="16"/>
      <c r="AI342" s="16"/>
      <c r="AJ342" s="16"/>
      <c r="AL342" s="16"/>
      <c r="AM342" s="16"/>
      <c r="AN342" s="16"/>
      <c r="AO342" s="16"/>
      <c r="AP342" s="16"/>
      <c r="AQ342" s="16"/>
      <c r="AR342" s="16"/>
      <c r="AS342" s="16"/>
      <c r="BB342" s="172"/>
      <c r="BC342" s="172"/>
    </row>
    <row r="343" spans="3:55" x14ac:dyDescent="0.35">
      <c r="C343" s="91"/>
      <c r="D343" s="88"/>
      <c r="E343" s="89"/>
      <c r="F343" s="93"/>
      <c r="G343" s="88"/>
      <c r="H343" s="88"/>
      <c r="I343" s="88"/>
      <c r="J343" s="88"/>
      <c r="K343" s="88"/>
      <c r="L343" s="88"/>
      <c r="M343" s="88"/>
      <c r="N343" s="88"/>
      <c r="O343" s="88"/>
      <c r="P343" s="85"/>
      <c r="Q343" s="85"/>
      <c r="Y343" s="89" t="str">
        <f t="shared" si="13"/>
        <v/>
      </c>
      <c r="AC343" s="191"/>
      <c r="AD343" s="16">
        <f>WEEKNUM(tblKPIs[[#This Row],[Production Start Date]])</f>
        <v>0</v>
      </c>
      <c r="AE343" s="16"/>
      <c r="AF343" s="16"/>
      <c r="AG343" s="16"/>
      <c r="AH343" s="16"/>
      <c r="AI343" s="16"/>
      <c r="AJ343" s="16"/>
      <c r="AL343" s="16"/>
      <c r="AM343" s="16"/>
      <c r="AN343" s="16"/>
      <c r="AO343" s="16"/>
      <c r="AP343" s="16"/>
      <c r="AQ343" s="16"/>
      <c r="AR343" s="16"/>
      <c r="AS343" s="16"/>
      <c r="BB343" s="171"/>
      <c r="BC343" s="171"/>
    </row>
    <row r="344" spans="3:55" x14ac:dyDescent="0.35">
      <c r="C344" s="91"/>
      <c r="D344" s="88"/>
      <c r="E344" s="89"/>
      <c r="F344" s="93"/>
      <c r="G344" s="88"/>
      <c r="H344" s="88"/>
      <c r="I344" s="88"/>
      <c r="J344" s="88"/>
      <c r="K344" s="88"/>
      <c r="L344" s="88"/>
      <c r="M344" s="88"/>
      <c r="N344" s="88"/>
      <c r="O344" s="88"/>
      <c r="P344" s="85"/>
      <c r="Q344" s="85"/>
      <c r="Y344" s="89" t="str">
        <f t="shared" si="13"/>
        <v/>
      </c>
      <c r="AC344" s="191"/>
      <c r="AD344" s="16">
        <f>WEEKNUM(tblKPIs[[#This Row],[Production Start Date]])</f>
        <v>0</v>
      </c>
      <c r="AE344" s="16"/>
      <c r="AF344" s="16"/>
      <c r="AG344" s="16"/>
      <c r="AH344" s="16"/>
      <c r="AI344" s="16"/>
      <c r="AJ344" s="16"/>
      <c r="AL344" s="16"/>
      <c r="AM344" s="16"/>
      <c r="AN344" s="16"/>
      <c r="AO344" s="16"/>
      <c r="AP344" s="16"/>
      <c r="AQ344" s="16"/>
      <c r="AR344" s="16"/>
      <c r="AS344" s="16"/>
      <c r="BB344" s="172"/>
      <c r="BC344" s="172"/>
    </row>
    <row r="345" spans="3:55" x14ac:dyDescent="0.35">
      <c r="C345" s="91"/>
      <c r="D345" s="88"/>
      <c r="E345" s="89"/>
      <c r="F345" s="93"/>
      <c r="G345" s="88"/>
      <c r="H345" s="88"/>
      <c r="I345" s="88"/>
      <c r="J345" s="88"/>
      <c r="K345" s="88"/>
      <c r="L345" s="88"/>
      <c r="M345" s="88"/>
      <c r="N345" s="88"/>
      <c r="O345" s="88"/>
      <c r="P345" s="85"/>
      <c r="Q345" s="85"/>
      <c r="Y345" s="89" t="str">
        <f t="shared" si="13"/>
        <v/>
      </c>
      <c r="AC345" s="191"/>
      <c r="AD345" s="16">
        <f>WEEKNUM(tblKPIs[[#This Row],[Production Start Date]])</f>
        <v>0</v>
      </c>
      <c r="AE345" s="16"/>
      <c r="AF345" s="16"/>
      <c r="AG345" s="16"/>
      <c r="AH345" s="16"/>
      <c r="AI345" s="16"/>
      <c r="AJ345" s="16"/>
      <c r="AL345" s="16"/>
      <c r="AM345" s="16"/>
      <c r="AN345" s="16"/>
      <c r="AO345" s="16"/>
      <c r="AP345" s="16"/>
      <c r="AQ345" s="16"/>
      <c r="AR345" s="16"/>
      <c r="AS345" s="16"/>
      <c r="BB345" s="171"/>
      <c r="BC345" s="171"/>
    </row>
    <row r="346" spans="3:55" x14ac:dyDescent="0.35">
      <c r="C346" s="91"/>
      <c r="D346" s="88"/>
      <c r="E346" s="89"/>
      <c r="F346" s="93"/>
      <c r="G346" s="88"/>
      <c r="H346" s="88"/>
      <c r="I346" s="88"/>
      <c r="J346" s="88"/>
      <c r="K346" s="88"/>
      <c r="L346" s="88"/>
      <c r="M346" s="88"/>
      <c r="N346" s="88"/>
      <c r="O346" s="88"/>
      <c r="P346" s="86"/>
      <c r="Q346" s="86"/>
      <c r="Y346" s="89" t="str">
        <f t="shared" si="13"/>
        <v/>
      </c>
      <c r="AC346" s="191"/>
      <c r="AD346" s="16">
        <f>WEEKNUM(tblKPIs[[#This Row],[Production Start Date]])</f>
        <v>0</v>
      </c>
      <c r="AE346" s="16"/>
      <c r="AF346" s="16"/>
      <c r="AG346" s="16"/>
      <c r="AH346" s="16"/>
      <c r="AI346" s="16"/>
      <c r="AJ346" s="16"/>
      <c r="AL346" s="16"/>
      <c r="AM346" s="16"/>
      <c r="AN346" s="16"/>
      <c r="AO346" s="16"/>
      <c r="AP346" s="16"/>
      <c r="AQ346" s="16"/>
      <c r="AR346" s="16"/>
      <c r="AS346" s="16"/>
      <c r="BB346" s="172"/>
      <c r="BC346" s="172"/>
    </row>
    <row r="347" spans="3:55" x14ac:dyDescent="0.35">
      <c r="C347" s="91"/>
      <c r="D347" s="88"/>
      <c r="E347" s="89"/>
      <c r="F347" s="93"/>
      <c r="G347" s="88"/>
      <c r="H347" s="88"/>
      <c r="I347" s="88"/>
      <c r="J347" s="88"/>
      <c r="K347" s="88"/>
      <c r="L347" s="88"/>
      <c r="M347" s="88"/>
      <c r="N347" s="88"/>
      <c r="O347" s="88"/>
      <c r="P347" s="85"/>
      <c r="Q347" s="85"/>
      <c r="Y347" s="89" t="str">
        <f t="shared" si="13"/>
        <v/>
      </c>
      <c r="AC347" s="191"/>
      <c r="AD347" s="16">
        <f>WEEKNUM(tblKPIs[[#This Row],[Production Start Date]])</f>
        <v>0</v>
      </c>
      <c r="AE347" s="16"/>
      <c r="AF347" s="16"/>
      <c r="AG347" s="16"/>
      <c r="AH347" s="16"/>
      <c r="AI347" s="16"/>
      <c r="AJ347" s="16"/>
      <c r="AL347" s="16"/>
      <c r="AM347" s="16"/>
      <c r="AN347" s="16"/>
      <c r="AO347" s="16"/>
      <c r="AP347" s="16"/>
      <c r="AQ347" s="16"/>
      <c r="AR347" s="16"/>
      <c r="AS347" s="16"/>
      <c r="BB347" s="171"/>
      <c r="BC347" s="171"/>
    </row>
    <row r="348" spans="3:55" x14ac:dyDescent="0.35">
      <c r="C348" s="91"/>
      <c r="D348" s="88"/>
      <c r="E348" s="89"/>
      <c r="F348" s="93"/>
      <c r="G348" s="88"/>
      <c r="H348" s="88"/>
      <c r="I348" s="88"/>
      <c r="J348" s="88"/>
      <c r="K348" s="88"/>
      <c r="L348" s="88"/>
      <c r="M348" s="88"/>
      <c r="N348" s="88"/>
      <c r="O348" s="88"/>
      <c r="P348" s="85"/>
      <c r="Q348" s="85"/>
      <c r="Y348" s="89" t="str">
        <f t="shared" si="13"/>
        <v/>
      </c>
      <c r="AC348" s="191"/>
      <c r="AD348" s="16">
        <f>WEEKNUM(tblKPIs[[#This Row],[Production Start Date]])</f>
        <v>0</v>
      </c>
      <c r="AE348" s="16"/>
      <c r="AF348" s="16"/>
      <c r="AG348" s="16"/>
      <c r="AH348" s="16"/>
      <c r="AI348" s="16"/>
      <c r="AJ348" s="16"/>
      <c r="AL348" s="16"/>
      <c r="AM348" s="16"/>
      <c r="AN348" s="16"/>
      <c r="AO348" s="16"/>
      <c r="AP348" s="16"/>
      <c r="AQ348" s="16"/>
      <c r="AR348" s="16"/>
      <c r="AS348" s="16"/>
      <c r="BB348" s="172"/>
      <c r="BC348" s="172"/>
    </row>
    <row r="349" spans="3:55" x14ac:dyDescent="0.35">
      <c r="C349" s="91"/>
      <c r="D349" s="88"/>
      <c r="E349" s="89"/>
      <c r="F349" s="93"/>
      <c r="G349" s="88"/>
      <c r="H349" s="88"/>
      <c r="I349" s="88"/>
      <c r="J349" s="88"/>
      <c r="K349" s="88"/>
      <c r="L349" s="88"/>
      <c r="M349" s="88"/>
      <c r="N349" s="88"/>
      <c r="O349" s="88"/>
      <c r="P349" s="85"/>
      <c r="Q349" s="85"/>
      <c r="Y349" s="89" t="str">
        <f t="shared" si="13"/>
        <v/>
      </c>
      <c r="AC349" s="191"/>
      <c r="AD349" s="16">
        <f>WEEKNUM(tblKPIs[[#This Row],[Production Start Date]])</f>
        <v>0</v>
      </c>
      <c r="AE349" s="16"/>
      <c r="AF349" s="16"/>
      <c r="AG349" s="16"/>
      <c r="AH349" s="16"/>
      <c r="AI349" s="16"/>
      <c r="AJ349" s="16"/>
      <c r="AL349" s="16"/>
      <c r="AM349" s="16"/>
      <c r="AN349" s="16"/>
      <c r="AO349" s="16"/>
      <c r="AP349" s="16"/>
      <c r="AQ349" s="16"/>
      <c r="AR349" s="16"/>
      <c r="AS349" s="16"/>
      <c r="BB349" s="171"/>
      <c r="BC349" s="171"/>
    </row>
    <row r="350" spans="3:55" x14ac:dyDescent="0.35">
      <c r="C350" s="91"/>
      <c r="D350" s="88"/>
      <c r="E350" s="89"/>
      <c r="F350" s="93"/>
      <c r="G350" s="88"/>
      <c r="H350" s="88"/>
      <c r="I350" s="88"/>
      <c r="J350" s="88"/>
      <c r="K350" s="88"/>
      <c r="L350" s="88"/>
      <c r="M350" s="88"/>
      <c r="N350" s="88"/>
      <c r="O350" s="88"/>
      <c r="P350" s="85"/>
      <c r="Q350" s="85"/>
      <c r="Y350" s="89" t="str">
        <f t="shared" si="13"/>
        <v/>
      </c>
      <c r="AC350" s="191"/>
      <c r="AD350" s="16">
        <f>WEEKNUM(tblKPIs[[#This Row],[Production Start Date]])</f>
        <v>0</v>
      </c>
      <c r="AE350" s="16"/>
      <c r="AF350" s="16"/>
      <c r="AG350" s="16"/>
      <c r="AH350" s="16"/>
      <c r="AI350" s="16"/>
      <c r="AJ350" s="16"/>
      <c r="AL350" s="16"/>
      <c r="AM350" s="16"/>
      <c r="AN350" s="16"/>
      <c r="AO350" s="16"/>
      <c r="AP350" s="16"/>
      <c r="AQ350" s="16"/>
      <c r="AR350" s="16"/>
      <c r="AS350" s="16"/>
      <c r="BB350" s="172"/>
      <c r="BC350" s="172"/>
    </row>
    <row r="351" spans="3:55" x14ac:dyDescent="0.35">
      <c r="C351" s="91"/>
      <c r="D351" s="88"/>
      <c r="E351" s="89"/>
      <c r="F351" s="93"/>
      <c r="G351" s="88"/>
      <c r="H351" s="88"/>
      <c r="I351" s="88"/>
      <c r="J351" s="88"/>
      <c r="K351" s="88"/>
      <c r="L351" s="88"/>
      <c r="M351" s="88"/>
      <c r="N351" s="88"/>
      <c r="O351" s="88"/>
      <c r="P351" s="86"/>
      <c r="Q351" s="86"/>
      <c r="Y351" s="89" t="str">
        <f t="shared" si="13"/>
        <v/>
      </c>
      <c r="AC351" s="191"/>
      <c r="AD351" s="16">
        <f>WEEKNUM(tblKPIs[[#This Row],[Production Start Date]])</f>
        <v>0</v>
      </c>
      <c r="AE351" s="16"/>
      <c r="AF351" s="16"/>
      <c r="AG351" s="16"/>
      <c r="AH351" s="16"/>
      <c r="AI351" s="16"/>
      <c r="AJ351" s="16"/>
      <c r="AL351" s="16"/>
      <c r="AM351" s="16"/>
      <c r="AN351" s="16"/>
      <c r="AO351" s="16"/>
      <c r="AP351" s="16"/>
      <c r="AQ351" s="16"/>
      <c r="AR351" s="16"/>
      <c r="AS351" s="16"/>
      <c r="BB351" s="171"/>
      <c r="BC351" s="171"/>
    </row>
    <row r="352" spans="3:55" x14ac:dyDescent="0.35">
      <c r="C352" s="91"/>
      <c r="D352" s="115"/>
      <c r="H352" s="115"/>
      <c r="K352" s="115"/>
      <c r="L352" s="115"/>
      <c r="M352" s="115"/>
      <c r="N352" s="115"/>
      <c r="O352" s="88"/>
      <c r="P352" s="85"/>
      <c r="Q352" s="85"/>
      <c r="R352" s="191"/>
      <c r="S352" s="191"/>
      <c r="T352" s="191"/>
      <c r="U352" s="191"/>
      <c r="V352" s="191"/>
      <c r="W352" s="191"/>
      <c r="Y352" s="89" t="str">
        <f t="shared" si="13"/>
        <v/>
      </c>
      <c r="Z352" s="191"/>
      <c r="AA352" s="191"/>
      <c r="AB352" s="191"/>
      <c r="AC352" s="191"/>
      <c r="AD352" s="16">
        <f>WEEKNUM(tblKPIs[[#This Row],[Production Start Date]])</f>
        <v>0</v>
      </c>
      <c r="AE352" s="16"/>
      <c r="AF352" s="16"/>
      <c r="AG352" s="16"/>
      <c r="AH352" s="16"/>
      <c r="AI352" s="16"/>
      <c r="AJ352" s="16"/>
      <c r="AL352" s="16"/>
      <c r="AM352" s="16"/>
      <c r="AN352" s="16"/>
      <c r="AO352" s="16"/>
      <c r="AP352" s="16"/>
      <c r="AQ352" s="16"/>
      <c r="AR352" s="16"/>
      <c r="AS352" s="16"/>
      <c r="BB352" s="172"/>
      <c r="BC352" s="172"/>
    </row>
    <row r="353" spans="3:55" x14ac:dyDescent="0.35">
      <c r="C353" s="91"/>
      <c r="D353" s="115"/>
      <c r="E353" s="79"/>
      <c r="F353" s="114"/>
      <c r="G353" s="79"/>
      <c r="H353" s="115"/>
      <c r="I353" s="79"/>
      <c r="J353" s="79"/>
      <c r="K353" s="115"/>
      <c r="L353" s="115"/>
      <c r="M353" s="115"/>
      <c r="N353" s="115"/>
      <c r="O353" s="88"/>
      <c r="P353" s="85"/>
      <c r="Q353" s="85"/>
      <c r="R353" s="191"/>
      <c r="S353" s="191"/>
      <c r="T353" s="191"/>
      <c r="U353" s="191"/>
      <c r="V353" s="191"/>
      <c r="W353" s="191"/>
      <c r="Y353" s="89" t="str">
        <f t="shared" si="13"/>
        <v/>
      </c>
      <c r="Z353" s="191"/>
      <c r="AA353" s="191"/>
      <c r="AB353" s="191"/>
      <c r="AC353" s="191"/>
      <c r="AD353" s="16">
        <f>WEEKNUM(tblKPIs[[#This Row],[Production Start Date]])</f>
        <v>0</v>
      </c>
      <c r="AE353" s="16"/>
      <c r="AF353" s="16"/>
      <c r="AG353" s="16"/>
      <c r="AH353" s="16"/>
      <c r="AI353" s="16"/>
      <c r="AJ353" s="16"/>
      <c r="AL353" s="16"/>
      <c r="AM353" s="16"/>
      <c r="AN353" s="16"/>
      <c r="AO353" s="16"/>
      <c r="AP353" s="16"/>
      <c r="AQ353" s="16"/>
      <c r="AR353" s="16"/>
      <c r="AS353" s="16"/>
      <c r="BB353" s="171"/>
      <c r="BC353" s="171"/>
    </row>
    <row r="354" spans="3:55" x14ac:dyDescent="0.35">
      <c r="C354" s="91"/>
      <c r="D354" s="115"/>
      <c r="H354" s="115"/>
      <c r="K354" s="115"/>
      <c r="L354" s="115"/>
      <c r="M354" s="115"/>
      <c r="N354" s="115"/>
      <c r="O354" s="88"/>
      <c r="P354" s="85"/>
      <c r="Q354" s="85"/>
      <c r="R354" s="191"/>
      <c r="S354" s="191"/>
      <c r="T354" s="191"/>
      <c r="U354" s="191"/>
      <c r="V354" s="191"/>
      <c r="W354" s="191"/>
      <c r="Y354" s="89" t="str">
        <f t="shared" si="13"/>
        <v/>
      </c>
      <c r="Z354" s="191"/>
      <c r="AA354" s="191"/>
      <c r="AB354" s="191"/>
      <c r="AC354" s="191"/>
      <c r="AD354" s="16">
        <f>WEEKNUM(tblKPIs[[#This Row],[Production Start Date]])</f>
        <v>0</v>
      </c>
      <c r="AE354" s="16"/>
      <c r="AF354" s="16"/>
      <c r="AG354" s="16"/>
      <c r="AH354" s="16"/>
      <c r="AI354" s="16"/>
      <c r="AJ354" s="16"/>
      <c r="AL354" s="16"/>
      <c r="AM354" s="16"/>
      <c r="AN354" s="16"/>
      <c r="AO354" s="16"/>
      <c r="AP354" s="16"/>
      <c r="AQ354" s="16"/>
      <c r="AR354" s="16"/>
      <c r="AS354" s="16"/>
      <c r="BB354" s="172"/>
      <c r="BC354" s="172"/>
    </row>
    <row r="355" spans="3:55" x14ac:dyDescent="0.35">
      <c r="C355" s="91"/>
      <c r="D355" s="115"/>
      <c r="H355" s="115"/>
      <c r="K355" s="115"/>
      <c r="L355" s="115"/>
      <c r="M355" s="115"/>
      <c r="N355" s="115"/>
      <c r="O355" s="88"/>
      <c r="P355" s="85"/>
      <c r="Q355" s="85"/>
      <c r="R355" s="191"/>
      <c r="S355" s="191"/>
      <c r="T355" s="191"/>
      <c r="U355" s="191"/>
      <c r="V355" s="191"/>
      <c r="W355" s="191"/>
      <c r="Y355" s="89" t="str">
        <f t="shared" si="13"/>
        <v/>
      </c>
      <c r="Z355" s="191"/>
      <c r="AA355" s="191"/>
      <c r="AB355" s="191"/>
      <c r="AC355" s="191"/>
      <c r="AD355" s="16">
        <f>WEEKNUM(tblKPIs[[#This Row],[Production Start Date]])</f>
        <v>0</v>
      </c>
      <c r="AE355" s="16"/>
      <c r="AF355" s="16"/>
      <c r="AG355" s="16"/>
      <c r="AH355" s="16"/>
      <c r="AI355" s="16"/>
      <c r="AJ355" s="16"/>
      <c r="AL355" s="16"/>
      <c r="AM355" s="16"/>
      <c r="AN355" s="16"/>
      <c r="AO355" s="16"/>
      <c r="AP355" s="16"/>
      <c r="AQ355" s="16"/>
      <c r="AR355" s="16"/>
      <c r="AS355" s="16"/>
      <c r="BB355" s="171"/>
      <c r="BC355" s="171"/>
    </row>
    <row r="356" spans="3:55" x14ac:dyDescent="0.35">
      <c r="C356" s="91"/>
      <c r="D356" s="115"/>
      <c r="H356" s="115"/>
      <c r="K356" s="115"/>
      <c r="L356" s="115"/>
      <c r="M356" s="115"/>
      <c r="N356" s="115"/>
      <c r="O356" s="88"/>
      <c r="P356" s="86"/>
      <c r="Q356" s="86"/>
      <c r="R356" s="191"/>
      <c r="S356" s="191"/>
      <c r="T356" s="191"/>
      <c r="U356" s="191"/>
      <c r="V356" s="191"/>
      <c r="W356" s="191"/>
      <c r="Y356" s="89" t="str">
        <f t="shared" si="13"/>
        <v/>
      </c>
      <c r="Z356" s="191"/>
      <c r="AA356" s="191"/>
      <c r="AB356" s="191"/>
      <c r="AC356" s="191"/>
      <c r="AD356" s="16">
        <f>WEEKNUM(tblKPIs[[#This Row],[Production Start Date]])</f>
        <v>0</v>
      </c>
      <c r="AE356" s="16"/>
      <c r="AF356" s="16"/>
      <c r="AG356" s="16"/>
      <c r="AH356" s="16"/>
      <c r="AI356" s="16"/>
      <c r="AJ356" s="16"/>
      <c r="AL356" s="16"/>
      <c r="AM356" s="16"/>
      <c r="AN356" s="16"/>
      <c r="AO356" s="16"/>
      <c r="AP356" s="16"/>
      <c r="AQ356" s="16"/>
      <c r="AR356" s="16"/>
      <c r="AS356" s="16"/>
      <c r="BB356" s="172"/>
      <c r="BC356" s="172"/>
    </row>
    <row r="357" spans="3:55" x14ac:dyDescent="0.35">
      <c r="C357" s="91"/>
      <c r="D357" s="115"/>
      <c r="H357" s="115"/>
      <c r="K357" s="115"/>
      <c r="L357" s="115"/>
      <c r="M357" s="115"/>
      <c r="N357" s="115"/>
      <c r="O357" s="88"/>
      <c r="P357" s="85"/>
      <c r="Q357" s="85"/>
      <c r="R357" s="191"/>
      <c r="S357" s="191"/>
      <c r="T357" s="191"/>
      <c r="U357" s="191"/>
      <c r="V357" s="191"/>
      <c r="W357" s="191"/>
      <c r="Y357" s="89" t="str">
        <f t="shared" si="13"/>
        <v/>
      </c>
      <c r="Z357" s="191"/>
      <c r="AA357" s="191"/>
      <c r="AB357" s="191"/>
      <c r="AC357" s="191"/>
      <c r="AD357" s="16">
        <f>WEEKNUM(tblKPIs[[#This Row],[Production Start Date]])</f>
        <v>0</v>
      </c>
      <c r="AE357" s="16"/>
      <c r="AF357" s="16"/>
      <c r="AG357" s="16"/>
      <c r="AH357" s="16"/>
      <c r="AI357" s="16"/>
      <c r="AJ357" s="16"/>
      <c r="AL357" s="16"/>
      <c r="AM357" s="16"/>
      <c r="AN357" s="16"/>
      <c r="AO357" s="16"/>
      <c r="AP357" s="16"/>
      <c r="AQ357" s="16"/>
      <c r="AR357" s="16"/>
      <c r="AS357" s="16"/>
      <c r="BB357" s="171"/>
      <c r="BC357" s="171"/>
    </row>
    <row r="358" spans="3:55" x14ac:dyDescent="0.35">
      <c r="C358" s="91"/>
      <c r="D358" s="115"/>
      <c r="H358" s="115"/>
      <c r="K358" s="115"/>
      <c r="L358" s="115"/>
      <c r="M358" s="115"/>
      <c r="N358" s="115"/>
      <c r="O358" s="88"/>
      <c r="P358" s="85"/>
      <c r="Q358" s="85"/>
      <c r="R358" s="191"/>
      <c r="S358" s="191"/>
      <c r="T358" s="191"/>
      <c r="U358" s="191"/>
      <c r="V358" s="191"/>
      <c r="W358" s="191"/>
      <c r="Y358" s="89" t="str">
        <f t="shared" si="13"/>
        <v/>
      </c>
      <c r="Z358" s="191"/>
      <c r="AA358" s="191"/>
      <c r="AB358" s="191"/>
      <c r="AC358" s="191"/>
      <c r="AD358" s="16">
        <f>WEEKNUM(tblKPIs[[#This Row],[Production Start Date]])</f>
        <v>0</v>
      </c>
      <c r="AE358" s="16"/>
      <c r="AF358" s="16"/>
      <c r="AG358" s="16"/>
      <c r="AH358" s="16"/>
      <c r="AI358" s="16"/>
      <c r="AJ358" s="16"/>
      <c r="AL358" s="16"/>
      <c r="AM358" s="16"/>
      <c r="AN358" s="16"/>
      <c r="AO358" s="16"/>
      <c r="AP358" s="16"/>
      <c r="AQ358" s="16"/>
      <c r="AR358" s="16"/>
      <c r="AS358" s="16"/>
      <c r="BB358" s="172"/>
      <c r="BC358" s="172"/>
    </row>
    <row r="359" spans="3:55" x14ac:dyDescent="0.35">
      <c r="C359" s="91"/>
      <c r="D359" s="115"/>
      <c r="H359" s="115"/>
      <c r="K359" s="115"/>
      <c r="L359" s="115"/>
      <c r="M359" s="115"/>
      <c r="N359" s="115"/>
      <c r="O359" s="88"/>
      <c r="P359" s="85"/>
      <c r="Q359" s="85"/>
      <c r="R359" s="191"/>
      <c r="S359" s="191"/>
      <c r="T359" s="191"/>
      <c r="U359" s="191"/>
      <c r="V359" s="191"/>
      <c r="W359" s="191"/>
      <c r="Y359" s="89" t="str">
        <f t="shared" si="13"/>
        <v/>
      </c>
      <c r="Z359" s="191"/>
      <c r="AA359" s="191"/>
      <c r="AB359" s="191"/>
      <c r="AC359" s="191"/>
      <c r="AD359" s="16">
        <f>WEEKNUM(tblKPIs[[#This Row],[Production Start Date]])</f>
        <v>0</v>
      </c>
      <c r="AE359" s="16"/>
      <c r="AF359" s="16"/>
      <c r="AG359" s="16"/>
      <c r="AH359" s="16"/>
      <c r="AI359" s="16"/>
      <c r="AJ359" s="16"/>
      <c r="AL359" s="16"/>
      <c r="AM359" s="16"/>
      <c r="AN359" s="16"/>
      <c r="AO359" s="16"/>
      <c r="AP359" s="16"/>
      <c r="AQ359" s="16"/>
      <c r="AR359" s="16"/>
      <c r="AS359" s="16"/>
      <c r="BB359" s="171"/>
      <c r="BC359" s="171"/>
    </row>
    <row r="360" spans="3:55" x14ac:dyDescent="0.35">
      <c r="C360" s="91"/>
      <c r="D360" s="115"/>
      <c r="H360" s="115"/>
      <c r="K360" s="115"/>
      <c r="L360" s="115"/>
      <c r="M360" s="115"/>
      <c r="N360" s="115"/>
      <c r="O360" s="88"/>
      <c r="P360" s="85"/>
      <c r="Q360" s="85"/>
      <c r="R360" s="191"/>
      <c r="S360" s="191"/>
      <c r="T360" s="191"/>
      <c r="U360" s="191"/>
      <c r="V360" s="191"/>
      <c r="W360" s="191"/>
      <c r="Y360" s="89" t="str">
        <f t="shared" si="13"/>
        <v/>
      </c>
      <c r="Z360" s="191"/>
      <c r="AA360" s="191"/>
      <c r="AB360" s="191"/>
      <c r="AC360" s="191"/>
      <c r="AD360" s="16">
        <f>WEEKNUM(tblKPIs[[#This Row],[Production Start Date]])</f>
        <v>0</v>
      </c>
      <c r="AE360" s="16"/>
      <c r="AF360" s="16"/>
      <c r="AG360" s="16"/>
      <c r="AH360" s="16"/>
      <c r="AI360" s="16"/>
      <c r="AJ360" s="16"/>
      <c r="AL360" s="16"/>
      <c r="AM360" s="16"/>
      <c r="AN360" s="16"/>
      <c r="AO360" s="16"/>
      <c r="AP360" s="16"/>
      <c r="AQ360" s="16"/>
      <c r="AR360" s="16"/>
      <c r="AS360" s="16"/>
      <c r="BB360" s="172"/>
      <c r="BC360" s="172"/>
    </row>
    <row r="361" spans="3:55" x14ac:dyDescent="0.35">
      <c r="C361" s="91"/>
      <c r="D361" s="115"/>
      <c r="H361" s="115"/>
      <c r="K361" s="115"/>
      <c r="L361" s="115"/>
      <c r="M361" s="115"/>
      <c r="N361" s="115"/>
      <c r="O361" s="88"/>
      <c r="P361" s="86"/>
      <c r="Q361" s="86"/>
      <c r="R361" s="191"/>
      <c r="S361" s="191"/>
      <c r="T361" s="191"/>
      <c r="U361" s="191"/>
      <c r="V361" s="191"/>
      <c r="W361" s="191"/>
      <c r="Y361" s="89" t="str">
        <f t="shared" si="13"/>
        <v/>
      </c>
      <c r="Z361" s="191"/>
      <c r="AA361" s="191"/>
      <c r="AB361" s="191"/>
      <c r="AC361" s="191"/>
      <c r="AD361" s="16">
        <f>WEEKNUM(tblKPIs[[#This Row],[Production Start Date]])</f>
        <v>0</v>
      </c>
      <c r="AE361" s="16"/>
      <c r="AF361" s="16"/>
      <c r="AG361" s="16"/>
      <c r="AH361" s="16"/>
      <c r="AI361" s="16"/>
      <c r="AJ361" s="16"/>
      <c r="AL361" s="16"/>
      <c r="AM361" s="16"/>
      <c r="AN361" s="16"/>
      <c r="AO361" s="16"/>
      <c r="AP361" s="16"/>
      <c r="AQ361" s="16"/>
      <c r="AR361" s="16"/>
      <c r="AS361" s="16"/>
      <c r="BB361" s="171"/>
      <c r="BC361" s="171"/>
    </row>
    <row r="362" spans="3:55" x14ac:dyDescent="0.35">
      <c r="C362" s="91"/>
      <c r="D362" s="115"/>
      <c r="H362" s="115"/>
      <c r="K362" s="115"/>
      <c r="L362" s="115"/>
      <c r="M362" s="115"/>
      <c r="N362" s="115"/>
      <c r="O362" s="88"/>
      <c r="P362" s="85"/>
      <c r="Q362" s="85"/>
      <c r="R362" s="191"/>
      <c r="S362" s="191"/>
      <c r="T362" s="191"/>
      <c r="U362" s="191"/>
      <c r="V362" s="191"/>
      <c r="W362" s="191"/>
      <c r="Y362" s="89" t="str">
        <f t="shared" si="13"/>
        <v/>
      </c>
      <c r="Z362" s="191"/>
      <c r="AA362" s="191"/>
      <c r="AB362" s="191"/>
      <c r="AC362" s="191"/>
      <c r="AD362" s="16">
        <f>WEEKNUM(tblKPIs[[#This Row],[Production Start Date]])</f>
        <v>0</v>
      </c>
      <c r="AE362" s="16"/>
      <c r="AF362" s="16"/>
      <c r="AG362" s="16"/>
      <c r="AH362" s="16"/>
      <c r="AI362" s="16"/>
      <c r="AJ362" s="16"/>
      <c r="AL362" s="16"/>
      <c r="AM362" s="16"/>
      <c r="AN362" s="16"/>
      <c r="AO362" s="16"/>
      <c r="AP362" s="16"/>
      <c r="AQ362" s="16"/>
      <c r="AR362" s="16"/>
      <c r="AS362" s="16"/>
      <c r="BB362" s="172"/>
      <c r="BC362" s="172"/>
    </row>
    <row r="363" spans="3:55" x14ac:dyDescent="0.35">
      <c r="C363" s="91"/>
      <c r="D363" s="115"/>
      <c r="H363" s="115"/>
      <c r="K363" s="115"/>
      <c r="L363" s="115"/>
      <c r="M363" s="115"/>
      <c r="N363" s="115"/>
      <c r="O363" s="88"/>
      <c r="P363" s="85"/>
      <c r="Q363" s="85"/>
      <c r="R363" s="191"/>
      <c r="S363" s="191"/>
      <c r="T363" s="191"/>
      <c r="U363" s="191"/>
      <c r="V363" s="191"/>
      <c r="W363" s="191"/>
      <c r="Y363" s="89" t="str">
        <f t="shared" si="13"/>
        <v/>
      </c>
      <c r="Z363" s="191"/>
      <c r="AA363" s="191"/>
      <c r="AB363" s="191"/>
      <c r="AC363" s="191"/>
      <c r="AD363" s="16">
        <f>WEEKNUM(tblKPIs[[#This Row],[Production Start Date]])</f>
        <v>0</v>
      </c>
      <c r="AE363" s="16"/>
      <c r="AF363" s="16"/>
      <c r="AG363" s="16"/>
      <c r="AH363" s="16"/>
      <c r="AI363" s="16"/>
      <c r="AJ363" s="16"/>
      <c r="AL363" s="16"/>
      <c r="AM363" s="16"/>
      <c r="AN363" s="16"/>
      <c r="AO363" s="16"/>
      <c r="AP363" s="16"/>
      <c r="AQ363" s="16"/>
      <c r="AR363" s="16"/>
      <c r="AS363" s="16"/>
      <c r="BB363" s="171"/>
      <c r="BC363" s="171"/>
    </row>
    <row r="364" spans="3:55" x14ac:dyDescent="0.35">
      <c r="C364" s="91"/>
      <c r="D364" s="115"/>
      <c r="H364" s="115"/>
      <c r="K364" s="115"/>
      <c r="L364" s="115"/>
      <c r="M364" s="115"/>
      <c r="N364" s="115"/>
      <c r="O364" s="88"/>
      <c r="P364" s="85"/>
      <c r="Q364" s="85"/>
      <c r="R364" s="191"/>
      <c r="S364" s="191"/>
      <c r="T364" s="191"/>
      <c r="U364" s="191"/>
      <c r="V364" s="191"/>
      <c r="W364" s="191"/>
      <c r="Y364" s="89" t="str">
        <f t="shared" si="13"/>
        <v/>
      </c>
      <c r="Z364" s="191"/>
      <c r="AA364" s="191"/>
      <c r="AB364" s="191"/>
      <c r="AC364" s="191"/>
      <c r="AD364" s="16">
        <f>WEEKNUM(tblKPIs[[#This Row],[Production Start Date]])</f>
        <v>0</v>
      </c>
      <c r="AE364" s="16"/>
      <c r="AF364" s="16"/>
      <c r="AG364" s="16"/>
      <c r="AH364" s="16"/>
      <c r="AI364" s="16"/>
      <c r="AJ364" s="16"/>
      <c r="AL364" s="16"/>
      <c r="AM364" s="16"/>
      <c r="AN364" s="16"/>
      <c r="AO364" s="16"/>
      <c r="AP364" s="16"/>
      <c r="AQ364" s="16"/>
      <c r="AR364" s="16"/>
      <c r="AS364" s="16"/>
      <c r="BB364" s="173"/>
      <c r="BC364" s="173"/>
    </row>
    <row r="365" spans="3:55" x14ac:dyDescent="0.35">
      <c r="D365" s="115"/>
      <c r="H365" s="115"/>
      <c r="K365" s="115" t="str">
        <f t="shared" ref="K365:K396" si="14">IF(BB365="","",+BB365/10)</f>
        <v/>
      </c>
      <c r="L365" s="115"/>
      <c r="M365" s="115"/>
      <c r="N365" s="115"/>
      <c r="O365" s="115"/>
      <c r="P365" s="181"/>
      <c r="Q365" s="181"/>
      <c r="R365" s="192"/>
      <c r="S365" s="191"/>
      <c r="T365" s="193"/>
      <c r="U365" s="191"/>
      <c r="V365" s="89"/>
      <c r="W365" s="191"/>
      <c r="Y365" s="193" t="str">
        <f t="shared" ref="Y365:Y396" si="15">IF(BC365="","",+BC365/10)</f>
        <v/>
      </c>
      <c r="Z365" s="191"/>
      <c r="AA365" s="191"/>
      <c r="AB365" s="191"/>
      <c r="AC365" s="191"/>
      <c r="AD365" s="16">
        <f>WEEKNUM(tblKPIs[[#This Row],[Production Start Date]])</f>
        <v>0</v>
      </c>
      <c r="AE365" s="16"/>
      <c r="AF365" s="16"/>
      <c r="AG365" s="16"/>
      <c r="AH365" s="16"/>
      <c r="AI365" s="16"/>
      <c r="AJ365" s="16"/>
      <c r="AL365" s="16"/>
      <c r="AM365" s="16"/>
      <c r="AN365" s="16"/>
      <c r="AO365" s="16"/>
      <c r="AP365" s="16"/>
      <c r="AQ365" s="16"/>
      <c r="AR365" s="16"/>
      <c r="AS365" s="16"/>
    </row>
    <row r="366" spans="3:55" x14ac:dyDescent="0.35">
      <c r="D366" s="115"/>
      <c r="H366" s="115"/>
      <c r="K366" s="115" t="str">
        <f t="shared" si="14"/>
        <v/>
      </c>
      <c r="L366" s="115"/>
      <c r="M366" s="115"/>
      <c r="N366" s="115"/>
      <c r="O366" s="115"/>
      <c r="P366" s="181"/>
      <c r="Q366" s="181"/>
      <c r="R366" s="192"/>
      <c r="S366" s="191"/>
      <c r="T366" s="193"/>
      <c r="U366" s="191"/>
      <c r="V366" s="89"/>
      <c r="W366" s="191"/>
      <c r="Y366" s="193" t="str">
        <f t="shared" si="15"/>
        <v/>
      </c>
      <c r="Z366" s="191"/>
      <c r="AA366" s="191"/>
      <c r="AB366" s="191"/>
      <c r="AC366" s="191"/>
      <c r="AD366" s="16">
        <f>WEEKNUM(tblKPIs[[#This Row],[Production Start Date]])</f>
        <v>0</v>
      </c>
      <c r="AE366" s="16"/>
      <c r="AF366" s="16"/>
      <c r="AG366" s="16"/>
      <c r="AH366" s="16"/>
      <c r="AI366" s="16"/>
      <c r="AJ366" s="16"/>
      <c r="AL366" s="16"/>
      <c r="AM366" s="16"/>
      <c r="AN366" s="16"/>
      <c r="AO366" s="16"/>
      <c r="AP366" s="16"/>
      <c r="AQ366" s="16"/>
      <c r="AR366" s="16"/>
      <c r="AS366" s="16"/>
    </row>
    <row r="367" spans="3:55" x14ac:dyDescent="0.35">
      <c r="D367" s="115"/>
      <c r="H367" s="115"/>
      <c r="K367" s="115" t="str">
        <f t="shared" si="14"/>
        <v/>
      </c>
      <c r="L367" s="115"/>
      <c r="M367" s="115"/>
      <c r="N367" s="115"/>
      <c r="O367" s="115"/>
      <c r="P367" s="181"/>
      <c r="Q367" s="181"/>
      <c r="R367" s="192"/>
      <c r="S367" s="191"/>
      <c r="T367" s="193"/>
      <c r="U367" s="191"/>
      <c r="V367" s="89"/>
      <c r="W367" s="191"/>
      <c r="Y367" s="193" t="str">
        <f t="shared" si="15"/>
        <v/>
      </c>
      <c r="Z367" s="191"/>
      <c r="AA367" s="191"/>
      <c r="AB367" s="191"/>
      <c r="AC367" s="191"/>
      <c r="AD367" s="16">
        <f>WEEKNUM(tblKPIs[[#This Row],[Production Start Date]])</f>
        <v>0</v>
      </c>
      <c r="AE367" s="16"/>
      <c r="AF367" s="16"/>
      <c r="AG367" s="16"/>
      <c r="AH367" s="16"/>
      <c r="AI367" s="16"/>
      <c r="AJ367" s="16"/>
      <c r="AL367" s="16"/>
      <c r="AM367" s="16"/>
      <c r="AN367" s="16"/>
      <c r="AO367" s="16"/>
      <c r="AP367" s="16"/>
      <c r="AQ367" s="16"/>
      <c r="AR367" s="16"/>
      <c r="AS367" s="16"/>
    </row>
    <row r="368" spans="3:55" x14ac:dyDescent="0.35">
      <c r="D368" s="115"/>
      <c r="H368" s="115"/>
      <c r="K368" s="115" t="str">
        <f t="shared" si="14"/>
        <v/>
      </c>
      <c r="L368" s="115"/>
      <c r="M368" s="115"/>
      <c r="N368" s="115"/>
      <c r="O368" s="115"/>
      <c r="P368" s="181"/>
      <c r="Q368" s="181"/>
      <c r="R368" s="192"/>
      <c r="S368" s="191"/>
      <c r="T368" s="193"/>
      <c r="U368" s="191"/>
      <c r="V368" s="89"/>
      <c r="W368" s="191"/>
      <c r="Y368" s="193" t="str">
        <f t="shared" si="15"/>
        <v/>
      </c>
      <c r="Z368" s="191"/>
      <c r="AA368" s="191"/>
      <c r="AB368" s="191"/>
      <c r="AC368" s="191"/>
      <c r="AD368" s="16">
        <f>WEEKNUM(tblKPIs[[#This Row],[Production Start Date]])</f>
        <v>0</v>
      </c>
      <c r="AE368" s="16"/>
      <c r="AF368" s="16"/>
      <c r="AG368" s="16"/>
      <c r="AH368" s="16"/>
      <c r="AI368" s="16"/>
      <c r="AJ368" s="16"/>
      <c r="AL368" s="16"/>
      <c r="AM368" s="16"/>
      <c r="AN368" s="16"/>
      <c r="AO368" s="16"/>
      <c r="AP368" s="16"/>
      <c r="AQ368" s="16"/>
      <c r="AR368" s="16"/>
      <c r="AS368" s="16"/>
    </row>
    <row r="369" spans="4:45" x14ac:dyDescent="0.35">
      <c r="D369" s="115"/>
      <c r="H369" s="115"/>
      <c r="K369" s="115" t="str">
        <f t="shared" si="14"/>
        <v/>
      </c>
      <c r="L369" s="115"/>
      <c r="M369" s="115"/>
      <c r="N369" s="115"/>
      <c r="O369" s="115"/>
      <c r="P369" s="181"/>
      <c r="Q369" s="181"/>
      <c r="R369" s="192"/>
      <c r="S369" s="191"/>
      <c r="T369" s="193"/>
      <c r="U369" s="191"/>
      <c r="V369" s="89"/>
      <c r="W369" s="191"/>
      <c r="Y369" s="193" t="str">
        <f t="shared" si="15"/>
        <v/>
      </c>
      <c r="Z369" s="191"/>
      <c r="AA369" s="191"/>
      <c r="AB369" s="191"/>
      <c r="AC369" s="191"/>
      <c r="AD369" s="16">
        <f>WEEKNUM(tblKPIs[[#This Row],[Production Start Date]])</f>
        <v>0</v>
      </c>
      <c r="AE369" s="16"/>
      <c r="AF369" s="16"/>
      <c r="AG369" s="16"/>
      <c r="AH369" s="16"/>
      <c r="AI369" s="16"/>
      <c r="AJ369" s="16"/>
      <c r="AL369" s="16"/>
      <c r="AM369" s="16"/>
      <c r="AN369" s="16"/>
      <c r="AO369" s="16"/>
      <c r="AP369" s="16"/>
      <c r="AQ369" s="16"/>
      <c r="AR369" s="16"/>
      <c r="AS369" s="16"/>
    </row>
    <row r="370" spans="4:45" x14ac:dyDescent="0.35">
      <c r="D370" s="115"/>
      <c r="H370" s="115"/>
      <c r="K370" s="115" t="str">
        <f t="shared" si="14"/>
        <v/>
      </c>
      <c r="L370" s="115"/>
      <c r="M370" s="115"/>
      <c r="N370" s="115"/>
      <c r="O370" s="115"/>
      <c r="P370" s="181"/>
      <c r="Q370" s="181"/>
      <c r="R370" s="192"/>
      <c r="S370" s="191"/>
      <c r="T370" s="193"/>
      <c r="U370" s="191"/>
      <c r="V370" s="89"/>
      <c r="W370" s="191"/>
      <c r="Y370" s="193" t="str">
        <f t="shared" si="15"/>
        <v/>
      </c>
      <c r="Z370" s="191"/>
      <c r="AA370" s="191"/>
      <c r="AB370" s="191"/>
      <c r="AC370" s="191"/>
      <c r="AD370" s="16">
        <f>WEEKNUM(tblKPIs[[#This Row],[Production Start Date]])</f>
        <v>0</v>
      </c>
      <c r="AE370" s="16"/>
      <c r="AF370" s="16"/>
      <c r="AG370" s="16"/>
      <c r="AH370" s="16"/>
      <c r="AI370" s="16"/>
      <c r="AJ370" s="16"/>
      <c r="AL370" s="16"/>
      <c r="AM370" s="16"/>
      <c r="AN370" s="16"/>
      <c r="AO370" s="16"/>
      <c r="AP370" s="16"/>
      <c r="AQ370" s="16"/>
      <c r="AR370" s="16"/>
      <c r="AS370" s="16"/>
    </row>
    <row r="371" spans="4:45" x14ac:dyDescent="0.35">
      <c r="D371" s="115"/>
      <c r="H371" s="115"/>
      <c r="K371" s="115" t="str">
        <f t="shared" si="14"/>
        <v/>
      </c>
      <c r="L371" s="115"/>
      <c r="M371" s="115"/>
      <c r="N371" s="115"/>
      <c r="O371" s="115"/>
      <c r="P371" s="181"/>
      <c r="Q371" s="181"/>
      <c r="R371" s="192"/>
      <c r="S371" s="191"/>
      <c r="T371" s="193"/>
      <c r="U371" s="191"/>
      <c r="V371" s="89"/>
      <c r="W371" s="191"/>
      <c r="Y371" s="193" t="str">
        <f t="shared" si="15"/>
        <v/>
      </c>
      <c r="Z371" s="191"/>
      <c r="AA371" s="191"/>
      <c r="AB371" s="191"/>
      <c r="AC371" s="191"/>
      <c r="AD371" s="16">
        <f>WEEKNUM(tblKPIs[[#This Row],[Production Start Date]])</f>
        <v>0</v>
      </c>
      <c r="AE371" s="16"/>
      <c r="AF371" s="16"/>
      <c r="AG371" s="16"/>
      <c r="AH371" s="16"/>
      <c r="AI371" s="16"/>
      <c r="AJ371" s="16"/>
      <c r="AL371" s="16"/>
      <c r="AM371" s="16"/>
      <c r="AN371" s="16"/>
      <c r="AO371" s="16"/>
      <c r="AP371" s="16"/>
      <c r="AQ371" s="16"/>
      <c r="AR371" s="16"/>
      <c r="AS371" s="16"/>
    </row>
    <row r="372" spans="4:45" x14ac:dyDescent="0.35">
      <c r="D372" s="115"/>
      <c r="H372" s="115"/>
      <c r="K372" s="115" t="str">
        <f t="shared" si="14"/>
        <v/>
      </c>
      <c r="L372" s="115"/>
      <c r="M372" s="115"/>
      <c r="N372" s="115"/>
      <c r="O372" s="115"/>
      <c r="P372" s="181"/>
      <c r="Q372" s="181"/>
      <c r="R372" s="192"/>
      <c r="S372" s="191"/>
      <c r="T372" s="193"/>
      <c r="U372" s="191"/>
      <c r="V372" s="89"/>
      <c r="W372" s="191"/>
      <c r="Y372" s="193" t="str">
        <f t="shared" si="15"/>
        <v/>
      </c>
      <c r="Z372" s="191"/>
      <c r="AA372" s="191"/>
      <c r="AB372" s="191"/>
      <c r="AC372" s="191"/>
      <c r="AD372" s="16">
        <f>WEEKNUM(tblKPIs[[#This Row],[Production Start Date]])</f>
        <v>0</v>
      </c>
      <c r="AE372" s="16"/>
      <c r="AF372" s="16"/>
      <c r="AG372" s="16"/>
      <c r="AH372" s="16"/>
      <c r="AI372" s="16"/>
      <c r="AJ372" s="16"/>
      <c r="AL372" s="16"/>
      <c r="AM372" s="16"/>
      <c r="AN372" s="16"/>
      <c r="AO372" s="16"/>
      <c r="AP372" s="16"/>
      <c r="AQ372" s="16"/>
      <c r="AR372" s="16"/>
      <c r="AS372" s="16"/>
    </row>
    <row r="373" spans="4:45" x14ac:dyDescent="0.35">
      <c r="D373" s="115"/>
      <c r="H373" s="115"/>
      <c r="K373" s="115" t="str">
        <f t="shared" si="14"/>
        <v/>
      </c>
      <c r="L373" s="115"/>
      <c r="M373" s="115"/>
      <c r="N373" s="115"/>
      <c r="O373" s="115"/>
      <c r="P373" s="181"/>
      <c r="Q373" s="181"/>
      <c r="R373" s="192"/>
      <c r="S373" s="191"/>
      <c r="T373" s="193"/>
      <c r="U373" s="191"/>
      <c r="V373" s="89"/>
      <c r="W373" s="191"/>
      <c r="Y373" s="193" t="str">
        <f t="shared" si="15"/>
        <v/>
      </c>
      <c r="Z373" s="191"/>
      <c r="AA373" s="191"/>
      <c r="AB373" s="191"/>
      <c r="AC373" s="191"/>
      <c r="AD373" s="16">
        <f>WEEKNUM(tblKPIs[[#This Row],[Production Start Date]])</f>
        <v>0</v>
      </c>
      <c r="AE373" s="16"/>
      <c r="AF373" s="16"/>
      <c r="AG373" s="16"/>
      <c r="AH373" s="16"/>
      <c r="AI373" s="16"/>
      <c r="AJ373" s="16"/>
      <c r="AL373" s="16"/>
      <c r="AM373" s="16"/>
      <c r="AN373" s="16"/>
      <c r="AO373" s="16"/>
      <c r="AP373" s="16"/>
      <c r="AQ373" s="16"/>
      <c r="AR373" s="16"/>
      <c r="AS373" s="16"/>
    </row>
    <row r="374" spans="4:45" x14ac:dyDescent="0.35">
      <c r="D374" s="115"/>
      <c r="H374" s="115"/>
      <c r="K374" s="115" t="str">
        <f t="shared" si="14"/>
        <v/>
      </c>
      <c r="L374" s="115"/>
      <c r="M374" s="115"/>
      <c r="N374" s="115"/>
      <c r="O374" s="115"/>
      <c r="P374" s="181"/>
      <c r="Q374" s="181"/>
      <c r="R374" s="192"/>
      <c r="S374" s="191"/>
      <c r="T374" s="193"/>
      <c r="U374" s="191"/>
      <c r="V374" s="89"/>
      <c r="W374" s="191"/>
      <c r="Y374" s="193" t="str">
        <f t="shared" si="15"/>
        <v/>
      </c>
      <c r="Z374" s="191"/>
      <c r="AA374" s="191"/>
      <c r="AB374" s="191"/>
      <c r="AC374" s="191"/>
      <c r="AD374" s="16">
        <f>WEEKNUM(tblKPIs[[#This Row],[Production Start Date]])</f>
        <v>0</v>
      </c>
      <c r="AE374" s="16"/>
      <c r="AF374" s="16"/>
      <c r="AG374" s="16"/>
      <c r="AH374" s="16"/>
      <c r="AI374" s="16"/>
      <c r="AJ374" s="16"/>
      <c r="AL374" s="16"/>
      <c r="AM374" s="16"/>
      <c r="AN374" s="16"/>
      <c r="AO374" s="16"/>
      <c r="AP374" s="16"/>
      <c r="AQ374" s="16"/>
      <c r="AR374" s="16"/>
      <c r="AS374" s="16"/>
    </row>
    <row r="375" spans="4:45" x14ac:dyDescent="0.35">
      <c r="D375" s="115"/>
      <c r="H375" s="115"/>
      <c r="K375" s="115" t="str">
        <f t="shared" si="14"/>
        <v/>
      </c>
      <c r="L375" s="115"/>
      <c r="M375" s="115"/>
      <c r="N375" s="115"/>
      <c r="O375" s="115"/>
      <c r="P375" s="181"/>
      <c r="Q375" s="181"/>
      <c r="R375" s="192"/>
      <c r="S375" s="191"/>
      <c r="T375" s="193"/>
      <c r="U375" s="191"/>
      <c r="V375" s="89"/>
      <c r="W375" s="191"/>
      <c r="Y375" s="193" t="str">
        <f t="shared" si="15"/>
        <v/>
      </c>
      <c r="Z375" s="191"/>
      <c r="AA375" s="191"/>
      <c r="AB375" s="191"/>
      <c r="AC375" s="191"/>
      <c r="AD375" s="16">
        <f>WEEKNUM(tblKPIs[[#This Row],[Production Start Date]])</f>
        <v>0</v>
      </c>
      <c r="AE375" s="16"/>
      <c r="AF375" s="16"/>
      <c r="AG375" s="16"/>
      <c r="AH375" s="16"/>
      <c r="AI375" s="16"/>
      <c r="AJ375" s="16"/>
      <c r="AL375" s="16"/>
      <c r="AM375" s="16"/>
      <c r="AN375" s="16"/>
      <c r="AO375" s="16"/>
      <c r="AP375" s="16"/>
      <c r="AQ375" s="16"/>
      <c r="AR375" s="16"/>
      <c r="AS375" s="16"/>
    </row>
    <row r="376" spans="4:45" x14ac:dyDescent="0.35">
      <c r="D376" s="115"/>
      <c r="H376" s="115"/>
      <c r="K376" s="115" t="str">
        <f t="shared" si="14"/>
        <v/>
      </c>
      <c r="L376" s="115"/>
      <c r="M376" s="115"/>
      <c r="N376" s="115"/>
      <c r="O376" s="115"/>
      <c r="P376" s="181"/>
      <c r="Q376" s="181"/>
      <c r="R376" s="192"/>
      <c r="S376" s="191"/>
      <c r="T376" s="193"/>
      <c r="U376" s="191"/>
      <c r="V376" s="89"/>
      <c r="W376" s="191"/>
      <c r="Y376" s="193" t="str">
        <f t="shared" si="15"/>
        <v/>
      </c>
      <c r="Z376" s="191"/>
      <c r="AA376" s="191"/>
      <c r="AB376" s="191"/>
      <c r="AC376" s="191"/>
      <c r="AD376" s="16">
        <f>WEEKNUM(tblKPIs[[#This Row],[Production Start Date]])</f>
        <v>0</v>
      </c>
      <c r="AE376" s="16"/>
      <c r="AF376" s="16"/>
      <c r="AG376" s="16"/>
      <c r="AH376" s="16"/>
      <c r="AI376" s="16"/>
      <c r="AJ376" s="16"/>
      <c r="AL376" s="16"/>
      <c r="AM376" s="16"/>
      <c r="AN376" s="16"/>
      <c r="AO376" s="16"/>
      <c r="AP376" s="16"/>
      <c r="AQ376" s="16"/>
      <c r="AR376" s="16"/>
      <c r="AS376" s="16"/>
    </row>
    <row r="377" spans="4:45" x14ac:dyDescent="0.35">
      <c r="D377" s="115"/>
      <c r="H377" s="115"/>
      <c r="K377" s="115" t="str">
        <f t="shared" si="14"/>
        <v/>
      </c>
      <c r="L377" s="115"/>
      <c r="M377" s="115"/>
      <c r="N377" s="115"/>
      <c r="O377" s="115"/>
      <c r="P377" s="181"/>
      <c r="Q377" s="181"/>
      <c r="R377" s="192"/>
      <c r="S377" s="191"/>
      <c r="T377" s="193"/>
      <c r="U377" s="191"/>
      <c r="V377" s="89"/>
      <c r="W377" s="191"/>
      <c r="Y377" s="193" t="str">
        <f t="shared" si="15"/>
        <v/>
      </c>
      <c r="Z377" s="191"/>
      <c r="AA377" s="191"/>
      <c r="AB377" s="191"/>
      <c r="AC377" s="191"/>
      <c r="AD377" s="16">
        <f>WEEKNUM(tblKPIs[[#This Row],[Production Start Date]])</f>
        <v>0</v>
      </c>
      <c r="AE377" s="16"/>
      <c r="AF377" s="16"/>
      <c r="AG377" s="16"/>
      <c r="AH377" s="16"/>
      <c r="AI377" s="16"/>
      <c r="AJ377" s="16"/>
      <c r="AL377" s="16"/>
      <c r="AM377" s="16"/>
      <c r="AN377" s="16"/>
      <c r="AO377" s="16"/>
      <c r="AP377" s="16"/>
      <c r="AQ377" s="16"/>
      <c r="AR377" s="16"/>
      <c r="AS377" s="16"/>
    </row>
    <row r="378" spans="4:45" x14ac:dyDescent="0.35">
      <c r="D378" s="115"/>
      <c r="H378" s="115"/>
      <c r="K378" s="115" t="str">
        <f t="shared" si="14"/>
        <v/>
      </c>
      <c r="L378" s="115"/>
      <c r="M378" s="115"/>
      <c r="N378" s="115"/>
      <c r="O378" s="115"/>
      <c r="P378" s="181"/>
      <c r="Q378" s="181"/>
      <c r="R378" s="192"/>
      <c r="S378" s="191"/>
      <c r="T378" s="193"/>
      <c r="U378" s="191"/>
      <c r="V378" s="89"/>
      <c r="W378" s="191"/>
      <c r="Y378" s="193" t="str">
        <f t="shared" si="15"/>
        <v/>
      </c>
      <c r="Z378" s="191"/>
      <c r="AA378" s="191"/>
      <c r="AB378" s="191"/>
      <c r="AC378" s="191"/>
      <c r="AD378" s="16">
        <f>WEEKNUM(tblKPIs[[#This Row],[Production Start Date]])</f>
        <v>0</v>
      </c>
      <c r="AE378" s="16"/>
      <c r="AF378" s="16"/>
      <c r="AG378" s="16"/>
      <c r="AH378" s="16"/>
      <c r="AI378" s="16"/>
      <c r="AJ378" s="16"/>
      <c r="AL378" s="16"/>
      <c r="AM378" s="16"/>
      <c r="AN378" s="16"/>
      <c r="AO378" s="16"/>
      <c r="AP378" s="16"/>
      <c r="AQ378" s="16"/>
      <c r="AR378" s="16"/>
      <c r="AS378" s="16"/>
    </row>
    <row r="379" spans="4:45" x14ac:dyDescent="0.35">
      <c r="D379" s="115"/>
      <c r="H379" s="115"/>
      <c r="K379" s="115" t="str">
        <f t="shared" si="14"/>
        <v/>
      </c>
      <c r="L379" s="115"/>
      <c r="M379" s="115"/>
      <c r="N379" s="115"/>
      <c r="O379" s="115"/>
      <c r="P379" s="181"/>
      <c r="Q379" s="181"/>
      <c r="R379" s="192"/>
      <c r="S379" s="191"/>
      <c r="T379" s="193"/>
      <c r="U379" s="191"/>
      <c r="V379" s="89"/>
      <c r="W379" s="191"/>
      <c r="Y379" s="193" t="str">
        <f t="shared" si="15"/>
        <v/>
      </c>
      <c r="Z379" s="191"/>
      <c r="AA379" s="191"/>
      <c r="AB379" s="191"/>
      <c r="AC379" s="191"/>
      <c r="AD379" s="16">
        <f>WEEKNUM(tblKPIs[[#This Row],[Production Start Date]])</f>
        <v>0</v>
      </c>
      <c r="AE379" s="16"/>
      <c r="AF379" s="16"/>
      <c r="AG379" s="16"/>
      <c r="AH379" s="16"/>
      <c r="AI379" s="16"/>
      <c r="AJ379" s="16"/>
      <c r="AL379" s="16"/>
      <c r="AM379" s="16"/>
      <c r="AN379" s="16"/>
      <c r="AO379" s="16"/>
      <c r="AP379" s="16"/>
      <c r="AQ379" s="16"/>
      <c r="AR379" s="16"/>
      <c r="AS379" s="16"/>
    </row>
    <row r="380" spans="4:45" x14ac:dyDescent="0.35">
      <c r="D380" s="115"/>
      <c r="H380" s="115"/>
      <c r="K380" s="115" t="str">
        <f t="shared" si="14"/>
        <v/>
      </c>
      <c r="L380" s="115"/>
      <c r="M380" s="115"/>
      <c r="N380" s="115"/>
      <c r="O380" s="115"/>
      <c r="P380" s="181"/>
      <c r="Q380" s="181"/>
      <c r="R380" s="192"/>
      <c r="S380" s="191"/>
      <c r="T380" s="193"/>
      <c r="U380" s="191"/>
      <c r="V380" s="89"/>
      <c r="W380" s="191"/>
      <c r="Y380" s="193" t="str">
        <f t="shared" si="15"/>
        <v/>
      </c>
      <c r="Z380" s="191"/>
      <c r="AA380" s="191"/>
      <c r="AB380" s="191"/>
      <c r="AC380" s="191"/>
      <c r="AD380" s="16">
        <f>WEEKNUM(tblKPIs[[#This Row],[Production Start Date]])</f>
        <v>0</v>
      </c>
      <c r="AE380" s="16"/>
      <c r="AF380" s="16"/>
      <c r="AG380" s="16"/>
      <c r="AH380" s="16"/>
      <c r="AI380" s="16"/>
      <c r="AJ380" s="16"/>
      <c r="AL380" s="16"/>
      <c r="AM380" s="16"/>
      <c r="AN380" s="16"/>
      <c r="AO380" s="16"/>
      <c r="AP380" s="16"/>
      <c r="AQ380" s="16"/>
      <c r="AR380" s="16"/>
      <c r="AS380" s="16"/>
    </row>
    <row r="381" spans="4:45" x14ac:dyDescent="0.35">
      <c r="D381" s="115"/>
      <c r="H381" s="115"/>
      <c r="K381" s="115" t="str">
        <f t="shared" si="14"/>
        <v/>
      </c>
      <c r="L381" s="115"/>
      <c r="M381" s="115"/>
      <c r="N381" s="115"/>
      <c r="O381" s="115"/>
      <c r="P381" s="181"/>
      <c r="Q381" s="181"/>
      <c r="R381" s="192"/>
      <c r="S381" s="191"/>
      <c r="T381" s="193"/>
      <c r="U381" s="191"/>
      <c r="V381" s="89"/>
      <c r="W381" s="191"/>
      <c r="Y381" s="193" t="str">
        <f t="shared" si="15"/>
        <v/>
      </c>
      <c r="Z381" s="191"/>
      <c r="AA381" s="191"/>
      <c r="AB381" s="191"/>
      <c r="AC381" s="191"/>
      <c r="AD381" s="16">
        <f>WEEKNUM(tblKPIs[[#This Row],[Production Start Date]])</f>
        <v>0</v>
      </c>
      <c r="AE381" s="16"/>
      <c r="AF381" s="16"/>
      <c r="AG381" s="16"/>
      <c r="AH381" s="16"/>
      <c r="AI381" s="16"/>
      <c r="AJ381" s="16"/>
      <c r="AL381" s="16"/>
      <c r="AM381" s="16"/>
      <c r="AN381" s="16"/>
      <c r="AO381" s="16"/>
      <c r="AP381" s="16"/>
      <c r="AQ381" s="16"/>
      <c r="AR381" s="16"/>
      <c r="AS381" s="16"/>
    </row>
    <row r="382" spans="4:45" x14ac:dyDescent="0.35">
      <c r="D382" s="115"/>
      <c r="H382" s="115"/>
      <c r="K382" s="115" t="str">
        <f t="shared" si="14"/>
        <v/>
      </c>
      <c r="L382" s="115"/>
      <c r="M382" s="115"/>
      <c r="N382" s="115"/>
      <c r="O382" s="115"/>
      <c r="P382" s="181"/>
      <c r="Q382" s="181"/>
      <c r="R382" s="192"/>
      <c r="S382" s="191"/>
      <c r="T382" s="193"/>
      <c r="U382" s="191"/>
      <c r="V382" s="89"/>
      <c r="W382" s="191"/>
      <c r="Y382" s="193" t="str">
        <f t="shared" si="15"/>
        <v/>
      </c>
      <c r="Z382" s="191"/>
      <c r="AA382" s="191"/>
      <c r="AB382" s="191"/>
      <c r="AC382" s="191"/>
      <c r="AD382" s="16">
        <f>WEEKNUM(tblKPIs[[#This Row],[Production Start Date]])</f>
        <v>0</v>
      </c>
      <c r="AE382" s="16"/>
      <c r="AF382" s="16"/>
      <c r="AG382" s="16"/>
      <c r="AH382" s="16"/>
      <c r="AI382" s="16"/>
      <c r="AJ382" s="16"/>
      <c r="AL382" s="16"/>
      <c r="AM382" s="16"/>
      <c r="AN382" s="16"/>
      <c r="AO382" s="16"/>
      <c r="AP382" s="16"/>
      <c r="AQ382" s="16"/>
      <c r="AR382" s="16"/>
      <c r="AS382" s="16"/>
    </row>
    <row r="383" spans="4:45" x14ac:dyDescent="0.35">
      <c r="D383" s="115"/>
      <c r="H383" s="115"/>
      <c r="K383" s="115" t="str">
        <f t="shared" si="14"/>
        <v/>
      </c>
      <c r="L383" s="115"/>
      <c r="M383" s="115"/>
      <c r="N383" s="115"/>
      <c r="O383" s="115"/>
      <c r="P383" s="181"/>
      <c r="Q383" s="181"/>
      <c r="R383" s="192"/>
      <c r="S383" s="191"/>
      <c r="T383" s="193"/>
      <c r="U383" s="191"/>
      <c r="V383" s="89"/>
      <c r="W383" s="191"/>
      <c r="Y383" s="193" t="str">
        <f t="shared" si="15"/>
        <v/>
      </c>
      <c r="Z383" s="191"/>
      <c r="AA383" s="191"/>
      <c r="AB383" s="191"/>
      <c r="AC383" s="191"/>
      <c r="AD383" s="16">
        <f>WEEKNUM(tblKPIs[[#This Row],[Production Start Date]])</f>
        <v>0</v>
      </c>
      <c r="AE383" s="16"/>
      <c r="AF383" s="16"/>
      <c r="AG383" s="16"/>
      <c r="AH383" s="16"/>
      <c r="AI383" s="16"/>
      <c r="AJ383" s="16"/>
      <c r="AL383" s="16"/>
      <c r="AM383" s="16"/>
      <c r="AN383" s="16"/>
      <c r="AO383" s="16"/>
      <c r="AP383" s="16"/>
      <c r="AQ383" s="16"/>
      <c r="AR383" s="16"/>
      <c r="AS383" s="16"/>
    </row>
    <row r="384" spans="4:45" x14ac:dyDescent="0.35">
      <c r="D384" s="115"/>
      <c r="H384" s="115"/>
      <c r="K384" s="115" t="str">
        <f t="shared" si="14"/>
        <v/>
      </c>
      <c r="L384" s="115"/>
      <c r="M384" s="115"/>
      <c r="N384" s="115"/>
      <c r="O384" s="115"/>
      <c r="P384" s="181"/>
      <c r="Q384" s="181"/>
      <c r="R384" s="192"/>
      <c r="S384" s="191"/>
      <c r="T384" s="193"/>
      <c r="U384" s="191"/>
      <c r="V384" s="89"/>
      <c r="W384" s="191"/>
      <c r="Y384" s="193" t="str">
        <f t="shared" si="15"/>
        <v/>
      </c>
      <c r="Z384" s="191"/>
      <c r="AA384" s="191"/>
      <c r="AB384" s="191"/>
      <c r="AC384" s="191"/>
      <c r="AD384" s="16">
        <f>WEEKNUM(tblKPIs[[#This Row],[Production Start Date]])</f>
        <v>0</v>
      </c>
      <c r="AE384" s="16"/>
      <c r="AF384" s="16"/>
      <c r="AG384" s="16"/>
      <c r="AH384" s="16"/>
      <c r="AI384" s="16"/>
      <c r="AJ384" s="16"/>
      <c r="AL384" s="16"/>
      <c r="AM384" s="16"/>
      <c r="AN384" s="16"/>
      <c r="AO384" s="16"/>
      <c r="AP384" s="16"/>
      <c r="AQ384" s="16"/>
      <c r="AR384" s="16"/>
      <c r="AS384" s="16"/>
    </row>
    <row r="385" spans="4:45" x14ac:dyDescent="0.35">
      <c r="D385" s="115"/>
      <c r="H385" s="115"/>
      <c r="K385" s="115" t="str">
        <f t="shared" si="14"/>
        <v/>
      </c>
      <c r="L385" s="115"/>
      <c r="M385" s="115"/>
      <c r="N385" s="115"/>
      <c r="O385" s="115"/>
      <c r="P385" s="181"/>
      <c r="Q385" s="181"/>
      <c r="R385" s="192"/>
      <c r="S385" s="191"/>
      <c r="T385" s="193"/>
      <c r="U385" s="191"/>
      <c r="V385" s="89"/>
      <c r="W385" s="191"/>
      <c r="Y385" s="193" t="str">
        <f t="shared" si="15"/>
        <v/>
      </c>
      <c r="Z385" s="191"/>
      <c r="AA385" s="191"/>
      <c r="AB385" s="191"/>
      <c r="AC385" s="191"/>
      <c r="AD385" s="16">
        <f>WEEKNUM(tblKPIs[[#This Row],[Production Start Date]])</f>
        <v>0</v>
      </c>
      <c r="AE385" s="16"/>
      <c r="AF385" s="16"/>
      <c r="AG385" s="16"/>
      <c r="AH385" s="16"/>
      <c r="AI385" s="16"/>
      <c r="AJ385" s="16"/>
      <c r="AL385" s="16"/>
      <c r="AM385" s="16"/>
      <c r="AN385" s="16"/>
      <c r="AO385" s="16"/>
      <c r="AP385" s="16"/>
      <c r="AQ385" s="16"/>
      <c r="AR385" s="16"/>
      <c r="AS385" s="16"/>
    </row>
    <row r="386" spans="4:45" x14ac:dyDescent="0.35">
      <c r="D386" s="115"/>
      <c r="H386" s="115"/>
      <c r="K386" s="115" t="str">
        <f t="shared" si="14"/>
        <v/>
      </c>
      <c r="L386" s="115"/>
      <c r="M386" s="115"/>
      <c r="N386" s="115"/>
      <c r="O386" s="115"/>
      <c r="P386" s="181"/>
      <c r="Q386" s="181"/>
      <c r="R386" s="192"/>
      <c r="S386" s="191"/>
      <c r="T386" s="193"/>
      <c r="U386" s="191"/>
      <c r="V386" s="89"/>
      <c r="W386" s="191"/>
      <c r="Y386" s="193" t="str">
        <f t="shared" si="15"/>
        <v/>
      </c>
      <c r="Z386" s="191"/>
      <c r="AA386" s="191"/>
      <c r="AB386" s="191"/>
      <c r="AC386" s="191"/>
      <c r="AD386" s="16">
        <f>WEEKNUM(tblKPIs[[#This Row],[Production Start Date]])</f>
        <v>0</v>
      </c>
      <c r="AE386" s="16"/>
      <c r="AF386" s="16"/>
      <c r="AG386" s="16"/>
      <c r="AH386" s="16"/>
      <c r="AI386" s="16"/>
      <c r="AJ386" s="16"/>
      <c r="AL386" s="16"/>
      <c r="AM386" s="16"/>
      <c r="AN386" s="16"/>
      <c r="AO386" s="16"/>
      <c r="AP386" s="16"/>
      <c r="AQ386" s="16"/>
      <c r="AR386" s="16"/>
      <c r="AS386" s="16"/>
    </row>
    <row r="387" spans="4:45" x14ac:dyDescent="0.35">
      <c r="D387" s="115"/>
      <c r="H387" s="115"/>
      <c r="K387" s="115" t="str">
        <f t="shared" si="14"/>
        <v/>
      </c>
      <c r="L387" s="115"/>
      <c r="M387" s="115"/>
      <c r="N387" s="115"/>
      <c r="O387" s="115"/>
      <c r="P387" s="181"/>
      <c r="Q387" s="181"/>
      <c r="R387" s="192"/>
      <c r="S387" s="191"/>
      <c r="T387" s="193"/>
      <c r="U387" s="191"/>
      <c r="V387" s="89"/>
      <c r="W387" s="191"/>
      <c r="Y387" s="193" t="str">
        <f t="shared" si="15"/>
        <v/>
      </c>
      <c r="Z387" s="191"/>
      <c r="AA387" s="191"/>
      <c r="AB387" s="191"/>
      <c r="AC387" s="191"/>
      <c r="AD387" s="16">
        <f>WEEKNUM(tblKPIs[[#This Row],[Production Start Date]])</f>
        <v>0</v>
      </c>
      <c r="AE387" s="16"/>
      <c r="AF387" s="16"/>
      <c r="AG387" s="16"/>
      <c r="AH387" s="16"/>
      <c r="AI387" s="16"/>
      <c r="AJ387" s="16"/>
      <c r="AL387" s="16"/>
      <c r="AM387" s="16"/>
      <c r="AN387" s="16"/>
      <c r="AO387" s="16"/>
      <c r="AP387" s="16"/>
      <c r="AQ387" s="16"/>
      <c r="AR387" s="16"/>
      <c r="AS387" s="16"/>
    </row>
    <row r="388" spans="4:45" x14ac:dyDescent="0.35">
      <c r="D388" s="115"/>
      <c r="H388" s="115"/>
      <c r="K388" s="115" t="str">
        <f t="shared" si="14"/>
        <v/>
      </c>
      <c r="L388" s="115"/>
      <c r="M388" s="115"/>
      <c r="N388" s="115"/>
      <c r="O388" s="115"/>
      <c r="P388" s="181"/>
      <c r="Q388" s="181"/>
      <c r="R388" s="192"/>
      <c r="S388" s="191"/>
      <c r="T388" s="193"/>
      <c r="U388" s="191"/>
      <c r="V388" s="89"/>
      <c r="W388" s="191"/>
      <c r="Y388" s="193" t="str">
        <f t="shared" si="15"/>
        <v/>
      </c>
      <c r="Z388" s="191"/>
      <c r="AA388" s="191"/>
      <c r="AB388" s="191"/>
      <c r="AC388" s="191"/>
      <c r="AD388" s="16">
        <f>WEEKNUM(tblKPIs[[#This Row],[Production Start Date]])</f>
        <v>0</v>
      </c>
      <c r="AE388" s="16"/>
      <c r="AF388" s="16"/>
      <c r="AG388" s="16"/>
      <c r="AH388" s="16"/>
      <c r="AI388" s="16"/>
      <c r="AJ388" s="16"/>
      <c r="AL388" s="16"/>
      <c r="AM388" s="16"/>
      <c r="AN388" s="16"/>
      <c r="AO388" s="16"/>
      <c r="AP388" s="16"/>
      <c r="AQ388" s="16"/>
      <c r="AR388" s="16"/>
      <c r="AS388" s="16"/>
    </row>
    <row r="389" spans="4:45" x14ac:dyDescent="0.35">
      <c r="D389" s="115"/>
      <c r="H389" s="115"/>
      <c r="K389" s="115" t="str">
        <f t="shared" si="14"/>
        <v/>
      </c>
      <c r="L389" s="115"/>
      <c r="M389" s="115"/>
      <c r="N389" s="115"/>
      <c r="O389" s="115"/>
      <c r="P389" s="181"/>
      <c r="Q389" s="181"/>
      <c r="R389" s="192"/>
      <c r="S389" s="191"/>
      <c r="T389" s="193"/>
      <c r="U389" s="191"/>
      <c r="V389" s="89"/>
      <c r="W389" s="191"/>
      <c r="Y389" s="193" t="str">
        <f t="shared" si="15"/>
        <v/>
      </c>
      <c r="Z389" s="191"/>
      <c r="AA389" s="191"/>
      <c r="AB389" s="191"/>
      <c r="AC389" s="191"/>
      <c r="AD389" s="16">
        <f>WEEKNUM(tblKPIs[[#This Row],[Production Start Date]])</f>
        <v>0</v>
      </c>
      <c r="AE389" s="16"/>
      <c r="AF389" s="16"/>
      <c r="AG389" s="16"/>
      <c r="AH389" s="16"/>
      <c r="AI389" s="16"/>
      <c r="AJ389" s="16"/>
      <c r="AL389" s="16"/>
      <c r="AM389" s="16"/>
      <c r="AN389" s="16"/>
      <c r="AO389" s="16"/>
      <c r="AP389" s="16"/>
      <c r="AQ389" s="16"/>
      <c r="AR389" s="16"/>
      <c r="AS389" s="16"/>
    </row>
    <row r="390" spans="4:45" x14ac:dyDescent="0.35">
      <c r="D390" s="115"/>
      <c r="H390" s="115"/>
      <c r="K390" s="115" t="str">
        <f t="shared" si="14"/>
        <v/>
      </c>
      <c r="L390" s="115"/>
      <c r="M390" s="115"/>
      <c r="N390" s="115"/>
      <c r="O390" s="115"/>
      <c r="P390" s="181"/>
      <c r="Q390" s="181"/>
      <c r="R390" s="192"/>
      <c r="S390" s="191"/>
      <c r="T390" s="193"/>
      <c r="U390" s="191"/>
      <c r="V390" s="89"/>
      <c r="W390" s="191"/>
      <c r="Y390" s="193" t="str">
        <f t="shared" si="15"/>
        <v/>
      </c>
      <c r="Z390" s="191"/>
      <c r="AA390" s="191"/>
      <c r="AB390" s="191"/>
      <c r="AC390" s="191"/>
      <c r="AD390" s="16">
        <f>WEEKNUM(tblKPIs[[#This Row],[Production Start Date]])</f>
        <v>0</v>
      </c>
      <c r="AE390" s="16"/>
      <c r="AF390" s="16"/>
      <c r="AG390" s="16"/>
      <c r="AH390" s="16"/>
      <c r="AI390" s="16"/>
      <c r="AJ390" s="16"/>
      <c r="AL390" s="16"/>
      <c r="AM390" s="16"/>
      <c r="AN390" s="16"/>
      <c r="AO390" s="16"/>
      <c r="AP390" s="16"/>
      <c r="AQ390" s="16"/>
      <c r="AR390" s="16"/>
      <c r="AS390" s="16"/>
    </row>
    <row r="391" spans="4:45" x14ac:dyDescent="0.35">
      <c r="D391" s="115"/>
      <c r="H391" s="115"/>
      <c r="K391" s="115" t="str">
        <f t="shared" si="14"/>
        <v/>
      </c>
      <c r="L391" s="115"/>
      <c r="M391" s="115"/>
      <c r="N391" s="115"/>
      <c r="O391" s="115"/>
      <c r="P391" s="181"/>
      <c r="Q391" s="181"/>
      <c r="R391" s="192"/>
      <c r="S391" s="191"/>
      <c r="T391" s="193"/>
      <c r="U391" s="191"/>
      <c r="V391" s="89"/>
      <c r="W391" s="191"/>
      <c r="Y391" s="193" t="str">
        <f t="shared" si="15"/>
        <v/>
      </c>
      <c r="Z391" s="191"/>
      <c r="AA391" s="191"/>
      <c r="AB391" s="191"/>
      <c r="AC391" s="191"/>
      <c r="AD391" s="16">
        <f>WEEKNUM(tblKPIs[[#This Row],[Production Start Date]])</f>
        <v>0</v>
      </c>
      <c r="AE391" s="16"/>
      <c r="AF391" s="16"/>
      <c r="AG391" s="16"/>
      <c r="AH391" s="16"/>
      <c r="AI391" s="16"/>
      <c r="AJ391" s="16"/>
      <c r="AL391" s="16"/>
      <c r="AM391" s="16"/>
      <c r="AN391" s="16"/>
      <c r="AO391" s="16"/>
      <c r="AP391" s="16"/>
      <c r="AQ391" s="16"/>
      <c r="AR391" s="16"/>
      <c r="AS391" s="16"/>
    </row>
    <row r="392" spans="4:45" x14ac:dyDescent="0.35">
      <c r="D392" s="115"/>
      <c r="H392" s="115"/>
      <c r="K392" s="115" t="str">
        <f t="shared" si="14"/>
        <v/>
      </c>
      <c r="L392" s="115"/>
      <c r="M392" s="115"/>
      <c r="N392" s="115"/>
      <c r="O392" s="115"/>
      <c r="P392" s="181"/>
      <c r="Q392" s="181"/>
      <c r="R392" s="192"/>
      <c r="S392" s="191"/>
      <c r="T392" s="193"/>
      <c r="U392" s="191"/>
      <c r="V392" s="89"/>
      <c r="W392" s="191"/>
      <c r="Y392" s="193" t="str">
        <f t="shared" si="15"/>
        <v/>
      </c>
      <c r="Z392" s="191"/>
      <c r="AA392" s="191"/>
      <c r="AB392" s="191"/>
      <c r="AC392" s="191"/>
      <c r="AD392" s="16">
        <f>WEEKNUM(tblKPIs[[#This Row],[Production Start Date]])</f>
        <v>0</v>
      </c>
      <c r="AE392" s="16"/>
      <c r="AF392" s="16"/>
      <c r="AG392" s="16"/>
      <c r="AH392" s="16"/>
      <c r="AI392" s="16"/>
      <c r="AJ392" s="16"/>
      <c r="AL392" s="16"/>
      <c r="AM392" s="16"/>
      <c r="AN392" s="16"/>
      <c r="AO392" s="16"/>
      <c r="AP392" s="16"/>
      <c r="AQ392" s="16"/>
      <c r="AR392" s="16"/>
      <c r="AS392" s="16"/>
    </row>
    <row r="393" spans="4:45" x14ac:dyDescent="0.35">
      <c r="D393" s="115"/>
      <c r="H393" s="115"/>
      <c r="K393" s="115" t="str">
        <f t="shared" si="14"/>
        <v/>
      </c>
      <c r="L393" s="115"/>
      <c r="M393" s="115"/>
      <c r="N393" s="115"/>
      <c r="O393" s="115"/>
      <c r="P393" s="181"/>
      <c r="Q393" s="181"/>
      <c r="R393" s="192"/>
      <c r="S393" s="191"/>
      <c r="T393" s="193"/>
      <c r="U393" s="191"/>
      <c r="V393" s="89"/>
      <c r="W393" s="191"/>
      <c r="Y393" s="193" t="str">
        <f t="shared" si="15"/>
        <v/>
      </c>
      <c r="Z393" s="191"/>
      <c r="AA393" s="191"/>
      <c r="AB393" s="191"/>
      <c r="AC393" s="191"/>
      <c r="AD393" s="16">
        <f>WEEKNUM(tblKPIs[[#This Row],[Production Start Date]])</f>
        <v>0</v>
      </c>
      <c r="AE393" s="16"/>
      <c r="AF393" s="16"/>
      <c r="AG393" s="16"/>
      <c r="AH393" s="16"/>
      <c r="AI393" s="16"/>
      <c r="AJ393" s="16"/>
      <c r="AL393" s="16"/>
      <c r="AM393" s="16"/>
      <c r="AN393" s="16"/>
      <c r="AO393" s="16"/>
      <c r="AP393" s="16"/>
      <c r="AQ393" s="16"/>
      <c r="AR393" s="16"/>
      <c r="AS393" s="16"/>
    </row>
    <row r="394" spans="4:45" x14ac:dyDescent="0.35">
      <c r="D394" s="115"/>
      <c r="H394" s="115"/>
      <c r="K394" s="115" t="str">
        <f t="shared" si="14"/>
        <v/>
      </c>
      <c r="L394" s="115"/>
      <c r="M394" s="115"/>
      <c r="N394" s="115"/>
      <c r="O394" s="115"/>
      <c r="P394" s="181"/>
      <c r="Q394" s="181"/>
      <c r="R394" s="192"/>
      <c r="S394" s="191"/>
      <c r="T394" s="193"/>
      <c r="U394" s="191"/>
      <c r="V394" s="89"/>
      <c r="W394" s="191"/>
      <c r="Y394" s="193" t="str">
        <f t="shared" si="15"/>
        <v/>
      </c>
      <c r="Z394" s="191"/>
      <c r="AA394" s="191"/>
      <c r="AB394" s="191"/>
      <c r="AC394" s="191"/>
      <c r="AD394" s="16">
        <f>WEEKNUM(tblKPIs[[#This Row],[Production Start Date]])</f>
        <v>0</v>
      </c>
      <c r="AE394" s="16"/>
      <c r="AF394" s="16"/>
      <c r="AG394" s="16"/>
      <c r="AH394" s="16"/>
      <c r="AI394" s="16"/>
      <c r="AJ394" s="16"/>
      <c r="AL394" s="16"/>
      <c r="AM394" s="16"/>
      <c r="AN394" s="16"/>
      <c r="AO394" s="16"/>
      <c r="AP394" s="16"/>
      <c r="AQ394" s="16"/>
      <c r="AR394" s="16"/>
      <c r="AS394" s="16"/>
    </row>
    <row r="395" spans="4:45" x14ac:dyDescent="0.35">
      <c r="D395" s="115"/>
      <c r="H395" s="115"/>
      <c r="K395" s="115" t="str">
        <f t="shared" si="14"/>
        <v/>
      </c>
      <c r="L395" s="115"/>
      <c r="M395" s="115"/>
      <c r="N395" s="115"/>
      <c r="O395" s="115"/>
      <c r="P395" s="181"/>
      <c r="Q395" s="181"/>
      <c r="R395" s="192"/>
      <c r="S395" s="191"/>
      <c r="T395" s="193"/>
      <c r="U395" s="191"/>
      <c r="V395" s="89"/>
      <c r="W395" s="191"/>
      <c r="Y395" s="193" t="str">
        <f t="shared" si="15"/>
        <v/>
      </c>
      <c r="Z395" s="191"/>
      <c r="AA395" s="191"/>
      <c r="AB395" s="191"/>
      <c r="AC395" s="191"/>
      <c r="AD395" s="16">
        <f>WEEKNUM(tblKPIs[[#This Row],[Production Start Date]])</f>
        <v>0</v>
      </c>
      <c r="AE395" s="16"/>
      <c r="AF395" s="16"/>
      <c r="AG395" s="16"/>
      <c r="AH395" s="16"/>
      <c r="AI395" s="16"/>
      <c r="AJ395" s="16"/>
      <c r="AL395" s="16"/>
      <c r="AM395" s="16"/>
      <c r="AN395" s="16"/>
      <c r="AO395" s="16"/>
      <c r="AP395" s="16"/>
      <c r="AQ395" s="16"/>
      <c r="AR395" s="16"/>
      <c r="AS395" s="16"/>
    </row>
    <row r="396" spans="4:45" x14ac:dyDescent="0.35">
      <c r="D396" s="115"/>
      <c r="H396" s="115"/>
      <c r="K396" s="115" t="str">
        <f t="shared" si="14"/>
        <v/>
      </c>
      <c r="L396" s="115"/>
      <c r="M396" s="115"/>
      <c r="N396" s="115"/>
      <c r="O396" s="115"/>
      <c r="P396" s="181"/>
      <c r="Q396" s="181"/>
      <c r="R396" s="192"/>
      <c r="S396" s="191"/>
      <c r="T396" s="193"/>
      <c r="U396" s="191"/>
      <c r="V396" s="89"/>
      <c r="W396" s="191"/>
      <c r="Y396" s="193" t="str">
        <f t="shared" si="15"/>
        <v/>
      </c>
      <c r="Z396" s="191"/>
      <c r="AA396" s="191"/>
      <c r="AB396" s="191"/>
      <c r="AC396" s="191"/>
      <c r="AD396" s="16">
        <f>WEEKNUM(tblKPIs[[#This Row],[Production Start Date]])</f>
        <v>0</v>
      </c>
      <c r="AE396" s="16"/>
      <c r="AF396" s="16"/>
      <c r="AG396" s="16"/>
      <c r="AH396" s="16"/>
      <c r="AI396" s="16"/>
      <c r="AJ396" s="16"/>
      <c r="AL396" s="16"/>
      <c r="AM396" s="16"/>
      <c r="AN396" s="16"/>
      <c r="AO396" s="16"/>
      <c r="AP396" s="16"/>
      <c r="AQ396" s="16"/>
      <c r="AR396" s="16"/>
      <c r="AS396" s="16"/>
    </row>
    <row r="397" spans="4:45" x14ac:dyDescent="0.35">
      <c r="D397" s="115"/>
      <c r="H397" s="115"/>
      <c r="K397" s="115" t="str">
        <f t="shared" ref="K397:K428" si="16">IF(BB397="","",+BB397/10)</f>
        <v/>
      </c>
      <c r="L397" s="115"/>
      <c r="M397" s="115"/>
      <c r="N397" s="115"/>
      <c r="O397" s="115"/>
      <c r="P397" s="181"/>
      <c r="Q397" s="181"/>
      <c r="R397" s="192"/>
      <c r="S397" s="191"/>
      <c r="T397" s="193"/>
      <c r="U397" s="191"/>
      <c r="V397" s="89"/>
      <c r="W397" s="191"/>
      <c r="Y397" s="193" t="str">
        <f t="shared" ref="Y397:Y428" si="17">IF(BC397="","",+BC397/10)</f>
        <v/>
      </c>
      <c r="Z397" s="191"/>
      <c r="AA397" s="191"/>
      <c r="AB397" s="191"/>
      <c r="AC397" s="191"/>
      <c r="AD397" s="16">
        <f>WEEKNUM(tblKPIs[[#This Row],[Production Start Date]])</f>
        <v>0</v>
      </c>
      <c r="AE397" s="16"/>
      <c r="AF397" s="16"/>
      <c r="AG397" s="16"/>
      <c r="AH397" s="16"/>
      <c r="AI397" s="16"/>
      <c r="AJ397" s="16"/>
      <c r="AL397" s="16"/>
      <c r="AM397" s="16"/>
      <c r="AN397" s="16"/>
      <c r="AO397" s="16"/>
      <c r="AP397" s="16"/>
      <c r="AQ397" s="16"/>
      <c r="AR397" s="16"/>
      <c r="AS397" s="16"/>
    </row>
    <row r="398" spans="4:45" x14ac:dyDescent="0.35">
      <c r="D398" s="115"/>
      <c r="H398" s="115"/>
      <c r="K398" s="115" t="str">
        <f t="shared" si="16"/>
        <v/>
      </c>
      <c r="L398" s="115"/>
      <c r="M398" s="115"/>
      <c r="N398" s="115"/>
      <c r="O398" s="115"/>
      <c r="P398" s="181"/>
      <c r="Q398" s="181"/>
      <c r="R398" s="192"/>
      <c r="S398" s="191"/>
      <c r="T398" s="193"/>
      <c r="U398" s="191"/>
      <c r="V398" s="89"/>
      <c r="W398" s="191"/>
      <c r="Y398" s="193" t="str">
        <f t="shared" si="17"/>
        <v/>
      </c>
      <c r="Z398" s="191"/>
      <c r="AA398" s="191"/>
      <c r="AB398" s="191"/>
      <c r="AC398" s="191"/>
      <c r="AD398" s="16">
        <f>WEEKNUM(tblKPIs[[#This Row],[Production Start Date]])</f>
        <v>0</v>
      </c>
      <c r="AE398" s="16"/>
      <c r="AF398" s="16"/>
      <c r="AG398" s="16"/>
      <c r="AH398" s="16"/>
      <c r="AI398" s="16"/>
      <c r="AJ398" s="16"/>
      <c r="AL398" s="16"/>
      <c r="AM398" s="16"/>
      <c r="AN398" s="16"/>
      <c r="AO398" s="16"/>
      <c r="AP398" s="16"/>
      <c r="AQ398" s="16"/>
      <c r="AR398" s="16"/>
      <c r="AS398" s="16"/>
    </row>
    <row r="399" spans="4:45" x14ac:dyDescent="0.35">
      <c r="D399" s="115"/>
      <c r="H399" s="115"/>
      <c r="K399" s="115" t="str">
        <f t="shared" si="16"/>
        <v/>
      </c>
      <c r="L399" s="115"/>
      <c r="M399" s="115"/>
      <c r="N399" s="115"/>
      <c r="O399" s="115"/>
      <c r="P399" s="181"/>
      <c r="Q399" s="181"/>
      <c r="R399" s="192"/>
      <c r="S399" s="191"/>
      <c r="T399" s="193"/>
      <c r="U399" s="191"/>
      <c r="V399" s="89"/>
      <c r="W399" s="191"/>
      <c r="Y399" s="193" t="str">
        <f t="shared" si="17"/>
        <v/>
      </c>
      <c r="Z399" s="191"/>
      <c r="AA399" s="191"/>
      <c r="AB399" s="191"/>
      <c r="AC399" s="191"/>
      <c r="AD399" s="16">
        <f>WEEKNUM(tblKPIs[[#This Row],[Production Start Date]])</f>
        <v>0</v>
      </c>
      <c r="AE399" s="16"/>
      <c r="AF399" s="16"/>
      <c r="AG399" s="16"/>
      <c r="AH399" s="16"/>
      <c r="AI399" s="16"/>
      <c r="AJ399" s="16"/>
      <c r="AL399" s="16"/>
      <c r="AM399" s="16"/>
      <c r="AN399" s="16"/>
      <c r="AO399" s="16"/>
      <c r="AP399" s="16"/>
      <c r="AQ399" s="16"/>
      <c r="AR399" s="16"/>
      <c r="AS399" s="16"/>
    </row>
    <row r="400" spans="4:45" x14ac:dyDescent="0.35">
      <c r="D400" s="115"/>
      <c r="H400" s="115"/>
      <c r="K400" s="115" t="str">
        <f t="shared" si="16"/>
        <v/>
      </c>
      <c r="L400" s="115"/>
      <c r="M400" s="115"/>
      <c r="N400" s="115"/>
      <c r="O400" s="115"/>
      <c r="P400" s="181"/>
      <c r="Q400" s="181"/>
      <c r="R400" s="192"/>
      <c r="S400" s="191"/>
      <c r="T400" s="193"/>
      <c r="U400" s="191"/>
      <c r="V400" s="89"/>
      <c r="W400" s="191"/>
      <c r="Y400" s="193" t="str">
        <f t="shared" si="17"/>
        <v/>
      </c>
      <c r="Z400" s="191"/>
      <c r="AA400" s="191"/>
      <c r="AB400" s="191"/>
      <c r="AC400" s="191"/>
      <c r="AD400" s="16">
        <f>WEEKNUM(tblKPIs[[#This Row],[Production Start Date]])</f>
        <v>0</v>
      </c>
      <c r="AE400" s="16"/>
      <c r="AF400" s="16"/>
      <c r="AG400" s="16"/>
      <c r="AH400" s="16"/>
      <c r="AI400" s="16"/>
      <c r="AJ400" s="16"/>
      <c r="AL400" s="16"/>
      <c r="AM400" s="16"/>
      <c r="AN400" s="16"/>
      <c r="AO400" s="16"/>
      <c r="AP400" s="16"/>
      <c r="AQ400" s="16"/>
      <c r="AR400" s="16"/>
      <c r="AS400" s="16"/>
    </row>
    <row r="401" spans="4:45" x14ac:dyDescent="0.35">
      <c r="D401" s="115"/>
      <c r="H401" s="115"/>
      <c r="K401" s="115" t="str">
        <f t="shared" si="16"/>
        <v/>
      </c>
      <c r="L401" s="115"/>
      <c r="M401" s="115"/>
      <c r="N401" s="115"/>
      <c r="O401" s="115"/>
      <c r="P401" s="181"/>
      <c r="Q401" s="181"/>
      <c r="R401" s="192"/>
      <c r="S401" s="191"/>
      <c r="T401" s="193"/>
      <c r="U401" s="191"/>
      <c r="V401" s="89"/>
      <c r="W401" s="191"/>
      <c r="Y401" s="193" t="str">
        <f t="shared" si="17"/>
        <v/>
      </c>
      <c r="Z401" s="191"/>
      <c r="AA401" s="191"/>
      <c r="AB401" s="191"/>
      <c r="AC401" s="191"/>
      <c r="AD401" s="16">
        <f>WEEKNUM(tblKPIs[[#This Row],[Production Start Date]])</f>
        <v>0</v>
      </c>
      <c r="AE401" s="16"/>
      <c r="AF401" s="16"/>
      <c r="AG401" s="16"/>
      <c r="AH401" s="16"/>
      <c r="AI401" s="16"/>
      <c r="AJ401" s="16"/>
      <c r="AL401" s="16"/>
      <c r="AM401" s="16"/>
      <c r="AN401" s="16"/>
      <c r="AO401" s="16"/>
      <c r="AP401" s="16"/>
      <c r="AQ401" s="16"/>
      <c r="AR401" s="16"/>
      <c r="AS401" s="16"/>
    </row>
    <row r="402" spans="4:45" x14ac:dyDescent="0.35">
      <c r="D402" s="115"/>
      <c r="H402" s="115"/>
      <c r="K402" s="115" t="str">
        <f t="shared" si="16"/>
        <v/>
      </c>
      <c r="L402" s="115"/>
      <c r="M402" s="115"/>
      <c r="N402" s="115"/>
      <c r="O402" s="115"/>
      <c r="P402" s="181"/>
      <c r="Q402" s="181"/>
      <c r="R402" s="192"/>
      <c r="S402" s="191"/>
      <c r="T402" s="193"/>
      <c r="U402" s="191"/>
      <c r="V402" s="89"/>
      <c r="W402" s="191"/>
      <c r="Y402" s="193" t="str">
        <f t="shared" si="17"/>
        <v/>
      </c>
      <c r="Z402" s="191"/>
      <c r="AA402" s="191"/>
      <c r="AB402" s="191"/>
      <c r="AC402" s="191"/>
      <c r="AD402" s="16">
        <f>WEEKNUM(tblKPIs[[#This Row],[Production Start Date]])</f>
        <v>0</v>
      </c>
      <c r="AE402" s="16"/>
      <c r="AF402" s="16"/>
      <c r="AG402" s="16"/>
      <c r="AH402" s="16"/>
      <c r="AI402" s="16"/>
      <c r="AJ402" s="16"/>
      <c r="AL402" s="16"/>
      <c r="AM402" s="16"/>
      <c r="AN402" s="16"/>
      <c r="AO402" s="16"/>
      <c r="AP402" s="16"/>
      <c r="AQ402" s="16"/>
      <c r="AR402" s="16"/>
      <c r="AS402" s="16"/>
    </row>
    <row r="403" spans="4:45" x14ac:dyDescent="0.35">
      <c r="D403" s="115"/>
      <c r="H403" s="115"/>
      <c r="K403" s="115" t="str">
        <f t="shared" si="16"/>
        <v/>
      </c>
      <c r="L403" s="115"/>
      <c r="M403" s="115"/>
      <c r="N403" s="115"/>
      <c r="O403" s="115"/>
      <c r="P403" s="181"/>
      <c r="Q403" s="181"/>
      <c r="R403" s="192"/>
      <c r="S403" s="191"/>
      <c r="T403" s="193"/>
      <c r="U403" s="191"/>
      <c r="V403" s="89"/>
      <c r="W403" s="191"/>
      <c r="Y403" s="193" t="str">
        <f t="shared" si="17"/>
        <v/>
      </c>
      <c r="Z403" s="191"/>
      <c r="AA403" s="191"/>
      <c r="AB403" s="191"/>
      <c r="AC403" s="191"/>
      <c r="AD403" s="16">
        <f>WEEKNUM(tblKPIs[[#This Row],[Production Start Date]])</f>
        <v>0</v>
      </c>
      <c r="AE403" s="16"/>
      <c r="AF403" s="16"/>
      <c r="AG403" s="16"/>
      <c r="AH403" s="16"/>
      <c r="AI403" s="16"/>
      <c r="AJ403" s="16"/>
      <c r="AL403" s="16"/>
      <c r="AM403" s="16"/>
      <c r="AN403" s="16"/>
      <c r="AO403" s="16"/>
      <c r="AP403" s="16"/>
      <c r="AQ403" s="16"/>
      <c r="AR403" s="16"/>
      <c r="AS403" s="16"/>
    </row>
    <row r="404" spans="4:45" x14ac:dyDescent="0.35">
      <c r="D404" s="115"/>
      <c r="H404" s="115"/>
      <c r="K404" s="115" t="str">
        <f t="shared" si="16"/>
        <v/>
      </c>
      <c r="L404" s="115"/>
      <c r="M404" s="115"/>
      <c r="N404" s="115"/>
      <c r="O404" s="115"/>
      <c r="P404" s="181"/>
      <c r="Q404" s="181"/>
      <c r="R404" s="192"/>
      <c r="S404" s="191"/>
      <c r="T404" s="193"/>
      <c r="U404" s="191"/>
      <c r="V404" s="89"/>
      <c r="W404" s="191"/>
      <c r="Y404" s="193" t="str">
        <f t="shared" si="17"/>
        <v/>
      </c>
      <c r="Z404" s="191"/>
      <c r="AA404" s="191"/>
      <c r="AB404" s="191"/>
      <c r="AC404" s="191"/>
      <c r="AD404" s="16">
        <f>WEEKNUM(tblKPIs[[#This Row],[Production Start Date]])</f>
        <v>0</v>
      </c>
      <c r="AE404" s="16"/>
      <c r="AF404" s="16"/>
      <c r="AG404" s="16"/>
      <c r="AH404" s="16"/>
      <c r="AI404" s="16"/>
      <c r="AJ404" s="16"/>
      <c r="AL404" s="16"/>
      <c r="AM404" s="16"/>
      <c r="AN404" s="16"/>
      <c r="AO404" s="16"/>
      <c r="AP404" s="16"/>
      <c r="AQ404" s="16"/>
      <c r="AR404" s="16"/>
      <c r="AS404" s="16"/>
    </row>
    <row r="405" spans="4:45" x14ac:dyDescent="0.35">
      <c r="D405" s="115"/>
      <c r="H405" s="115"/>
      <c r="K405" s="115" t="str">
        <f t="shared" si="16"/>
        <v/>
      </c>
      <c r="L405" s="115"/>
      <c r="M405" s="115"/>
      <c r="N405" s="115"/>
      <c r="O405" s="115"/>
      <c r="P405" s="181"/>
      <c r="Q405" s="181"/>
      <c r="R405" s="192"/>
      <c r="S405" s="191"/>
      <c r="T405" s="193"/>
      <c r="U405" s="191"/>
      <c r="V405" s="89"/>
      <c r="W405" s="191"/>
      <c r="Y405" s="193" t="str">
        <f t="shared" si="17"/>
        <v/>
      </c>
      <c r="Z405" s="191"/>
      <c r="AA405" s="191"/>
      <c r="AB405" s="191"/>
      <c r="AC405" s="191"/>
      <c r="AD405" s="16">
        <f>WEEKNUM(tblKPIs[[#This Row],[Production Start Date]])</f>
        <v>0</v>
      </c>
      <c r="AE405" s="16"/>
      <c r="AF405" s="16"/>
      <c r="AG405" s="16"/>
      <c r="AH405" s="16"/>
      <c r="AI405" s="16"/>
      <c r="AJ405" s="16"/>
      <c r="AL405" s="16"/>
      <c r="AM405" s="16"/>
      <c r="AN405" s="16"/>
      <c r="AO405" s="16"/>
      <c r="AP405" s="16"/>
      <c r="AQ405" s="16"/>
      <c r="AR405" s="16"/>
      <c r="AS405" s="16"/>
    </row>
    <row r="406" spans="4:45" x14ac:dyDescent="0.35">
      <c r="D406" s="115"/>
      <c r="H406" s="115"/>
      <c r="K406" s="115" t="str">
        <f t="shared" si="16"/>
        <v/>
      </c>
      <c r="L406" s="115"/>
      <c r="M406" s="115"/>
      <c r="N406" s="115"/>
      <c r="O406" s="115"/>
      <c r="P406" s="181"/>
      <c r="Q406" s="181"/>
      <c r="R406" s="192"/>
      <c r="S406" s="191"/>
      <c r="T406" s="193"/>
      <c r="U406" s="191"/>
      <c r="V406" s="89"/>
      <c r="W406" s="191"/>
      <c r="Y406" s="193" t="str">
        <f t="shared" si="17"/>
        <v/>
      </c>
      <c r="Z406" s="191"/>
      <c r="AA406" s="191"/>
      <c r="AB406" s="191"/>
      <c r="AC406" s="191"/>
      <c r="AD406" s="16">
        <f>WEEKNUM(tblKPIs[[#This Row],[Production Start Date]])</f>
        <v>0</v>
      </c>
      <c r="AE406" s="16"/>
      <c r="AF406" s="16"/>
      <c r="AG406" s="16"/>
      <c r="AH406" s="16"/>
      <c r="AI406" s="16"/>
      <c r="AJ406" s="16"/>
      <c r="AL406" s="16"/>
      <c r="AM406" s="16"/>
      <c r="AN406" s="16"/>
      <c r="AO406" s="16"/>
      <c r="AP406" s="16"/>
      <c r="AQ406" s="16"/>
      <c r="AR406" s="16"/>
      <c r="AS406" s="16"/>
    </row>
    <row r="407" spans="4:45" x14ac:dyDescent="0.35">
      <c r="D407" s="115"/>
      <c r="H407" s="115"/>
      <c r="K407" s="115" t="str">
        <f t="shared" si="16"/>
        <v/>
      </c>
      <c r="L407" s="115"/>
      <c r="M407" s="115"/>
      <c r="N407" s="115"/>
      <c r="O407" s="115"/>
      <c r="P407" s="181"/>
      <c r="Q407" s="181"/>
      <c r="R407" s="192"/>
      <c r="S407" s="191"/>
      <c r="T407" s="193"/>
      <c r="U407" s="191"/>
      <c r="V407" s="89"/>
      <c r="W407" s="191"/>
      <c r="Y407" s="193" t="str">
        <f t="shared" si="17"/>
        <v/>
      </c>
      <c r="Z407" s="191"/>
      <c r="AA407" s="191"/>
      <c r="AB407" s="191"/>
      <c r="AC407" s="191"/>
      <c r="AD407" s="16">
        <f>WEEKNUM(tblKPIs[[#This Row],[Production Start Date]])</f>
        <v>0</v>
      </c>
      <c r="AE407" s="16"/>
      <c r="AF407" s="16"/>
      <c r="AG407" s="16"/>
      <c r="AH407" s="16"/>
      <c r="AI407" s="16"/>
      <c r="AJ407" s="16"/>
      <c r="AL407" s="16"/>
      <c r="AM407" s="16"/>
      <c r="AN407" s="16"/>
      <c r="AO407" s="16"/>
      <c r="AP407" s="16"/>
      <c r="AQ407" s="16"/>
      <c r="AR407" s="16"/>
      <c r="AS407" s="16"/>
    </row>
    <row r="408" spans="4:45" x14ac:dyDescent="0.35">
      <c r="D408" s="115"/>
      <c r="H408" s="115"/>
      <c r="K408" s="115" t="str">
        <f t="shared" si="16"/>
        <v/>
      </c>
      <c r="L408" s="115"/>
      <c r="M408" s="115"/>
      <c r="N408" s="115"/>
      <c r="O408" s="115"/>
      <c r="P408" s="181"/>
      <c r="Q408" s="181"/>
      <c r="R408" s="192"/>
      <c r="S408" s="191"/>
      <c r="T408" s="193"/>
      <c r="U408" s="191"/>
      <c r="V408" s="89"/>
      <c r="W408" s="191"/>
      <c r="Y408" s="193" t="str">
        <f t="shared" si="17"/>
        <v/>
      </c>
      <c r="Z408" s="191"/>
      <c r="AA408" s="191"/>
      <c r="AB408" s="191"/>
      <c r="AC408" s="191"/>
      <c r="AD408" s="16">
        <f>WEEKNUM(tblKPIs[[#This Row],[Production Start Date]])</f>
        <v>0</v>
      </c>
      <c r="AE408" s="16"/>
      <c r="AF408" s="16"/>
      <c r="AG408" s="16"/>
      <c r="AH408" s="16"/>
      <c r="AI408" s="16"/>
      <c r="AJ408" s="16"/>
      <c r="AL408" s="16"/>
      <c r="AM408" s="16"/>
      <c r="AN408" s="16"/>
      <c r="AO408" s="16"/>
      <c r="AP408" s="16"/>
      <c r="AQ408" s="16"/>
      <c r="AR408" s="16"/>
      <c r="AS408" s="16"/>
    </row>
    <row r="409" spans="4:45" x14ac:dyDescent="0.35">
      <c r="D409" s="115"/>
      <c r="H409" s="115"/>
      <c r="K409" s="115" t="str">
        <f t="shared" si="16"/>
        <v/>
      </c>
      <c r="L409" s="115"/>
      <c r="M409" s="115"/>
      <c r="N409" s="115"/>
      <c r="O409" s="115"/>
      <c r="P409" s="181"/>
      <c r="Q409" s="181"/>
      <c r="R409" s="192"/>
      <c r="S409" s="191"/>
      <c r="T409" s="193"/>
      <c r="U409" s="191"/>
      <c r="V409" s="89"/>
      <c r="W409" s="191"/>
      <c r="Y409" s="193" t="str">
        <f t="shared" si="17"/>
        <v/>
      </c>
      <c r="Z409" s="191"/>
      <c r="AA409" s="191"/>
      <c r="AB409" s="191"/>
      <c r="AC409" s="191"/>
      <c r="AD409" s="16">
        <f>WEEKNUM(tblKPIs[[#This Row],[Production Start Date]])</f>
        <v>0</v>
      </c>
      <c r="AE409" s="16"/>
      <c r="AF409" s="16"/>
      <c r="AG409" s="16"/>
      <c r="AH409" s="16"/>
      <c r="AI409" s="16"/>
      <c r="AJ409" s="16"/>
      <c r="AL409" s="16"/>
      <c r="AM409" s="16"/>
      <c r="AN409" s="16"/>
      <c r="AO409" s="16"/>
      <c r="AP409" s="16"/>
      <c r="AQ409" s="16"/>
      <c r="AR409" s="16"/>
      <c r="AS409" s="16"/>
    </row>
    <row r="410" spans="4:45" x14ac:dyDescent="0.35">
      <c r="D410" s="115"/>
      <c r="H410" s="115"/>
      <c r="K410" s="115" t="str">
        <f t="shared" si="16"/>
        <v/>
      </c>
      <c r="L410" s="115"/>
      <c r="M410" s="115"/>
      <c r="N410" s="115"/>
      <c r="O410" s="115"/>
      <c r="P410" s="181"/>
      <c r="Q410" s="181"/>
      <c r="R410" s="192"/>
      <c r="S410" s="191"/>
      <c r="T410" s="193"/>
      <c r="U410" s="191"/>
      <c r="V410" s="89"/>
      <c r="W410" s="191"/>
      <c r="Y410" s="193" t="str">
        <f t="shared" si="17"/>
        <v/>
      </c>
      <c r="Z410" s="191"/>
      <c r="AA410" s="191"/>
      <c r="AB410" s="191"/>
      <c r="AC410" s="191"/>
      <c r="AD410" s="16">
        <f>WEEKNUM(tblKPIs[[#This Row],[Production Start Date]])</f>
        <v>0</v>
      </c>
      <c r="AE410" s="16"/>
      <c r="AF410" s="16"/>
      <c r="AG410" s="16"/>
      <c r="AH410" s="16"/>
      <c r="AI410" s="16"/>
      <c r="AJ410" s="16"/>
      <c r="AL410" s="16"/>
      <c r="AM410" s="16"/>
      <c r="AN410" s="16"/>
      <c r="AO410" s="16"/>
      <c r="AP410" s="16"/>
      <c r="AQ410" s="16"/>
      <c r="AR410" s="16"/>
      <c r="AS410" s="16"/>
    </row>
    <row r="411" spans="4:45" x14ac:dyDescent="0.35">
      <c r="D411" s="115"/>
      <c r="H411" s="115"/>
      <c r="K411" s="115" t="str">
        <f t="shared" si="16"/>
        <v/>
      </c>
      <c r="L411" s="115"/>
      <c r="M411" s="115"/>
      <c r="N411" s="115"/>
      <c r="O411" s="115"/>
      <c r="P411" s="181"/>
      <c r="Q411" s="181"/>
      <c r="R411" s="192"/>
      <c r="S411" s="191"/>
      <c r="T411" s="193"/>
      <c r="U411" s="191"/>
      <c r="V411" s="89"/>
      <c r="W411" s="191"/>
      <c r="Y411" s="193" t="str">
        <f t="shared" si="17"/>
        <v/>
      </c>
      <c r="Z411" s="191"/>
      <c r="AA411" s="191"/>
      <c r="AB411" s="191"/>
      <c r="AC411" s="191"/>
      <c r="AD411" s="16">
        <f>WEEKNUM(tblKPIs[[#This Row],[Production Start Date]])</f>
        <v>0</v>
      </c>
      <c r="AE411" s="16"/>
      <c r="AF411" s="16"/>
      <c r="AG411" s="16"/>
      <c r="AH411" s="16"/>
      <c r="AI411" s="16"/>
      <c r="AJ411" s="16"/>
      <c r="AL411" s="16"/>
      <c r="AM411" s="16"/>
      <c r="AN411" s="16"/>
      <c r="AO411" s="16"/>
      <c r="AP411" s="16"/>
      <c r="AQ411" s="16"/>
      <c r="AR411" s="16"/>
      <c r="AS411" s="16"/>
    </row>
    <row r="412" spans="4:45" x14ac:dyDescent="0.35">
      <c r="D412" s="115"/>
      <c r="H412" s="115"/>
      <c r="K412" s="115" t="str">
        <f t="shared" si="16"/>
        <v/>
      </c>
      <c r="L412" s="115"/>
      <c r="M412" s="115"/>
      <c r="N412" s="115"/>
      <c r="O412" s="115"/>
      <c r="P412" s="181"/>
      <c r="Q412" s="181"/>
      <c r="R412" s="192"/>
      <c r="S412" s="191"/>
      <c r="T412" s="193"/>
      <c r="U412" s="191"/>
      <c r="V412" s="89"/>
      <c r="W412" s="191"/>
      <c r="Y412" s="193" t="str">
        <f t="shared" si="17"/>
        <v/>
      </c>
      <c r="Z412" s="191"/>
      <c r="AA412" s="191"/>
      <c r="AB412" s="191"/>
      <c r="AC412" s="191"/>
      <c r="AD412" s="16">
        <f>WEEKNUM(tblKPIs[[#This Row],[Production Start Date]])</f>
        <v>0</v>
      </c>
      <c r="AE412" s="16"/>
      <c r="AF412" s="16"/>
      <c r="AG412" s="16"/>
      <c r="AH412" s="16"/>
      <c r="AI412" s="16"/>
      <c r="AJ412" s="16"/>
      <c r="AL412" s="16"/>
      <c r="AM412" s="16"/>
      <c r="AN412" s="16"/>
      <c r="AO412" s="16"/>
      <c r="AP412" s="16"/>
      <c r="AQ412" s="16"/>
      <c r="AR412" s="16"/>
      <c r="AS412" s="16"/>
    </row>
    <row r="413" spans="4:45" x14ac:dyDescent="0.35">
      <c r="D413" s="115"/>
      <c r="H413" s="115"/>
      <c r="K413" s="115" t="str">
        <f t="shared" si="16"/>
        <v/>
      </c>
      <c r="L413" s="115"/>
      <c r="M413" s="115"/>
      <c r="N413" s="115"/>
      <c r="O413" s="115"/>
      <c r="P413" s="181"/>
      <c r="Q413" s="181"/>
      <c r="R413" s="192"/>
      <c r="S413" s="191"/>
      <c r="T413" s="193"/>
      <c r="U413" s="191"/>
      <c r="V413" s="89"/>
      <c r="W413" s="191"/>
      <c r="Y413" s="193" t="str">
        <f t="shared" si="17"/>
        <v/>
      </c>
      <c r="Z413" s="191"/>
      <c r="AA413" s="191"/>
      <c r="AB413" s="191"/>
      <c r="AC413" s="191"/>
      <c r="AD413" s="16">
        <f>WEEKNUM(tblKPIs[[#This Row],[Production Start Date]])</f>
        <v>0</v>
      </c>
      <c r="AE413" s="16"/>
      <c r="AF413" s="16"/>
      <c r="AG413" s="16"/>
      <c r="AH413" s="16"/>
      <c r="AI413" s="16"/>
      <c r="AJ413" s="16"/>
      <c r="AL413" s="16"/>
      <c r="AM413" s="16"/>
      <c r="AN413" s="16"/>
      <c r="AO413" s="16"/>
      <c r="AP413" s="16"/>
      <c r="AQ413" s="16"/>
      <c r="AR413" s="16"/>
      <c r="AS413" s="16"/>
    </row>
    <row r="414" spans="4:45" x14ac:dyDescent="0.35">
      <c r="D414" s="115"/>
      <c r="H414" s="115"/>
      <c r="K414" s="115" t="str">
        <f t="shared" si="16"/>
        <v/>
      </c>
      <c r="L414" s="115"/>
      <c r="M414" s="115"/>
      <c r="N414" s="115"/>
      <c r="O414" s="115"/>
      <c r="P414" s="181"/>
      <c r="Q414" s="181"/>
      <c r="R414" s="192"/>
      <c r="S414" s="191"/>
      <c r="T414" s="193"/>
      <c r="U414" s="191"/>
      <c r="V414" s="89"/>
      <c r="W414" s="191"/>
      <c r="Y414" s="193" t="str">
        <f t="shared" si="17"/>
        <v/>
      </c>
      <c r="Z414" s="191"/>
      <c r="AA414" s="191"/>
      <c r="AB414" s="191"/>
      <c r="AC414" s="191"/>
      <c r="AD414" s="16">
        <f>WEEKNUM(tblKPIs[[#This Row],[Production Start Date]])</f>
        <v>0</v>
      </c>
      <c r="AE414" s="16"/>
      <c r="AF414" s="16"/>
      <c r="AG414" s="16"/>
      <c r="AH414" s="16"/>
      <c r="AI414" s="16"/>
      <c r="AJ414" s="16"/>
      <c r="AL414" s="16"/>
      <c r="AM414" s="16"/>
      <c r="AN414" s="16"/>
      <c r="AO414" s="16"/>
      <c r="AP414" s="16"/>
      <c r="AQ414" s="16"/>
      <c r="AR414" s="16"/>
      <c r="AS414" s="16"/>
    </row>
    <row r="415" spans="4:45" x14ac:dyDescent="0.35">
      <c r="D415" s="115"/>
      <c r="H415" s="115"/>
      <c r="K415" s="115" t="str">
        <f t="shared" si="16"/>
        <v/>
      </c>
      <c r="L415" s="115"/>
      <c r="M415" s="115"/>
      <c r="N415" s="115"/>
      <c r="O415" s="115"/>
      <c r="P415" s="181"/>
      <c r="Q415" s="181"/>
      <c r="R415" s="192"/>
      <c r="S415" s="191"/>
      <c r="T415" s="193"/>
      <c r="U415" s="191"/>
      <c r="V415" s="89"/>
      <c r="W415" s="191"/>
      <c r="Y415" s="193" t="str">
        <f t="shared" si="17"/>
        <v/>
      </c>
      <c r="Z415" s="191"/>
      <c r="AA415" s="191"/>
      <c r="AB415" s="191"/>
      <c r="AC415" s="191"/>
      <c r="AD415" s="16">
        <f>WEEKNUM(tblKPIs[[#This Row],[Production Start Date]])</f>
        <v>0</v>
      </c>
      <c r="AE415" s="16"/>
      <c r="AF415" s="16"/>
      <c r="AG415" s="16"/>
      <c r="AH415" s="16"/>
      <c r="AI415" s="16"/>
      <c r="AJ415" s="16"/>
      <c r="AL415" s="16"/>
      <c r="AM415" s="16"/>
      <c r="AN415" s="16"/>
      <c r="AO415" s="16"/>
      <c r="AP415" s="16"/>
      <c r="AQ415" s="16"/>
      <c r="AR415" s="16"/>
      <c r="AS415" s="16"/>
    </row>
    <row r="416" spans="4:45" x14ac:dyDescent="0.35">
      <c r="D416" s="115"/>
      <c r="H416" s="115"/>
      <c r="K416" s="115" t="str">
        <f t="shared" si="16"/>
        <v/>
      </c>
      <c r="L416" s="115"/>
      <c r="M416" s="115"/>
      <c r="N416" s="115"/>
      <c r="O416" s="115"/>
      <c r="P416" s="181"/>
      <c r="Q416" s="181"/>
      <c r="R416" s="192"/>
      <c r="S416" s="191"/>
      <c r="T416" s="193"/>
      <c r="U416" s="191"/>
      <c r="V416" s="89"/>
      <c r="W416" s="191"/>
      <c r="Y416" s="193" t="str">
        <f t="shared" si="17"/>
        <v/>
      </c>
      <c r="Z416" s="191"/>
      <c r="AA416" s="191"/>
      <c r="AB416" s="191"/>
      <c r="AC416" s="191"/>
      <c r="AD416" s="16">
        <f>WEEKNUM(tblKPIs[[#This Row],[Production Start Date]])</f>
        <v>0</v>
      </c>
      <c r="AE416" s="16"/>
      <c r="AF416" s="16"/>
      <c r="AG416" s="16"/>
      <c r="AH416" s="16"/>
      <c r="AI416" s="16"/>
      <c r="AJ416" s="16"/>
      <c r="AL416" s="16"/>
      <c r="AM416" s="16"/>
      <c r="AN416" s="16"/>
      <c r="AO416" s="16"/>
      <c r="AP416" s="16"/>
      <c r="AQ416" s="16"/>
      <c r="AR416" s="16"/>
      <c r="AS416" s="16"/>
    </row>
    <row r="417" spans="4:45" x14ac:dyDescent="0.35">
      <c r="D417" s="115"/>
      <c r="H417" s="115"/>
      <c r="K417" s="115" t="str">
        <f t="shared" si="16"/>
        <v/>
      </c>
      <c r="L417" s="115"/>
      <c r="M417" s="115"/>
      <c r="N417" s="115"/>
      <c r="O417" s="115"/>
      <c r="P417" s="181"/>
      <c r="Q417" s="181"/>
      <c r="R417" s="192"/>
      <c r="S417" s="191"/>
      <c r="T417" s="193"/>
      <c r="U417" s="191"/>
      <c r="V417" s="89"/>
      <c r="W417" s="191"/>
      <c r="Y417" s="193" t="str">
        <f t="shared" si="17"/>
        <v/>
      </c>
      <c r="Z417" s="191"/>
      <c r="AA417" s="191"/>
      <c r="AB417" s="191"/>
      <c r="AC417" s="191"/>
      <c r="AD417" s="16">
        <f>WEEKNUM(tblKPIs[[#This Row],[Production Start Date]])</f>
        <v>0</v>
      </c>
      <c r="AE417" s="16"/>
      <c r="AF417" s="16"/>
      <c r="AG417" s="16"/>
      <c r="AH417" s="16"/>
      <c r="AI417" s="16"/>
      <c r="AJ417" s="16"/>
      <c r="AL417" s="16"/>
      <c r="AM417" s="16"/>
      <c r="AN417" s="16"/>
      <c r="AO417" s="16"/>
      <c r="AP417" s="16"/>
      <c r="AQ417" s="16"/>
      <c r="AR417" s="16"/>
      <c r="AS417" s="16"/>
    </row>
    <row r="418" spans="4:45" x14ac:dyDescent="0.35">
      <c r="D418" s="115"/>
      <c r="H418" s="115"/>
      <c r="K418" s="115" t="str">
        <f t="shared" si="16"/>
        <v/>
      </c>
      <c r="L418" s="115"/>
      <c r="M418" s="115"/>
      <c r="N418" s="115"/>
      <c r="O418" s="115"/>
      <c r="P418" s="181"/>
      <c r="Q418" s="181"/>
      <c r="R418" s="192"/>
      <c r="S418" s="191"/>
      <c r="T418" s="193"/>
      <c r="U418" s="191"/>
      <c r="V418" s="89"/>
      <c r="W418" s="191"/>
      <c r="Y418" s="193" t="str">
        <f t="shared" si="17"/>
        <v/>
      </c>
      <c r="Z418" s="191"/>
      <c r="AA418" s="191"/>
      <c r="AB418" s="191"/>
      <c r="AC418" s="191"/>
      <c r="AD418" s="16">
        <f>WEEKNUM(tblKPIs[[#This Row],[Production Start Date]])</f>
        <v>0</v>
      </c>
      <c r="AE418" s="16"/>
      <c r="AF418" s="16"/>
      <c r="AG418" s="16"/>
      <c r="AH418" s="16"/>
      <c r="AI418" s="16"/>
      <c r="AJ418" s="16"/>
      <c r="AL418" s="16"/>
      <c r="AM418" s="16"/>
      <c r="AN418" s="16"/>
      <c r="AO418" s="16"/>
      <c r="AP418" s="16"/>
      <c r="AQ418" s="16"/>
      <c r="AR418" s="16"/>
      <c r="AS418" s="16"/>
    </row>
    <row r="419" spans="4:45" x14ac:dyDescent="0.35">
      <c r="D419" s="115"/>
      <c r="H419" s="115"/>
      <c r="K419" s="115" t="str">
        <f t="shared" si="16"/>
        <v/>
      </c>
      <c r="L419" s="115"/>
      <c r="M419" s="115"/>
      <c r="N419" s="115"/>
      <c r="O419" s="115"/>
      <c r="P419" s="181"/>
      <c r="Q419" s="181"/>
      <c r="R419" s="192"/>
      <c r="S419" s="191"/>
      <c r="T419" s="193"/>
      <c r="U419" s="191"/>
      <c r="V419" s="89"/>
      <c r="W419" s="191"/>
      <c r="Y419" s="193" t="str">
        <f t="shared" si="17"/>
        <v/>
      </c>
      <c r="Z419" s="191"/>
      <c r="AA419" s="191"/>
      <c r="AB419" s="191"/>
      <c r="AC419" s="191"/>
      <c r="AD419" s="16">
        <f>WEEKNUM(tblKPIs[[#This Row],[Production Start Date]])</f>
        <v>0</v>
      </c>
      <c r="AE419" s="16"/>
      <c r="AF419" s="16"/>
      <c r="AG419" s="16"/>
      <c r="AH419" s="16"/>
      <c r="AI419" s="16"/>
      <c r="AJ419" s="16"/>
      <c r="AL419" s="16"/>
      <c r="AM419" s="16"/>
      <c r="AN419" s="16"/>
      <c r="AO419" s="16"/>
      <c r="AP419" s="16"/>
      <c r="AQ419" s="16"/>
      <c r="AR419" s="16"/>
      <c r="AS419" s="16"/>
    </row>
    <row r="420" spans="4:45" x14ac:dyDescent="0.35">
      <c r="D420" s="115"/>
      <c r="H420" s="115"/>
      <c r="K420" s="115" t="str">
        <f t="shared" si="16"/>
        <v/>
      </c>
      <c r="L420" s="115"/>
      <c r="M420" s="115"/>
      <c r="N420" s="115"/>
      <c r="O420" s="115"/>
      <c r="P420" s="181"/>
      <c r="Q420" s="181"/>
      <c r="R420" s="192"/>
      <c r="S420" s="191"/>
      <c r="T420" s="193"/>
      <c r="U420" s="191"/>
      <c r="V420" s="89"/>
      <c r="W420" s="191"/>
      <c r="Y420" s="193" t="str">
        <f t="shared" si="17"/>
        <v/>
      </c>
      <c r="Z420" s="191"/>
      <c r="AA420" s="191"/>
      <c r="AB420" s="191"/>
      <c r="AC420" s="191"/>
      <c r="AD420" s="16">
        <f>WEEKNUM(tblKPIs[[#This Row],[Production Start Date]])</f>
        <v>0</v>
      </c>
      <c r="AE420" s="16"/>
      <c r="AF420" s="16"/>
      <c r="AG420" s="16"/>
      <c r="AH420" s="16"/>
      <c r="AI420" s="16"/>
      <c r="AJ420" s="16"/>
      <c r="AL420" s="16"/>
      <c r="AM420" s="16"/>
      <c r="AN420" s="16"/>
      <c r="AO420" s="16"/>
      <c r="AP420" s="16"/>
      <c r="AQ420" s="16"/>
      <c r="AR420" s="16"/>
      <c r="AS420" s="16"/>
    </row>
    <row r="421" spans="4:45" x14ac:dyDescent="0.35">
      <c r="D421" s="115"/>
      <c r="H421" s="115"/>
      <c r="K421" s="115" t="str">
        <f t="shared" si="16"/>
        <v/>
      </c>
      <c r="L421" s="115"/>
      <c r="M421" s="115"/>
      <c r="N421" s="115"/>
      <c r="O421" s="115"/>
      <c r="P421" s="181"/>
      <c r="Q421" s="181"/>
      <c r="R421" s="192"/>
      <c r="S421" s="191"/>
      <c r="T421" s="193"/>
      <c r="U421" s="191"/>
      <c r="V421" s="89"/>
      <c r="W421" s="191"/>
      <c r="Y421" s="193" t="str">
        <f t="shared" si="17"/>
        <v/>
      </c>
      <c r="Z421" s="191"/>
      <c r="AA421" s="191"/>
      <c r="AB421" s="191"/>
      <c r="AC421" s="191"/>
      <c r="AD421" s="16">
        <f>WEEKNUM(tblKPIs[[#This Row],[Production Start Date]])</f>
        <v>0</v>
      </c>
      <c r="AE421" s="16"/>
      <c r="AF421" s="16"/>
      <c r="AG421" s="16"/>
      <c r="AH421" s="16"/>
      <c r="AI421" s="16"/>
      <c r="AJ421" s="16"/>
      <c r="AL421" s="16"/>
      <c r="AM421" s="16"/>
      <c r="AN421" s="16"/>
      <c r="AO421" s="16"/>
      <c r="AP421" s="16"/>
      <c r="AQ421" s="16"/>
      <c r="AR421" s="16"/>
      <c r="AS421" s="16"/>
    </row>
    <row r="422" spans="4:45" x14ac:dyDescent="0.35">
      <c r="D422" s="115"/>
      <c r="H422" s="115"/>
      <c r="K422" s="115" t="str">
        <f t="shared" si="16"/>
        <v/>
      </c>
      <c r="L422" s="115"/>
      <c r="M422" s="115"/>
      <c r="N422" s="115"/>
      <c r="O422" s="115"/>
      <c r="P422" s="181"/>
      <c r="Q422" s="181"/>
      <c r="R422" s="192"/>
      <c r="S422" s="191"/>
      <c r="T422" s="193"/>
      <c r="U422" s="191"/>
      <c r="V422" s="89"/>
      <c r="W422" s="191"/>
      <c r="Y422" s="193" t="str">
        <f t="shared" si="17"/>
        <v/>
      </c>
      <c r="Z422" s="191"/>
      <c r="AA422" s="191"/>
      <c r="AB422" s="191"/>
      <c r="AC422" s="191"/>
      <c r="AD422" s="16">
        <f>WEEKNUM(tblKPIs[[#This Row],[Production Start Date]])</f>
        <v>0</v>
      </c>
      <c r="AE422" s="16"/>
      <c r="AF422" s="16"/>
      <c r="AG422" s="16"/>
      <c r="AH422" s="16"/>
      <c r="AI422" s="16"/>
      <c r="AJ422" s="16"/>
      <c r="AL422" s="16"/>
      <c r="AM422" s="16"/>
      <c r="AN422" s="16"/>
      <c r="AO422" s="16"/>
      <c r="AP422" s="16"/>
      <c r="AQ422" s="16"/>
      <c r="AR422" s="16"/>
      <c r="AS422" s="16"/>
    </row>
    <row r="423" spans="4:45" x14ac:dyDescent="0.35">
      <c r="D423" s="115"/>
      <c r="H423" s="115"/>
      <c r="K423" s="115" t="str">
        <f t="shared" si="16"/>
        <v/>
      </c>
      <c r="L423" s="115"/>
      <c r="M423" s="115"/>
      <c r="N423" s="115"/>
      <c r="O423" s="115"/>
      <c r="P423" s="181"/>
      <c r="Q423" s="181"/>
      <c r="R423" s="192"/>
      <c r="S423" s="191"/>
      <c r="T423" s="193"/>
      <c r="U423" s="191"/>
      <c r="V423" s="89"/>
      <c r="W423" s="191"/>
      <c r="Y423" s="193" t="str">
        <f t="shared" si="17"/>
        <v/>
      </c>
      <c r="Z423" s="191"/>
      <c r="AA423" s="191"/>
      <c r="AB423" s="191"/>
      <c r="AC423" s="191"/>
      <c r="AD423" s="16">
        <f>WEEKNUM(tblKPIs[[#This Row],[Production Start Date]])</f>
        <v>0</v>
      </c>
      <c r="AE423" s="16"/>
      <c r="AF423" s="16"/>
      <c r="AG423" s="16"/>
      <c r="AH423" s="16"/>
      <c r="AI423" s="16"/>
      <c r="AJ423" s="16"/>
      <c r="AL423" s="16"/>
      <c r="AM423" s="16"/>
      <c r="AN423" s="16"/>
      <c r="AO423" s="16"/>
      <c r="AP423" s="16"/>
      <c r="AQ423" s="16"/>
      <c r="AR423" s="16"/>
      <c r="AS423" s="16"/>
    </row>
    <row r="424" spans="4:45" x14ac:dyDescent="0.35">
      <c r="D424" s="115"/>
      <c r="H424" s="115"/>
      <c r="K424" s="115" t="str">
        <f t="shared" si="16"/>
        <v/>
      </c>
      <c r="L424" s="115"/>
      <c r="M424" s="115"/>
      <c r="N424" s="115"/>
      <c r="O424" s="115"/>
      <c r="P424" s="181"/>
      <c r="Q424" s="181"/>
      <c r="R424" s="192"/>
      <c r="S424" s="191"/>
      <c r="T424" s="193"/>
      <c r="U424" s="191"/>
      <c r="V424" s="89"/>
      <c r="W424" s="191"/>
      <c r="Y424" s="193" t="str">
        <f t="shared" si="17"/>
        <v/>
      </c>
      <c r="Z424" s="191"/>
      <c r="AA424" s="191"/>
      <c r="AB424" s="191"/>
      <c r="AC424" s="191"/>
      <c r="AD424" s="16">
        <f>WEEKNUM(tblKPIs[[#This Row],[Production Start Date]])</f>
        <v>0</v>
      </c>
      <c r="AE424" s="16"/>
      <c r="AF424" s="16"/>
      <c r="AG424" s="16"/>
      <c r="AH424" s="16"/>
      <c r="AI424" s="16"/>
      <c r="AJ424" s="16"/>
      <c r="AL424" s="16"/>
      <c r="AM424" s="16"/>
      <c r="AN424" s="16"/>
      <c r="AO424" s="16"/>
      <c r="AP424" s="16"/>
      <c r="AQ424" s="16"/>
      <c r="AR424" s="16"/>
      <c r="AS424" s="16"/>
    </row>
    <row r="425" spans="4:45" x14ac:dyDescent="0.35">
      <c r="D425" s="115"/>
      <c r="H425" s="115"/>
      <c r="K425" s="115" t="str">
        <f t="shared" si="16"/>
        <v/>
      </c>
      <c r="L425" s="115"/>
      <c r="M425" s="115"/>
      <c r="N425" s="115"/>
      <c r="O425" s="115"/>
      <c r="P425" s="181"/>
      <c r="Q425" s="181"/>
      <c r="R425" s="192"/>
      <c r="S425" s="191"/>
      <c r="T425" s="193"/>
      <c r="U425" s="191"/>
      <c r="V425" s="89"/>
      <c r="W425" s="191"/>
      <c r="Y425" s="193" t="str">
        <f t="shared" si="17"/>
        <v/>
      </c>
      <c r="Z425" s="191"/>
      <c r="AA425" s="191"/>
      <c r="AB425" s="191"/>
      <c r="AC425" s="191"/>
      <c r="AD425" s="16">
        <f>WEEKNUM(tblKPIs[[#This Row],[Production Start Date]])</f>
        <v>0</v>
      </c>
      <c r="AE425" s="16"/>
      <c r="AF425" s="16"/>
      <c r="AG425" s="16"/>
      <c r="AH425" s="16"/>
      <c r="AI425" s="16"/>
      <c r="AJ425" s="16"/>
      <c r="AL425" s="16"/>
      <c r="AM425" s="16"/>
      <c r="AN425" s="16"/>
      <c r="AO425" s="16"/>
      <c r="AP425" s="16"/>
      <c r="AQ425" s="16"/>
      <c r="AR425" s="16"/>
      <c r="AS425" s="16"/>
    </row>
    <row r="426" spans="4:45" x14ac:dyDescent="0.35">
      <c r="D426" s="115"/>
      <c r="H426" s="115"/>
      <c r="K426" s="115" t="str">
        <f t="shared" si="16"/>
        <v/>
      </c>
      <c r="L426" s="115"/>
      <c r="M426" s="115"/>
      <c r="N426" s="115"/>
      <c r="O426" s="115"/>
      <c r="P426" s="181"/>
      <c r="Q426" s="181"/>
      <c r="R426" s="192"/>
      <c r="S426" s="191"/>
      <c r="T426" s="193"/>
      <c r="U426" s="191"/>
      <c r="V426" s="89"/>
      <c r="W426" s="191"/>
      <c r="Y426" s="193" t="str">
        <f t="shared" si="17"/>
        <v/>
      </c>
      <c r="Z426" s="191"/>
      <c r="AA426" s="191"/>
      <c r="AB426" s="191"/>
      <c r="AC426" s="191"/>
      <c r="AD426" s="16">
        <f>WEEKNUM(tblKPIs[[#This Row],[Production Start Date]])</f>
        <v>0</v>
      </c>
      <c r="AE426" s="16"/>
      <c r="AF426" s="16"/>
      <c r="AG426" s="16"/>
      <c r="AH426" s="16"/>
      <c r="AI426" s="16"/>
      <c r="AJ426" s="16"/>
      <c r="AL426" s="16"/>
      <c r="AM426" s="16"/>
      <c r="AN426" s="16"/>
      <c r="AO426" s="16"/>
      <c r="AP426" s="16"/>
      <c r="AQ426" s="16"/>
      <c r="AR426" s="16"/>
      <c r="AS426" s="16"/>
    </row>
    <row r="427" spans="4:45" x14ac:dyDescent="0.35">
      <c r="D427" s="115"/>
      <c r="H427" s="115"/>
      <c r="K427" s="115" t="str">
        <f t="shared" si="16"/>
        <v/>
      </c>
      <c r="L427" s="115"/>
      <c r="M427" s="115"/>
      <c r="N427" s="115"/>
      <c r="O427" s="115"/>
      <c r="P427" s="181"/>
      <c r="Q427" s="181"/>
      <c r="R427" s="192"/>
      <c r="S427" s="191"/>
      <c r="T427" s="193"/>
      <c r="U427" s="191"/>
      <c r="V427" s="89"/>
      <c r="W427" s="191"/>
      <c r="Y427" s="193" t="str">
        <f t="shared" si="17"/>
        <v/>
      </c>
      <c r="Z427" s="191"/>
      <c r="AA427" s="191"/>
      <c r="AB427" s="191"/>
      <c r="AC427" s="191"/>
      <c r="AD427" s="16">
        <f>WEEKNUM(tblKPIs[[#This Row],[Production Start Date]])</f>
        <v>0</v>
      </c>
      <c r="AE427" s="16"/>
      <c r="AF427" s="16"/>
      <c r="AG427" s="16"/>
      <c r="AH427" s="16"/>
      <c r="AI427" s="16"/>
      <c r="AJ427" s="16"/>
      <c r="AL427" s="16"/>
      <c r="AM427" s="16"/>
      <c r="AN427" s="16"/>
      <c r="AO427" s="16"/>
      <c r="AP427" s="16"/>
      <c r="AQ427" s="16"/>
      <c r="AR427" s="16"/>
      <c r="AS427" s="16"/>
    </row>
    <row r="428" spans="4:45" x14ac:dyDescent="0.35">
      <c r="D428" s="115"/>
      <c r="H428" s="115"/>
      <c r="K428" s="115" t="str">
        <f t="shared" si="16"/>
        <v/>
      </c>
      <c r="L428" s="115"/>
      <c r="M428" s="115"/>
      <c r="N428" s="115"/>
      <c r="O428" s="115"/>
      <c r="P428" s="181"/>
      <c r="Q428" s="181"/>
      <c r="R428" s="192"/>
      <c r="S428" s="191"/>
      <c r="T428" s="193"/>
      <c r="U428" s="191"/>
      <c r="V428" s="89"/>
      <c r="W428" s="191"/>
      <c r="Y428" s="193" t="str">
        <f t="shared" si="17"/>
        <v/>
      </c>
      <c r="Z428" s="191"/>
      <c r="AA428" s="191"/>
      <c r="AB428" s="191"/>
      <c r="AC428" s="191"/>
      <c r="AD428" s="16">
        <f>WEEKNUM(tblKPIs[[#This Row],[Production Start Date]])</f>
        <v>0</v>
      </c>
      <c r="AE428" s="16"/>
      <c r="AF428" s="16"/>
      <c r="AG428" s="16"/>
      <c r="AH428" s="16"/>
      <c r="AI428" s="16"/>
      <c r="AJ428" s="16"/>
      <c r="AL428" s="16"/>
      <c r="AM428" s="16"/>
      <c r="AN428" s="16"/>
      <c r="AO428" s="16"/>
      <c r="AP428" s="16"/>
      <c r="AQ428" s="16"/>
      <c r="AR428" s="16"/>
      <c r="AS428" s="16"/>
    </row>
    <row r="429" spans="4:45" x14ac:dyDescent="0.35">
      <c r="D429" s="115"/>
      <c r="H429" s="115"/>
      <c r="K429" s="115" t="str">
        <f t="shared" ref="K429:K460" si="18">IF(BB429="","",+BB429/10)</f>
        <v/>
      </c>
      <c r="L429" s="115"/>
      <c r="M429" s="115"/>
      <c r="N429" s="115"/>
      <c r="O429" s="115"/>
      <c r="P429" s="181"/>
      <c r="Q429" s="181"/>
      <c r="R429" s="192"/>
      <c r="S429" s="191"/>
      <c r="T429" s="193"/>
      <c r="U429" s="191"/>
      <c r="V429" s="89"/>
      <c r="W429" s="191"/>
      <c r="Y429" s="193" t="str">
        <f t="shared" ref="Y429:Y460" si="19">IF(BC429="","",+BC429/10)</f>
        <v/>
      </c>
      <c r="Z429" s="191"/>
      <c r="AA429" s="191"/>
      <c r="AB429" s="191"/>
      <c r="AC429" s="191"/>
      <c r="AD429" s="16">
        <f>WEEKNUM(tblKPIs[[#This Row],[Production Start Date]])</f>
        <v>0</v>
      </c>
      <c r="AE429" s="16"/>
      <c r="AF429" s="16"/>
      <c r="AG429" s="16"/>
      <c r="AH429" s="16"/>
      <c r="AI429" s="16"/>
      <c r="AJ429" s="16"/>
      <c r="AL429" s="16"/>
      <c r="AM429" s="16"/>
      <c r="AN429" s="16"/>
      <c r="AO429" s="16"/>
      <c r="AP429" s="16"/>
      <c r="AQ429" s="16"/>
      <c r="AR429" s="16"/>
      <c r="AS429" s="16"/>
    </row>
    <row r="430" spans="4:45" x14ac:dyDescent="0.35">
      <c r="D430" s="115"/>
      <c r="H430" s="115"/>
      <c r="K430" s="115" t="str">
        <f t="shared" si="18"/>
        <v/>
      </c>
      <c r="L430" s="115"/>
      <c r="M430" s="115"/>
      <c r="N430" s="115"/>
      <c r="O430" s="115"/>
      <c r="P430" s="181"/>
      <c r="Q430" s="181"/>
      <c r="R430" s="192"/>
      <c r="S430" s="191"/>
      <c r="T430" s="193"/>
      <c r="U430" s="191"/>
      <c r="V430" s="89"/>
      <c r="W430" s="191"/>
      <c r="Y430" s="193" t="str">
        <f t="shared" si="19"/>
        <v/>
      </c>
      <c r="Z430" s="191"/>
      <c r="AA430" s="191"/>
      <c r="AB430" s="191"/>
      <c r="AC430" s="191"/>
      <c r="AD430" s="16">
        <f>WEEKNUM(tblKPIs[[#This Row],[Production Start Date]])</f>
        <v>0</v>
      </c>
      <c r="AE430" s="16"/>
      <c r="AF430" s="16"/>
      <c r="AG430" s="16"/>
      <c r="AH430" s="16"/>
      <c r="AI430" s="16"/>
      <c r="AJ430" s="16"/>
      <c r="AL430" s="16"/>
      <c r="AM430" s="16"/>
      <c r="AN430" s="16"/>
      <c r="AO430" s="16"/>
      <c r="AP430" s="16"/>
      <c r="AQ430" s="16"/>
      <c r="AR430" s="16"/>
      <c r="AS430" s="16"/>
    </row>
    <row r="431" spans="4:45" x14ac:dyDescent="0.35">
      <c r="D431" s="115"/>
      <c r="H431" s="115"/>
      <c r="K431" s="115" t="str">
        <f t="shared" si="18"/>
        <v/>
      </c>
      <c r="L431" s="115"/>
      <c r="M431" s="115"/>
      <c r="N431" s="115"/>
      <c r="O431" s="115"/>
      <c r="P431" s="181"/>
      <c r="Q431" s="181"/>
      <c r="R431" s="192"/>
      <c r="S431" s="191"/>
      <c r="T431" s="193"/>
      <c r="U431" s="191"/>
      <c r="V431" s="89"/>
      <c r="W431" s="191"/>
      <c r="Y431" s="193" t="str">
        <f t="shared" si="19"/>
        <v/>
      </c>
      <c r="Z431" s="191"/>
      <c r="AA431" s="191"/>
      <c r="AB431" s="191"/>
      <c r="AC431" s="191"/>
      <c r="AD431" s="16">
        <f>WEEKNUM(tblKPIs[[#This Row],[Production Start Date]])</f>
        <v>0</v>
      </c>
      <c r="AE431" s="16"/>
      <c r="AF431" s="16"/>
      <c r="AG431" s="16"/>
      <c r="AH431" s="16"/>
      <c r="AI431" s="16"/>
      <c r="AJ431" s="16"/>
      <c r="AL431" s="16"/>
      <c r="AM431" s="16"/>
      <c r="AN431" s="16"/>
      <c r="AO431" s="16"/>
      <c r="AP431" s="16"/>
      <c r="AQ431" s="16"/>
      <c r="AR431" s="16"/>
      <c r="AS431" s="16"/>
    </row>
    <row r="432" spans="4:45" x14ac:dyDescent="0.35">
      <c r="D432" s="115"/>
      <c r="H432" s="115"/>
      <c r="K432" s="115" t="str">
        <f t="shared" si="18"/>
        <v/>
      </c>
      <c r="L432" s="115"/>
      <c r="M432" s="115"/>
      <c r="N432" s="115"/>
      <c r="O432" s="115"/>
      <c r="P432" s="181"/>
      <c r="Q432" s="181"/>
      <c r="R432" s="192"/>
      <c r="S432" s="191"/>
      <c r="T432" s="193"/>
      <c r="U432" s="191"/>
      <c r="V432" s="89"/>
      <c r="W432" s="191"/>
      <c r="Y432" s="193" t="str">
        <f t="shared" si="19"/>
        <v/>
      </c>
      <c r="Z432" s="191"/>
      <c r="AA432" s="191"/>
      <c r="AB432" s="191"/>
      <c r="AC432" s="191"/>
      <c r="AD432" s="16">
        <f>WEEKNUM(tblKPIs[[#This Row],[Production Start Date]])</f>
        <v>0</v>
      </c>
      <c r="AE432" s="16"/>
      <c r="AF432" s="16"/>
      <c r="AG432" s="16"/>
      <c r="AH432" s="16"/>
      <c r="AI432" s="16"/>
      <c r="AJ432" s="16"/>
      <c r="AL432" s="16"/>
      <c r="AM432" s="16"/>
      <c r="AN432" s="16"/>
      <c r="AO432" s="16"/>
      <c r="AP432" s="16"/>
      <c r="AQ432" s="16"/>
      <c r="AR432" s="16"/>
      <c r="AS432" s="16"/>
    </row>
    <row r="433" spans="4:45" x14ac:dyDescent="0.35">
      <c r="D433" s="115"/>
      <c r="H433" s="115"/>
      <c r="K433" s="115" t="str">
        <f t="shared" si="18"/>
        <v/>
      </c>
      <c r="L433" s="115"/>
      <c r="M433" s="115"/>
      <c r="N433" s="115"/>
      <c r="O433" s="115"/>
      <c r="P433" s="181"/>
      <c r="Q433" s="181"/>
      <c r="R433" s="192"/>
      <c r="S433" s="191"/>
      <c r="T433" s="193"/>
      <c r="U433" s="191"/>
      <c r="V433" s="89"/>
      <c r="W433" s="191"/>
      <c r="Y433" s="193" t="str">
        <f t="shared" si="19"/>
        <v/>
      </c>
      <c r="Z433" s="191"/>
      <c r="AA433" s="191"/>
      <c r="AB433" s="191"/>
      <c r="AC433" s="191"/>
      <c r="AD433" s="16">
        <f>WEEKNUM(tblKPIs[[#This Row],[Production Start Date]])</f>
        <v>0</v>
      </c>
      <c r="AE433" s="16"/>
      <c r="AF433" s="16"/>
      <c r="AG433" s="16"/>
      <c r="AH433" s="16"/>
      <c r="AI433" s="16"/>
      <c r="AJ433" s="16"/>
      <c r="AL433" s="16"/>
      <c r="AM433" s="16"/>
      <c r="AN433" s="16"/>
      <c r="AO433" s="16"/>
      <c r="AP433" s="16"/>
      <c r="AQ433" s="16"/>
      <c r="AR433" s="16"/>
      <c r="AS433" s="16"/>
    </row>
    <row r="434" spans="4:45" x14ac:dyDescent="0.35">
      <c r="D434" s="115"/>
      <c r="H434" s="115"/>
      <c r="K434" s="115" t="str">
        <f t="shared" si="18"/>
        <v/>
      </c>
      <c r="L434" s="115"/>
      <c r="M434" s="115"/>
      <c r="N434" s="115"/>
      <c r="O434" s="115"/>
      <c r="P434" s="181"/>
      <c r="Q434" s="181"/>
      <c r="R434" s="192"/>
      <c r="S434" s="191"/>
      <c r="T434" s="193"/>
      <c r="U434" s="191"/>
      <c r="V434" s="89"/>
      <c r="W434" s="191"/>
      <c r="Y434" s="193" t="str">
        <f t="shared" si="19"/>
        <v/>
      </c>
      <c r="Z434" s="191"/>
      <c r="AA434" s="191"/>
      <c r="AB434" s="191"/>
      <c r="AC434" s="191"/>
      <c r="AD434" s="16">
        <f>WEEKNUM(tblKPIs[[#This Row],[Production Start Date]])</f>
        <v>0</v>
      </c>
      <c r="AE434" s="16"/>
      <c r="AF434" s="16"/>
      <c r="AG434" s="16"/>
      <c r="AH434" s="16"/>
      <c r="AI434" s="16"/>
      <c r="AJ434" s="16"/>
      <c r="AL434" s="16"/>
      <c r="AM434" s="16"/>
      <c r="AN434" s="16"/>
      <c r="AO434" s="16"/>
      <c r="AP434" s="16"/>
      <c r="AQ434" s="16"/>
      <c r="AR434" s="16"/>
      <c r="AS434" s="16"/>
    </row>
    <row r="435" spans="4:45" x14ac:dyDescent="0.35">
      <c r="D435" s="115"/>
      <c r="H435" s="115"/>
      <c r="K435" s="115" t="str">
        <f t="shared" si="18"/>
        <v/>
      </c>
      <c r="L435" s="115"/>
      <c r="M435" s="115"/>
      <c r="N435" s="115"/>
      <c r="O435" s="115"/>
      <c r="P435" s="181"/>
      <c r="Q435" s="181"/>
      <c r="R435" s="192"/>
      <c r="S435" s="191"/>
      <c r="T435" s="193"/>
      <c r="U435" s="191"/>
      <c r="V435" s="89"/>
      <c r="W435" s="191"/>
      <c r="Y435" s="193" t="str">
        <f t="shared" si="19"/>
        <v/>
      </c>
      <c r="Z435" s="191"/>
      <c r="AA435" s="191"/>
      <c r="AB435" s="191"/>
      <c r="AC435" s="191"/>
      <c r="AD435" s="16">
        <f>WEEKNUM(tblKPIs[[#This Row],[Production Start Date]])</f>
        <v>0</v>
      </c>
      <c r="AE435" s="16"/>
      <c r="AF435" s="16"/>
      <c r="AG435" s="16"/>
      <c r="AH435" s="16"/>
      <c r="AI435" s="16"/>
      <c r="AJ435" s="16"/>
      <c r="AL435" s="16"/>
      <c r="AM435" s="16"/>
      <c r="AN435" s="16"/>
      <c r="AO435" s="16"/>
      <c r="AP435" s="16"/>
      <c r="AQ435" s="16"/>
      <c r="AR435" s="16"/>
      <c r="AS435" s="16"/>
    </row>
    <row r="436" spans="4:45" x14ac:dyDescent="0.35">
      <c r="D436" s="115"/>
      <c r="H436" s="115"/>
      <c r="K436" s="115" t="str">
        <f t="shared" si="18"/>
        <v/>
      </c>
      <c r="L436" s="115"/>
      <c r="M436" s="115"/>
      <c r="N436" s="115"/>
      <c r="O436" s="115"/>
      <c r="P436" s="181"/>
      <c r="Q436" s="181"/>
      <c r="R436" s="192"/>
      <c r="S436" s="191"/>
      <c r="T436" s="193"/>
      <c r="U436" s="191"/>
      <c r="V436" s="89"/>
      <c r="W436" s="191"/>
      <c r="Y436" s="193" t="str">
        <f t="shared" si="19"/>
        <v/>
      </c>
      <c r="Z436" s="191"/>
      <c r="AA436" s="191"/>
      <c r="AB436" s="191"/>
      <c r="AC436" s="191"/>
      <c r="AD436" s="16">
        <f>WEEKNUM(tblKPIs[[#This Row],[Production Start Date]])</f>
        <v>0</v>
      </c>
      <c r="AE436" s="16"/>
      <c r="AF436" s="16"/>
      <c r="AG436" s="16"/>
      <c r="AH436" s="16"/>
      <c r="AI436" s="16"/>
      <c r="AJ436" s="16"/>
      <c r="AL436" s="16"/>
      <c r="AM436" s="16"/>
      <c r="AN436" s="16"/>
      <c r="AO436" s="16"/>
      <c r="AP436" s="16"/>
      <c r="AQ436" s="16"/>
      <c r="AR436" s="16"/>
      <c r="AS436" s="16"/>
    </row>
    <row r="437" spans="4:45" x14ac:dyDescent="0.35">
      <c r="D437" s="115"/>
      <c r="H437" s="115"/>
      <c r="K437" s="115" t="str">
        <f t="shared" si="18"/>
        <v/>
      </c>
      <c r="L437" s="115"/>
      <c r="M437" s="115"/>
      <c r="N437" s="115"/>
      <c r="O437" s="115"/>
      <c r="P437" s="181"/>
      <c r="Q437" s="181"/>
      <c r="R437" s="192"/>
      <c r="S437" s="191"/>
      <c r="T437" s="193"/>
      <c r="U437" s="191"/>
      <c r="V437" s="89"/>
      <c r="W437" s="191"/>
      <c r="Y437" s="193" t="str">
        <f t="shared" si="19"/>
        <v/>
      </c>
      <c r="Z437" s="191"/>
      <c r="AA437" s="191"/>
      <c r="AB437" s="191"/>
      <c r="AC437" s="191"/>
      <c r="AD437" s="16">
        <f>WEEKNUM(tblKPIs[[#This Row],[Production Start Date]])</f>
        <v>0</v>
      </c>
      <c r="AE437" s="16"/>
      <c r="AF437" s="16"/>
      <c r="AG437" s="16"/>
      <c r="AH437" s="16"/>
      <c r="AI437" s="16"/>
      <c r="AJ437" s="16"/>
      <c r="AL437" s="16"/>
      <c r="AM437" s="16"/>
      <c r="AN437" s="16"/>
      <c r="AO437" s="16"/>
      <c r="AP437" s="16"/>
      <c r="AQ437" s="16"/>
      <c r="AR437" s="16"/>
      <c r="AS437" s="16"/>
    </row>
    <row r="438" spans="4:45" x14ac:dyDescent="0.35">
      <c r="D438" s="115"/>
      <c r="H438" s="115"/>
      <c r="K438" s="115" t="str">
        <f t="shared" si="18"/>
        <v/>
      </c>
      <c r="L438" s="115"/>
      <c r="M438" s="115"/>
      <c r="N438" s="115"/>
      <c r="O438" s="115"/>
      <c r="P438" s="181"/>
      <c r="Q438" s="181"/>
      <c r="R438" s="192"/>
      <c r="S438" s="191"/>
      <c r="T438" s="193"/>
      <c r="U438" s="191"/>
      <c r="V438" s="89"/>
      <c r="W438" s="191"/>
      <c r="Y438" s="193" t="str">
        <f t="shared" si="19"/>
        <v/>
      </c>
      <c r="Z438" s="191"/>
      <c r="AA438" s="191"/>
      <c r="AB438" s="191"/>
      <c r="AC438" s="191"/>
      <c r="AD438" s="16">
        <f>WEEKNUM(tblKPIs[[#This Row],[Production Start Date]])</f>
        <v>0</v>
      </c>
      <c r="AE438" s="16"/>
      <c r="AF438" s="16"/>
      <c r="AG438" s="16"/>
      <c r="AH438" s="16"/>
      <c r="AI438" s="16"/>
      <c r="AJ438" s="16"/>
      <c r="AL438" s="16"/>
      <c r="AM438" s="16"/>
      <c r="AN438" s="16"/>
      <c r="AO438" s="16"/>
      <c r="AP438" s="16"/>
      <c r="AQ438" s="16"/>
      <c r="AR438" s="16"/>
      <c r="AS438" s="16"/>
    </row>
    <row r="439" spans="4:45" x14ac:dyDescent="0.35">
      <c r="D439" s="115"/>
      <c r="H439" s="115"/>
      <c r="K439" s="115" t="str">
        <f t="shared" si="18"/>
        <v/>
      </c>
      <c r="L439" s="115"/>
      <c r="M439" s="115"/>
      <c r="N439" s="115"/>
      <c r="O439" s="115"/>
      <c r="P439" s="181"/>
      <c r="Q439" s="181"/>
      <c r="R439" s="192"/>
      <c r="S439" s="191"/>
      <c r="T439" s="193"/>
      <c r="U439" s="191"/>
      <c r="V439" s="89"/>
      <c r="W439" s="191"/>
      <c r="Y439" s="193" t="str">
        <f t="shared" si="19"/>
        <v/>
      </c>
      <c r="Z439" s="191"/>
      <c r="AA439" s="191"/>
      <c r="AB439" s="191"/>
      <c r="AC439" s="191"/>
      <c r="AD439" s="16">
        <f>WEEKNUM(tblKPIs[[#This Row],[Production Start Date]])</f>
        <v>0</v>
      </c>
      <c r="AE439" s="16"/>
      <c r="AF439" s="16"/>
      <c r="AG439" s="16"/>
      <c r="AH439" s="16"/>
      <c r="AI439" s="16"/>
      <c r="AJ439" s="16"/>
      <c r="AL439" s="16"/>
      <c r="AM439" s="16"/>
      <c r="AN439" s="16"/>
      <c r="AO439" s="16"/>
      <c r="AP439" s="16"/>
      <c r="AQ439" s="16"/>
      <c r="AR439" s="16"/>
      <c r="AS439" s="16"/>
    </row>
    <row r="440" spans="4:45" x14ac:dyDescent="0.35">
      <c r="D440" s="115"/>
      <c r="H440" s="115"/>
      <c r="K440" s="115" t="str">
        <f t="shared" si="18"/>
        <v/>
      </c>
      <c r="L440" s="115"/>
      <c r="M440" s="115"/>
      <c r="N440" s="115"/>
      <c r="O440" s="115"/>
      <c r="P440" s="181"/>
      <c r="Q440" s="181"/>
      <c r="R440" s="192"/>
      <c r="S440" s="191"/>
      <c r="T440" s="193"/>
      <c r="U440" s="191"/>
      <c r="V440" s="89"/>
      <c r="W440" s="191"/>
      <c r="Y440" s="193" t="str">
        <f t="shared" si="19"/>
        <v/>
      </c>
      <c r="Z440" s="191"/>
      <c r="AA440" s="191"/>
      <c r="AB440" s="191"/>
      <c r="AC440" s="191"/>
      <c r="AD440" s="16">
        <f>WEEKNUM(tblKPIs[[#This Row],[Production Start Date]])</f>
        <v>0</v>
      </c>
      <c r="AE440" s="16"/>
      <c r="AF440" s="16"/>
      <c r="AG440" s="16"/>
      <c r="AH440" s="16"/>
      <c r="AI440" s="16"/>
      <c r="AJ440" s="16"/>
      <c r="AL440" s="16"/>
      <c r="AM440" s="16"/>
      <c r="AN440" s="16"/>
      <c r="AO440" s="16"/>
      <c r="AP440" s="16"/>
      <c r="AQ440" s="16"/>
      <c r="AR440" s="16"/>
      <c r="AS440" s="16"/>
    </row>
    <row r="441" spans="4:45" x14ac:dyDescent="0.35">
      <c r="D441" s="115"/>
      <c r="H441" s="115"/>
      <c r="K441" s="115" t="str">
        <f t="shared" si="18"/>
        <v/>
      </c>
      <c r="L441" s="115"/>
      <c r="M441" s="115"/>
      <c r="N441" s="115"/>
      <c r="O441" s="115"/>
      <c r="P441" s="181"/>
      <c r="Q441" s="181"/>
      <c r="R441" s="192"/>
      <c r="S441" s="191"/>
      <c r="T441" s="193"/>
      <c r="U441" s="191"/>
      <c r="V441" s="89"/>
      <c r="W441" s="191"/>
      <c r="Y441" s="193" t="str">
        <f t="shared" si="19"/>
        <v/>
      </c>
      <c r="Z441" s="191"/>
      <c r="AA441" s="191"/>
      <c r="AB441" s="191"/>
      <c r="AC441" s="191"/>
      <c r="AD441" s="16">
        <f>WEEKNUM(tblKPIs[[#This Row],[Production Start Date]])</f>
        <v>0</v>
      </c>
      <c r="AE441" s="16"/>
      <c r="AF441" s="16"/>
      <c r="AG441" s="16"/>
      <c r="AH441" s="16"/>
      <c r="AI441" s="16"/>
      <c r="AJ441" s="16"/>
      <c r="AL441" s="16"/>
      <c r="AM441" s="16"/>
      <c r="AN441" s="16"/>
      <c r="AO441" s="16"/>
      <c r="AP441" s="16"/>
      <c r="AQ441" s="16"/>
      <c r="AR441" s="16"/>
      <c r="AS441" s="16"/>
    </row>
    <row r="442" spans="4:45" x14ac:dyDescent="0.35">
      <c r="D442" s="115"/>
      <c r="H442" s="115"/>
      <c r="K442" s="115" t="str">
        <f t="shared" si="18"/>
        <v/>
      </c>
      <c r="L442" s="115"/>
      <c r="M442" s="115"/>
      <c r="N442" s="115"/>
      <c r="O442" s="115"/>
      <c r="P442" s="181"/>
      <c r="Q442" s="181"/>
      <c r="R442" s="192"/>
      <c r="S442" s="191"/>
      <c r="T442" s="193"/>
      <c r="U442" s="191"/>
      <c r="V442" s="89"/>
      <c r="W442" s="191"/>
      <c r="Y442" s="193" t="str">
        <f t="shared" si="19"/>
        <v/>
      </c>
      <c r="Z442" s="191"/>
      <c r="AA442" s="191"/>
      <c r="AB442" s="191"/>
      <c r="AC442" s="191"/>
      <c r="AD442" s="16">
        <f>WEEKNUM(tblKPIs[[#This Row],[Production Start Date]])</f>
        <v>0</v>
      </c>
      <c r="AE442" s="16"/>
      <c r="AF442" s="16"/>
      <c r="AG442" s="16"/>
      <c r="AH442" s="16"/>
      <c r="AI442" s="16"/>
      <c r="AJ442" s="16"/>
      <c r="AL442" s="16"/>
      <c r="AM442" s="16"/>
      <c r="AN442" s="16"/>
      <c r="AO442" s="16"/>
      <c r="AP442" s="16"/>
      <c r="AQ442" s="16"/>
      <c r="AR442" s="16"/>
      <c r="AS442" s="16"/>
    </row>
    <row r="443" spans="4:45" x14ac:dyDescent="0.35">
      <c r="D443" s="115"/>
      <c r="H443" s="115"/>
      <c r="K443" s="115" t="str">
        <f t="shared" si="18"/>
        <v/>
      </c>
      <c r="L443" s="115"/>
      <c r="M443" s="115"/>
      <c r="N443" s="115"/>
      <c r="O443" s="115"/>
      <c r="P443" s="181"/>
      <c r="Q443" s="181"/>
      <c r="R443" s="192"/>
      <c r="S443" s="191"/>
      <c r="T443" s="193"/>
      <c r="U443" s="191"/>
      <c r="V443" s="89"/>
      <c r="W443" s="191"/>
      <c r="Y443" s="193" t="str">
        <f t="shared" si="19"/>
        <v/>
      </c>
      <c r="Z443" s="191"/>
      <c r="AA443" s="191"/>
      <c r="AB443" s="191"/>
      <c r="AC443" s="191"/>
      <c r="AD443" s="16">
        <f>WEEKNUM(tblKPIs[[#This Row],[Production Start Date]])</f>
        <v>0</v>
      </c>
      <c r="AE443" s="16"/>
      <c r="AF443" s="16"/>
      <c r="AG443" s="16"/>
      <c r="AH443" s="16"/>
      <c r="AI443" s="16"/>
      <c r="AJ443" s="16"/>
      <c r="AL443" s="16"/>
      <c r="AM443" s="16"/>
      <c r="AN443" s="16"/>
      <c r="AO443" s="16"/>
      <c r="AP443" s="16"/>
      <c r="AQ443" s="16"/>
      <c r="AR443" s="16"/>
      <c r="AS443" s="16"/>
    </row>
    <row r="444" spans="4:45" x14ac:dyDescent="0.35">
      <c r="D444" s="115"/>
      <c r="H444" s="115"/>
      <c r="K444" s="115" t="str">
        <f t="shared" si="18"/>
        <v/>
      </c>
      <c r="L444" s="115"/>
      <c r="M444" s="115"/>
      <c r="N444" s="115"/>
      <c r="O444" s="115"/>
      <c r="P444" s="181"/>
      <c r="Q444" s="181"/>
      <c r="R444" s="192"/>
      <c r="S444" s="191"/>
      <c r="T444" s="193"/>
      <c r="U444" s="191"/>
      <c r="V444" s="89"/>
      <c r="W444" s="191"/>
      <c r="Y444" s="193" t="str">
        <f t="shared" si="19"/>
        <v/>
      </c>
      <c r="Z444" s="191"/>
      <c r="AA444" s="191"/>
      <c r="AB444" s="191"/>
      <c r="AC444" s="191"/>
      <c r="AD444" s="16">
        <f>WEEKNUM(tblKPIs[[#This Row],[Production Start Date]])</f>
        <v>0</v>
      </c>
      <c r="AE444" s="16"/>
      <c r="AF444" s="16"/>
      <c r="AG444" s="16"/>
      <c r="AH444" s="16"/>
      <c r="AI444" s="16"/>
      <c r="AJ444" s="16"/>
      <c r="AL444" s="16"/>
      <c r="AM444" s="16"/>
      <c r="AN444" s="16"/>
      <c r="AO444" s="16"/>
      <c r="AP444" s="16"/>
      <c r="AQ444" s="16"/>
      <c r="AR444" s="16"/>
      <c r="AS444" s="16"/>
    </row>
    <row r="445" spans="4:45" x14ac:dyDescent="0.35">
      <c r="D445" s="115"/>
      <c r="H445" s="115"/>
      <c r="K445" s="115" t="str">
        <f t="shared" si="18"/>
        <v/>
      </c>
      <c r="L445" s="115"/>
      <c r="M445" s="115"/>
      <c r="N445" s="115"/>
      <c r="O445" s="115"/>
      <c r="P445" s="181"/>
      <c r="Q445" s="181"/>
      <c r="R445" s="192"/>
      <c r="S445" s="191"/>
      <c r="T445" s="193"/>
      <c r="U445" s="191"/>
      <c r="V445" s="89"/>
      <c r="W445" s="191"/>
      <c r="Y445" s="193" t="str">
        <f t="shared" si="19"/>
        <v/>
      </c>
      <c r="Z445" s="191"/>
      <c r="AA445" s="191"/>
      <c r="AB445" s="191"/>
      <c r="AC445" s="191"/>
      <c r="AD445" s="16">
        <f>WEEKNUM(tblKPIs[[#This Row],[Production Start Date]])</f>
        <v>0</v>
      </c>
      <c r="AE445" s="16"/>
      <c r="AF445" s="16"/>
      <c r="AG445" s="16"/>
      <c r="AH445" s="16"/>
      <c r="AI445" s="16"/>
      <c r="AJ445" s="16"/>
      <c r="AL445" s="16"/>
      <c r="AM445" s="16"/>
      <c r="AN445" s="16"/>
      <c r="AO445" s="16"/>
      <c r="AP445" s="16"/>
      <c r="AQ445" s="16"/>
      <c r="AR445" s="16"/>
      <c r="AS445" s="16"/>
    </row>
    <row r="446" spans="4:45" x14ac:dyDescent="0.35">
      <c r="D446" s="115"/>
      <c r="H446" s="115"/>
      <c r="K446" s="115" t="str">
        <f t="shared" si="18"/>
        <v/>
      </c>
      <c r="L446" s="115"/>
      <c r="M446" s="115"/>
      <c r="N446" s="115"/>
      <c r="O446" s="115"/>
      <c r="P446" s="181"/>
      <c r="Q446" s="181"/>
      <c r="R446" s="192"/>
      <c r="S446" s="191"/>
      <c r="T446" s="193"/>
      <c r="U446" s="191"/>
      <c r="V446" s="89"/>
      <c r="W446" s="191"/>
      <c r="Y446" s="193" t="str">
        <f t="shared" si="19"/>
        <v/>
      </c>
      <c r="Z446" s="191"/>
      <c r="AA446" s="191"/>
      <c r="AB446" s="191"/>
      <c r="AC446" s="191"/>
      <c r="AD446" s="16">
        <f>WEEKNUM(tblKPIs[[#This Row],[Production Start Date]])</f>
        <v>0</v>
      </c>
      <c r="AE446" s="16"/>
      <c r="AF446" s="16"/>
      <c r="AG446" s="16"/>
      <c r="AH446" s="16"/>
      <c r="AI446" s="16"/>
      <c r="AJ446" s="16"/>
      <c r="AL446" s="16"/>
      <c r="AM446" s="16"/>
      <c r="AN446" s="16"/>
      <c r="AO446" s="16"/>
      <c r="AP446" s="16"/>
      <c r="AQ446" s="16"/>
      <c r="AR446" s="16"/>
      <c r="AS446" s="16"/>
    </row>
    <row r="447" spans="4:45" x14ac:dyDescent="0.35">
      <c r="D447" s="115"/>
      <c r="H447" s="115"/>
      <c r="K447" s="115" t="str">
        <f t="shared" si="18"/>
        <v/>
      </c>
      <c r="L447" s="115"/>
      <c r="M447" s="115"/>
      <c r="N447" s="115"/>
      <c r="O447" s="115"/>
      <c r="P447" s="181"/>
      <c r="Q447" s="181"/>
      <c r="R447" s="192"/>
      <c r="S447" s="191"/>
      <c r="T447" s="193"/>
      <c r="U447" s="191"/>
      <c r="V447" s="89"/>
      <c r="W447" s="191"/>
      <c r="Y447" s="193" t="str">
        <f t="shared" si="19"/>
        <v/>
      </c>
      <c r="Z447" s="191"/>
      <c r="AA447" s="191"/>
      <c r="AB447" s="191"/>
      <c r="AC447" s="191"/>
      <c r="AD447" s="16">
        <f>WEEKNUM(tblKPIs[[#This Row],[Production Start Date]])</f>
        <v>0</v>
      </c>
      <c r="AE447" s="16"/>
      <c r="AF447" s="16"/>
      <c r="AG447" s="16"/>
      <c r="AH447" s="16"/>
      <c r="AI447" s="16"/>
      <c r="AJ447" s="16"/>
      <c r="AL447" s="16"/>
      <c r="AM447" s="16"/>
      <c r="AN447" s="16"/>
      <c r="AO447" s="16"/>
      <c r="AP447" s="16"/>
      <c r="AQ447" s="16"/>
      <c r="AR447" s="16"/>
      <c r="AS447" s="16"/>
    </row>
    <row r="448" spans="4:45" x14ac:dyDescent="0.35">
      <c r="D448" s="115"/>
      <c r="H448" s="115"/>
      <c r="K448" s="115" t="str">
        <f t="shared" si="18"/>
        <v/>
      </c>
      <c r="L448" s="115"/>
      <c r="M448" s="115"/>
      <c r="N448" s="115"/>
      <c r="O448" s="115"/>
      <c r="P448" s="181"/>
      <c r="Q448" s="181"/>
      <c r="R448" s="192"/>
      <c r="S448" s="191"/>
      <c r="T448" s="193"/>
      <c r="U448" s="191"/>
      <c r="V448" s="89"/>
      <c r="W448" s="191"/>
      <c r="Y448" s="193" t="str">
        <f t="shared" si="19"/>
        <v/>
      </c>
      <c r="Z448" s="191"/>
      <c r="AA448" s="191"/>
      <c r="AB448" s="191"/>
      <c r="AC448" s="191"/>
      <c r="AD448" s="16">
        <f>WEEKNUM(tblKPIs[[#This Row],[Production Start Date]])</f>
        <v>0</v>
      </c>
      <c r="AE448" s="16"/>
      <c r="AF448" s="16"/>
      <c r="AG448" s="16"/>
      <c r="AH448" s="16"/>
      <c r="AI448" s="16"/>
      <c r="AJ448" s="16"/>
      <c r="AL448" s="16"/>
      <c r="AM448" s="16"/>
      <c r="AN448" s="16"/>
      <c r="AO448" s="16"/>
      <c r="AP448" s="16"/>
      <c r="AQ448" s="16"/>
      <c r="AR448" s="16"/>
      <c r="AS448" s="16"/>
    </row>
    <row r="449" spans="4:45" x14ac:dyDescent="0.35">
      <c r="D449" s="115"/>
      <c r="H449" s="115"/>
      <c r="K449" s="115" t="str">
        <f t="shared" si="18"/>
        <v/>
      </c>
      <c r="L449" s="115"/>
      <c r="M449" s="115"/>
      <c r="N449" s="115"/>
      <c r="O449" s="115"/>
      <c r="P449" s="181"/>
      <c r="Q449" s="181"/>
      <c r="R449" s="192"/>
      <c r="S449" s="191"/>
      <c r="T449" s="193"/>
      <c r="U449" s="191"/>
      <c r="V449" s="89"/>
      <c r="W449" s="191"/>
      <c r="Y449" s="193" t="str">
        <f t="shared" si="19"/>
        <v/>
      </c>
      <c r="Z449" s="191"/>
      <c r="AA449" s="191"/>
      <c r="AB449" s="191"/>
      <c r="AC449" s="191"/>
      <c r="AD449" s="16">
        <f>WEEKNUM(tblKPIs[[#This Row],[Production Start Date]])</f>
        <v>0</v>
      </c>
      <c r="AE449" s="16"/>
      <c r="AF449" s="16"/>
      <c r="AG449" s="16"/>
      <c r="AH449" s="16"/>
      <c r="AI449" s="16"/>
      <c r="AJ449" s="16"/>
      <c r="AL449" s="16"/>
      <c r="AM449" s="16"/>
      <c r="AN449" s="16"/>
      <c r="AO449" s="16"/>
      <c r="AP449" s="16"/>
      <c r="AQ449" s="16"/>
      <c r="AR449" s="16"/>
      <c r="AS449" s="16"/>
    </row>
    <row r="450" spans="4:45" x14ac:dyDescent="0.35">
      <c r="D450" s="115"/>
      <c r="H450" s="115"/>
      <c r="K450" s="115" t="str">
        <f t="shared" si="18"/>
        <v/>
      </c>
      <c r="L450" s="115"/>
      <c r="M450" s="115"/>
      <c r="N450" s="115"/>
      <c r="O450" s="115"/>
      <c r="P450" s="181"/>
      <c r="Q450" s="181"/>
      <c r="R450" s="192"/>
      <c r="S450" s="191"/>
      <c r="T450" s="193"/>
      <c r="U450" s="191"/>
      <c r="V450" s="89"/>
      <c r="W450" s="191"/>
      <c r="Y450" s="193" t="str">
        <f t="shared" si="19"/>
        <v/>
      </c>
      <c r="Z450" s="191"/>
      <c r="AA450" s="191"/>
      <c r="AB450" s="191"/>
      <c r="AC450" s="191"/>
      <c r="AD450" s="16">
        <f>WEEKNUM(tblKPIs[[#This Row],[Production Start Date]])</f>
        <v>0</v>
      </c>
      <c r="AE450" s="16"/>
      <c r="AF450" s="16"/>
      <c r="AG450" s="16"/>
      <c r="AH450" s="16"/>
      <c r="AI450" s="16"/>
      <c r="AJ450" s="16"/>
      <c r="AL450" s="16"/>
      <c r="AM450" s="16"/>
      <c r="AN450" s="16"/>
      <c r="AO450" s="16"/>
      <c r="AP450" s="16"/>
      <c r="AQ450" s="16"/>
      <c r="AR450" s="16"/>
      <c r="AS450" s="16"/>
    </row>
    <row r="451" spans="4:45" x14ac:dyDescent="0.35">
      <c r="D451" s="115"/>
      <c r="H451" s="115"/>
      <c r="K451" s="115" t="str">
        <f t="shared" si="18"/>
        <v/>
      </c>
      <c r="L451" s="115"/>
      <c r="M451" s="115"/>
      <c r="N451" s="115"/>
      <c r="O451" s="115"/>
      <c r="P451" s="181"/>
      <c r="Q451" s="181"/>
      <c r="R451" s="192"/>
      <c r="S451" s="191"/>
      <c r="T451" s="193"/>
      <c r="U451" s="191"/>
      <c r="V451" s="89"/>
      <c r="W451" s="191"/>
      <c r="Y451" s="193" t="str">
        <f t="shared" si="19"/>
        <v/>
      </c>
      <c r="Z451" s="191"/>
      <c r="AA451" s="191"/>
      <c r="AB451" s="191"/>
      <c r="AC451" s="191"/>
      <c r="AD451" s="16">
        <f>WEEKNUM(tblKPIs[[#This Row],[Production Start Date]])</f>
        <v>0</v>
      </c>
      <c r="AE451" s="16"/>
      <c r="AF451" s="16"/>
      <c r="AG451" s="16"/>
      <c r="AH451" s="16"/>
      <c r="AI451" s="16"/>
      <c r="AJ451" s="16"/>
      <c r="AL451" s="16"/>
      <c r="AM451" s="16"/>
      <c r="AN451" s="16"/>
      <c r="AO451" s="16"/>
      <c r="AP451" s="16"/>
      <c r="AQ451" s="16"/>
      <c r="AR451" s="16"/>
      <c r="AS451" s="16"/>
    </row>
    <row r="452" spans="4:45" x14ac:dyDescent="0.35">
      <c r="D452" s="115"/>
      <c r="H452" s="115"/>
      <c r="K452" s="115" t="str">
        <f t="shared" si="18"/>
        <v/>
      </c>
      <c r="L452" s="115"/>
      <c r="M452" s="115"/>
      <c r="N452" s="115"/>
      <c r="O452" s="115"/>
      <c r="P452" s="181"/>
      <c r="Q452" s="181"/>
      <c r="R452" s="192"/>
      <c r="S452" s="191"/>
      <c r="T452" s="193"/>
      <c r="U452" s="191"/>
      <c r="V452" s="89"/>
      <c r="W452" s="191"/>
      <c r="Y452" s="193" t="str">
        <f t="shared" si="19"/>
        <v/>
      </c>
      <c r="Z452" s="191"/>
      <c r="AA452" s="191"/>
      <c r="AB452" s="191"/>
      <c r="AC452" s="191"/>
      <c r="AD452" s="16">
        <f>WEEKNUM(tblKPIs[[#This Row],[Production Start Date]])</f>
        <v>0</v>
      </c>
      <c r="AE452" s="16"/>
      <c r="AF452" s="16"/>
      <c r="AG452" s="16"/>
      <c r="AH452" s="16"/>
      <c r="AI452" s="16"/>
      <c r="AJ452" s="16"/>
      <c r="AL452" s="16"/>
      <c r="AM452" s="16"/>
      <c r="AN452" s="16"/>
      <c r="AO452" s="16"/>
      <c r="AP452" s="16"/>
      <c r="AQ452" s="16"/>
      <c r="AR452" s="16"/>
      <c r="AS452" s="16"/>
    </row>
    <row r="453" spans="4:45" x14ac:dyDescent="0.35">
      <c r="D453" s="115"/>
      <c r="H453" s="115"/>
      <c r="K453" s="115" t="str">
        <f t="shared" si="18"/>
        <v/>
      </c>
      <c r="L453" s="115"/>
      <c r="M453" s="115"/>
      <c r="N453" s="115"/>
      <c r="O453" s="115"/>
      <c r="P453" s="181"/>
      <c r="Q453" s="181"/>
      <c r="R453" s="192"/>
      <c r="S453" s="191"/>
      <c r="T453" s="193"/>
      <c r="U453" s="191"/>
      <c r="V453" s="89"/>
      <c r="W453" s="191"/>
      <c r="Y453" s="193" t="str">
        <f t="shared" si="19"/>
        <v/>
      </c>
      <c r="Z453" s="191"/>
      <c r="AA453" s="191"/>
      <c r="AB453" s="191"/>
      <c r="AC453" s="191"/>
      <c r="AD453" s="16">
        <f>WEEKNUM(tblKPIs[[#This Row],[Production Start Date]])</f>
        <v>0</v>
      </c>
      <c r="AE453" s="16"/>
      <c r="AF453" s="16"/>
      <c r="AG453" s="16"/>
      <c r="AH453" s="16"/>
      <c r="AI453" s="16"/>
      <c r="AJ453" s="16"/>
      <c r="AL453" s="16"/>
      <c r="AM453" s="16"/>
      <c r="AN453" s="16"/>
      <c r="AO453" s="16"/>
      <c r="AP453" s="16"/>
      <c r="AQ453" s="16"/>
      <c r="AR453" s="16"/>
      <c r="AS453" s="16"/>
    </row>
    <row r="454" spans="4:45" x14ac:dyDescent="0.35">
      <c r="D454" s="115"/>
      <c r="H454" s="115"/>
      <c r="K454" s="115" t="str">
        <f t="shared" si="18"/>
        <v/>
      </c>
      <c r="L454" s="115"/>
      <c r="M454" s="115"/>
      <c r="N454" s="115"/>
      <c r="O454" s="115"/>
      <c r="P454" s="181"/>
      <c r="Q454" s="181"/>
      <c r="R454" s="192"/>
      <c r="S454" s="191"/>
      <c r="T454" s="193"/>
      <c r="U454" s="191"/>
      <c r="V454" s="89"/>
      <c r="W454" s="191"/>
      <c r="Y454" s="193" t="str">
        <f t="shared" si="19"/>
        <v/>
      </c>
      <c r="Z454" s="191"/>
      <c r="AA454" s="191"/>
      <c r="AB454" s="191"/>
      <c r="AC454" s="191"/>
      <c r="AD454" s="16">
        <f>WEEKNUM(tblKPIs[[#This Row],[Production Start Date]])</f>
        <v>0</v>
      </c>
      <c r="AE454" s="16"/>
      <c r="AF454" s="16"/>
      <c r="AG454" s="16"/>
      <c r="AH454" s="16"/>
      <c r="AI454" s="16"/>
      <c r="AJ454" s="16"/>
      <c r="AL454" s="16"/>
      <c r="AM454" s="16"/>
      <c r="AN454" s="16"/>
      <c r="AO454" s="16"/>
      <c r="AP454" s="16"/>
      <c r="AQ454" s="16"/>
      <c r="AR454" s="16"/>
      <c r="AS454" s="16"/>
    </row>
    <row r="455" spans="4:45" x14ac:dyDescent="0.35">
      <c r="D455" s="115"/>
      <c r="H455" s="115"/>
      <c r="K455" s="115" t="str">
        <f t="shared" si="18"/>
        <v/>
      </c>
      <c r="L455" s="115"/>
      <c r="M455" s="115"/>
      <c r="N455" s="115"/>
      <c r="O455" s="115"/>
      <c r="P455" s="181"/>
      <c r="Q455" s="181"/>
      <c r="R455" s="192"/>
      <c r="S455" s="191"/>
      <c r="T455" s="193"/>
      <c r="U455" s="191"/>
      <c r="V455" s="89"/>
      <c r="W455" s="191"/>
      <c r="Y455" s="193" t="str">
        <f t="shared" si="19"/>
        <v/>
      </c>
      <c r="Z455" s="191"/>
      <c r="AA455" s="191"/>
      <c r="AB455" s="191"/>
      <c r="AC455" s="191"/>
      <c r="AD455" s="16">
        <f>WEEKNUM(tblKPIs[[#This Row],[Production Start Date]])</f>
        <v>0</v>
      </c>
      <c r="AE455" s="16"/>
      <c r="AF455" s="16"/>
      <c r="AG455" s="16"/>
      <c r="AH455" s="16"/>
      <c r="AI455" s="16"/>
      <c r="AJ455" s="16"/>
      <c r="AL455" s="16"/>
      <c r="AM455" s="16"/>
      <c r="AN455" s="16"/>
      <c r="AO455" s="16"/>
      <c r="AP455" s="16"/>
      <c r="AQ455" s="16"/>
      <c r="AR455" s="16"/>
      <c r="AS455" s="16"/>
    </row>
    <row r="456" spans="4:45" x14ac:dyDescent="0.35">
      <c r="D456" s="115"/>
      <c r="H456" s="115"/>
      <c r="K456" s="115" t="str">
        <f t="shared" si="18"/>
        <v/>
      </c>
      <c r="L456" s="115"/>
      <c r="M456" s="115"/>
      <c r="N456" s="115"/>
      <c r="O456" s="115"/>
      <c r="P456" s="181"/>
      <c r="Q456" s="181"/>
      <c r="R456" s="192"/>
      <c r="S456" s="191"/>
      <c r="T456" s="193"/>
      <c r="U456" s="191"/>
      <c r="V456" s="89"/>
      <c r="W456" s="191"/>
      <c r="Y456" s="193" t="str">
        <f t="shared" si="19"/>
        <v/>
      </c>
      <c r="Z456" s="191"/>
      <c r="AA456" s="191"/>
      <c r="AB456" s="191"/>
      <c r="AC456" s="191"/>
      <c r="AD456" s="16">
        <f>WEEKNUM(tblKPIs[[#This Row],[Production Start Date]])</f>
        <v>0</v>
      </c>
      <c r="AE456" s="16"/>
      <c r="AF456" s="16"/>
      <c r="AG456" s="16"/>
      <c r="AH456" s="16"/>
      <c r="AI456" s="16"/>
      <c r="AJ456" s="16"/>
      <c r="AL456" s="16"/>
      <c r="AM456" s="16"/>
      <c r="AN456" s="16"/>
      <c r="AO456" s="16"/>
      <c r="AP456" s="16"/>
      <c r="AQ456" s="16"/>
      <c r="AR456" s="16"/>
      <c r="AS456" s="16"/>
    </row>
    <row r="457" spans="4:45" x14ac:dyDescent="0.35">
      <c r="D457" s="115"/>
      <c r="H457" s="115"/>
      <c r="K457" s="115" t="str">
        <f t="shared" si="18"/>
        <v/>
      </c>
      <c r="L457" s="115"/>
      <c r="M457" s="115"/>
      <c r="N457" s="115"/>
      <c r="O457" s="115"/>
      <c r="P457" s="181"/>
      <c r="Q457" s="181"/>
      <c r="R457" s="192"/>
      <c r="S457" s="191"/>
      <c r="T457" s="193"/>
      <c r="U457" s="191"/>
      <c r="V457" s="89"/>
      <c r="W457" s="191"/>
      <c r="Y457" s="193" t="str">
        <f t="shared" si="19"/>
        <v/>
      </c>
      <c r="Z457" s="191"/>
      <c r="AA457" s="191"/>
      <c r="AB457" s="191"/>
      <c r="AC457" s="191"/>
      <c r="AD457" s="16">
        <f>WEEKNUM(tblKPIs[[#This Row],[Production Start Date]])</f>
        <v>0</v>
      </c>
      <c r="AE457" s="16"/>
      <c r="AF457" s="16"/>
      <c r="AG457" s="16"/>
      <c r="AH457" s="16"/>
      <c r="AI457" s="16"/>
      <c r="AJ457" s="16"/>
      <c r="AL457" s="16"/>
      <c r="AM457" s="16"/>
      <c r="AN457" s="16"/>
      <c r="AO457" s="16"/>
      <c r="AP457" s="16"/>
      <c r="AQ457" s="16"/>
      <c r="AR457" s="16"/>
      <c r="AS457" s="16"/>
    </row>
    <row r="458" spans="4:45" x14ac:dyDescent="0.35">
      <c r="D458" s="115"/>
      <c r="H458" s="115"/>
      <c r="K458" s="115" t="str">
        <f t="shared" si="18"/>
        <v/>
      </c>
      <c r="L458" s="115"/>
      <c r="M458" s="115"/>
      <c r="N458" s="115"/>
      <c r="O458" s="115"/>
      <c r="P458" s="181"/>
      <c r="Q458" s="181"/>
      <c r="R458" s="192"/>
      <c r="S458" s="191"/>
      <c r="T458" s="193"/>
      <c r="U458" s="191"/>
      <c r="V458" s="89"/>
      <c r="W458" s="191"/>
      <c r="Y458" s="193" t="str">
        <f t="shared" si="19"/>
        <v/>
      </c>
      <c r="Z458" s="191"/>
      <c r="AA458" s="191"/>
      <c r="AB458" s="191"/>
      <c r="AC458" s="191"/>
      <c r="AD458" s="16">
        <f>WEEKNUM(tblKPIs[[#This Row],[Production Start Date]])</f>
        <v>0</v>
      </c>
      <c r="AE458" s="16"/>
      <c r="AF458" s="16"/>
      <c r="AG458" s="16"/>
      <c r="AH458" s="16"/>
      <c r="AI458" s="16"/>
      <c r="AJ458" s="16"/>
      <c r="AL458" s="16"/>
      <c r="AM458" s="16"/>
      <c r="AN458" s="16"/>
      <c r="AO458" s="16"/>
      <c r="AP458" s="16"/>
      <c r="AQ458" s="16"/>
      <c r="AR458" s="16"/>
      <c r="AS458" s="16"/>
    </row>
    <row r="459" spans="4:45" x14ac:dyDescent="0.35">
      <c r="D459" s="115"/>
      <c r="H459" s="115"/>
      <c r="K459" s="115" t="str">
        <f t="shared" si="18"/>
        <v/>
      </c>
      <c r="L459" s="115"/>
      <c r="M459" s="115"/>
      <c r="N459" s="115"/>
      <c r="O459" s="115"/>
      <c r="P459" s="181"/>
      <c r="Q459" s="181"/>
      <c r="R459" s="192"/>
      <c r="S459" s="191"/>
      <c r="T459" s="193"/>
      <c r="U459" s="191"/>
      <c r="V459" s="89"/>
      <c r="W459" s="191"/>
      <c r="Y459" s="193" t="str">
        <f t="shared" si="19"/>
        <v/>
      </c>
      <c r="Z459" s="191"/>
      <c r="AA459" s="191"/>
      <c r="AB459" s="191"/>
      <c r="AC459" s="191"/>
      <c r="AD459" s="16">
        <f>WEEKNUM(tblKPIs[[#This Row],[Production Start Date]])</f>
        <v>0</v>
      </c>
      <c r="AE459" s="16"/>
      <c r="AF459" s="16"/>
      <c r="AG459" s="16"/>
      <c r="AH459" s="16"/>
      <c r="AI459" s="16"/>
      <c r="AJ459" s="16"/>
      <c r="AL459" s="16"/>
      <c r="AM459" s="16"/>
      <c r="AN459" s="16"/>
      <c r="AO459" s="16"/>
      <c r="AP459" s="16"/>
      <c r="AQ459" s="16"/>
      <c r="AR459" s="16"/>
      <c r="AS459" s="16"/>
    </row>
    <row r="460" spans="4:45" x14ac:dyDescent="0.35">
      <c r="D460" s="115"/>
      <c r="H460" s="115"/>
      <c r="K460" s="115" t="str">
        <f t="shared" si="18"/>
        <v/>
      </c>
      <c r="L460" s="115"/>
      <c r="M460" s="115"/>
      <c r="N460" s="115"/>
      <c r="O460" s="115"/>
      <c r="P460" s="181"/>
      <c r="Q460" s="181"/>
      <c r="R460" s="192"/>
      <c r="S460" s="191"/>
      <c r="T460" s="193"/>
      <c r="U460" s="191"/>
      <c r="V460" s="89"/>
      <c r="W460" s="191"/>
      <c r="Y460" s="193" t="str">
        <f t="shared" si="19"/>
        <v/>
      </c>
      <c r="Z460" s="191"/>
      <c r="AA460" s="191"/>
      <c r="AB460" s="191"/>
      <c r="AC460" s="191"/>
      <c r="AD460" s="16">
        <f>WEEKNUM(tblKPIs[[#This Row],[Production Start Date]])</f>
        <v>0</v>
      </c>
      <c r="AE460" s="16"/>
      <c r="AF460" s="16"/>
      <c r="AG460" s="16"/>
      <c r="AH460" s="16"/>
      <c r="AI460" s="16"/>
      <c r="AJ460" s="16"/>
      <c r="AL460" s="16"/>
      <c r="AM460" s="16"/>
      <c r="AN460" s="16"/>
      <c r="AO460" s="16"/>
      <c r="AP460" s="16"/>
      <c r="AQ460" s="16"/>
      <c r="AR460" s="16"/>
      <c r="AS460" s="16"/>
    </row>
    <row r="461" spans="4:45" x14ac:dyDescent="0.35">
      <c r="D461" s="115"/>
      <c r="H461" s="115"/>
      <c r="K461" s="115" t="str">
        <f t="shared" ref="K461:K492" si="20">IF(BB461="","",+BB461/10)</f>
        <v/>
      </c>
      <c r="L461" s="115"/>
      <c r="M461" s="115"/>
      <c r="N461" s="115"/>
      <c r="O461" s="115"/>
      <c r="P461" s="181"/>
      <c r="Q461" s="181"/>
      <c r="R461" s="192"/>
      <c r="S461" s="191"/>
      <c r="T461" s="193"/>
      <c r="U461" s="191"/>
      <c r="V461" s="89"/>
      <c r="W461" s="191"/>
      <c r="Y461" s="193" t="str">
        <f t="shared" ref="Y461:Y492" si="21">IF(BC461="","",+BC461/10)</f>
        <v/>
      </c>
      <c r="Z461" s="191"/>
      <c r="AA461" s="191"/>
      <c r="AB461" s="191"/>
      <c r="AC461" s="191"/>
      <c r="AD461" s="16">
        <f>WEEKNUM(tblKPIs[[#This Row],[Production Start Date]])</f>
        <v>0</v>
      </c>
      <c r="AE461" s="16"/>
      <c r="AF461" s="16"/>
      <c r="AG461" s="16"/>
      <c r="AH461" s="16"/>
      <c r="AI461" s="16"/>
      <c r="AJ461" s="16"/>
      <c r="AL461" s="16"/>
      <c r="AM461" s="16"/>
      <c r="AN461" s="16"/>
      <c r="AO461" s="16"/>
      <c r="AP461" s="16"/>
      <c r="AQ461" s="16"/>
      <c r="AR461" s="16"/>
      <c r="AS461" s="16"/>
    </row>
    <row r="462" spans="4:45" x14ac:dyDescent="0.35">
      <c r="D462" s="115"/>
      <c r="H462" s="115"/>
      <c r="K462" s="115" t="str">
        <f t="shared" si="20"/>
        <v/>
      </c>
      <c r="L462" s="115"/>
      <c r="M462" s="115"/>
      <c r="N462" s="115"/>
      <c r="O462" s="115"/>
      <c r="P462" s="181"/>
      <c r="Q462" s="181"/>
      <c r="R462" s="192"/>
      <c r="S462" s="191"/>
      <c r="T462" s="193"/>
      <c r="U462" s="191"/>
      <c r="V462" s="89"/>
      <c r="W462" s="191"/>
      <c r="Y462" s="193" t="str">
        <f t="shared" si="21"/>
        <v/>
      </c>
      <c r="Z462" s="191"/>
      <c r="AA462" s="191"/>
      <c r="AB462" s="191"/>
      <c r="AC462" s="191"/>
      <c r="AD462" s="16">
        <f>WEEKNUM(tblKPIs[[#This Row],[Production Start Date]])</f>
        <v>0</v>
      </c>
      <c r="AE462" s="16"/>
      <c r="AF462" s="16"/>
      <c r="AG462" s="16"/>
      <c r="AH462" s="16"/>
      <c r="AI462" s="16"/>
      <c r="AJ462" s="16"/>
      <c r="AL462" s="16"/>
      <c r="AM462" s="16"/>
      <c r="AN462" s="16"/>
      <c r="AO462" s="16"/>
      <c r="AP462" s="16"/>
      <c r="AQ462" s="16"/>
      <c r="AR462" s="16"/>
      <c r="AS462" s="16"/>
    </row>
    <row r="463" spans="4:45" x14ac:dyDescent="0.35">
      <c r="D463" s="115"/>
      <c r="H463" s="115"/>
      <c r="K463" s="115" t="str">
        <f t="shared" si="20"/>
        <v/>
      </c>
      <c r="L463" s="115"/>
      <c r="M463" s="115"/>
      <c r="N463" s="115"/>
      <c r="O463" s="115"/>
      <c r="P463" s="181"/>
      <c r="Q463" s="181"/>
      <c r="R463" s="192"/>
      <c r="S463" s="191"/>
      <c r="T463" s="193"/>
      <c r="U463" s="191"/>
      <c r="V463" s="89"/>
      <c r="W463" s="191"/>
      <c r="Y463" s="193" t="str">
        <f t="shared" si="21"/>
        <v/>
      </c>
      <c r="Z463" s="191"/>
      <c r="AA463" s="191"/>
      <c r="AB463" s="191"/>
      <c r="AC463" s="191"/>
      <c r="AD463" s="16">
        <f>WEEKNUM(tblKPIs[[#This Row],[Production Start Date]])</f>
        <v>0</v>
      </c>
      <c r="AE463" s="16"/>
      <c r="AF463" s="16"/>
      <c r="AG463" s="16"/>
      <c r="AH463" s="16"/>
      <c r="AI463" s="16"/>
      <c r="AJ463" s="16"/>
      <c r="AL463" s="16"/>
      <c r="AM463" s="16"/>
      <c r="AN463" s="16"/>
      <c r="AO463" s="16"/>
      <c r="AP463" s="16"/>
      <c r="AQ463" s="16"/>
      <c r="AR463" s="16"/>
      <c r="AS463" s="16"/>
    </row>
    <row r="464" spans="4:45" x14ac:dyDescent="0.35">
      <c r="D464" s="115"/>
      <c r="H464" s="115"/>
      <c r="K464" s="115" t="str">
        <f t="shared" si="20"/>
        <v/>
      </c>
      <c r="L464" s="115"/>
      <c r="M464" s="115"/>
      <c r="N464" s="115"/>
      <c r="O464" s="115"/>
      <c r="P464" s="181"/>
      <c r="Q464" s="181"/>
      <c r="R464" s="192"/>
      <c r="S464" s="191"/>
      <c r="T464" s="193"/>
      <c r="U464" s="191"/>
      <c r="V464" s="89"/>
      <c r="W464" s="191"/>
      <c r="Y464" s="193" t="str">
        <f t="shared" si="21"/>
        <v/>
      </c>
      <c r="Z464" s="191"/>
      <c r="AA464" s="191"/>
      <c r="AB464" s="191"/>
      <c r="AC464" s="191"/>
      <c r="AD464" s="16">
        <f>WEEKNUM(tblKPIs[[#This Row],[Production Start Date]])</f>
        <v>0</v>
      </c>
      <c r="AE464" s="16"/>
      <c r="AF464" s="16"/>
      <c r="AG464" s="16"/>
      <c r="AH464" s="16"/>
      <c r="AI464" s="16"/>
      <c r="AJ464" s="16"/>
      <c r="AL464" s="16"/>
      <c r="AM464" s="16"/>
      <c r="AN464" s="16"/>
      <c r="AO464" s="16"/>
      <c r="AP464" s="16"/>
      <c r="AQ464" s="16"/>
      <c r="AR464" s="16"/>
      <c r="AS464" s="16"/>
    </row>
    <row r="465" spans="4:45" x14ac:dyDescent="0.35">
      <c r="D465" s="115"/>
      <c r="H465" s="115"/>
      <c r="K465" s="115" t="str">
        <f t="shared" si="20"/>
        <v/>
      </c>
      <c r="L465" s="115"/>
      <c r="M465" s="115"/>
      <c r="N465" s="115"/>
      <c r="O465" s="115"/>
      <c r="P465" s="181"/>
      <c r="Q465" s="181"/>
      <c r="R465" s="192"/>
      <c r="S465" s="191"/>
      <c r="T465" s="193"/>
      <c r="U465" s="191"/>
      <c r="V465" s="89"/>
      <c r="W465" s="191"/>
      <c r="Y465" s="193" t="str">
        <f t="shared" si="21"/>
        <v/>
      </c>
      <c r="Z465" s="191"/>
      <c r="AA465" s="191"/>
      <c r="AB465" s="191"/>
      <c r="AC465" s="191"/>
      <c r="AD465" s="16">
        <f>WEEKNUM(tblKPIs[[#This Row],[Production Start Date]])</f>
        <v>0</v>
      </c>
      <c r="AE465" s="16"/>
      <c r="AF465" s="16"/>
      <c r="AG465" s="16"/>
      <c r="AH465" s="16"/>
      <c r="AI465" s="16"/>
      <c r="AJ465" s="16"/>
      <c r="AL465" s="16"/>
      <c r="AM465" s="16"/>
      <c r="AN465" s="16"/>
      <c r="AO465" s="16"/>
      <c r="AP465" s="16"/>
      <c r="AQ465" s="16"/>
      <c r="AR465" s="16"/>
      <c r="AS465" s="16"/>
    </row>
    <row r="466" spans="4:45" x14ac:dyDescent="0.35">
      <c r="D466" s="115"/>
      <c r="H466" s="115"/>
      <c r="K466" s="115" t="str">
        <f t="shared" si="20"/>
        <v/>
      </c>
      <c r="L466" s="115"/>
      <c r="M466" s="115"/>
      <c r="N466" s="115"/>
      <c r="O466" s="115"/>
      <c r="P466" s="181"/>
      <c r="Q466" s="181"/>
      <c r="R466" s="192"/>
      <c r="S466" s="191"/>
      <c r="T466" s="193"/>
      <c r="U466" s="191"/>
      <c r="V466" s="89"/>
      <c r="W466" s="191"/>
      <c r="Y466" s="193" t="str">
        <f t="shared" si="21"/>
        <v/>
      </c>
      <c r="Z466" s="191"/>
      <c r="AA466" s="191"/>
      <c r="AB466" s="191"/>
      <c r="AC466" s="191"/>
      <c r="AD466" s="16">
        <f>WEEKNUM(tblKPIs[[#This Row],[Production Start Date]])</f>
        <v>0</v>
      </c>
      <c r="AE466" s="16"/>
      <c r="AF466" s="16"/>
      <c r="AG466" s="16"/>
      <c r="AH466" s="16"/>
      <c r="AI466" s="16"/>
      <c r="AJ466" s="16"/>
      <c r="AL466" s="16"/>
      <c r="AM466" s="16"/>
      <c r="AN466" s="16"/>
      <c r="AO466" s="16"/>
      <c r="AP466" s="16"/>
      <c r="AQ466" s="16"/>
      <c r="AR466" s="16"/>
      <c r="AS466" s="16"/>
    </row>
    <row r="467" spans="4:45" x14ac:dyDescent="0.35">
      <c r="D467" s="115"/>
      <c r="H467" s="115"/>
      <c r="K467" s="115" t="str">
        <f t="shared" si="20"/>
        <v/>
      </c>
      <c r="L467" s="115"/>
      <c r="M467" s="115"/>
      <c r="N467" s="115"/>
      <c r="O467" s="115"/>
      <c r="P467" s="181"/>
      <c r="Q467" s="181"/>
      <c r="R467" s="192"/>
      <c r="S467" s="191"/>
      <c r="T467" s="193"/>
      <c r="U467" s="191"/>
      <c r="V467" s="89"/>
      <c r="W467" s="191"/>
      <c r="Y467" s="193" t="str">
        <f t="shared" si="21"/>
        <v/>
      </c>
      <c r="Z467" s="191"/>
      <c r="AA467" s="191"/>
      <c r="AB467" s="191"/>
      <c r="AC467" s="191"/>
      <c r="AD467" s="16">
        <f>WEEKNUM(tblKPIs[[#This Row],[Production Start Date]])</f>
        <v>0</v>
      </c>
      <c r="AE467" s="16"/>
      <c r="AF467" s="16"/>
      <c r="AG467" s="16"/>
      <c r="AH467" s="16"/>
      <c r="AI467" s="16"/>
      <c r="AJ467" s="16"/>
      <c r="AL467" s="16"/>
      <c r="AM467" s="16"/>
      <c r="AN467" s="16"/>
      <c r="AO467" s="16"/>
      <c r="AP467" s="16"/>
      <c r="AQ467" s="16"/>
      <c r="AR467" s="16"/>
      <c r="AS467" s="16"/>
    </row>
    <row r="468" spans="4:45" x14ac:dyDescent="0.35">
      <c r="D468" s="115"/>
      <c r="H468" s="115"/>
      <c r="K468" s="115" t="str">
        <f t="shared" si="20"/>
        <v/>
      </c>
      <c r="L468" s="115"/>
      <c r="M468" s="115"/>
      <c r="N468" s="115"/>
      <c r="O468" s="115"/>
      <c r="P468" s="181"/>
      <c r="Q468" s="181"/>
      <c r="R468" s="192"/>
      <c r="S468" s="191"/>
      <c r="T468" s="193"/>
      <c r="U468" s="191"/>
      <c r="V468" s="89"/>
      <c r="W468" s="191"/>
      <c r="Y468" s="193" t="str">
        <f t="shared" si="21"/>
        <v/>
      </c>
      <c r="Z468" s="191"/>
      <c r="AA468" s="191"/>
      <c r="AB468" s="191"/>
      <c r="AC468" s="191"/>
      <c r="AD468" s="16">
        <f>WEEKNUM(tblKPIs[[#This Row],[Production Start Date]])</f>
        <v>0</v>
      </c>
      <c r="AE468" s="16"/>
      <c r="AF468" s="16"/>
      <c r="AG468" s="16"/>
      <c r="AH468" s="16"/>
      <c r="AI468" s="16"/>
      <c r="AJ468" s="16"/>
      <c r="AL468" s="16"/>
      <c r="AM468" s="16"/>
      <c r="AN468" s="16"/>
      <c r="AO468" s="16"/>
      <c r="AP468" s="16"/>
      <c r="AQ468" s="16"/>
      <c r="AR468" s="16"/>
      <c r="AS468" s="16"/>
    </row>
    <row r="469" spans="4:45" x14ac:dyDescent="0.35">
      <c r="D469" s="115"/>
      <c r="H469" s="115"/>
      <c r="K469" s="115" t="str">
        <f t="shared" si="20"/>
        <v/>
      </c>
      <c r="L469" s="115"/>
      <c r="M469" s="115"/>
      <c r="N469" s="115"/>
      <c r="O469" s="115"/>
      <c r="P469" s="181"/>
      <c r="Q469" s="181"/>
      <c r="R469" s="192"/>
      <c r="S469" s="191"/>
      <c r="T469" s="193"/>
      <c r="U469" s="191"/>
      <c r="V469" s="89"/>
      <c r="W469" s="191"/>
      <c r="Y469" s="193" t="str">
        <f t="shared" si="21"/>
        <v/>
      </c>
      <c r="Z469" s="191"/>
      <c r="AA469" s="191"/>
      <c r="AB469" s="191"/>
      <c r="AC469" s="191"/>
      <c r="AD469" s="16">
        <f>WEEKNUM(tblKPIs[[#This Row],[Production Start Date]])</f>
        <v>0</v>
      </c>
      <c r="AE469" s="16"/>
      <c r="AF469" s="16"/>
      <c r="AG469" s="16"/>
      <c r="AH469" s="16"/>
      <c r="AI469" s="16"/>
      <c r="AJ469" s="16"/>
      <c r="AL469" s="16"/>
      <c r="AM469" s="16"/>
      <c r="AN469" s="16"/>
      <c r="AO469" s="16"/>
      <c r="AP469" s="16"/>
      <c r="AQ469" s="16"/>
      <c r="AR469" s="16"/>
      <c r="AS469" s="16"/>
    </row>
    <row r="470" spans="4:45" x14ac:dyDescent="0.35">
      <c r="D470" s="115"/>
      <c r="H470" s="115"/>
      <c r="K470" s="115" t="str">
        <f t="shared" si="20"/>
        <v/>
      </c>
      <c r="L470" s="115"/>
      <c r="M470" s="115"/>
      <c r="N470" s="115"/>
      <c r="O470" s="115"/>
      <c r="P470" s="181"/>
      <c r="Q470" s="181"/>
      <c r="R470" s="192"/>
      <c r="S470" s="191"/>
      <c r="T470" s="193"/>
      <c r="U470" s="191"/>
      <c r="V470" s="89"/>
      <c r="W470" s="191"/>
      <c r="Y470" s="193" t="str">
        <f t="shared" si="21"/>
        <v/>
      </c>
      <c r="Z470" s="191"/>
      <c r="AA470" s="191"/>
      <c r="AB470" s="191"/>
      <c r="AC470" s="191"/>
      <c r="AD470" s="16">
        <f>WEEKNUM(tblKPIs[[#This Row],[Production Start Date]])</f>
        <v>0</v>
      </c>
      <c r="AE470" s="16"/>
      <c r="AF470" s="16"/>
      <c r="AG470" s="16"/>
      <c r="AH470" s="16"/>
      <c r="AI470" s="16"/>
      <c r="AJ470" s="16"/>
      <c r="AL470" s="16"/>
      <c r="AM470" s="16"/>
      <c r="AN470" s="16"/>
      <c r="AO470" s="16"/>
      <c r="AP470" s="16"/>
      <c r="AQ470" s="16"/>
      <c r="AR470" s="16"/>
      <c r="AS470" s="16"/>
    </row>
    <row r="471" spans="4:45" x14ac:dyDescent="0.35">
      <c r="D471" s="115"/>
      <c r="H471" s="115"/>
      <c r="K471" s="115" t="str">
        <f t="shared" si="20"/>
        <v/>
      </c>
      <c r="L471" s="115"/>
      <c r="M471" s="115"/>
      <c r="N471" s="115"/>
      <c r="O471" s="115"/>
      <c r="P471" s="181"/>
      <c r="Q471" s="181"/>
      <c r="R471" s="192"/>
      <c r="S471" s="191"/>
      <c r="T471" s="193"/>
      <c r="U471" s="191"/>
      <c r="V471" s="89"/>
      <c r="W471" s="191"/>
      <c r="Y471" s="193" t="str">
        <f t="shared" si="21"/>
        <v/>
      </c>
      <c r="Z471" s="191"/>
      <c r="AA471" s="191"/>
      <c r="AB471" s="191"/>
      <c r="AC471" s="191"/>
      <c r="AD471" s="16">
        <f>WEEKNUM(tblKPIs[[#This Row],[Production Start Date]])</f>
        <v>0</v>
      </c>
      <c r="AE471" s="16"/>
      <c r="AF471" s="16"/>
      <c r="AG471" s="16"/>
      <c r="AH471" s="16"/>
      <c r="AI471" s="16"/>
      <c r="AJ471" s="16"/>
      <c r="AL471" s="16"/>
      <c r="AM471" s="16"/>
      <c r="AN471" s="16"/>
      <c r="AO471" s="16"/>
      <c r="AP471" s="16"/>
      <c r="AQ471" s="16"/>
      <c r="AR471" s="16"/>
      <c r="AS471" s="16"/>
    </row>
    <row r="472" spans="4:45" x14ac:dyDescent="0.35">
      <c r="D472" s="115"/>
      <c r="H472" s="115"/>
      <c r="K472" s="115" t="str">
        <f t="shared" si="20"/>
        <v/>
      </c>
      <c r="L472" s="115"/>
      <c r="M472" s="115"/>
      <c r="N472" s="115"/>
      <c r="O472" s="115"/>
      <c r="P472" s="181"/>
      <c r="Q472" s="181"/>
      <c r="R472" s="192"/>
      <c r="S472" s="191"/>
      <c r="T472" s="193"/>
      <c r="U472" s="191"/>
      <c r="V472" s="89"/>
      <c r="W472" s="191"/>
      <c r="Y472" s="193" t="str">
        <f t="shared" si="21"/>
        <v/>
      </c>
      <c r="Z472" s="191"/>
      <c r="AA472" s="191"/>
      <c r="AB472" s="191"/>
      <c r="AC472" s="191"/>
      <c r="AD472" s="16">
        <f>WEEKNUM(tblKPIs[[#This Row],[Production Start Date]])</f>
        <v>0</v>
      </c>
      <c r="AE472" s="16"/>
      <c r="AF472" s="16"/>
      <c r="AG472" s="16"/>
      <c r="AH472" s="16"/>
      <c r="AI472" s="16"/>
      <c r="AJ472" s="16"/>
      <c r="AL472" s="16"/>
      <c r="AM472" s="16"/>
      <c r="AN472" s="16"/>
      <c r="AO472" s="16"/>
      <c r="AP472" s="16"/>
      <c r="AQ472" s="16"/>
      <c r="AR472" s="16"/>
      <c r="AS472" s="16"/>
    </row>
    <row r="473" spans="4:45" x14ac:dyDescent="0.35">
      <c r="D473" s="115"/>
      <c r="H473" s="115"/>
      <c r="K473" s="115" t="str">
        <f t="shared" si="20"/>
        <v/>
      </c>
      <c r="L473" s="115"/>
      <c r="M473" s="115"/>
      <c r="N473" s="115"/>
      <c r="O473" s="115"/>
      <c r="P473" s="181"/>
      <c r="Q473" s="181"/>
      <c r="R473" s="192"/>
      <c r="S473" s="191"/>
      <c r="T473" s="193"/>
      <c r="U473" s="191"/>
      <c r="V473" s="89"/>
      <c r="W473" s="191"/>
      <c r="Y473" s="193" t="str">
        <f t="shared" si="21"/>
        <v/>
      </c>
      <c r="Z473" s="191"/>
      <c r="AA473" s="191"/>
      <c r="AB473" s="191"/>
      <c r="AC473" s="191"/>
      <c r="AD473" s="16">
        <f>WEEKNUM(tblKPIs[[#This Row],[Production Start Date]])</f>
        <v>0</v>
      </c>
      <c r="AE473" s="16"/>
      <c r="AF473" s="16"/>
      <c r="AG473" s="16"/>
      <c r="AH473" s="16"/>
      <c r="AI473" s="16"/>
      <c r="AJ473" s="16"/>
      <c r="AL473" s="16"/>
      <c r="AM473" s="16"/>
      <c r="AN473" s="16"/>
      <c r="AO473" s="16"/>
      <c r="AP473" s="16"/>
      <c r="AQ473" s="16"/>
      <c r="AR473" s="16"/>
      <c r="AS473" s="16"/>
    </row>
    <row r="474" spans="4:45" x14ac:dyDescent="0.35">
      <c r="D474" s="115"/>
      <c r="H474" s="115"/>
      <c r="K474" s="115" t="str">
        <f t="shared" si="20"/>
        <v/>
      </c>
      <c r="L474" s="115"/>
      <c r="M474" s="115"/>
      <c r="N474" s="115"/>
      <c r="O474" s="115"/>
      <c r="P474" s="181"/>
      <c r="Q474" s="181"/>
      <c r="R474" s="192"/>
      <c r="S474" s="191"/>
      <c r="T474" s="193"/>
      <c r="U474" s="191"/>
      <c r="V474" s="89"/>
      <c r="W474" s="191"/>
      <c r="Y474" s="193" t="str">
        <f t="shared" si="21"/>
        <v/>
      </c>
      <c r="Z474" s="191"/>
      <c r="AA474" s="191"/>
      <c r="AB474" s="191"/>
      <c r="AC474" s="191"/>
      <c r="AD474" s="16">
        <f>WEEKNUM(tblKPIs[[#This Row],[Production Start Date]])</f>
        <v>0</v>
      </c>
      <c r="AE474" s="16"/>
      <c r="AF474" s="16"/>
      <c r="AG474" s="16"/>
      <c r="AH474" s="16"/>
      <c r="AI474" s="16"/>
      <c r="AJ474" s="16"/>
      <c r="AL474" s="16"/>
      <c r="AM474" s="16"/>
      <c r="AN474" s="16"/>
      <c r="AO474" s="16"/>
      <c r="AP474" s="16"/>
      <c r="AQ474" s="16"/>
      <c r="AR474" s="16"/>
      <c r="AS474" s="16"/>
    </row>
    <row r="475" spans="4:45" x14ac:dyDescent="0.35">
      <c r="D475" s="115"/>
      <c r="H475" s="115"/>
      <c r="K475" s="115" t="str">
        <f t="shared" si="20"/>
        <v/>
      </c>
      <c r="L475" s="115"/>
      <c r="M475" s="115"/>
      <c r="N475" s="115"/>
      <c r="O475" s="115"/>
      <c r="P475" s="181"/>
      <c r="Q475" s="181"/>
      <c r="R475" s="192"/>
      <c r="S475" s="191"/>
      <c r="T475" s="193"/>
      <c r="U475" s="191"/>
      <c r="V475" s="89"/>
      <c r="W475" s="191"/>
      <c r="Y475" s="193" t="str">
        <f t="shared" si="21"/>
        <v/>
      </c>
      <c r="Z475" s="191"/>
      <c r="AA475" s="191"/>
      <c r="AB475" s="191"/>
      <c r="AC475" s="191"/>
      <c r="AD475" s="16">
        <f>WEEKNUM(tblKPIs[[#This Row],[Production Start Date]])</f>
        <v>0</v>
      </c>
      <c r="AE475" s="16"/>
      <c r="AF475" s="16"/>
      <c r="AG475" s="16"/>
      <c r="AH475" s="16"/>
      <c r="AI475" s="16"/>
      <c r="AJ475" s="16"/>
      <c r="AL475" s="16"/>
      <c r="AM475" s="16"/>
      <c r="AN475" s="16"/>
      <c r="AO475" s="16"/>
      <c r="AP475" s="16"/>
      <c r="AQ475" s="16"/>
      <c r="AR475" s="16"/>
      <c r="AS475" s="16"/>
    </row>
    <row r="476" spans="4:45" x14ac:dyDescent="0.35">
      <c r="D476" s="115"/>
      <c r="H476" s="115"/>
      <c r="K476" s="115" t="str">
        <f t="shared" si="20"/>
        <v/>
      </c>
      <c r="L476" s="115"/>
      <c r="M476" s="115"/>
      <c r="N476" s="115"/>
      <c r="O476" s="115"/>
      <c r="P476" s="181"/>
      <c r="Q476" s="181"/>
      <c r="R476" s="192"/>
      <c r="S476" s="191"/>
      <c r="T476" s="193"/>
      <c r="U476" s="191"/>
      <c r="V476" s="89"/>
      <c r="W476" s="191"/>
      <c r="Y476" s="193" t="str">
        <f t="shared" si="21"/>
        <v/>
      </c>
      <c r="Z476" s="191"/>
      <c r="AA476" s="191"/>
      <c r="AB476" s="191"/>
      <c r="AC476" s="191"/>
      <c r="AD476" s="16">
        <f>WEEKNUM(tblKPIs[[#This Row],[Production Start Date]])</f>
        <v>0</v>
      </c>
      <c r="AE476" s="16"/>
      <c r="AF476" s="16"/>
      <c r="AG476" s="16"/>
      <c r="AH476" s="16"/>
      <c r="AI476" s="16"/>
      <c r="AJ476" s="16"/>
      <c r="AL476" s="16"/>
      <c r="AM476" s="16"/>
      <c r="AN476" s="16"/>
      <c r="AO476" s="16"/>
      <c r="AP476" s="16"/>
      <c r="AQ476" s="16"/>
      <c r="AR476" s="16"/>
      <c r="AS476" s="16"/>
    </row>
    <row r="477" spans="4:45" x14ac:dyDescent="0.35">
      <c r="D477" s="115"/>
      <c r="H477" s="115"/>
      <c r="K477" s="115" t="str">
        <f t="shared" si="20"/>
        <v/>
      </c>
      <c r="L477" s="115"/>
      <c r="M477" s="115"/>
      <c r="N477" s="115"/>
      <c r="O477" s="115"/>
      <c r="P477" s="181"/>
      <c r="Q477" s="181"/>
      <c r="R477" s="192"/>
      <c r="S477" s="191"/>
      <c r="T477" s="193"/>
      <c r="U477" s="191"/>
      <c r="V477" s="89"/>
      <c r="W477" s="191"/>
      <c r="Y477" s="193" t="str">
        <f t="shared" si="21"/>
        <v/>
      </c>
      <c r="Z477" s="191"/>
      <c r="AA477" s="191"/>
      <c r="AB477" s="191"/>
      <c r="AC477" s="191"/>
      <c r="AD477" s="16">
        <f>WEEKNUM(tblKPIs[[#This Row],[Production Start Date]])</f>
        <v>0</v>
      </c>
      <c r="AE477" s="16"/>
      <c r="AF477" s="16"/>
      <c r="AG477" s="16"/>
      <c r="AH477" s="16"/>
      <c r="AI477" s="16"/>
      <c r="AJ477" s="16"/>
      <c r="AL477" s="16"/>
      <c r="AM477" s="16"/>
      <c r="AN477" s="16"/>
      <c r="AO477" s="16"/>
      <c r="AP477" s="16"/>
      <c r="AQ477" s="16"/>
      <c r="AR477" s="16"/>
      <c r="AS477" s="16"/>
    </row>
    <row r="478" spans="4:45" x14ac:dyDescent="0.35">
      <c r="D478" s="115"/>
      <c r="H478" s="115"/>
      <c r="K478" s="115" t="str">
        <f t="shared" si="20"/>
        <v/>
      </c>
      <c r="L478" s="115"/>
      <c r="M478" s="115"/>
      <c r="N478" s="115"/>
      <c r="O478" s="115"/>
      <c r="P478" s="181"/>
      <c r="Q478" s="181"/>
      <c r="R478" s="192"/>
      <c r="S478" s="191"/>
      <c r="T478" s="193"/>
      <c r="U478" s="191"/>
      <c r="V478" s="89"/>
      <c r="W478" s="191"/>
      <c r="Y478" s="193" t="str">
        <f t="shared" si="21"/>
        <v/>
      </c>
      <c r="Z478" s="191"/>
      <c r="AA478" s="191"/>
      <c r="AB478" s="191"/>
      <c r="AC478" s="191"/>
      <c r="AD478" s="16">
        <f>WEEKNUM(tblKPIs[[#This Row],[Production Start Date]])</f>
        <v>0</v>
      </c>
      <c r="AE478" s="16"/>
      <c r="AF478" s="16"/>
      <c r="AG478" s="16"/>
      <c r="AH478" s="16"/>
      <c r="AI478" s="16"/>
      <c r="AJ478" s="16"/>
      <c r="AL478" s="16"/>
      <c r="AM478" s="16"/>
      <c r="AN478" s="16"/>
      <c r="AO478" s="16"/>
      <c r="AP478" s="16"/>
      <c r="AQ478" s="16"/>
      <c r="AR478" s="16"/>
      <c r="AS478" s="16"/>
    </row>
    <row r="479" spans="4:45" x14ac:dyDescent="0.35">
      <c r="D479" s="115"/>
      <c r="H479" s="115"/>
      <c r="K479" s="115" t="str">
        <f t="shared" si="20"/>
        <v/>
      </c>
      <c r="L479" s="115"/>
      <c r="M479" s="115"/>
      <c r="N479" s="115"/>
      <c r="O479" s="115"/>
      <c r="P479" s="181"/>
      <c r="Q479" s="181"/>
      <c r="R479" s="192"/>
      <c r="S479" s="191"/>
      <c r="T479" s="193"/>
      <c r="U479" s="191"/>
      <c r="V479" s="89"/>
      <c r="W479" s="191"/>
      <c r="Y479" s="193" t="str">
        <f t="shared" si="21"/>
        <v/>
      </c>
      <c r="Z479" s="191"/>
      <c r="AA479" s="191"/>
      <c r="AB479" s="191"/>
      <c r="AC479" s="191"/>
      <c r="AD479" s="16">
        <f>WEEKNUM(tblKPIs[[#This Row],[Production Start Date]])</f>
        <v>0</v>
      </c>
      <c r="AE479" s="16"/>
      <c r="AF479" s="16"/>
      <c r="AG479" s="16"/>
      <c r="AH479" s="16"/>
      <c r="AI479" s="16"/>
      <c r="AJ479" s="16"/>
      <c r="AL479" s="16"/>
      <c r="AM479" s="16"/>
      <c r="AN479" s="16"/>
      <c r="AO479" s="16"/>
      <c r="AP479" s="16"/>
      <c r="AQ479" s="16"/>
      <c r="AR479" s="16"/>
      <c r="AS479" s="16"/>
    </row>
    <row r="480" spans="4:45" x14ac:dyDescent="0.35">
      <c r="D480" s="115"/>
      <c r="H480" s="115"/>
      <c r="K480" s="115" t="str">
        <f t="shared" si="20"/>
        <v/>
      </c>
      <c r="L480" s="115"/>
      <c r="M480" s="115"/>
      <c r="N480" s="115"/>
      <c r="O480" s="115"/>
      <c r="P480" s="181"/>
      <c r="Q480" s="181"/>
      <c r="R480" s="192"/>
      <c r="S480" s="191"/>
      <c r="T480" s="193"/>
      <c r="U480" s="191"/>
      <c r="V480" s="89"/>
      <c r="W480" s="191"/>
      <c r="Y480" s="193" t="str">
        <f t="shared" si="21"/>
        <v/>
      </c>
      <c r="Z480" s="191"/>
      <c r="AA480" s="191"/>
      <c r="AB480" s="191"/>
      <c r="AC480" s="191"/>
      <c r="AD480" s="16">
        <f>WEEKNUM(tblKPIs[[#This Row],[Production Start Date]])</f>
        <v>0</v>
      </c>
      <c r="AE480" s="16"/>
      <c r="AF480" s="16"/>
      <c r="AG480" s="16"/>
      <c r="AH480" s="16"/>
      <c r="AI480" s="16"/>
      <c r="AJ480" s="16"/>
      <c r="AL480" s="16"/>
      <c r="AM480" s="16"/>
      <c r="AN480" s="16"/>
      <c r="AO480" s="16"/>
      <c r="AP480" s="16"/>
      <c r="AQ480" s="16"/>
      <c r="AR480" s="16"/>
      <c r="AS480" s="16"/>
    </row>
    <row r="481" spans="4:45" x14ac:dyDescent="0.35">
      <c r="D481" s="115"/>
      <c r="H481" s="115"/>
      <c r="K481" s="115" t="str">
        <f t="shared" si="20"/>
        <v/>
      </c>
      <c r="L481" s="115"/>
      <c r="M481" s="115"/>
      <c r="N481" s="115"/>
      <c r="O481" s="115"/>
      <c r="P481" s="181"/>
      <c r="Q481" s="181"/>
      <c r="R481" s="192"/>
      <c r="S481" s="191"/>
      <c r="T481" s="193"/>
      <c r="U481" s="191"/>
      <c r="V481" s="89"/>
      <c r="W481" s="191"/>
      <c r="Y481" s="193" t="str">
        <f t="shared" si="21"/>
        <v/>
      </c>
      <c r="Z481" s="191"/>
      <c r="AA481" s="191"/>
      <c r="AB481" s="191"/>
      <c r="AC481" s="191"/>
      <c r="AD481" s="16">
        <f>WEEKNUM(tblKPIs[[#This Row],[Production Start Date]])</f>
        <v>0</v>
      </c>
      <c r="AE481" s="16"/>
      <c r="AF481" s="16"/>
      <c r="AG481" s="16"/>
      <c r="AH481" s="16"/>
      <c r="AI481" s="16"/>
      <c r="AJ481" s="16"/>
      <c r="AL481" s="16"/>
      <c r="AM481" s="16"/>
      <c r="AN481" s="16"/>
      <c r="AO481" s="16"/>
      <c r="AP481" s="16"/>
      <c r="AQ481" s="16"/>
      <c r="AR481" s="16"/>
      <c r="AS481" s="16"/>
    </row>
    <row r="482" spans="4:45" x14ac:dyDescent="0.35">
      <c r="D482" s="115"/>
      <c r="H482" s="115"/>
      <c r="K482" s="115" t="str">
        <f t="shared" si="20"/>
        <v/>
      </c>
      <c r="L482" s="115"/>
      <c r="M482" s="115"/>
      <c r="N482" s="115"/>
      <c r="O482" s="115"/>
      <c r="P482" s="181"/>
      <c r="Q482" s="181"/>
      <c r="R482" s="192"/>
      <c r="S482" s="191"/>
      <c r="T482" s="193"/>
      <c r="U482" s="191"/>
      <c r="V482" s="89"/>
      <c r="W482" s="191"/>
      <c r="Y482" s="193" t="str">
        <f t="shared" si="21"/>
        <v/>
      </c>
      <c r="Z482" s="191"/>
      <c r="AA482" s="191"/>
      <c r="AB482" s="191"/>
      <c r="AC482" s="191"/>
      <c r="AD482" s="16">
        <f>WEEKNUM(tblKPIs[[#This Row],[Production Start Date]])</f>
        <v>0</v>
      </c>
      <c r="AE482" s="16"/>
      <c r="AF482" s="16"/>
      <c r="AG482" s="16"/>
      <c r="AH482" s="16"/>
      <c r="AI482" s="16"/>
      <c r="AJ482" s="16"/>
      <c r="AL482" s="16"/>
      <c r="AM482" s="16"/>
      <c r="AN482" s="16"/>
      <c r="AO482" s="16"/>
      <c r="AP482" s="16"/>
      <c r="AQ482" s="16"/>
      <c r="AR482" s="16"/>
      <c r="AS482" s="16"/>
    </row>
    <row r="483" spans="4:45" x14ac:dyDescent="0.35">
      <c r="D483" s="115"/>
      <c r="H483" s="115"/>
      <c r="K483" s="115" t="str">
        <f t="shared" si="20"/>
        <v/>
      </c>
      <c r="L483" s="115"/>
      <c r="M483" s="115"/>
      <c r="N483" s="115"/>
      <c r="O483" s="115"/>
      <c r="P483" s="181"/>
      <c r="Q483" s="181"/>
      <c r="R483" s="192"/>
      <c r="S483" s="191"/>
      <c r="T483" s="193"/>
      <c r="U483" s="191"/>
      <c r="V483" s="89"/>
      <c r="W483" s="191"/>
      <c r="Y483" s="193" t="str">
        <f t="shared" si="21"/>
        <v/>
      </c>
      <c r="Z483" s="191"/>
      <c r="AA483" s="191"/>
      <c r="AB483" s="191"/>
      <c r="AC483" s="191"/>
      <c r="AD483" s="16">
        <f>WEEKNUM(tblKPIs[[#This Row],[Production Start Date]])</f>
        <v>0</v>
      </c>
      <c r="AE483" s="16"/>
      <c r="AF483" s="16"/>
      <c r="AG483" s="16"/>
      <c r="AH483" s="16"/>
      <c r="AI483" s="16"/>
      <c r="AJ483" s="16"/>
      <c r="AL483" s="16"/>
      <c r="AM483" s="16"/>
      <c r="AN483" s="16"/>
      <c r="AO483" s="16"/>
      <c r="AP483" s="16"/>
      <c r="AQ483" s="16"/>
      <c r="AR483" s="16"/>
      <c r="AS483" s="16"/>
    </row>
    <row r="484" spans="4:45" x14ac:dyDescent="0.35">
      <c r="D484" s="115"/>
      <c r="H484" s="115"/>
      <c r="K484" s="115" t="str">
        <f t="shared" si="20"/>
        <v/>
      </c>
      <c r="L484" s="115"/>
      <c r="M484" s="115"/>
      <c r="N484" s="115"/>
      <c r="O484" s="115"/>
      <c r="P484" s="181"/>
      <c r="Q484" s="181"/>
      <c r="R484" s="192"/>
      <c r="S484" s="191"/>
      <c r="T484" s="193"/>
      <c r="U484" s="191"/>
      <c r="V484" s="89"/>
      <c r="W484" s="191"/>
      <c r="Y484" s="193" t="str">
        <f t="shared" si="21"/>
        <v/>
      </c>
      <c r="Z484" s="191"/>
      <c r="AA484" s="191"/>
      <c r="AB484" s="191"/>
      <c r="AC484" s="191"/>
      <c r="AD484" s="16">
        <f>WEEKNUM(tblKPIs[[#This Row],[Production Start Date]])</f>
        <v>0</v>
      </c>
      <c r="AE484" s="16"/>
      <c r="AF484" s="16"/>
      <c r="AG484" s="16"/>
      <c r="AH484" s="16"/>
      <c r="AI484" s="16"/>
      <c r="AJ484" s="16"/>
      <c r="AL484" s="16"/>
      <c r="AM484" s="16"/>
      <c r="AN484" s="16"/>
      <c r="AO484" s="16"/>
      <c r="AP484" s="16"/>
      <c r="AQ484" s="16"/>
      <c r="AR484" s="16"/>
      <c r="AS484" s="16"/>
    </row>
    <row r="485" spans="4:45" x14ac:dyDescent="0.35">
      <c r="D485" s="115"/>
      <c r="H485" s="115"/>
      <c r="K485" s="115" t="str">
        <f t="shared" si="20"/>
        <v/>
      </c>
      <c r="L485" s="115"/>
      <c r="M485" s="115"/>
      <c r="N485" s="115"/>
      <c r="O485" s="115"/>
      <c r="P485" s="181"/>
      <c r="Q485" s="181"/>
      <c r="R485" s="192"/>
      <c r="S485" s="191"/>
      <c r="T485" s="193"/>
      <c r="U485" s="191"/>
      <c r="V485" s="89"/>
      <c r="W485" s="191"/>
      <c r="Y485" s="193" t="str">
        <f t="shared" si="21"/>
        <v/>
      </c>
      <c r="Z485" s="191"/>
      <c r="AA485" s="191"/>
      <c r="AB485" s="191"/>
      <c r="AC485" s="191"/>
      <c r="AD485" s="16">
        <f>WEEKNUM(tblKPIs[[#This Row],[Production Start Date]])</f>
        <v>0</v>
      </c>
      <c r="AE485" s="16"/>
      <c r="AF485" s="16"/>
      <c r="AG485" s="16"/>
      <c r="AH485" s="16"/>
      <c r="AI485" s="16"/>
      <c r="AJ485" s="16"/>
      <c r="AL485" s="16"/>
      <c r="AM485" s="16"/>
      <c r="AN485" s="16"/>
      <c r="AO485" s="16"/>
      <c r="AP485" s="16"/>
      <c r="AQ485" s="16"/>
      <c r="AR485" s="16"/>
      <c r="AS485" s="16"/>
    </row>
    <row r="486" spans="4:45" x14ac:dyDescent="0.35">
      <c r="D486" s="115"/>
      <c r="H486" s="115"/>
      <c r="K486" s="115" t="str">
        <f t="shared" si="20"/>
        <v/>
      </c>
      <c r="L486" s="115"/>
      <c r="M486" s="115"/>
      <c r="N486" s="115"/>
      <c r="O486" s="115"/>
      <c r="P486" s="181"/>
      <c r="Q486" s="181"/>
      <c r="R486" s="192"/>
      <c r="S486" s="191"/>
      <c r="T486" s="193"/>
      <c r="U486" s="191"/>
      <c r="V486" s="89"/>
      <c r="W486" s="191"/>
      <c r="Y486" s="193" t="str">
        <f t="shared" si="21"/>
        <v/>
      </c>
      <c r="Z486" s="191"/>
      <c r="AA486" s="191"/>
      <c r="AB486" s="191"/>
      <c r="AC486" s="191"/>
      <c r="AD486" s="16">
        <f>WEEKNUM(tblKPIs[[#This Row],[Production Start Date]])</f>
        <v>0</v>
      </c>
      <c r="AE486" s="16"/>
      <c r="AF486" s="16"/>
      <c r="AG486" s="16"/>
      <c r="AH486" s="16"/>
      <c r="AI486" s="16"/>
      <c r="AJ486" s="16"/>
      <c r="AL486" s="16"/>
      <c r="AM486" s="16"/>
      <c r="AN486" s="16"/>
      <c r="AO486" s="16"/>
      <c r="AP486" s="16"/>
      <c r="AQ486" s="16"/>
      <c r="AR486" s="16"/>
      <c r="AS486" s="16"/>
    </row>
    <row r="487" spans="4:45" x14ac:dyDescent="0.35">
      <c r="D487" s="115"/>
      <c r="H487" s="115"/>
      <c r="K487" s="115" t="str">
        <f t="shared" si="20"/>
        <v/>
      </c>
      <c r="L487" s="115"/>
      <c r="M487" s="115"/>
      <c r="N487" s="115"/>
      <c r="O487" s="115"/>
      <c r="P487" s="181"/>
      <c r="Q487" s="181"/>
      <c r="R487" s="192"/>
      <c r="S487" s="191"/>
      <c r="T487" s="193"/>
      <c r="U487" s="191"/>
      <c r="V487" s="89"/>
      <c r="W487" s="191"/>
      <c r="Y487" s="193" t="str">
        <f t="shared" si="21"/>
        <v/>
      </c>
      <c r="Z487" s="191"/>
      <c r="AA487" s="191"/>
      <c r="AB487" s="191"/>
      <c r="AC487" s="191"/>
      <c r="AD487" s="16">
        <f>WEEKNUM(tblKPIs[[#This Row],[Production Start Date]])</f>
        <v>0</v>
      </c>
      <c r="AE487" s="16"/>
      <c r="AF487" s="16"/>
      <c r="AG487" s="16"/>
      <c r="AH487" s="16"/>
      <c r="AI487" s="16"/>
      <c r="AJ487" s="16"/>
      <c r="AL487" s="16"/>
      <c r="AM487" s="16"/>
      <c r="AN487" s="16"/>
      <c r="AO487" s="16"/>
      <c r="AP487" s="16"/>
      <c r="AQ487" s="16"/>
      <c r="AR487" s="16"/>
      <c r="AS487" s="16"/>
    </row>
    <row r="488" spans="4:45" x14ac:dyDescent="0.35">
      <c r="D488" s="115"/>
      <c r="H488" s="115"/>
      <c r="K488" s="115" t="str">
        <f t="shared" si="20"/>
        <v/>
      </c>
      <c r="L488" s="115"/>
      <c r="M488" s="115"/>
      <c r="N488" s="115"/>
      <c r="O488" s="115"/>
      <c r="P488" s="181"/>
      <c r="Q488" s="181"/>
      <c r="R488" s="192"/>
      <c r="S488" s="191"/>
      <c r="T488" s="193"/>
      <c r="U488" s="191"/>
      <c r="V488" s="89"/>
      <c r="W488" s="191"/>
      <c r="Y488" s="193" t="str">
        <f t="shared" si="21"/>
        <v/>
      </c>
      <c r="Z488" s="191"/>
      <c r="AA488" s="191"/>
      <c r="AB488" s="191"/>
      <c r="AC488" s="191"/>
      <c r="AD488" s="16">
        <f>WEEKNUM(tblKPIs[[#This Row],[Production Start Date]])</f>
        <v>0</v>
      </c>
      <c r="AE488" s="16"/>
      <c r="AF488" s="16"/>
      <c r="AG488" s="16"/>
      <c r="AH488" s="16"/>
      <c r="AI488" s="16"/>
      <c r="AJ488" s="16"/>
      <c r="AL488" s="16"/>
      <c r="AM488" s="16"/>
      <c r="AN488" s="16"/>
      <c r="AO488" s="16"/>
      <c r="AP488" s="16"/>
      <c r="AQ488" s="16"/>
      <c r="AR488" s="16"/>
      <c r="AS488" s="16"/>
    </row>
    <row r="489" spans="4:45" x14ac:dyDescent="0.35">
      <c r="D489" s="115"/>
      <c r="H489" s="115"/>
      <c r="K489" s="115" t="str">
        <f t="shared" si="20"/>
        <v/>
      </c>
      <c r="L489" s="115"/>
      <c r="M489" s="115"/>
      <c r="N489" s="115"/>
      <c r="O489" s="115"/>
      <c r="P489" s="181"/>
      <c r="Q489" s="181"/>
      <c r="R489" s="192"/>
      <c r="S489" s="191"/>
      <c r="T489" s="193"/>
      <c r="U489" s="191"/>
      <c r="V489" s="89"/>
      <c r="W489" s="191"/>
      <c r="Y489" s="193" t="str">
        <f t="shared" si="21"/>
        <v/>
      </c>
      <c r="Z489" s="191"/>
      <c r="AA489" s="191"/>
      <c r="AB489" s="191"/>
      <c r="AC489" s="191"/>
      <c r="AD489" s="16">
        <f>WEEKNUM(tblKPIs[[#This Row],[Production Start Date]])</f>
        <v>0</v>
      </c>
      <c r="AE489" s="16"/>
      <c r="AF489" s="16"/>
      <c r="AG489" s="16"/>
      <c r="AH489" s="16"/>
      <c r="AI489" s="16"/>
      <c r="AJ489" s="16"/>
      <c r="AL489" s="16"/>
      <c r="AM489" s="16"/>
      <c r="AN489" s="16"/>
      <c r="AO489" s="16"/>
      <c r="AP489" s="16"/>
      <c r="AQ489" s="16"/>
      <c r="AR489" s="16"/>
      <c r="AS489" s="16"/>
    </row>
    <row r="490" spans="4:45" x14ac:dyDescent="0.35">
      <c r="D490" s="115"/>
      <c r="H490" s="115"/>
      <c r="K490" s="115" t="str">
        <f t="shared" si="20"/>
        <v/>
      </c>
      <c r="L490" s="115"/>
      <c r="M490" s="115"/>
      <c r="N490" s="115"/>
      <c r="O490" s="115"/>
      <c r="P490" s="181"/>
      <c r="Q490" s="181"/>
      <c r="R490" s="192"/>
      <c r="S490" s="191"/>
      <c r="T490" s="193"/>
      <c r="U490" s="191"/>
      <c r="V490" s="89"/>
      <c r="W490" s="191"/>
      <c r="Y490" s="193" t="str">
        <f t="shared" si="21"/>
        <v/>
      </c>
      <c r="Z490" s="191"/>
      <c r="AA490" s="191"/>
      <c r="AB490" s="191"/>
      <c r="AC490" s="191"/>
      <c r="AD490" s="16">
        <f>WEEKNUM(tblKPIs[[#This Row],[Production Start Date]])</f>
        <v>0</v>
      </c>
      <c r="AE490" s="16"/>
      <c r="AF490" s="16"/>
      <c r="AG490" s="16"/>
      <c r="AH490" s="16"/>
      <c r="AI490" s="16"/>
      <c r="AJ490" s="16"/>
      <c r="AL490" s="16"/>
      <c r="AM490" s="16"/>
      <c r="AN490" s="16"/>
      <c r="AO490" s="16"/>
      <c r="AP490" s="16"/>
      <c r="AQ490" s="16"/>
      <c r="AR490" s="16"/>
      <c r="AS490" s="16"/>
    </row>
    <row r="491" spans="4:45" x14ac:dyDescent="0.35">
      <c r="D491" s="115"/>
      <c r="H491" s="115"/>
      <c r="K491" s="115" t="str">
        <f t="shared" si="20"/>
        <v/>
      </c>
      <c r="L491" s="115"/>
      <c r="M491" s="115"/>
      <c r="N491" s="115"/>
      <c r="O491" s="115"/>
      <c r="P491" s="181"/>
      <c r="Q491" s="181"/>
      <c r="R491" s="192"/>
      <c r="S491" s="191"/>
      <c r="T491" s="193"/>
      <c r="U491" s="191"/>
      <c r="V491" s="89"/>
      <c r="W491" s="191"/>
      <c r="Y491" s="193" t="str">
        <f t="shared" si="21"/>
        <v/>
      </c>
      <c r="Z491" s="191"/>
      <c r="AA491" s="191"/>
      <c r="AB491" s="191"/>
      <c r="AC491" s="191"/>
      <c r="AD491" s="16">
        <f>WEEKNUM(tblKPIs[[#This Row],[Production Start Date]])</f>
        <v>0</v>
      </c>
      <c r="AE491" s="16"/>
      <c r="AF491" s="16"/>
      <c r="AG491" s="16"/>
      <c r="AH491" s="16"/>
      <c r="AI491" s="16"/>
      <c r="AJ491" s="16"/>
      <c r="AL491" s="16"/>
      <c r="AM491" s="16"/>
      <c r="AN491" s="16"/>
      <c r="AO491" s="16"/>
      <c r="AP491" s="16"/>
      <c r="AQ491" s="16"/>
      <c r="AR491" s="16"/>
      <c r="AS491" s="16"/>
    </row>
    <row r="492" spans="4:45" x14ac:dyDescent="0.35">
      <c r="D492" s="115"/>
      <c r="H492" s="115"/>
      <c r="K492" s="115" t="str">
        <f t="shared" si="20"/>
        <v/>
      </c>
      <c r="L492" s="115"/>
      <c r="M492" s="115"/>
      <c r="N492" s="115"/>
      <c r="O492" s="115"/>
      <c r="P492" s="181"/>
      <c r="Q492" s="181"/>
      <c r="R492" s="192"/>
      <c r="S492" s="191"/>
      <c r="T492" s="193"/>
      <c r="U492" s="191"/>
      <c r="V492" s="89"/>
      <c r="W492" s="191"/>
      <c r="Y492" s="193" t="str">
        <f t="shared" si="21"/>
        <v/>
      </c>
      <c r="Z492" s="191"/>
      <c r="AA492" s="191"/>
      <c r="AB492" s="191"/>
      <c r="AC492" s="191"/>
      <c r="AD492" s="16">
        <f>WEEKNUM(tblKPIs[[#This Row],[Production Start Date]])</f>
        <v>0</v>
      </c>
      <c r="AE492" s="16"/>
      <c r="AF492" s="16"/>
      <c r="AG492" s="16"/>
      <c r="AH492" s="16"/>
      <c r="AI492" s="16"/>
      <c r="AJ492" s="16"/>
      <c r="AL492" s="16"/>
      <c r="AM492" s="16"/>
      <c r="AN492" s="16"/>
      <c r="AO492" s="16"/>
      <c r="AP492" s="16"/>
      <c r="AQ492" s="16"/>
      <c r="AR492" s="16"/>
      <c r="AS492" s="16"/>
    </row>
    <row r="493" spans="4:45" x14ac:dyDescent="0.35">
      <c r="D493" s="115"/>
      <c r="H493" s="115"/>
      <c r="K493" s="115" t="str">
        <f t="shared" ref="K493:K525" si="22">IF(BB493="","",+BB493/10)</f>
        <v/>
      </c>
      <c r="L493" s="115"/>
      <c r="M493" s="115"/>
      <c r="N493" s="115"/>
      <c r="O493" s="115"/>
      <c r="P493" s="181"/>
      <c r="Q493" s="181"/>
      <c r="R493" s="192"/>
      <c r="S493" s="191"/>
      <c r="T493" s="193"/>
      <c r="U493" s="191"/>
      <c r="V493" s="89"/>
      <c r="W493" s="191"/>
      <c r="Y493" s="193" t="str">
        <f t="shared" ref="Y493:Y525" si="23">IF(BC493="","",+BC493/10)</f>
        <v/>
      </c>
      <c r="Z493" s="191"/>
      <c r="AA493" s="191"/>
      <c r="AB493" s="191"/>
      <c r="AC493" s="191"/>
      <c r="AD493" s="16">
        <f>WEEKNUM(tblKPIs[[#This Row],[Production Start Date]])</f>
        <v>0</v>
      </c>
      <c r="AE493" s="16"/>
      <c r="AF493" s="16"/>
      <c r="AG493" s="16"/>
      <c r="AH493" s="16"/>
      <c r="AI493" s="16"/>
      <c r="AJ493" s="16"/>
      <c r="AL493" s="16"/>
      <c r="AM493" s="16"/>
      <c r="AN493" s="16"/>
      <c r="AO493" s="16"/>
      <c r="AP493" s="16"/>
      <c r="AQ493" s="16"/>
      <c r="AR493" s="16"/>
      <c r="AS493" s="16"/>
    </row>
    <row r="494" spans="4:45" x14ac:dyDescent="0.35">
      <c r="D494" s="115"/>
      <c r="H494" s="115"/>
      <c r="K494" s="115" t="str">
        <f t="shared" si="22"/>
        <v/>
      </c>
      <c r="L494" s="115"/>
      <c r="M494" s="115"/>
      <c r="N494" s="115"/>
      <c r="O494" s="115"/>
      <c r="P494" s="181"/>
      <c r="Q494" s="181"/>
      <c r="R494" s="192"/>
      <c r="S494" s="191"/>
      <c r="T494" s="193"/>
      <c r="U494" s="191"/>
      <c r="V494" s="89"/>
      <c r="W494" s="191"/>
      <c r="Y494" s="193" t="str">
        <f t="shared" si="23"/>
        <v/>
      </c>
      <c r="Z494" s="191"/>
      <c r="AA494" s="191"/>
      <c r="AB494" s="191"/>
      <c r="AC494" s="191"/>
      <c r="AD494" s="16">
        <f>WEEKNUM(tblKPIs[[#This Row],[Production Start Date]])</f>
        <v>0</v>
      </c>
      <c r="AE494" s="16"/>
      <c r="AF494" s="16"/>
      <c r="AG494" s="16"/>
      <c r="AH494" s="16"/>
      <c r="AI494" s="16"/>
      <c r="AJ494" s="16"/>
      <c r="AL494" s="16"/>
      <c r="AM494" s="16"/>
      <c r="AN494" s="16"/>
      <c r="AO494" s="16"/>
      <c r="AP494" s="16"/>
      <c r="AQ494" s="16"/>
      <c r="AR494" s="16"/>
      <c r="AS494" s="16"/>
    </row>
    <row r="495" spans="4:45" x14ac:dyDescent="0.35">
      <c r="D495" s="115"/>
      <c r="H495" s="115"/>
      <c r="K495" s="115" t="str">
        <f t="shared" si="22"/>
        <v/>
      </c>
      <c r="L495" s="115"/>
      <c r="M495" s="115"/>
      <c r="N495" s="115"/>
      <c r="O495" s="115"/>
      <c r="P495" s="181"/>
      <c r="Q495" s="181"/>
      <c r="R495" s="192"/>
      <c r="S495" s="191"/>
      <c r="T495" s="193"/>
      <c r="U495" s="191"/>
      <c r="V495" s="89"/>
      <c r="W495" s="191"/>
      <c r="Y495" s="193" t="str">
        <f t="shared" si="23"/>
        <v/>
      </c>
      <c r="Z495" s="191"/>
      <c r="AA495" s="191"/>
      <c r="AB495" s="191"/>
      <c r="AC495" s="191"/>
      <c r="AD495" s="16">
        <f>WEEKNUM(tblKPIs[[#This Row],[Production Start Date]])</f>
        <v>0</v>
      </c>
      <c r="AE495" s="16"/>
      <c r="AF495" s="16"/>
      <c r="AG495" s="16"/>
      <c r="AH495" s="16"/>
      <c r="AI495" s="16"/>
      <c r="AJ495" s="16"/>
      <c r="AL495" s="16"/>
      <c r="AM495" s="16"/>
      <c r="AN495" s="16"/>
      <c r="AO495" s="16"/>
      <c r="AP495" s="16"/>
      <c r="AQ495" s="16"/>
      <c r="AR495" s="16"/>
      <c r="AS495" s="16"/>
    </row>
    <row r="496" spans="4:45" x14ac:dyDescent="0.35">
      <c r="D496" s="115"/>
      <c r="H496" s="115"/>
      <c r="K496" s="115" t="str">
        <f t="shared" si="22"/>
        <v/>
      </c>
      <c r="L496" s="115"/>
      <c r="M496" s="115"/>
      <c r="N496" s="115"/>
      <c r="O496" s="115"/>
      <c r="P496" s="181"/>
      <c r="Q496" s="181"/>
      <c r="R496" s="192"/>
      <c r="S496" s="191"/>
      <c r="T496" s="193"/>
      <c r="U496" s="191"/>
      <c r="V496" s="89"/>
      <c r="W496" s="191"/>
      <c r="Y496" s="193" t="str">
        <f t="shared" si="23"/>
        <v/>
      </c>
      <c r="Z496" s="191"/>
      <c r="AA496" s="191"/>
      <c r="AB496" s="191"/>
      <c r="AC496" s="191"/>
      <c r="AD496" s="16">
        <f>WEEKNUM(tblKPIs[[#This Row],[Production Start Date]])</f>
        <v>0</v>
      </c>
      <c r="AE496" s="16"/>
      <c r="AF496" s="16"/>
      <c r="AG496" s="16"/>
      <c r="AH496" s="16"/>
      <c r="AI496" s="16"/>
      <c r="AJ496" s="16"/>
      <c r="AL496" s="16"/>
      <c r="AM496" s="16"/>
      <c r="AN496" s="16"/>
      <c r="AO496" s="16"/>
      <c r="AP496" s="16"/>
      <c r="AQ496" s="16"/>
      <c r="AR496" s="16"/>
      <c r="AS496" s="16"/>
    </row>
    <row r="497" spans="4:45" x14ac:dyDescent="0.35">
      <c r="D497" s="115"/>
      <c r="H497" s="115"/>
      <c r="K497" s="115" t="str">
        <f t="shared" si="22"/>
        <v/>
      </c>
      <c r="L497" s="115"/>
      <c r="M497" s="115"/>
      <c r="N497" s="115"/>
      <c r="O497" s="115"/>
      <c r="P497" s="181"/>
      <c r="Q497" s="181"/>
      <c r="R497" s="192"/>
      <c r="S497" s="191"/>
      <c r="T497" s="193"/>
      <c r="U497" s="191"/>
      <c r="V497" s="89"/>
      <c r="W497" s="191"/>
      <c r="Y497" s="193" t="str">
        <f t="shared" si="23"/>
        <v/>
      </c>
      <c r="Z497" s="191"/>
      <c r="AA497" s="191"/>
      <c r="AB497" s="191"/>
      <c r="AC497" s="191"/>
      <c r="AD497" s="16">
        <f>WEEKNUM(tblKPIs[[#This Row],[Production Start Date]])</f>
        <v>0</v>
      </c>
      <c r="AE497" s="16"/>
      <c r="AF497" s="16"/>
      <c r="AG497" s="16"/>
      <c r="AH497" s="16"/>
      <c r="AI497" s="16"/>
      <c r="AJ497" s="16"/>
      <c r="AL497" s="16"/>
      <c r="AM497" s="16"/>
      <c r="AN497" s="16"/>
      <c r="AO497" s="16"/>
      <c r="AP497" s="16"/>
      <c r="AQ497" s="16"/>
      <c r="AR497" s="16"/>
      <c r="AS497" s="16"/>
    </row>
    <row r="498" spans="4:45" x14ac:dyDescent="0.35">
      <c r="D498" s="115"/>
      <c r="H498" s="115"/>
      <c r="K498" s="115" t="str">
        <f t="shared" si="22"/>
        <v/>
      </c>
      <c r="L498" s="115"/>
      <c r="M498" s="115"/>
      <c r="N498" s="115"/>
      <c r="O498" s="115"/>
      <c r="P498" s="181"/>
      <c r="Q498" s="181"/>
      <c r="R498" s="192"/>
      <c r="S498" s="191"/>
      <c r="T498" s="193"/>
      <c r="U498" s="191"/>
      <c r="V498" s="89"/>
      <c r="W498" s="191"/>
      <c r="Y498" s="193" t="str">
        <f t="shared" si="23"/>
        <v/>
      </c>
      <c r="Z498" s="191"/>
      <c r="AA498" s="191"/>
      <c r="AB498" s="191"/>
      <c r="AC498" s="191"/>
      <c r="AD498" s="16">
        <f>WEEKNUM(tblKPIs[[#This Row],[Production Start Date]])</f>
        <v>0</v>
      </c>
      <c r="AE498" s="16"/>
      <c r="AF498" s="16"/>
      <c r="AG498" s="16"/>
      <c r="AH498" s="16"/>
      <c r="AI498" s="16"/>
      <c r="AJ498" s="16"/>
      <c r="AL498" s="16"/>
      <c r="AM498" s="16"/>
      <c r="AN498" s="16"/>
      <c r="AO498" s="16"/>
      <c r="AP498" s="16"/>
      <c r="AQ498" s="16"/>
      <c r="AR498" s="16"/>
      <c r="AS498" s="16"/>
    </row>
    <row r="499" spans="4:45" x14ac:dyDescent="0.35">
      <c r="D499" s="115"/>
      <c r="H499" s="115"/>
      <c r="K499" s="115" t="str">
        <f t="shared" si="22"/>
        <v/>
      </c>
      <c r="L499" s="115"/>
      <c r="M499" s="115"/>
      <c r="N499" s="115"/>
      <c r="O499" s="115"/>
      <c r="P499" s="181"/>
      <c r="Q499" s="181"/>
      <c r="R499" s="192"/>
      <c r="S499" s="191"/>
      <c r="T499" s="193"/>
      <c r="U499" s="191"/>
      <c r="V499" s="89"/>
      <c r="W499" s="191"/>
      <c r="Y499" s="193" t="str">
        <f t="shared" si="23"/>
        <v/>
      </c>
      <c r="Z499" s="191"/>
      <c r="AA499" s="191"/>
      <c r="AB499" s="191"/>
      <c r="AC499" s="191"/>
      <c r="AD499" s="16">
        <f>WEEKNUM(tblKPIs[[#This Row],[Production Start Date]])</f>
        <v>0</v>
      </c>
      <c r="AE499" s="16"/>
      <c r="AF499" s="16"/>
      <c r="AG499" s="16"/>
      <c r="AH499" s="16"/>
      <c r="AI499" s="16"/>
      <c r="AJ499" s="16"/>
      <c r="AL499" s="16"/>
      <c r="AM499" s="16"/>
      <c r="AN499" s="16"/>
      <c r="AO499" s="16"/>
      <c r="AP499" s="16"/>
      <c r="AQ499" s="16"/>
      <c r="AR499" s="16"/>
      <c r="AS499" s="16"/>
    </row>
    <row r="500" spans="4:45" x14ac:dyDescent="0.35">
      <c r="D500" s="115"/>
      <c r="H500" s="115"/>
      <c r="K500" s="115" t="str">
        <f t="shared" si="22"/>
        <v/>
      </c>
      <c r="L500" s="115"/>
      <c r="M500" s="115"/>
      <c r="N500" s="115"/>
      <c r="O500" s="115"/>
      <c r="P500" s="181"/>
      <c r="Q500" s="181"/>
      <c r="R500" s="192"/>
      <c r="S500" s="191"/>
      <c r="T500" s="193"/>
      <c r="U500" s="191"/>
      <c r="V500" s="89"/>
      <c r="W500" s="191"/>
      <c r="Y500" s="193" t="str">
        <f t="shared" si="23"/>
        <v/>
      </c>
      <c r="Z500" s="191"/>
      <c r="AA500" s="191"/>
      <c r="AB500" s="191"/>
      <c r="AC500" s="191"/>
      <c r="AD500" s="16">
        <f>WEEKNUM(tblKPIs[[#This Row],[Production Start Date]])</f>
        <v>0</v>
      </c>
      <c r="AE500" s="16"/>
      <c r="AF500" s="16"/>
      <c r="AG500" s="16"/>
      <c r="AH500" s="16"/>
      <c r="AI500" s="16"/>
      <c r="AJ500" s="16"/>
      <c r="AL500" s="16"/>
      <c r="AM500" s="16"/>
      <c r="AN500" s="16"/>
      <c r="AO500" s="16"/>
      <c r="AP500" s="16"/>
      <c r="AQ500" s="16"/>
      <c r="AR500" s="16"/>
      <c r="AS500" s="16"/>
    </row>
    <row r="501" spans="4:45" x14ac:dyDescent="0.35">
      <c r="D501" s="115"/>
      <c r="H501" s="115"/>
      <c r="K501" s="115" t="str">
        <f t="shared" si="22"/>
        <v/>
      </c>
      <c r="L501" s="115"/>
      <c r="M501" s="115"/>
      <c r="N501" s="115"/>
      <c r="O501" s="115"/>
      <c r="P501" s="181"/>
      <c r="Q501" s="181"/>
      <c r="R501" s="192"/>
      <c r="S501" s="191"/>
      <c r="T501" s="193"/>
      <c r="U501" s="191"/>
      <c r="V501" s="89"/>
      <c r="W501" s="191"/>
      <c r="Y501" s="193" t="str">
        <f t="shared" si="23"/>
        <v/>
      </c>
      <c r="Z501" s="191"/>
      <c r="AA501" s="191"/>
      <c r="AB501" s="191"/>
      <c r="AC501" s="191"/>
      <c r="AD501" s="16">
        <f>WEEKNUM(tblKPIs[[#This Row],[Production Start Date]])</f>
        <v>0</v>
      </c>
      <c r="AE501" s="16"/>
      <c r="AF501" s="16"/>
      <c r="AG501" s="16"/>
      <c r="AH501" s="16"/>
      <c r="AI501" s="16"/>
      <c r="AJ501" s="16"/>
      <c r="AL501" s="16"/>
      <c r="AM501" s="16"/>
      <c r="AN501" s="16"/>
      <c r="AO501" s="16"/>
      <c r="AP501" s="16"/>
      <c r="AQ501" s="16"/>
      <c r="AR501" s="16"/>
      <c r="AS501" s="16"/>
    </row>
    <row r="502" spans="4:45" x14ac:dyDescent="0.35">
      <c r="D502" s="115"/>
      <c r="H502" s="115"/>
      <c r="K502" s="115" t="str">
        <f t="shared" si="22"/>
        <v/>
      </c>
      <c r="L502" s="115"/>
      <c r="M502" s="115"/>
      <c r="N502" s="115"/>
      <c r="O502" s="115"/>
      <c r="P502" s="181"/>
      <c r="Q502" s="181"/>
      <c r="R502" s="192"/>
      <c r="S502" s="191"/>
      <c r="T502" s="193"/>
      <c r="U502" s="191"/>
      <c r="V502" s="89"/>
      <c r="W502" s="191"/>
      <c r="Y502" s="193" t="str">
        <f t="shared" si="23"/>
        <v/>
      </c>
      <c r="Z502" s="191"/>
      <c r="AA502" s="191"/>
      <c r="AB502" s="191"/>
      <c r="AC502" s="191"/>
      <c r="AD502" s="16">
        <f>WEEKNUM(tblKPIs[[#This Row],[Production Start Date]])</f>
        <v>0</v>
      </c>
      <c r="AE502" s="16"/>
      <c r="AF502" s="16"/>
      <c r="AG502" s="16"/>
      <c r="AH502" s="16"/>
      <c r="AI502" s="16"/>
      <c r="AJ502" s="16"/>
      <c r="AL502" s="16"/>
      <c r="AM502" s="16"/>
      <c r="AN502" s="16"/>
      <c r="AO502" s="16"/>
      <c r="AP502" s="16"/>
      <c r="AQ502" s="16"/>
      <c r="AR502" s="16"/>
      <c r="AS502" s="16"/>
    </row>
    <row r="503" spans="4:45" x14ac:dyDescent="0.35">
      <c r="D503" s="115"/>
      <c r="H503" s="115"/>
      <c r="K503" s="115" t="str">
        <f t="shared" si="22"/>
        <v/>
      </c>
      <c r="L503" s="115"/>
      <c r="M503" s="115"/>
      <c r="N503" s="115"/>
      <c r="O503" s="115"/>
      <c r="P503" s="181"/>
      <c r="Q503" s="181"/>
      <c r="R503" s="192"/>
      <c r="S503" s="191"/>
      <c r="T503" s="193"/>
      <c r="U503" s="191"/>
      <c r="V503" s="89"/>
      <c r="W503" s="191"/>
      <c r="Y503" s="193" t="str">
        <f t="shared" si="23"/>
        <v/>
      </c>
      <c r="Z503" s="191"/>
      <c r="AA503" s="191"/>
      <c r="AB503" s="191"/>
      <c r="AC503" s="191"/>
      <c r="AD503" s="16">
        <f>WEEKNUM(tblKPIs[[#This Row],[Production Start Date]])</f>
        <v>0</v>
      </c>
      <c r="AE503" s="16"/>
      <c r="AF503" s="16"/>
      <c r="AG503" s="16"/>
      <c r="AH503" s="16"/>
      <c r="AI503" s="16"/>
      <c r="AJ503" s="16"/>
      <c r="AL503" s="16"/>
      <c r="AM503" s="16"/>
      <c r="AN503" s="16"/>
      <c r="AO503" s="16"/>
      <c r="AP503" s="16"/>
      <c r="AQ503" s="16"/>
      <c r="AR503" s="16"/>
      <c r="AS503" s="16"/>
    </row>
    <row r="504" spans="4:45" x14ac:dyDescent="0.35">
      <c r="D504" s="115"/>
      <c r="H504" s="115"/>
      <c r="K504" s="115" t="str">
        <f t="shared" si="22"/>
        <v/>
      </c>
      <c r="L504" s="115"/>
      <c r="M504" s="115"/>
      <c r="N504" s="115"/>
      <c r="O504" s="115"/>
      <c r="P504" s="181"/>
      <c r="Q504" s="181"/>
      <c r="R504" s="192"/>
      <c r="S504" s="191"/>
      <c r="T504" s="193"/>
      <c r="U504" s="191"/>
      <c r="V504" s="89"/>
      <c r="W504" s="191"/>
      <c r="Y504" s="193" t="str">
        <f t="shared" si="23"/>
        <v/>
      </c>
      <c r="Z504" s="191"/>
      <c r="AA504" s="191"/>
      <c r="AB504" s="191"/>
      <c r="AC504" s="191"/>
      <c r="AD504" s="16">
        <f>WEEKNUM(tblKPIs[[#This Row],[Production Start Date]])</f>
        <v>0</v>
      </c>
      <c r="AE504" s="16"/>
      <c r="AF504" s="16"/>
      <c r="AG504" s="16"/>
      <c r="AH504" s="16"/>
      <c r="AI504" s="16"/>
      <c r="AJ504" s="16"/>
      <c r="AL504" s="16"/>
      <c r="AM504" s="16"/>
      <c r="AN504" s="16"/>
      <c r="AO504" s="16"/>
      <c r="AP504" s="16"/>
      <c r="AQ504" s="16"/>
      <c r="AR504" s="16"/>
      <c r="AS504" s="16"/>
    </row>
    <row r="505" spans="4:45" x14ac:dyDescent="0.35">
      <c r="D505" s="115"/>
      <c r="H505" s="115"/>
      <c r="K505" s="115" t="str">
        <f t="shared" si="22"/>
        <v/>
      </c>
      <c r="L505" s="115"/>
      <c r="M505" s="115"/>
      <c r="N505" s="115"/>
      <c r="O505" s="115"/>
      <c r="P505" s="181"/>
      <c r="Q505" s="181"/>
      <c r="R505" s="192"/>
      <c r="S505" s="191"/>
      <c r="T505" s="193"/>
      <c r="U505" s="191"/>
      <c r="V505" s="89"/>
      <c r="W505" s="191"/>
      <c r="Y505" s="193" t="str">
        <f t="shared" si="23"/>
        <v/>
      </c>
      <c r="Z505" s="191"/>
      <c r="AA505" s="191"/>
      <c r="AB505" s="191"/>
      <c r="AC505" s="191"/>
      <c r="AD505" s="16">
        <f>WEEKNUM(tblKPIs[[#This Row],[Production Start Date]])</f>
        <v>0</v>
      </c>
      <c r="AE505" s="16"/>
      <c r="AF505" s="16"/>
      <c r="AG505" s="16"/>
      <c r="AH505" s="16"/>
      <c r="AI505" s="16"/>
      <c r="AJ505" s="16"/>
      <c r="AL505" s="16"/>
      <c r="AM505" s="16"/>
      <c r="AN505" s="16"/>
      <c r="AO505" s="16"/>
      <c r="AP505" s="16"/>
      <c r="AQ505" s="16"/>
      <c r="AR505" s="16"/>
      <c r="AS505" s="16"/>
    </row>
    <row r="506" spans="4:45" x14ac:dyDescent="0.35">
      <c r="D506" s="115"/>
      <c r="H506" s="115"/>
      <c r="K506" s="115" t="str">
        <f t="shared" si="22"/>
        <v/>
      </c>
      <c r="L506" s="115"/>
      <c r="M506" s="115"/>
      <c r="N506" s="115"/>
      <c r="O506" s="115"/>
      <c r="P506" s="181"/>
      <c r="Q506" s="181"/>
      <c r="R506" s="192"/>
      <c r="S506" s="191"/>
      <c r="T506" s="193"/>
      <c r="U506" s="191"/>
      <c r="V506" s="89"/>
      <c r="W506" s="191"/>
      <c r="Y506" s="193" t="str">
        <f t="shared" si="23"/>
        <v/>
      </c>
      <c r="Z506" s="191"/>
      <c r="AA506" s="191"/>
      <c r="AB506" s="191"/>
      <c r="AC506" s="191"/>
      <c r="AD506" s="16">
        <f>WEEKNUM(tblKPIs[[#This Row],[Production Start Date]])</f>
        <v>0</v>
      </c>
      <c r="AE506" s="16"/>
      <c r="AF506" s="16"/>
      <c r="AG506" s="16"/>
      <c r="AH506" s="16"/>
      <c r="AI506" s="16"/>
      <c r="AJ506" s="16"/>
      <c r="AL506" s="16"/>
      <c r="AM506" s="16"/>
      <c r="AN506" s="16"/>
      <c r="AO506" s="16"/>
      <c r="AP506" s="16"/>
      <c r="AQ506" s="16"/>
      <c r="AR506" s="16"/>
      <c r="AS506" s="16"/>
    </row>
    <row r="507" spans="4:45" x14ac:dyDescent="0.35">
      <c r="D507" s="115"/>
      <c r="H507" s="115"/>
      <c r="K507" s="115" t="str">
        <f t="shared" si="22"/>
        <v/>
      </c>
      <c r="L507" s="115"/>
      <c r="M507" s="115"/>
      <c r="N507" s="115"/>
      <c r="O507" s="115"/>
      <c r="P507" s="181"/>
      <c r="Q507" s="181"/>
      <c r="R507" s="192"/>
      <c r="S507" s="191"/>
      <c r="T507" s="193"/>
      <c r="U507" s="191"/>
      <c r="V507" s="89"/>
      <c r="W507" s="191"/>
      <c r="Y507" s="193" t="str">
        <f t="shared" si="23"/>
        <v/>
      </c>
      <c r="Z507" s="191"/>
      <c r="AA507" s="191"/>
      <c r="AB507" s="191"/>
      <c r="AC507" s="191"/>
      <c r="AD507" s="16">
        <f>WEEKNUM(tblKPIs[[#This Row],[Production Start Date]])</f>
        <v>0</v>
      </c>
      <c r="AE507" s="16"/>
      <c r="AF507" s="16"/>
      <c r="AG507" s="16"/>
      <c r="AH507" s="16"/>
      <c r="AI507" s="16"/>
      <c r="AJ507" s="16"/>
      <c r="AL507" s="16"/>
      <c r="AM507" s="16"/>
      <c r="AN507" s="16"/>
      <c r="AO507" s="16"/>
      <c r="AP507" s="16"/>
      <c r="AQ507" s="16"/>
      <c r="AR507" s="16"/>
      <c r="AS507" s="16"/>
    </row>
    <row r="508" spans="4:45" x14ac:dyDescent="0.35">
      <c r="D508" s="115"/>
      <c r="H508" s="115"/>
      <c r="K508" s="115" t="str">
        <f t="shared" si="22"/>
        <v/>
      </c>
      <c r="L508" s="115"/>
      <c r="M508" s="115"/>
      <c r="N508" s="115"/>
      <c r="O508" s="115"/>
      <c r="P508" s="181"/>
      <c r="Q508" s="181"/>
      <c r="R508" s="192"/>
      <c r="S508" s="191"/>
      <c r="T508" s="193"/>
      <c r="U508" s="191"/>
      <c r="V508" s="89"/>
      <c r="W508" s="191"/>
      <c r="Y508" s="193" t="str">
        <f t="shared" si="23"/>
        <v/>
      </c>
      <c r="Z508" s="191"/>
      <c r="AA508" s="191"/>
      <c r="AB508" s="191"/>
      <c r="AC508" s="191"/>
      <c r="AD508" s="16">
        <f>WEEKNUM(tblKPIs[[#This Row],[Production Start Date]])</f>
        <v>0</v>
      </c>
      <c r="AE508" s="16"/>
      <c r="AF508" s="16"/>
      <c r="AG508" s="16"/>
      <c r="AH508" s="16"/>
      <c r="AI508" s="16"/>
      <c r="AJ508" s="16"/>
      <c r="AL508" s="16"/>
      <c r="AM508" s="16"/>
      <c r="AN508" s="16"/>
      <c r="AO508" s="16"/>
      <c r="AP508" s="16"/>
      <c r="AQ508" s="16"/>
      <c r="AR508" s="16"/>
      <c r="AS508" s="16"/>
    </row>
    <row r="509" spans="4:45" x14ac:dyDescent="0.35">
      <c r="D509" s="115"/>
      <c r="H509" s="115"/>
      <c r="K509" s="115" t="str">
        <f t="shared" si="22"/>
        <v/>
      </c>
      <c r="L509" s="115"/>
      <c r="M509" s="115"/>
      <c r="N509" s="115"/>
      <c r="O509" s="115"/>
      <c r="P509" s="181"/>
      <c r="Q509" s="181"/>
      <c r="R509" s="192"/>
      <c r="S509" s="191"/>
      <c r="T509" s="193"/>
      <c r="U509" s="191"/>
      <c r="V509" s="89"/>
      <c r="W509" s="191"/>
      <c r="Y509" s="193" t="str">
        <f t="shared" si="23"/>
        <v/>
      </c>
      <c r="Z509" s="191"/>
      <c r="AA509" s="191"/>
      <c r="AB509" s="191"/>
      <c r="AC509" s="191"/>
      <c r="AD509" s="16">
        <f>WEEKNUM(tblKPIs[[#This Row],[Production Start Date]])</f>
        <v>0</v>
      </c>
      <c r="AE509" s="16"/>
      <c r="AF509" s="16"/>
      <c r="AG509" s="16"/>
      <c r="AH509" s="16"/>
      <c r="AI509" s="16"/>
      <c r="AJ509" s="16"/>
      <c r="AL509" s="16"/>
      <c r="AM509" s="16"/>
      <c r="AN509" s="16"/>
      <c r="AO509" s="16"/>
      <c r="AP509" s="16"/>
      <c r="AQ509" s="16"/>
      <c r="AR509" s="16"/>
      <c r="AS509" s="16"/>
    </row>
    <row r="510" spans="4:45" x14ac:dyDescent="0.35">
      <c r="D510" s="115"/>
      <c r="H510" s="115"/>
      <c r="K510" s="115" t="str">
        <f t="shared" si="22"/>
        <v/>
      </c>
      <c r="L510" s="115"/>
      <c r="M510" s="115"/>
      <c r="N510" s="115"/>
      <c r="O510" s="115"/>
      <c r="P510" s="181"/>
      <c r="Q510" s="181"/>
      <c r="R510" s="192"/>
      <c r="S510" s="191"/>
      <c r="T510" s="193"/>
      <c r="U510" s="191"/>
      <c r="V510" s="89"/>
      <c r="W510" s="191"/>
      <c r="Y510" s="193" t="str">
        <f t="shared" si="23"/>
        <v/>
      </c>
      <c r="Z510" s="191"/>
      <c r="AA510" s="191"/>
      <c r="AB510" s="191"/>
      <c r="AC510" s="191"/>
      <c r="AD510" s="16">
        <f>WEEKNUM(tblKPIs[[#This Row],[Production Start Date]])</f>
        <v>0</v>
      </c>
      <c r="AE510" s="16"/>
      <c r="AF510" s="16"/>
      <c r="AG510" s="16"/>
      <c r="AH510" s="16"/>
      <c r="AI510" s="16"/>
      <c r="AJ510" s="16"/>
      <c r="AL510" s="16"/>
      <c r="AM510" s="16"/>
      <c r="AN510" s="16"/>
      <c r="AO510" s="16"/>
      <c r="AP510" s="16"/>
      <c r="AQ510" s="16"/>
      <c r="AR510" s="16"/>
      <c r="AS510" s="16"/>
    </row>
    <row r="511" spans="4:45" x14ac:dyDescent="0.35">
      <c r="D511" s="115"/>
      <c r="H511" s="115"/>
      <c r="K511" s="115" t="str">
        <f t="shared" si="22"/>
        <v/>
      </c>
      <c r="L511" s="115"/>
      <c r="M511" s="115"/>
      <c r="N511" s="115"/>
      <c r="O511" s="115"/>
      <c r="P511" s="181"/>
      <c r="Q511" s="181"/>
      <c r="R511" s="192"/>
      <c r="S511" s="191"/>
      <c r="T511" s="193"/>
      <c r="U511" s="191"/>
      <c r="V511" s="89"/>
      <c r="W511" s="191"/>
      <c r="Y511" s="193" t="str">
        <f t="shared" si="23"/>
        <v/>
      </c>
      <c r="Z511" s="191"/>
      <c r="AA511" s="191"/>
      <c r="AB511" s="191"/>
      <c r="AC511" s="191"/>
      <c r="AD511" s="16">
        <f>WEEKNUM(tblKPIs[[#This Row],[Production Start Date]])</f>
        <v>0</v>
      </c>
      <c r="AE511" s="16"/>
      <c r="AF511" s="16"/>
      <c r="AG511" s="16"/>
      <c r="AH511" s="16"/>
      <c r="AI511" s="16"/>
      <c r="AJ511" s="16"/>
      <c r="AL511" s="16"/>
      <c r="AM511" s="16"/>
      <c r="AN511" s="16"/>
      <c r="AO511" s="16"/>
      <c r="AP511" s="16"/>
      <c r="AQ511" s="16"/>
      <c r="AR511" s="16"/>
      <c r="AS511" s="16"/>
    </row>
    <row r="512" spans="4:45" x14ac:dyDescent="0.35">
      <c r="D512" s="115"/>
      <c r="H512" s="115"/>
      <c r="K512" s="115" t="str">
        <f t="shared" si="22"/>
        <v/>
      </c>
      <c r="L512" s="115"/>
      <c r="M512" s="115"/>
      <c r="N512" s="115"/>
      <c r="O512" s="115"/>
      <c r="P512" s="181"/>
      <c r="Q512" s="181"/>
      <c r="R512" s="192"/>
      <c r="S512" s="191"/>
      <c r="T512" s="193"/>
      <c r="U512" s="191"/>
      <c r="V512" s="89"/>
      <c r="W512" s="191"/>
      <c r="Y512" s="193" t="str">
        <f t="shared" si="23"/>
        <v/>
      </c>
      <c r="Z512" s="191"/>
      <c r="AA512" s="191"/>
      <c r="AB512" s="191"/>
      <c r="AC512" s="191"/>
      <c r="AD512" s="16">
        <f>WEEKNUM(tblKPIs[[#This Row],[Production Start Date]])</f>
        <v>0</v>
      </c>
      <c r="AE512" s="16"/>
      <c r="AF512" s="16"/>
      <c r="AG512" s="16"/>
      <c r="AH512" s="16"/>
      <c r="AI512" s="16"/>
      <c r="AJ512" s="16"/>
      <c r="AL512" s="16"/>
      <c r="AM512" s="16"/>
      <c r="AN512" s="16"/>
      <c r="AO512" s="16"/>
      <c r="AP512" s="16"/>
      <c r="AQ512" s="16"/>
      <c r="AR512" s="16"/>
      <c r="AS512" s="16"/>
    </row>
    <row r="513" spans="4:45" x14ac:dyDescent="0.35">
      <c r="D513" s="115"/>
      <c r="H513" s="115"/>
      <c r="K513" s="115" t="str">
        <f t="shared" si="22"/>
        <v/>
      </c>
      <c r="L513" s="115"/>
      <c r="M513" s="115"/>
      <c r="N513" s="115"/>
      <c r="O513" s="115"/>
      <c r="P513" s="181"/>
      <c r="Q513" s="181"/>
      <c r="R513" s="192"/>
      <c r="S513" s="191"/>
      <c r="T513" s="193"/>
      <c r="U513" s="191"/>
      <c r="V513" s="89"/>
      <c r="W513" s="191"/>
      <c r="Y513" s="193" t="str">
        <f t="shared" si="23"/>
        <v/>
      </c>
      <c r="Z513" s="191"/>
      <c r="AA513" s="191"/>
      <c r="AB513" s="191"/>
      <c r="AC513" s="191"/>
      <c r="AD513" s="16">
        <f>WEEKNUM(tblKPIs[[#This Row],[Production Start Date]])</f>
        <v>0</v>
      </c>
      <c r="AE513" s="16"/>
      <c r="AF513" s="16"/>
      <c r="AG513" s="16"/>
      <c r="AH513" s="16"/>
      <c r="AI513" s="16"/>
      <c r="AJ513" s="16"/>
      <c r="AL513" s="16"/>
      <c r="AM513" s="16"/>
      <c r="AN513" s="16"/>
      <c r="AO513" s="16"/>
      <c r="AP513" s="16"/>
      <c r="AQ513" s="16"/>
      <c r="AR513" s="16"/>
      <c r="AS513" s="16"/>
    </row>
    <row r="514" spans="4:45" x14ac:dyDescent="0.35">
      <c r="D514" s="115"/>
      <c r="H514" s="115"/>
      <c r="K514" s="115" t="str">
        <f t="shared" si="22"/>
        <v/>
      </c>
      <c r="L514" s="115"/>
      <c r="M514" s="115"/>
      <c r="N514" s="115"/>
      <c r="O514" s="115"/>
      <c r="P514" s="181"/>
      <c r="Q514" s="181"/>
      <c r="R514" s="192"/>
      <c r="S514" s="191"/>
      <c r="T514" s="193"/>
      <c r="U514" s="191"/>
      <c r="V514" s="89"/>
      <c r="W514" s="191"/>
      <c r="Y514" s="193" t="str">
        <f t="shared" si="23"/>
        <v/>
      </c>
      <c r="Z514" s="191"/>
      <c r="AA514" s="191"/>
      <c r="AB514" s="191"/>
      <c r="AC514" s="191"/>
      <c r="AD514" s="16">
        <f>WEEKNUM(tblKPIs[[#This Row],[Production Start Date]])</f>
        <v>0</v>
      </c>
      <c r="AE514" s="16"/>
      <c r="AF514" s="16"/>
      <c r="AG514" s="16"/>
      <c r="AH514" s="16"/>
      <c r="AI514" s="16"/>
      <c r="AJ514" s="16"/>
      <c r="AL514" s="16"/>
      <c r="AM514" s="16"/>
      <c r="AN514" s="16"/>
      <c r="AO514" s="16"/>
      <c r="AP514" s="16"/>
      <c r="AQ514" s="16"/>
      <c r="AR514" s="16"/>
      <c r="AS514" s="16"/>
    </row>
    <row r="515" spans="4:45" x14ac:dyDescent="0.35">
      <c r="D515" s="115"/>
      <c r="H515" s="115"/>
      <c r="K515" s="115" t="str">
        <f t="shared" si="22"/>
        <v/>
      </c>
      <c r="L515" s="115"/>
      <c r="M515" s="115"/>
      <c r="N515" s="115"/>
      <c r="O515" s="115"/>
      <c r="P515" s="181"/>
      <c r="Q515" s="181"/>
      <c r="R515" s="192"/>
      <c r="S515" s="191"/>
      <c r="T515" s="193"/>
      <c r="U515" s="191"/>
      <c r="V515" s="89"/>
      <c r="W515" s="191"/>
      <c r="Y515" s="193" t="str">
        <f t="shared" si="23"/>
        <v/>
      </c>
      <c r="Z515" s="191"/>
      <c r="AA515" s="191"/>
      <c r="AB515" s="191"/>
      <c r="AC515" s="191"/>
      <c r="AD515" s="16">
        <f>WEEKNUM(tblKPIs[[#This Row],[Production Start Date]])</f>
        <v>0</v>
      </c>
      <c r="AE515" s="16"/>
      <c r="AF515" s="16"/>
      <c r="AG515" s="16"/>
      <c r="AH515" s="16"/>
      <c r="AI515" s="16"/>
      <c r="AJ515" s="16"/>
      <c r="AL515" s="16"/>
      <c r="AM515" s="16"/>
      <c r="AN515" s="16"/>
      <c r="AO515" s="16"/>
      <c r="AP515" s="16"/>
      <c r="AQ515" s="16"/>
      <c r="AR515" s="16"/>
      <c r="AS515" s="16"/>
    </row>
    <row r="516" spans="4:45" x14ac:dyDescent="0.35">
      <c r="D516" s="115"/>
      <c r="H516" s="115"/>
      <c r="K516" s="115" t="str">
        <f t="shared" si="22"/>
        <v/>
      </c>
      <c r="L516" s="115"/>
      <c r="M516" s="115"/>
      <c r="N516" s="115"/>
      <c r="O516" s="115"/>
      <c r="P516" s="181"/>
      <c r="Q516" s="181"/>
      <c r="R516" s="192"/>
      <c r="S516" s="191"/>
      <c r="T516" s="193"/>
      <c r="U516" s="191"/>
      <c r="V516" s="89"/>
      <c r="W516" s="191"/>
      <c r="Y516" s="193" t="str">
        <f t="shared" si="23"/>
        <v/>
      </c>
      <c r="Z516" s="191"/>
      <c r="AA516" s="191"/>
      <c r="AB516" s="191"/>
      <c r="AC516" s="191"/>
      <c r="AD516" s="16">
        <f>WEEKNUM(tblKPIs[[#This Row],[Production Start Date]])</f>
        <v>0</v>
      </c>
      <c r="AE516" s="16"/>
      <c r="AF516" s="16"/>
      <c r="AG516" s="16"/>
      <c r="AH516" s="16"/>
      <c r="AI516" s="16"/>
      <c r="AJ516" s="16"/>
      <c r="AL516" s="16"/>
      <c r="AM516" s="16"/>
      <c r="AN516" s="16"/>
      <c r="AO516" s="16"/>
      <c r="AP516" s="16"/>
      <c r="AQ516" s="16"/>
      <c r="AR516" s="16"/>
      <c r="AS516" s="16"/>
    </row>
    <row r="517" spans="4:45" x14ac:dyDescent="0.35">
      <c r="D517" s="115"/>
      <c r="H517" s="115"/>
      <c r="K517" s="115" t="str">
        <f t="shared" si="22"/>
        <v/>
      </c>
      <c r="L517" s="115"/>
      <c r="M517" s="115"/>
      <c r="N517" s="115"/>
      <c r="O517" s="115"/>
      <c r="P517" s="181"/>
      <c r="Q517" s="181"/>
      <c r="R517" s="192"/>
      <c r="S517" s="191"/>
      <c r="T517" s="193"/>
      <c r="U517" s="191"/>
      <c r="V517" s="89"/>
      <c r="W517" s="191"/>
      <c r="Y517" s="193" t="str">
        <f t="shared" si="23"/>
        <v/>
      </c>
      <c r="Z517" s="191"/>
      <c r="AA517" s="191"/>
      <c r="AB517" s="191"/>
      <c r="AC517" s="191"/>
      <c r="AD517" s="16">
        <f>WEEKNUM(tblKPIs[[#This Row],[Production Start Date]])</f>
        <v>0</v>
      </c>
      <c r="AE517" s="16"/>
      <c r="AF517" s="16"/>
      <c r="AG517" s="16"/>
      <c r="AH517" s="16"/>
      <c r="AI517" s="16"/>
      <c r="AJ517" s="16"/>
      <c r="AL517" s="16"/>
      <c r="AM517" s="16"/>
      <c r="AN517" s="16"/>
      <c r="AO517" s="16"/>
      <c r="AP517" s="16"/>
      <c r="AQ517" s="16"/>
      <c r="AR517" s="16"/>
      <c r="AS517" s="16"/>
    </row>
    <row r="518" spans="4:45" x14ac:dyDescent="0.35">
      <c r="D518" s="115"/>
      <c r="H518" s="115"/>
      <c r="K518" s="115" t="str">
        <f t="shared" si="22"/>
        <v/>
      </c>
      <c r="L518" s="115"/>
      <c r="M518" s="115"/>
      <c r="N518" s="115"/>
      <c r="O518" s="115"/>
      <c r="P518" s="181"/>
      <c r="Q518" s="181"/>
      <c r="R518" s="192"/>
      <c r="S518" s="191"/>
      <c r="T518" s="193"/>
      <c r="U518" s="191"/>
      <c r="V518" s="89"/>
      <c r="W518" s="191"/>
      <c r="Y518" s="193" t="str">
        <f t="shared" si="23"/>
        <v/>
      </c>
      <c r="Z518" s="191"/>
      <c r="AA518" s="191"/>
      <c r="AB518" s="191"/>
      <c r="AC518" s="191"/>
      <c r="AD518" s="16">
        <f>WEEKNUM(tblKPIs[[#This Row],[Production Start Date]])</f>
        <v>0</v>
      </c>
      <c r="AE518" s="16"/>
      <c r="AF518" s="16"/>
      <c r="AG518" s="16"/>
      <c r="AH518" s="16"/>
      <c r="AI518" s="16"/>
      <c r="AJ518" s="16"/>
      <c r="AL518" s="16"/>
      <c r="AM518" s="16"/>
      <c r="AN518" s="16"/>
      <c r="AO518" s="16"/>
      <c r="AP518" s="16"/>
      <c r="AQ518" s="16"/>
      <c r="AR518" s="16"/>
      <c r="AS518" s="16"/>
    </row>
    <row r="519" spans="4:45" x14ac:dyDescent="0.35">
      <c r="D519" s="115"/>
      <c r="H519" s="115"/>
      <c r="K519" s="115" t="str">
        <f t="shared" si="22"/>
        <v/>
      </c>
      <c r="L519" s="115"/>
      <c r="M519" s="115"/>
      <c r="N519" s="115"/>
      <c r="O519" s="115"/>
      <c r="P519" s="181"/>
      <c r="Q519" s="181"/>
      <c r="R519" s="192"/>
      <c r="S519" s="191"/>
      <c r="T519" s="193"/>
      <c r="U519" s="191"/>
      <c r="V519" s="89"/>
      <c r="W519" s="191"/>
      <c r="Y519" s="193" t="str">
        <f t="shared" si="23"/>
        <v/>
      </c>
      <c r="Z519" s="191"/>
      <c r="AA519" s="191"/>
      <c r="AB519" s="191"/>
      <c r="AC519" s="191"/>
      <c r="AD519" s="16">
        <f>WEEKNUM(tblKPIs[[#This Row],[Production Start Date]])</f>
        <v>0</v>
      </c>
      <c r="AE519" s="16"/>
      <c r="AF519" s="16"/>
      <c r="AG519" s="16"/>
      <c r="AH519" s="16"/>
      <c r="AI519" s="16"/>
      <c r="AJ519" s="16"/>
      <c r="AL519" s="16"/>
      <c r="AM519" s="16"/>
      <c r="AN519" s="16"/>
      <c r="AO519" s="16"/>
      <c r="AP519" s="16"/>
      <c r="AQ519" s="16"/>
      <c r="AR519" s="16"/>
      <c r="AS519" s="16"/>
    </row>
    <row r="520" spans="4:45" x14ac:dyDescent="0.35">
      <c r="D520" s="115"/>
      <c r="H520" s="115"/>
      <c r="K520" s="115" t="str">
        <f t="shared" si="22"/>
        <v/>
      </c>
      <c r="L520" s="115"/>
      <c r="M520" s="115"/>
      <c r="N520" s="115"/>
      <c r="O520" s="115"/>
      <c r="P520" s="181"/>
      <c r="Q520" s="181"/>
      <c r="R520" s="192"/>
      <c r="S520" s="191"/>
      <c r="T520" s="193"/>
      <c r="U520" s="191"/>
      <c r="V520" s="89"/>
      <c r="W520" s="191"/>
      <c r="Y520" s="193" t="str">
        <f t="shared" si="23"/>
        <v/>
      </c>
      <c r="Z520" s="191"/>
      <c r="AA520" s="191"/>
      <c r="AB520" s="191"/>
      <c r="AC520" s="191"/>
      <c r="AD520" s="16">
        <f>WEEKNUM(tblKPIs[[#This Row],[Production Start Date]])</f>
        <v>0</v>
      </c>
      <c r="AE520" s="16"/>
      <c r="AF520" s="16"/>
      <c r="AG520" s="16"/>
      <c r="AH520" s="16"/>
      <c r="AI520" s="16"/>
      <c r="AJ520" s="16"/>
      <c r="AL520" s="16"/>
      <c r="AM520" s="16"/>
      <c r="AN520" s="16"/>
      <c r="AO520" s="16"/>
      <c r="AP520" s="16"/>
      <c r="AQ520" s="16"/>
      <c r="AR520" s="16"/>
      <c r="AS520" s="16"/>
    </row>
    <row r="521" spans="4:45" x14ac:dyDescent="0.35">
      <c r="D521" s="115"/>
      <c r="H521" s="115"/>
      <c r="K521" s="115" t="str">
        <f t="shared" si="22"/>
        <v/>
      </c>
      <c r="L521" s="115"/>
      <c r="M521" s="115"/>
      <c r="N521" s="115"/>
      <c r="O521" s="115"/>
      <c r="P521" s="181"/>
      <c r="Q521" s="181"/>
      <c r="R521" s="192"/>
      <c r="S521" s="191"/>
      <c r="T521" s="193"/>
      <c r="U521" s="191"/>
      <c r="V521" s="89"/>
      <c r="W521" s="191"/>
      <c r="Y521" s="193" t="str">
        <f t="shared" si="23"/>
        <v/>
      </c>
      <c r="Z521" s="191"/>
      <c r="AA521" s="191"/>
      <c r="AB521" s="191"/>
      <c r="AC521" s="191"/>
      <c r="AD521" s="16">
        <f>WEEKNUM(tblKPIs[[#This Row],[Production Start Date]])</f>
        <v>0</v>
      </c>
      <c r="AE521" s="16"/>
      <c r="AF521" s="16"/>
      <c r="AG521" s="16"/>
      <c r="AH521" s="16"/>
      <c r="AI521" s="16"/>
      <c r="AJ521" s="16"/>
      <c r="AL521" s="16"/>
      <c r="AM521" s="16"/>
      <c r="AN521" s="16"/>
      <c r="AO521" s="16"/>
      <c r="AP521" s="16"/>
      <c r="AQ521" s="16"/>
      <c r="AR521" s="16"/>
      <c r="AS521" s="16"/>
    </row>
    <row r="522" spans="4:45" x14ac:dyDescent="0.35">
      <c r="D522" s="115"/>
      <c r="H522" s="115"/>
      <c r="K522" s="115" t="str">
        <f t="shared" si="22"/>
        <v/>
      </c>
      <c r="L522" s="115"/>
      <c r="M522" s="115"/>
      <c r="N522" s="115"/>
      <c r="O522" s="115"/>
      <c r="P522" s="181"/>
      <c r="Q522" s="181"/>
      <c r="R522" s="192"/>
      <c r="S522" s="191"/>
      <c r="T522" s="193"/>
      <c r="U522" s="191"/>
      <c r="V522" s="89"/>
      <c r="W522" s="191"/>
      <c r="Y522" s="193" t="str">
        <f t="shared" si="23"/>
        <v/>
      </c>
      <c r="Z522" s="191"/>
      <c r="AA522" s="191"/>
      <c r="AB522" s="191"/>
      <c r="AC522" s="191"/>
      <c r="AD522" s="16">
        <f>WEEKNUM(tblKPIs[[#This Row],[Production Start Date]])</f>
        <v>0</v>
      </c>
      <c r="AE522" s="16"/>
      <c r="AF522" s="16"/>
      <c r="AG522" s="16"/>
      <c r="AH522" s="16"/>
      <c r="AI522" s="16"/>
      <c r="AJ522" s="16"/>
      <c r="AL522" s="16"/>
      <c r="AM522" s="16"/>
      <c r="AN522" s="16"/>
      <c r="AO522" s="16"/>
      <c r="AP522" s="16"/>
      <c r="AQ522" s="16"/>
      <c r="AR522" s="16"/>
      <c r="AS522" s="16"/>
    </row>
    <row r="523" spans="4:45" x14ac:dyDescent="0.35">
      <c r="D523" s="115"/>
      <c r="H523" s="115"/>
      <c r="K523" s="115" t="str">
        <f t="shared" si="22"/>
        <v/>
      </c>
      <c r="L523" s="115"/>
      <c r="M523" s="115"/>
      <c r="N523" s="115"/>
      <c r="O523" s="115"/>
      <c r="P523" s="181"/>
      <c r="Q523" s="181"/>
      <c r="R523" s="192"/>
      <c r="S523" s="191"/>
      <c r="T523" s="193"/>
      <c r="U523" s="191"/>
      <c r="V523" s="89"/>
      <c r="W523" s="191"/>
      <c r="Y523" s="193" t="str">
        <f t="shared" si="23"/>
        <v/>
      </c>
      <c r="Z523" s="191"/>
      <c r="AA523" s="191"/>
      <c r="AB523" s="191"/>
      <c r="AC523" s="191"/>
      <c r="AD523" s="16">
        <f>WEEKNUM(tblKPIs[[#This Row],[Production Start Date]])</f>
        <v>0</v>
      </c>
      <c r="AE523" s="16"/>
      <c r="AF523" s="16"/>
      <c r="AG523" s="16"/>
      <c r="AH523" s="16"/>
      <c r="AI523" s="16"/>
      <c r="AJ523" s="16"/>
      <c r="AL523" s="16"/>
      <c r="AM523" s="16"/>
      <c r="AN523" s="16"/>
      <c r="AO523" s="16"/>
      <c r="AP523" s="16"/>
      <c r="AQ523" s="16"/>
      <c r="AR523" s="16"/>
      <c r="AS523" s="16"/>
    </row>
    <row r="524" spans="4:45" x14ac:dyDescent="0.35">
      <c r="D524" s="115"/>
      <c r="H524" s="115"/>
      <c r="K524" s="115" t="str">
        <f t="shared" si="22"/>
        <v/>
      </c>
      <c r="L524" s="115"/>
      <c r="M524" s="115"/>
      <c r="N524" s="115"/>
      <c r="O524" s="115"/>
      <c r="P524" s="181"/>
      <c r="Q524" s="181"/>
      <c r="R524" s="192"/>
      <c r="S524" s="191"/>
      <c r="T524" s="193"/>
      <c r="U524" s="191"/>
      <c r="V524" s="89"/>
      <c r="W524" s="191"/>
      <c r="Y524" s="193" t="str">
        <f t="shared" si="23"/>
        <v/>
      </c>
      <c r="Z524" s="191"/>
      <c r="AA524" s="191"/>
      <c r="AB524" s="191"/>
      <c r="AC524" s="191"/>
      <c r="AD524" s="16">
        <f>WEEKNUM(tblKPIs[[#This Row],[Production Start Date]])</f>
        <v>0</v>
      </c>
      <c r="AE524" s="16"/>
      <c r="AF524" s="16"/>
      <c r="AG524" s="16"/>
      <c r="AH524" s="16"/>
      <c r="AI524" s="16"/>
      <c r="AJ524" s="16"/>
      <c r="AL524" s="16"/>
      <c r="AM524" s="16"/>
      <c r="AN524" s="16"/>
      <c r="AO524" s="16"/>
      <c r="AP524" s="16"/>
      <c r="AQ524" s="16"/>
      <c r="AR524" s="16"/>
      <c r="AS524" s="16"/>
    </row>
    <row r="525" spans="4:45" x14ac:dyDescent="0.35">
      <c r="D525" s="115"/>
      <c r="H525" s="115"/>
      <c r="K525" s="115" t="str">
        <f t="shared" si="22"/>
        <v/>
      </c>
      <c r="L525" s="115"/>
      <c r="M525" s="115"/>
      <c r="N525" s="115"/>
      <c r="O525" s="115"/>
      <c r="P525" s="181"/>
      <c r="Q525" s="181"/>
      <c r="R525" s="192"/>
      <c r="S525" s="191"/>
      <c r="T525" s="193"/>
      <c r="U525" s="191"/>
      <c r="V525" s="89"/>
      <c r="W525" s="191"/>
      <c r="Y525" s="193" t="str">
        <f t="shared" si="23"/>
        <v/>
      </c>
      <c r="Z525" s="191"/>
      <c r="AA525" s="191"/>
      <c r="AB525" s="191"/>
      <c r="AC525" s="191"/>
      <c r="AD525" s="16">
        <f>WEEKNUM(tblKPIs[[#This Row],[Production Start Date]])</f>
        <v>0</v>
      </c>
      <c r="AE525" s="16"/>
      <c r="AF525" s="16"/>
      <c r="AG525" s="16"/>
      <c r="AH525" s="16"/>
      <c r="AI525" s="16"/>
      <c r="AJ525" s="16"/>
      <c r="AL525" s="16"/>
      <c r="AM525" s="16"/>
      <c r="AN525" s="16"/>
      <c r="AO525" s="16"/>
      <c r="AP525" s="16"/>
      <c r="AQ525" s="16"/>
      <c r="AR525" s="16"/>
      <c r="AS525" s="16"/>
    </row>
    <row r="526" spans="4:45" x14ac:dyDescent="0.35">
      <c r="R526" s="191"/>
      <c r="S526" s="191"/>
      <c r="T526" s="193"/>
      <c r="U526" s="191"/>
      <c r="V526" s="194"/>
      <c r="W526" s="191"/>
      <c r="Y526" s="191"/>
      <c r="Z526" s="191"/>
      <c r="AA526" s="191"/>
      <c r="AB526" s="191"/>
      <c r="AC526" s="191"/>
      <c r="AD526" s="16"/>
      <c r="AE526" s="16"/>
      <c r="AF526" s="16"/>
      <c r="AG526" s="16"/>
      <c r="AH526" s="16"/>
      <c r="AI526" s="16"/>
      <c r="AJ526" s="16"/>
      <c r="AK526" s="16"/>
      <c r="AL526" s="16"/>
      <c r="AM526" s="16"/>
      <c r="AN526" s="16"/>
      <c r="AO526" s="16"/>
      <c r="AP526" s="16"/>
      <c r="AQ526" s="16"/>
      <c r="AR526" s="16"/>
      <c r="AS526" s="16"/>
    </row>
    <row r="527" spans="4:45" x14ac:dyDescent="0.35">
      <c r="R527" s="191"/>
      <c r="S527" s="191"/>
      <c r="T527" s="193"/>
      <c r="U527" s="191"/>
      <c r="V527" s="194"/>
      <c r="W527" s="191"/>
      <c r="Y527" s="191"/>
      <c r="Z527" s="191"/>
      <c r="AA527" s="191"/>
      <c r="AB527" s="191"/>
      <c r="AC527" s="191"/>
      <c r="AD527" s="16"/>
      <c r="AE527" s="16"/>
      <c r="AF527" s="16"/>
      <c r="AG527" s="16"/>
      <c r="AH527" s="16"/>
      <c r="AI527" s="16"/>
      <c r="AJ527" s="16"/>
      <c r="AK527" s="16"/>
      <c r="AL527" s="16"/>
      <c r="AM527" s="16"/>
      <c r="AN527" s="16"/>
      <c r="AO527" s="16"/>
      <c r="AP527" s="16"/>
      <c r="AQ527" s="16"/>
      <c r="AR527" s="16"/>
      <c r="AS527" s="16"/>
    </row>
    <row r="528" spans="4:45" x14ac:dyDescent="0.35">
      <c r="R528" s="191"/>
      <c r="S528" s="191"/>
      <c r="T528" s="193"/>
      <c r="U528" s="191"/>
      <c r="V528" s="194"/>
      <c r="W528" s="191"/>
      <c r="Y528" s="191"/>
      <c r="Z528" s="191"/>
      <c r="AA528" s="191"/>
      <c r="AB528" s="191"/>
      <c r="AC528" s="191"/>
      <c r="AD528" s="16"/>
      <c r="AE528" s="16"/>
      <c r="AF528" s="16"/>
      <c r="AG528" s="16"/>
      <c r="AH528" s="16"/>
      <c r="AI528" s="16"/>
      <c r="AJ528" s="16"/>
      <c r="AK528" s="16"/>
      <c r="AL528" s="16"/>
      <c r="AM528" s="16"/>
      <c r="AN528" s="16"/>
      <c r="AO528" s="16"/>
      <c r="AP528" s="16"/>
      <c r="AQ528" s="16"/>
      <c r="AR528" s="16"/>
      <c r="AS528" s="16"/>
    </row>
    <row r="529" spans="18:45" x14ac:dyDescent="0.35">
      <c r="R529" s="191"/>
      <c r="S529" s="191"/>
      <c r="T529" s="193"/>
      <c r="U529" s="191"/>
      <c r="V529" s="194"/>
      <c r="W529" s="191"/>
      <c r="Y529" s="191"/>
      <c r="Z529" s="191"/>
      <c r="AA529" s="191"/>
      <c r="AB529" s="191"/>
      <c r="AC529" s="191"/>
      <c r="AD529" s="16"/>
      <c r="AE529" s="16"/>
      <c r="AF529" s="16"/>
      <c r="AG529" s="16"/>
      <c r="AH529" s="16"/>
      <c r="AI529" s="16"/>
      <c r="AJ529" s="16"/>
      <c r="AK529" s="16"/>
      <c r="AL529" s="16"/>
      <c r="AM529" s="16"/>
      <c r="AN529" s="16"/>
      <c r="AO529" s="16"/>
      <c r="AP529" s="16"/>
      <c r="AQ529" s="16"/>
      <c r="AR529" s="16"/>
      <c r="AS529" s="16"/>
    </row>
    <row r="530" spans="18:45" x14ac:dyDescent="0.35">
      <c r="R530" s="191"/>
      <c r="S530" s="191"/>
      <c r="T530" s="193"/>
      <c r="U530" s="191"/>
      <c r="V530" s="194"/>
      <c r="W530" s="191"/>
      <c r="Y530" s="191"/>
      <c r="Z530" s="191"/>
      <c r="AA530" s="191"/>
      <c r="AB530" s="191"/>
      <c r="AC530" s="191"/>
      <c r="AD530" s="16"/>
      <c r="AE530" s="16"/>
      <c r="AF530" s="16"/>
      <c r="AG530" s="16"/>
      <c r="AH530" s="16"/>
      <c r="AI530" s="16"/>
      <c r="AJ530" s="16"/>
      <c r="AK530" s="16"/>
      <c r="AL530" s="16"/>
      <c r="AM530" s="16"/>
      <c r="AN530" s="16"/>
      <c r="AO530" s="16"/>
      <c r="AP530" s="16"/>
      <c r="AQ530" s="16"/>
      <c r="AR530" s="16"/>
      <c r="AS530" s="16"/>
    </row>
    <row r="531" spans="18:45" x14ac:dyDescent="0.35">
      <c r="R531" s="191"/>
      <c r="S531" s="191"/>
      <c r="T531" s="193"/>
      <c r="U531" s="191"/>
      <c r="V531" s="194"/>
      <c r="W531" s="191"/>
      <c r="Y531" s="191"/>
      <c r="Z531" s="191"/>
      <c r="AA531" s="191"/>
      <c r="AB531" s="191"/>
      <c r="AC531" s="191"/>
      <c r="AD531" s="16"/>
      <c r="AE531" s="16"/>
      <c r="AF531" s="16"/>
      <c r="AG531" s="16"/>
      <c r="AH531" s="16"/>
      <c r="AI531" s="16"/>
      <c r="AJ531" s="16"/>
      <c r="AK531" s="16"/>
      <c r="AL531" s="16"/>
      <c r="AM531" s="16"/>
      <c r="AN531" s="16"/>
      <c r="AO531" s="16"/>
      <c r="AP531" s="16"/>
      <c r="AQ531" s="16"/>
      <c r="AR531" s="16"/>
      <c r="AS531" s="16"/>
    </row>
    <row r="532" spans="18:45" x14ac:dyDescent="0.35">
      <c r="R532" s="191"/>
      <c r="S532" s="191"/>
      <c r="T532" s="193"/>
      <c r="U532" s="191"/>
      <c r="V532" s="194"/>
      <c r="W532" s="191"/>
      <c r="Y532" s="191"/>
      <c r="Z532" s="191"/>
      <c r="AA532" s="191"/>
      <c r="AB532" s="191"/>
      <c r="AC532" s="191"/>
      <c r="AD532" s="16"/>
      <c r="AE532" s="16"/>
      <c r="AF532" s="16"/>
      <c r="AG532" s="16"/>
      <c r="AH532" s="16"/>
      <c r="AI532" s="16"/>
      <c r="AJ532" s="16"/>
      <c r="AK532" s="16"/>
      <c r="AL532" s="16"/>
      <c r="AM532" s="16"/>
      <c r="AN532" s="16"/>
      <c r="AO532" s="16"/>
      <c r="AP532" s="16"/>
      <c r="AQ532" s="16"/>
      <c r="AR532" s="16"/>
      <c r="AS532" s="16"/>
    </row>
    <row r="533" spans="18:45" x14ac:dyDescent="0.35">
      <c r="R533" s="191"/>
      <c r="S533" s="191"/>
      <c r="T533" s="193"/>
      <c r="U533" s="191"/>
      <c r="V533" s="194"/>
      <c r="W533" s="191"/>
      <c r="Y533" s="191"/>
      <c r="Z533" s="191"/>
      <c r="AA533" s="191"/>
      <c r="AB533" s="191"/>
      <c r="AC533" s="191"/>
      <c r="AD533" s="16"/>
      <c r="AE533" s="16"/>
      <c r="AF533" s="16"/>
      <c r="AG533" s="16"/>
      <c r="AH533" s="16"/>
      <c r="AI533" s="16"/>
      <c r="AJ533" s="16"/>
      <c r="AK533" s="16"/>
      <c r="AL533" s="16"/>
      <c r="AM533" s="16"/>
      <c r="AN533" s="16"/>
      <c r="AO533" s="16"/>
      <c r="AP533" s="16"/>
      <c r="AQ533" s="16"/>
      <c r="AR533" s="16"/>
      <c r="AS533" s="16"/>
    </row>
    <row r="534" spans="18:45" x14ac:dyDescent="0.35">
      <c r="R534" s="191"/>
      <c r="S534" s="191"/>
      <c r="T534" s="193"/>
      <c r="U534" s="191"/>
      <c r="V534" s="194"/>
      <c r="W534" s="191"/>
      <c r="Y534" s="191"/>
      <c r="Z534" s="191"/>
      <c r="AA534" s="191"/>
      <c r="AB534" s="191"/>
      <c r="AC534" s="191"/>
      <c r="AD534" s="16"/>
      <c r="AE534" s="16"/>
      <c r="AF534" s="16"/>
      <c r="AG534" s="16"/>
      <c r="AH534" s="16"/>
      <c r="AI534" s="16"/>
      <c r="AJ534" s="16"/>
      <c r="AK534" s="16"/>
      <c r="AL534" s="16"/>
      <c r="AM534" s="16"/>
      <c r="AN534" s="16"/>
      <c r="AO534" s="16"/>
      <c r="AP534" s="16"/>
      <c r="AQ534" s="16"/>
      <c r="AR534" s="16"/>
      <c r="AS534" s="16"/>
    </row>
    <row r="535" spans="18:45" x14ac:dyDescent="0.35">
      <c r="R535" s="191"/>
      <c r="S535" s="191"/>
      <c r="T535" s="193"/>
      <c r="U535" s="191"/>
      <c r="V535" s="194"/>
      <c r="W535" s="191"/>
      <c r="Y535" s="191"/>
      <c r="Z535" s="191"/>
      <c r="AA535" s="191"/>
      <c r="AB535" s="191"/>
      <c r="AC535" s="191"/>
      <c r="AD535" s="16"/>
      <c r="AE535" s="16"/>
      <c r="AF535" s="16"/>
      <c r="AG535" s="16"/>
      <c r="AH535" s="16"/>
      <c r="AI535" s="16"/>
      <c r="AJ535" s="16"/>
      <c r="AK535" s="16"/>
      <c r="AL535" s="16"/>
      <c r="AM535" s="16"/>
      <c r="AN535" s="16"/>
      <c r="AO535" s="16"/>
      <c r="AP535" s="16"/>
      <c r="AQ535" s="16"/>
      <c r="AR535" s="16"/>
      <c r="AS535" s="16"/>
    </row>
    <row r="536" spans="18:45" x14ac:dyDescent="0.35">
      <c r="R536" s="191"/>
      <c r="S536" s="191"/>
      <c r="T536" s="193"/>
      <c r="U536" s="191"/>
      <c r="V536" s="194"/>
      <c r="W536" s="191"/>
      <c r="Y536" s="191"/>
      <c r="Z536" s="191"/>
      <c r="AA536" s="191"/>
      <c r="AB536" s="191"/>
      <c r="AC536" s="191"/>
      <c r="AD536" s="16"/>
      <c r="AE536" s="16"/>
      <c r="AF536" s="16"/>
      <c r="AG536" s="16"/>
      <c r="AH536" s="16"/>
      <c r="AI536" s="16"/>
      <c r="AJ536" s="16"/>
      <c r="AK536" s="16"/>
      <c r="AL536" s="16"/>
      <c r="AM536" s="16"/>
      <c r="AN536" s="16"/>
      <c r="AO536" s="16"/>
      <c r="AP536" s="16"/>
      <c r="AQ536" s="16"/>
      <c r="AR536" s="16"/>
      <c r="AS536" s="16"/>
    </row>
    <row r="537" spans="18:45" x14ac:dyDescent="0.35">
      <c r="R537" s="191"/>
      <c r="S537" s="191"/>
      <c r="T537" s="193"/>
      <c r="U537" s="191"/>
      <c r="V537" s="194"/>
      <c r="W537" s="191"/>
      <c r="Y537" s="191"/>
      <c r="Z537" s="191"/>
      <c r="AA537" s="191"/>
      <c r="AB537" s="191"/>
      <c r="AC537" s="191"/>
      <c r="AD537" s="16"/>
      <c r="AE537" s="16"/>
      <c r="AF537" s="16"/>
      <c r="AG537" s="16"/>
      <c r="AH537" s="16"/>
      <c r="AI537" s="16"/>
      <c r="AJ537" s="16"/>
      <c r="AK537" s="16"/>
      <c r="AL537" s="16"/>
      <c r="AM537" s="16"/>
      <c r="AN537" s="16"/>
      <c r="AO537" s="16"/>
      <c r="AP537" s="16"/>
      <c r="AQ537" s="16"/>
      <c r="AR537" s="16"/>
      <c r="AS537" s="16"/>
    </row>
    <row r="538" spans="18:45" x14ac:dyDescent="0.35">
      <c r="R538" s="191"/>
      <c r="S538" s="191"/>
      <c r="T538" s="193"/>
      <c r="U538" s="191"/>
      <c r="V538" s="194"/>
      <c r="W538" s="191"/>
      <c r="Y538" s="191"/>
      <c r="Z538" s="191"/>
      <c r="AA538" s="191"/>
      <c r="AB538" s="191"/>
      <c r="AC538" s="191"/>
      <c r="AD538" s="16"/>
      <c r="AE538" s="16"/>
      <c r="AF538" s="16"/>
      <c r="AG538" s="16"/>
      <c r="AH538" s="16"/>
      <c r="AI538" s="16"/>
      <c r="AJ538" s="16"/>
      <c r="AK538" s="16"/>
      <c r="AL538" s="16"/>
      <c r="AM538" s="16"/>
      <c r="AN538" s="16"/>
      <c r="AO538" s="16"/>
      <c r="AP538" s="16"/>
      <c r="AQ538" s="16"/>
      <c r="AR538" s="16"/>
      <c r="AS538" s="16"/>
    </row>
    <row r="539" spans="18:45" x14ac:dyDescent="0.35">
      <c r="R539" s="191"/>
      <c r="S539" s="191"/>
      <c r="T539" s="193"/>
      <c r="U539" s="191"/>
      <c r="V539" s="194"/>
      <c r="W539" s="191"/>
      <c r="Y539" s="191"/>
      <c r="Z539" s="191"/>
      <c r="AA539" s="191"/>
      <c r="AB539" s="191"/>
      <c r="AC539" s="191"/>
      <c r="AD539" s="16"/>
      <c r="AE539" s="16"/>
      <c r="AF539" s="16"/>
      <c r="AG539" s="16"/>
      <c r="AH539" s="16"/>
      <c r="AI539" s="16"/>
      <c r="AJ539" s="16"/>
      <c r="AK539" s="16"/>
      <c r="AL539" s="16"/>
      <c r="AM539" s="16"/>
      <c r="AN539" s="16"/>
      <c r="AO539" s="16"/>
      <c r="AP539" s="16"/>
      <c r="AQ539" s="16"/>
      <c r="AR539" s="16"/>
      <c r="AS539" s="16"/>
    </row>
    <row r="540" spans="18:45" x14ac:dyDescent="0.35">
      <c r="R540" s="191"/>
      <c r="S540" s="191"/>
      <c r="T540" s="193"/>
      <c r="U540" s="191"/>
      <c r="V540" s="194"/>
      <c r="W540" s="191"/>
      <c r="Y540" s="191"/>
      <c r="Z540" s="191"/>
      <c r="AA540" s="191"/>
      <c r="AB540" s="191"/>
      <c r="AC540" s="191"/>
      <c r="AD540" s="16"/>
      <c r="AE540" s="16"/>
      <c r="AF540" s="16"/>
      <c r="AG540" s="16"/>
      <c r="AH540" s="16"/>
      <c r="AI540" s="16"/>
      <c r="AJ540" s="16"/>
      <c r="AK540" s="16"/>
      <c r="AL540" s="16"/>
      <c r="AM540" s="16"/>
      <c r="AN540" s="16"/>
      <c r="AO540" s="16"/>
      <c r="AP540" s="16"/>
      <c r="AQ540" s="16"/>
      <c r="AR540" s="16"/>
      <c r="AS540" s="16"/>
    </row>
    <row r="541" spans="18:45" x14ac:dyDescent="0.35">
      <c r="R541" s="191"/>
      <c r="S541" s="191"/>
      <c r="T541" s="193"/>
      <c r="U541" s="191"/>
      <c r="V541" s="194"/>
      <c r="W541" s="191"/>
      <c r="Y541" s="191"/>
      <c r="Z541" s="191"/>
      <c r="AA541" s="191"/>
      <c r="AB541" s="191"/>
      <c r="AC541" s="191"/>
      <c r="AD541" s="16"/>
      <c r="AE541" s="16"/>
      <c r="AF541" s="16"/>
      <c r="AG541" s="16"/>
      <c r="AH541" s="16"/>
      <c r="AI541" s="16"/>
      <c r="AJ541" s="16"/>
      <c r="AK541" s="16"/>
      <c r="AL541" s="16"/>
      <c r="AM541" s="16"/>
      <c r="AN541" s="16"/>
      <c r="AO541" s="16"/>
      <c r="AP541" s="16"/>
      <c r="AQ541" s="16"/>
      <c r="AR541" s="16"/>
      <c r="AS541" s="16"/>
    </row>
    <row r="542" spans="18:45" x14ac:dyDescent="0.35">
      <c r="R542" s="191"/>
      <c r="S542" s="191"/>
      <c r="T542" s="193"/>
      <c r="U542" s="191"/>
      <c r="V542" s="194"/>
      <c r="W542" s="191"/>
      <c r="Y542" s="191"/>
      <c r="Z542" s="191"/>
      <c r="AA542" s="191"/>
      <c r="AB542" s="191"/>
      <c r="AC542" s="191"/>
      <c r="AD542" s="16"/>
      <c r="AE542" s="16"/>
      <c r="AF542" s="16"/>
      <c r="AG542" s="16"/>
      <c r="AH542" s="16"/>
      <c r="AI542" s="16"/>
      <c r="AJ542" s="16"/>
      <c r="AK542" s="16"/>
      <c r="AL542" s="16"/>
      <c r="AM542" s="16"/>
      <c r="AN542" s="16"/>
      <c r="AO542" s="16"/>
      <c r="AP542" s="16"/>
      <c r="AQ542" s="16"/>
      <c r="AR542" s="16"/>
      <c r="AS542" s="16"/>
    </row>
    <row r="543" spans="18:45" x14ac:dyDescent="0.35">
      <c r="R543" s="191"/>
      <c r="S543" s="191"/>
      <c r="T543" s="193"/>
      <c r="U543" s="191"/>
      <c r="V543" s="194"/>
      <c r="W543" s="191"/>
      <c r="Y543" s="191"/>
      <c r="Z543" s="191"/>
      <c r="AA543" s="191"/>
      <c r="AB543" s="191"/>
      <c r="AC543" s="191"/>
      <c r="AD543" s="16"/>
      <c r="AE543" s="16"/>
      <c r="AF543" s="16"/>
      <c r="AG543" s="16"/>
      <c r="AH543" s="16"/>
      <c r="AI543" s="16"/>
      <c r="AJ543" s="16"/>
      <c r="AK543" s="16"/>
      <c r="AL543" s="16"/>
      <c r="AM543" s="16"/>
      <c r="AN543" s="16"/>
      <c r="AO543" s="16"/>
      <c r="AP543" s="16"/>
      <c r="AQ543" s="16"/>
      <c r="AR543" s="16"/>
      <c r="AS543" s="16"/>
    </row>
    <row r="544" spans="18:45" x14ac:dyDescent="0.35">
      <c r="R544" s="191"/>
      <c r="S544" s="191"/>
      <c r="T544" s="193"/>
      <c r="U544" s="191"/>
      <c r="V544" s="194"/>
      <c r="W544" s="191"/>
      <c r="Y544" s="191"/>
      <c r="Z544" s="191"/>
      <c r="AA544" s="191"/>
      <c r="AB544" s="191"/>
      <c r="AC544" s="191"/>
      <c r="AD544" s="16"/>
      <c r="AE544" s="16"/>
      <c r="AF544" s="16"/>
      <c r="AG544" s="16"/>
      <c r="AH544" s="16"/>
      <c r="AI544" s="16"/>
      <c r="AJ544" s="16"/>
      <c r="AK544" s="16"/>
      <c r="AL544" s="16"/>
      <c r="AM544" s="16"/>
      <c r="AN544" s="16"/>
      <c r="AO544" s="16"/>
      <c r="AP544" s="16"/>
      <c r="AQ544" s="16"/>
      <c r="AR544" s="16"/>
      <c r="AS544" s="16"/>
    </row>
    <row r="545" spans="18:45" x14ac:dyDescent="0.35">
      <c r="R545" s="191"/>
      <c r="S545" s="191"/>
      <c r="T545" s="193"/>
      <c r="U545" s="191"/>
      <c r="V545" s="194"/>
      <c r="W545" s="191"/>
      <c r="Y545" s="191"/>
      <c r="Z545" s="191"/>
      <c r="AA545" s="191"/>
      <c r="AB545" s="191"/>
      <c r="AC545" s="191"/>
      <c r="AD545" s="16"/>
      <c r="AE545" s="16"/>
      <c r="AF545" s="16"/>
      <c r="AG545" s="16"/>
      <c r="AH545" s="16"/>
      <c r="AI545" s="16"/>
      <c r="AJ545" s="16"/>
      <c r="AK545" s="16"/>
      <c r="AL545" s="16"/>
      <c r="AM545" s="16"/>
      <c r="AN545" s="16"/>
      <c r="AO545" s="16"/>
      <c r="AP545" s="16"/>
      <c r="AQ545" s="16"/>
      <c r="AR545" s="16"/>
      <c r="AS545" s="16"/>
    </row>
    <row r="546" spans="18:45" x14ac:dyDescent="0.35">
      <c r="R546" s="191"/>
      <c r="S546" s="191"/>
      <c r="T546" s="193"/>
      <c r="U546" s="191"/>
      <c r="V546" s="194"/>
      <c r="W546" s="191"/>
      <c r="Y546" s="191"/>
      <c r="Z546" s="191"/>
      <c r="AA546" s="191"/>
      <c r="AB546" s="191"/>
      <c r="AC546" s="191"/>
      <c r="AD546" s="16"/>
      <c r="AE546" s="16"/>
      <c r="AF546" s="16"/>
      <c r="AG546" s="16"/>
      <c r="AH546" s="16"/>
      <c r="AI546" s="16"/>
      <c r="AJ546" s="16"/>
      <c r="AK546" s="16"/>
      <c r="AL546" s="16"/>
      <c r="AM546" s="16"/>
      <c r="AN546" s="16"/>
      <c r="AO546" s="16"/>
      <c r="AP546" s="16"/>
      <c r="AQ546" s="16"/>
      <c r="AR546" s="16"/>
      <c r="AS546" s="16"/>
    </row>
    <row r="547" spans="18:45" x14ac:dyDescent="0.35">
      <c r="R547" s="191"/>
      <c r="S547" s="191"/>
      <c r="T547" s="193"/>
      <c r="U547" s="191"/>
      <c r="V547" s="194"/>
      <c r="W547" s="191"/>
      <c r="Y547" s="191"/>
      <c r="Z547" s="191"/>
      <c r="AA547" s="191"/>
      <c r="AB547" s="191"/>
      <c r="AC547" s="191"/>
      <c r="AD547" s="16"/>
      <c r="AE547" s="16"/>
      <c r="AF547" s="16"/>
      <c r="AG547" s="16"/>
      <c r="AH547" s="16"/>
      <c r="AI547" s="16"/>
      <c r="AJ547" s="16"/>
      <c r="AK547" s="16"/>
      <c r="AL547" s="16"/>
      <c r="AM547" s="16"/>
      <c r="AN547" s="16"/>
      <c r="AO547" s="16"/>
      <c r="AP547" s="16"/>
      <c r="AQ547" s="16"/>
      <c r="AR547" s="16"/>
      <c r="AS547" s="16"/>
    </row>
    <row r="548" spans="18:45" x14ac:dyDescent="0.35">
      <c r="R548" s="191"/>
      <c r="S548" s="191"/>
      <c r="T548" s="193"/>
      <c r="U548" s="191"/>
      <c r="V548" s="194"/>
      <c r="W548" s="191"/>
      <c r="Y548" s="191"/>
      <c r="Z548" s="191"/>
      <c r="AA548" s="191"/>
      <c r="AB548" s="191"/>
      <c r="AC548" s="191"/>
      <c r="AD548" s="16"/>
      <c r="AE548" s="16"/>
      <c r="AF548" s="16"/>
      <c r="AG548" s="16"/>
      <c r="AH548" s="16"/>
      <c r="AI548" s="16"/>
      <c r="AJ548" s="16"/>
      <c r="AK548" s="16"/>
      <c r="AL548" s="16"/>
      <c r="AM548" s="16"/>
      <c r="AN548" s="16"/>
      <c r="AO548" s="16"/>
      <c r="AP548" s="16"/>
      <c r="AQ548" s="16"/>
      <c r="AR548" s="16"/>
      <c r="AS548" s="16"/>
    </row>
    <row r="549" spans="18:45" x14ac:dyDescent="0.35">
      <c r="R549" s="191"/>
      <c r="S549" s="191"/>
      <c r="T549" s="193"/>
      <c r="U549" s="191"/>
      <c r="V549" s="194"/>
      <c r="W549" s="191"/>
      <c r="Y549" s="191"/>
      <c r="Z549" s="191"/>
      <c r="AA549" s="191"/>
      <c r="AB549" s="191"/>
      <c r="AC549" s="191"/>
      <c r="AD549" s="16"/>
      <c r="AE549" s="16"/>
      <c r="AF549" s="16"/>
      <c r="AG549" s="16"/>
      <c r="AH549" s="16"/>
      <c r="AI549" s="16"/>
      <c r="AJ549" s="16"/>
      <c r="AK549" s="16"/>
      <c r="AL549" s="16"/>
      <c r="AM549" s="16"/>
      <c r="AN549" s="16"/>
      <c r="AO549" s="16"/>
      <c r="AP549" s="16"/>
      <c r="AQ549" s="16"/>
      <c r="AR549" s="16"/>
      <c r="AS549" s="16"/>
    </row>
    <row r="550" spans="18:45" x14ac:dyDescent="0.35">
      <c r="R550" s="191"/>
      <c r="S550" s="191"/>
      <c r="T550" s="193"/>
      <c r="U550" s="191"/>
      <c r="V550" s="194"/>
      <c r="W550" s="191"/>
      <c r="Y550" s="191"/>
      <c r="Z550" s="191"/>
      <c r="AA550" s="191"/>
      <c r="AB550" s="191"/>
      <c r="AC550" s="191"/>
      <c r="AD550" s="16"/>
      <c r="AE550" s="16"/>
      <c r="AF550" s="16"/>
      <c r="AG550" s="16"/>
      <c r="AH550" s="16"/>
      <c r="AI550" s="16"/>
      <c r="AJ550" s="16"/>
      <c r="AK550" s="16"/>
      <c r="AL550" s="16"/>
      <c r="AM550" s="16"/>
      <c r="AN550" s="16"/>
      <c r="AO550" s="16"/>
      <c r="AP550" s="16"/>
      <c r="AQ550" s="16"/>
      <c r="AR550" s="16"/>
      <c r="AS550" s="16"/>
    </row>
    <row r="551" spans="18:45" x14ac:dyDescent="0.35">
      <c r="R551" s="191"/>
      <c r="S551" s="191"/>
      <c r="T551" s="193"/>
      <c r="U551" s="191"/>
      <c r="V551" s="194"/>
      <c r="W551" s="191"/>
      <c r="Y551" s="191"/>
      <c r="Z551" s="191"/>
      <c r="AA551" s="191"/>
      <c r="AB551" s="191"/>
      <c r="AC551" s="191"/>
      <c r="AD551" s="16"/>
      <c r="AE551" s="16"/>
      <c r="AF551" s="16"/>
      <c r="AG551" s="16"/>
      <c r="AH551" s="16"/>
      <c r="AI551" s="16"/>
      <c r="AJ551" s="16"/>
      <c r="AK551" s="16"/>
      <c r="AL551" s="16"/>
      <c r="AM551" s="16"/>
      <c r="AN551" s="16"/>
      <c r="AO551" s="16"/>
      <c r="AP551" s="16"/>
      <c r="AQ551" s="16"/>
      <c r="AR551" s="16"/>
      <c r="AS551" s="16"/>
    </row>
    <row r="552" spans="18:45" x14ac:dyDescent="0.35">
      <c r="R552" s="191"/>
      <c r="S552" s="191"/>
      <c r="T552" s="193"/>
      <c r="U552" s="191"/>
      <c r="V552" s="194"/>
      <c r="W552" s="191"/>
      <c r="Y552" s="191"/>
      <c r="Z552" s="191"/>
      <c r="AA552" s="191"/>
      <c r="AB552" s="191"/>
      <c r="AC552" s="191"/>
      <c r="AD552" s="16"/>
      <c r="AE552" s="16"/>
      <c r="AF552" s="16"/>
      <c r="AG552" s="16"/>
      <c r="AH552" s="16"/>
      <c r="AI552" s="16"/>
      <c r="AJ552" s="16"/>
      <c r="AK552" s="16"/>
      <c r="AL552" s="16"/>
      <c r="AM552" s="16"/>
      <c r="AN552" s="16"/>
      <c r="AO552" s="16"/>
      <c r="AP552" s="16"/>
      <c r="AQ552" s="16"/>
      <c r="AR552" s="16"/>
      <c r="AS552" s="16"/>
    </row>
    <row r="553" spans="18:45" x14ac:dyDescent="0.35">
      <c r="R553" s="191"/>
      <c r="S553" s="191"/>
      <c r="T553" s="193"/>
      <c r="U553" s="191"/>
      <c r="V553" s="194"/>
      <c r="W553" s="191"/>
      <c r="Y553" s="191"/>
      <c r="Z553" s="191"/>
      <c r="AA553" s="191"/>
      <c r="AB553" s="191"/>
      <c r="AC553" s="191"/>
      <c r="AD553" s="16"/>
      <c r="AE553" s="16"/>
      <c r="AF553" s="16"/>
      <c r="AG553" s="16"/>
      <c r="AH553" s="16"/>
      <c r="AI553" s="16"/>
      <c r="AJ553" s="16"/>
      <c r="AK553" s="16"/>
      <c r="AL553" s="16"/>
      <c r="AM553" s="16"/>
      <c r="AN553" s="16"/>
      <c r="AO553" s="16"/>
      <c r="AP553" s="16"/>
      <c r="AQ553" s="16"/>
      <c r="AR553" s="16"/>
      <c r="AS553" s="16"/>
    </row>
    <row r="554" spans="18:45" x14ac:dyDescent="0.35">
      <c r="R554" s="191"/>
      <c r="S554" s="191"/>
      <c r="T554" s="193"/>
      <c r="U554" s="191"/>
      <c r="V554" s="194"/>
      <c r="W554" s="191"/>
      <c r="Y554" s="191"/>
      <c r="Z554" s="191"/>
      <c r="AA554" s="191"/>
      <c r="AB554" s="191"/>
      <c r="AC554" s="191"/>
      <c r="AD554" s="16"/>
      <c r="AE554" s="16"/>
      <c r="AF554" s="16"/>
      <c r="AG554" s="16"/>
      <c r="AH554" s="16"/>
      <c r="AI554" s="16"/>
      <c r="AJ554" s="16"/>
      <c r="AK554" s="16"/>
      <c r="AL554" s="16"/>
      <c r="AM554" s="16"/>
      <c r="AN554" s="16"/>
      <c r="AO554" s="16"/>
      <c r="AP554" s="16"/>
      <c r="AQ554" s="16"/>
      <c r="AR554" s="16"/>
      <c r="AS554" s="16"/>
    </row>
    <row r="555" spans="18:45" x14ac:dyDescent="0.35">
      <c r="R555" s="191"/>
      <c r="S555" s="191"/>
      <c r="T555" s="193"/>
      <c r="U555" s="191"/>
      <c r="V555" s="194"/>
      <c r="W555" s="191"/>
      <c r="Y555" s="191"/>
      <c r="Z555" s="191"/>
      <c r="AA555" s="191"/>
      <c r="AB555" s="191"/>
      <c r="AC555" s="191"/>
      <c r="AD555" s="16"/>
      <c r="AE555" s="16"/>
      <c r="AF555" s="16"/>
      <c r="AG555" s="16"/>
      <c r="AH555" s="16"/>
      <c r="AI555" s="16"/>
      <c r="AJ555" s="16"/>
      <c r="AK555" s="16"/>
      <c r="AL555" s="16"/>
      <c r="AM555" s="16"/>
      <c r="AN555" s="16"/>
      <c r="AO555" s="16"/>
      <c r="AP555" s="16"/>
      <c r="AQ555" s="16"/>
      <c r="AR555" s="16"/>
      <c r="AS555" s="16"/>
    </row>
    <row r="556" spans="18:45" x14ac:dyDescent="0.35">
      <c r="R556" s="191"/>
      <c r="S556" s="191"/>
      <c r="T556" s="193"/>
      <c r="U556" s="191"/>
      <c r="V556" s="194"/>
      <c r="W556" s="191"/>
      <c r="Y556" s="191"/>
      <c r="Z556" s="191"/>
      <c r="AA556" s="191"/>
      <c r="AB556" s="191"/>
      <c r="AC556" s="191"/>
      <c r="AD556" s="16"/>
      <c r="AE556" s="16"/>
      <c r="AF556" s="16"/>
      <c r="AG556" s="16"/>
      <c r="AH556" s="16"/>
      <c r="AI556" s="16"/>
      <c r="AJ556" s="16"/>
      <c r="AK556" s="16"/>
      <c r="AL556" s="16"/>
      <c r="AM556" s="16"/>
      <c r="AN556" s="16"/>
      <c r="AO556" s="16"/>
      <c r="AP556" s="16"/>
      <c r="AQ556" s="16"/>
      <c r="AR556" s="16"/>
      <c r="AS556" s="16"/>
    </row>
    <row r="557" spans="18:45" x14ac:dyDescent="0.35">
      <c r="R557" s="191"/>
      <c r="S557" s="191"/>
      <c r="T557" s="193"/>
      <c r="U557" s="191"/>
      <c r="V557" s="194"/>
      <c r="W557" s="191"/>
      <c r="Y557" s="191"/>
      <c r="Z557" s="191"/>
      <c r="AA557" s="191"/>
      <c r="AB557" s="191"/>
      <c r="AC557" s="191"/>
      <c r="AD557" s="16"/>
      <c r="AE557" s="16"/>
      <c r="AF557" s="16"/>
      <c r="AG557" s="16"/>
      <c r="AH557" s="16"/>
      <c r="AI557" s="16"/>
      <c r="AJ557" s="16"/>
      <c r="AK557" s="16"/>
      <c r="AL557" s="16"/>
      <c r="AM557" s="16"/>
      <c r="AN557" s="16"/>
      <c r="AO557" s="16"/>
      <c r="AP557" s="16"/>
      <c r="AQ557" s="16"/>
      <c r="AR557" s="16"/>
      <c r="AS557" s="16"/>
    </row>
    <row r="558" spans="18:45" x14ac:dyDescent="0.35">
      <c r="R558" s="191"/>
      <c r="S558" s="191"/>
      <c r="T558" s="193"/>
      <c r="U558" s="191"/>
      <c r="V558" s="194"/>
      <c r="W558" s="191"/>
      <c r="Y558" s="191"/>
      <c r="Z558" s="191"/>
      <c r="AA558" s="191"/>
      <c r="AB558" s="191"/>
      <c r="AC558" s="191"/>
      <c r="AD558" s="16"/>
      <c r="AE558" s="16"/>
      <c r="AF558" s="16"/>
      <c r="AG558" s="16"/>
      <c r="AH558" s="16"/>
      <c r="AI558" s="16"/>
      <c r="AJ558" s="16"/>
      <c r="AK558" s="16"/>
      <c r="AL558" s="16"/>
      <c r="AM558" s="16"/>
      <c r="AN558" s="16"/>
      <c r="AO558" s="16"/>
      <c r="AP558" s="16"/>
      <c r="AQ558" s="16"/>
      <c r="AR558" s="16"/>
      <c r="AS558" s="16"/>
    </row>
    <row r="559" spans="18:45" x14ac:dyDescent="0.35">
      <c r="R559" s="191"/>
      <c r="S559" s="191"/>
      <c r="T559" s="193"/>
      <c r="U559" s="191"/>
      <c r="V559" s="194"/>
      <c r="W559" s="191"/>
      <c r="Y559" s="191"/>
      <c r="Z559" s="191"/>
      <c r="AA559" s="191"/>
      <c r="AB559" s="191"/>
      <c r="AC559" s="191"/>
      <c r="AD559" s="16"/>
      <c r="AE559" s="16"/>
      <c r="AF559" s="16"/>
      <c r="AG559" s="16"/>
      <c r="AH559" s="16"/>
      <c r="AI559" s="16"/>
      <c r="AJ559" s="16"/>
      <c r="AK559" s="16"/>
      <c r="AL559" s="16"/>
      <c r="AM559" s="16"/>
      <c r="AN559" s="16"/>
      <c r="AO559" s="16"/>
      <c r="AP559" s="16"/>
      <c r="AQ559" s="16"/>
      <c r="AR559" s="16"/>
      <c r="AS559" s="16"/>
    </row>
    <row r="560" spans="18:45" x14ac:dyDescent="0.35">
      <c r="R560" s="191"/>
      <c r="S560" s="191"/>
      <c r="T560" s="193"/>
      <c r="U560" s="191"/>
      <c r="V560" s="194"/>
      <c r="W560" s="191"/>
      <c r="Y560" s="191"/>
      <c r="Z560" s="191"/>
      <c r="AA560" s="191"/>
      <c r="AB560" s="191"/>
      <c r="AC560" s="191"/>
      <c r="AD560" s="16"/>
      <c r="AE560" s="16"/>
      <c r="AF560" s="16"/>
      <c r="AG560" s="16"/>
      <c r="AH560" s="16"/>
      <c r="AI560" s="16"/>
      <c r="AJ560" s="16"/>
      <c r="AK560" s="16"/>
      <c r="AL560" s="16"/>
      <c r="AM560" s="16"/>
      <c r="AN560" s="16"/>
      <c r="AO560" s="16"/>
      <c r="AP560" s="16"/>
      <c r="AQ560" s="16"/>
      <c r="AR560" s="16"/>
      <c r="AS560" s="16"/>
    </row>
    <row r="561" spans="18:45" x14ac:dyDescent="0.35">
      <c r="R561" s="191"/>
      <c r="S561" s="191"/>
      <c r="T561" s="193"/>
      <c r="U561" s="191"/>
      <c r="V561" s="194"/>
      <c r="W561" s="191"/>
      <c r="Y561" s="191"/>
      <c r="Z561" s="191"/>
      <c r="AA561" s="191"/>
      <c r="AB561" s="191"/>
      <c r="AC561" s="191"/>
      <c r="AD561" s="16"/>
      <c r="AE561" s="16"/>
      <c r="AF561" s="16"/>
      <c r="AG561" s="16"/>
      <c r="AH561" s="16"/>
      <c r="AI561" s="16"/>
      <c r="AJ561" s="16"/>
      <c r="AK561" s="16"/>
      <c r="AL561" s="16"/>
      <c r="AM561" s="16"/>
      <c r="AN561" s="16"/>
      <c r="AO561" s="16"/>
      <c r="AP561" s="16"/>
      <c r="AQ561" s="16"/>
      <c r="AR561" s="16"/>
      <c r="AS561" s="16"/>
    </row>
    <row r="562" spans="18:45" x14ac:dyDescent="0.35">
      <c r="R562" s="191"/>
      <c r="S562" s="191"/>
      <c r="T562" s="193"/>
      <c r="U562" s="191"/>
      <c r="V562" s="194"/>
      <c r="W562" s="191"/>
      <c r="Y562" s="191"/>
      <c r="Z562" s="191"/>
      <c r="AA562" s="191"/>
      <c r="AB562" s="191"/>
      <c r="AC562" s="191"/>
      <c r="AD562" s="16"/>
      <c r="AE562" s="16"/>
      <c r="AF562" s="16"/>
      <c r="AG562" s="16"/>
      <c r="AH562" s="16"/>
      <c r="AI562" s="16"/>
      <c r="AJ562" s="16"/>
      <c r="AK562" s="16"/>
      <c r="AL562" s="16"/>
      <c r="AM562" s="16"/>
      <c r="AN562" s="16"/>
      <c r="AO562" s="16"/>
      <c r="AP562" s="16"/>
      <c r="AQ562" s="16"/>
      <c r="AR562" s="16"/>
      <c r="AS562" s="16"/>
    </row>
    <row r="563" spans="18:45" x14ac:dyDescent="0.35">
      <c r="R563" s="191"/>
      <c r="S563" s="191"/>
      <c r="T563" s="193"/>
      <c r="U563" s="191"/>
      <c r="V563" s="194"/>
      <c r="W563" s="191"/>
      <c r="Y563" s="191"/>
      <c r="Z563" s="191"/>
      <c r="AA563" s="191"/>
      <c r="AB563" s="191"/>
      <c r="AC563" s="191"/>
      <c r="AD563" s="16"/>
      <c r="AE563" s="16"/>
      <c r="AF563" s="16"/>
      <c r="AG563" s="16"/>
      <c r="AH563" s="16"/>
      <c r="AI563" s="16"/>
      <c r="AJ563" s="16"/>
      <c r="AK563" s="16"/>
      <c r="AL563" s="16"/>
      <c r="AM563" s="16"/>
      <c r="AN563" s="16"/>
      <c r="AO563" s="16"/>
      <c r="AP563" s="16"/>
      <c r="AQ563" s="16"/>
      <c r="AR563" s="16"/>
      <c r="AS563" s="16"/>
    </row>
    <row r="564" spans="18:45" x14ac:dyDescent="0.35">
      <c r="R564" s="191"/>
      <c r="S564" s="191"/>
      <c r="T564" s="193"/>
      <c r="U564" s="191"/>
      <c r="V564" s="194"/>
      <c r="W564" s="191"/>
      <c r="Y564" s="191"/>
      <c r="Z564" s="191"/>
      <c r="AA564" s="191"/>
      <c r="AB564" s="191"/>
      <c r="AC564" s="191"/>
      <c r="AD564" s="16"/>
      <c r="AE564" s="16"/>
      <c r="AF564" s="16"/>
      <c r="AG564" s="16"/>
      <c r="AH564" s="16"/>
      <c r="AI564" s="16"/>
      <c r="AJ564" s="16"/>
      <c r="AK564" s="16"/>
      <c r="AL564" s="16"/>
      <c r="AM564" s="16"/>
      <c r="AN564" s="16"/>
      <c r="AO564" s="16"/>
      <c r="AP564" s="16"/>
      <c r="AQ564" s="16"/>
      <c r="AR564" s="16"/>
      <c r="AS564" s="16"/>
    </row>
    <row r="565" spans="18:45" x14ac:dyDescent="0.35">
      <c r="R565" s="191"/>
      <c r="S565" s="191"/>
      <c r="T565" s="193"/>
      <c r="U565" s="191"/>
      <c r="V565" s="194"/>
      <c r="W565" s="191"/>
      <c r="Y565" s="191"/>
      <c r="Z565" s="191"/>
      <c r="AA565" s="191"/>
      <c r="AB565" s="191"/>
      <c r="AC565" s="191"/>
      <c r="AD565" s="16"/>
      <c r="AE565" s="16"/>
      <c r="AF565" s="16"/>
      <c r="AG565" s="16"/>
      <c r="AH565" s="16"/>
      <c r="AI565" s="16"/>
      <c r="AJ565" s="16"/>
      <c r="AK565" s="16"/>
      <c r="AL565" s="16"/>
      <c r="AM565" s="16"/>
      <c r="AN565" s="16"/>
      <c r="AO565" s="16"/>
      <c r="AP565" s="16"/>
      <c r="AQ565" s="16"/>
      <c r="AR565" s="16"/>
      <c r="AS565" s="16"/>
    </row>
    <row r="566" spans="18:45" x14ac:dyDescent="0.35">
      <c r="R566" s="191"/>
      <c r="S566" s="191"/>
      <c r="T566" s="193"/>
      <c r="U566" s="191"/>
      <c r="V566" s="194"/>
      <c r="W566" s="191"/>
      <c r="Y566" s="191"/>
      <c r="Z566" s="191"/>
      <c r="AA566" s="191"/>
      <c r="AB566" s="191"/>
      <c r="AC566" s="191"/>
      <c r="AD566" s="16"/>
      <c r="AE566" s="16"/>
      <c r="AF566" s="16"/>
      <c r="AG566" s="16"/>
      <c r="AH566" s="16"/>
      <c r="AI566" s="16"/>
      <c r="AJ566" s="16"/>
      <c r="AK566" s="16"/>
      <c r="AL566" s="16"/>
      <c r="AM566" s="16"/>
      <c r="AN566" s="16"/>
      <c r="AO566" s="16"/>
      <c r="AP566" s="16"/>
      <c r="AQ566" s="16"/>
      <c r="AR566" s="16"/>
      <c r="AS566" s="16"/>
    </row>
    <row r="567" spans="18:45" x14ac:dyDescent="0.35">
      <c r="R567" s="191"/>
      <c r="S567" s="191"/>
      <c r="T567" s="193"/>
      <c r="U567" s="191"/>
      <c r="V567" s="194"/>
      <c r="W567" s="191"/>
      <c r="Y567" s="191"/>
      <c r="Z567" s="191"/>
      <c r="AA567" s="191"/>
      <c r="AB567" s="191"/>
      <c r="AC567" s="191"/>
      <c r="AD567" s="16"/>
      <c r="AE567" s="16"/>
      <c r="AF567" s="16"/>
      <c r="AG567" s="16"/>
      <c r="AH567" s="16"/>
      <c r="AI567" s="16"/>
      <c r="AJ567" s="16"/>
      <c r="AK567" s="16"/>
      <c r="AL567" s="16"/>
      <c r="AM567" s="16"/>
      <c r="AN567" s="16"/>
      <c r="AO567" s="16"/>
      <c r="AP567" s="16"/>
      <c r="AQ567" s="16"/>
      <c r="AR567" s="16"/>
      <c r="AS567" s="16"/>
    </row>
    <row r="568" spans="18:45" x14ac:dyDescent="0.35">
      <c r="R568" s="191"/>
      <c r="S568" s="191"/>
      <c r="T568" s="193"/>
      <c r="U568" s="191"/>
      <c r="V568" s="194"/>
      <c r="W568" s="191"/>
      <c r="Y568" s="191"/>
      <c r="Z568" s="191"/>
      <c r="AA568" s="191"/>
      <c r="AB568" s="191"/>
      <c r="AC568" s="191"/>
      <c r="AD568" s="16"/>
      <c r="AE568" s="16"/>
      <c r="AF568" s="16"/>
      <c r="AG568" s="16"/>
      <c r="AH568" s="16"/>
      <c r="AI568" s="16"/>
      <c r="AJ568" s="16"/>
      <c r="AK568" s="16"/>
      <c r="AL568" s="16"/>
      <c r="AM568" s="16"/>
      <c r="AN568" s="16"/>
      <c r="AO568" s="16"/>
      <c r="AP568" s="16"/>
      <c r="AQ568" s="16"/>
      <c r="AR568" s="16"/>
      <c r="AS568" s="16"/>
    </row>
    <row r="569" spans="18:45" x14ac:dyDescent="0.35">
      <c r="R569" s="191"/>
      <c r="S569" s="191"/>
      <c r="T569" s="193"/>
      <c r="U569" s="191"/>
      <c r="V569" s="194"/>
      <c r="W569" s="191"/>
      <c r="Y569" s="191"/>
      <c r="Z569" s="191"/>
      <c r="AA569" s="191"/>
      <c r="AB569" s="191"/>
      <c r="AC569" s="191"/>
      <c r="AD569" s="16"/>
      <c r="AE569" s="16"/>
      <c r="AF569" s="16"/>
      <c r="AG569" s="16"/>
      <c r="AH569" s="16"/>
      <c r="AI569" s="16"/>
      <c r="AJ569" s="16"/>
      <c r="AK569" s="16"/>
      <c r="AL569" s="16"/>
      <c r="AM569" s="16"/>
      <c r="AN569" s="16"/>
      <c r="AO569" s="16"/>
      <c r="AP569" s="16"/>
      <c r="AQ569" s="16"/>
      <c r="AR569" s="16"/>
      <c r="AS569" s="16"/>
    </row>
    <row r="570" spans="18:45" x14ac:dyDescent="0.35">
      <c r="R570" s="191"/>
      <c r="S570" s="191"/>
      <c r="T570" s="193"/>
      <c r="U570" s="191"/>
      <c r="V570" s="194"/>
      <c r="W570" s="191"/>
      <c r="Y570" s="191"/>
      <c r="Z570" s="191"/>
      <c r="AA570" s="191"/>
      <c r="AB570" s="191"/>
      <c r="AC570" s="191"/>
      <c r="AD570" s="16"/>
      <c r="AE570" s="16"/>
      <c r="AF570" s="16"/>
      <c r="AG570" s="16"/>
      <c r="AH570" s="16"/>
      <c r="AI570" s="16"/>
      <c r="AJ570" s="16"/>
      <c r="AK570" s="16"/>
      <c r="AL570" s="16"/>
      <c r="AM570" s="16"/>
      <c r="AN570" s="16"/>
      <c r="AO570" s="16"/>
      <c r="AP570" s="16"/>
      <c r="AQ570" s="16"/>
      <c r="AR570" s="16"/>
      <c r="AS570" s="16"/>
    </row>
    <row r="571" spans="18:45" x14ac:dyDescent="0.35">
      <c r="R571" s="191"/>
      <c r="S571" s="191"/>
      <c r="T571" s="193"/>
      <c r="U571" s="191"/>
      <c r="V571" s="194"/>
      <c r="W571" s="191"/>
      <c r="Y571" s="191"/>
      <c r="Z571" s="191"/>
      <c r="AA571" s="191"/>
      <c r="AB571" s="191"/>
      <c r="AC571" s="191"/>
      <c r="AD571" s="16"/>
      <c r="AE571" s="16"/>
      <c r="AF571" s="16"/>
      <c r="AG571" s="16"/>
      <c r="AH571" s="16"/>
      <c r="AI571" s="16"/>
      <c r="AJ571" s="16"/>
      <c r="AK571" s="16"/>
      <c r="AL571" s="16"/>
      <c r="AM571" s="16"/>
      <c r="AN571" s="16"/>
      <c r="AO571" s="16"/>
      <c r="AP571" s="16"/>
      <c r="AQ571" s="16"/>
      <c r="AR571" s="16"/>
      <c r="AS571" s="16"/>
    </row>
    <row r="572" spans="18:45" x14ac:dyDescent="0.35">
      <c r="R572" s="191"/>
      <c r="S572" s="191"/>
      <c r="T572" s="193"/>
      <c r="U572" s="191"/>
      <c r="V572" s="194"/>
      <c r="W572" s="191"/>
      <c r="Y572" s="191"/>
      <c r="Z572" s="191"/>
      <c r="AA572" s="191"/>
      <c r="AB572" s="191"/>
      <c r="AC572" s="191"/>
      <c r="AD572" s="16"/>
      <c r="AE572" s="16"/>
      <c r="AF572" s="16"/>
      <c r="AG572" s="16"/>
      <c r="AH572" s="16"/>
      <c r="AI572" s="16"/>
      <c r="AJ572" s="16"/>
      <c r="AK572" s="16"/>
      <c r="AL572" s="16"/>
      <c r="AM572" s="16"/>
      <c r="AN572" s="16"/>
      <c r="AO572" s="16"/>
      <c r="AP572" s="16"/>
      <c r="AQ572" s="16"/>
      <c r="AR572" s="16"/>
      <c r="AS572" s="16"/>
    </row>
    <row r="573" spans="18:45" x14ac:dyDescent="0.35">
      <c r="R573" s="191"/>
      <c r="S573" s="191"/>
      <c r="T573" s="193"/>
      <c r="U573" s="191"/>
      <c r="V573" s="194"/>
      <c r="W573" s="191"/>
      <c r="Y573" s="191"/>
      <c r="Z573" s="191"/>
      <c r="AA573" s="191"/>
      <c r="AB573" s="191"/>
      <c r="AC573" s="191"/>
      <c r="AD573" s="16"/>
      <c r="AE573" s="16"/>
      <c r="AF573" s="16"/>
      <c r="AG573" s="16"/>
      <c r="AH573" s="16"/>
      <c r="AI573" s="16"/>
      <c r="AJ573" s="16"/>
      <c r="AK573" s="16"/>
      <c r="AL573" s="16"/>
      <c r="AM573" s="16"/>
      <c r="AN573" s="16"/>
      <c r="AO573" s="16"/>
      <c r="AP573" s="16"/>
      <c r="AQ573" s="16"/>
      <c r="AR573" s="16"/>
      <c r="AS573" s="16"/>
    </row>
    <row r="574" spans="18:45" x14ac:dyDescent="0.35">
      <c r="R574" s="191"/>
      <c r="S574" s="191"/>
      <c r="T574" s="193"/>
      <c r="U574" s="191"/>
      <c r="V574" s="194"/>
      <c r="W574" s="191"/>
      <c r="Y574" s="191"/>
      <c r="Z574" s="191"/>
      <c r="AA574" s="191"/>
      <c r="AB574" s="191"/>
      <c r="AC574" s="191"/>
      <c r="AD574" s="16"/>
      <c r="AE574" s="16"/>
      <c r="AF574" s="16"/>
      <c r="AG574" s="16"/>
      <c r="AH574" s="16"/>
      <c r="AI574" s="16"/>
      <c r="AJ574" s="16"/>
      <c r="AK574" s="16"/>
      <c r="AL574" s="16"/>
      <c r="AM574" s="16"/>
      <c r="AN574" s="16"/>
      <c r="AO574" s="16"/>
      <c r="AP574" s="16"/>
      <c r="AQ574" s="16"/>
      <c r="AR574" s="16"/>
      <c r="AS574" s="16"/>
    </row>
    <row r="575" spans="18:45" x14ac:dyDescent="0.35">
      <c r="R575" s="191"/>
      <c r="S575" s="191"/>
      <c r="T575" s="193"/>
      <c r="U575" s="191"/>
      <c r="V575" s="194"/>
      <c r="W575" s="191"/>
      <c r="Y575" s="191"/>
      <c r="Z575" s="191"/>
      <c r="AA575" s="191"/>
      <c r="AB575" s="191"/>
      <c r="AC575" s="191"/>
      <c r="AD575" s="16"/>
      <c r="AE575" s="16"/>
      <c r="AF575" s="16"/>
      <c r="AG575" s="16"/>
      <c r="AH575" s="16"/>
      <c r="AI575" s="16"/>
      <c r="AJ575" s="16"/>
      <c r="AK575" s="16"/>
      <c r="AL575" s="16"/>
      <c r="AM575" s="16"/>
      <c r="AN575" s="16"/>
      <c r="AO575" s="16"/>
      <c r="AP575" s="16"/>
      <c r="AQ575" s="16"/>
      <c r="AR575" s="16"/>
      <c r="AS575" s="16"/>
    </row>
    <row r="576" spans="18:45" x14ac:dyDescent="0.35">
      <c r="R576" s="191"/>
      <c r="S576" s="191"/>
      <c r="T576" s="193"/>
      <c r="U576" s="191"/>
      <c r="V576" s="194"/>
      <c r="W576" s="191"/>
      <c r="Y576" s="191"/>
      <c r="Z576" s="191"/>
      <c r="AA576" s="191"/>
      <c r="AB576" s="191"/>
      <c r="AC576" s="191"/>
      <c r="AD576" s="16"/>
      <c r="AE576" s="16"/>
      <c r="AF576" s="16"/>
      <c r="AG576" s="16"/>
      <c r="AH576" s="16"/>
      <c r="AI576" s="16"/>
      <c r="AJ576" s="16"/>
      <c r="AK576" s="16"/>
      <c r="AL576" s="16"/>
      <c r="AM576" s="16"/>
      <c r="AN576" s="16"/>
      <c r="AO576" s="16"/>
      <c r="AP576" s="16"/>
      <c r="AQ576" s="16"/>
      <c r="AR576" s="16"/>
      <c r="AS576" s="16"/>
    </row>
    <row r="577" spans="18:45" x14ac:dyDescent="0.35">
      <c r="R577" s="191"/>
      <c r="S577" s="191"/>
      <c r="T577" s="193"/>
      <c r="U577" s="191"/>
      <c r="V577" s="194"/>
      <c r="W577" s="191"/>
      <c r="Y577" s="191"/>
      <c r="Z577" s="191"/>
      <c r="AA577" s="191"/>
      <c r="AB577" s="191"/>
      <c r="AC577" s="191"/>
      <c r="AD577" s="16"/>
      <c r="AE577" s="16"/>
      <c r="AF577" s="16"/>
      <c r="AG577" s="16"/>
      <c r="AH577" s="16"/>
      <c r="AI577" s="16"/>
      <c r="AJ577" s="16"/>
      <c r="AK577" s="16"/>
      <c r="AL577" s="16"/>
      <c r="AM577" s="16"/>
      <c r="AN577" s="16"/>
      <c r="AO577" s="16"/>
      <c r="AP577" s="16"/>
      <c r="AQ577" s="16"/>
      <c r="AR577" s="16"/>
      <c r="AS577" s="16"/>
    </row>
    <row r="578" spans="18:45" x14ac:dyDescent="0.35">
      <c r="R578" s="191"/>
      <c r="S578" s="191"/>
      <c r="T578" s="193"/>
      <c r="U578" s="191"/>
      <c r="V578" s="194"/>
      <c r="W578" s="191"/>
      <c r="Y578" s="191"/>
      <c r="Z578" s="191"/>
      <c r="AA578" s="191"/>
      <c r="AB578" s="191"/>
      <c r="AC578" s="191"/>
      <c r="AD578" s="16"/>
      <c r="AE578" s="16"/>
      <c r="AF578" s="16"/>
      <c r="AG578" s="16"/>
      <c r="AH578" s="16"/>
      <c r="AI578" s="16"/>
      <c r="AJ578" s="16"/>
      <c r="AK578" s="16"/>
      <c r="AL578" s="16"/>
      <c r="AM578" s="16"/>
      <c r="AN578" s="16"/>
      <c r="AO578" s="16"/>
      <c r="AP578" s="16"/>
      <c r="AQ578" s="16"/>
      <c r="AR578" s="16"/>
      <c r="AS578" s="16"/>
    </row>
    <row r="579" spans="18:45" x14ac:dyDescent="0.35">
      <c r="R579" s="191"/>
      <c r="S579" s="191"/>
      <c r="T579" s="193"/>
      <c r="U579" s="191"/>
      <c r="V579" s="194"/>
      <c r="W579" s="191"/>
      <c r="Y579" s="191"/>
      <c r="Z579" s="191"/>
      <c r="AA579" s="191"/>
      <c r="AB579" s="191"/>
      <c r="AC579" s="191"/>
      <c r="AD579" s="16"/>
      <c r="AE579" s="16"/>
      <c r="AF579" s="16"/>
      <c r="AG579" s="16"/>
      <c r="AH579" s="16"/>
      <c r="AI579" s="16"/>
      <c r="AJ579" s="16"/>
      <c r="AK579" s="16"/>
      <c r="AL579" s="16"/>
      <c r="AM579" s="16"/>
      <c r="AN579" s="16"/>
      <c r="AO579" s="16"/>
      <c r="AP579" s="16"/>
      <c r="AQ579" s="16"/>
      <c r="AR579" s="16"/>
      <c r="AS579" s="16"/>
    </row>
    <row r="580" spans="18:45" x14ac:dyDescent="0.35">
      <c r="R580" s="191"/>
      <c r="S580" s="191"/>
      <c r="T580" s="193"/>
      <c r="U580" s="191"/>
      <c r="V580" s="194"/>
      <c r="W580" s="191"/>
      <c r="Y580" s="191"/>
      <c r="Z580" s="191"/>
      <c r="AA580" s="191"/>
      <c r="AB580" s="191"/>
      <c r="AC580" s="191"/>
      <c r="AD580" s="16"/>
      <c r="AE580" s="16"/>
      <c r="AF580" s="16"/>
      <c r="AG580" s="16"/>
      <c r="AH580" s="16"/>
      <c r="AI580" s="16"/>
      <c r="AJ580" s="16"/>
      <c r="AK580" s="16"/>
      <c r="AL580" s="16"/>
      <c r="AM580" s="16"/>
      <c r="AN580" s="16"/>
      <c r="AO580" s="16"/>
      <c r="AP580" s="16"/>
      <c r="AQ580" s="16"/>
      <c r="AR580" s="16"/>
      <c r="AS580" s="16"/>
    </row>
    <row r="581" spans="18:45" x14ac:dyDescent="0.35">
      <c r="R581" s="191"/>
      <c r="S581" s="191"/>
      <c r="T581" s="193"/>
      <c r="U581" s="191"/>
      <c r="V581" s="194"/>
      <c r="W581" s="191"/>
      <c r="Y581" s="191"/>
      <c r="Z581" s="191"/>
      <c r="AA581" s="191"/>
      <c r="AB581" s="191"/>
      <c r="AC581" s="191"/>
      <c r="AD581" s="16"/>
      <c r="AE581" s="16"/>
      <c r="AF581" s="16"/>
      <c r="AG581" s="16"/>
      <c r="AH581" s="16"/>
      <c r="AI581" s="16"/>
      <c r="AJ581" s="16"/>
      <c r="AK581" s="16"/>
      <c r="AL581" s="16"/>
      <c r="AM581" s="16"/>
      <c r="AN581" s="16"/>
      <c r="AO581" s="16"/>
      <c r="AP581" s="16"/>
      <c r="AQ581" s="16"/>
      <c r="AR581" s="16"/>
      <c r="AS581" s="16"/>
    </row>
    <row r="582" spans="18:45" x14ac:dyDescent="0.35">
      <c r="R582" s="191"/>
      <c r="S582" s="191"/>
      <c r="T582" s="193"/>
      <c r="U582" s="191"/>
      <c r="V582" s="194"/>
      <c r="W582" s="191"/>
      <c r="Y582" s="191"/>
      <c r="Z582" s="191"/>
      <c r="AA582" s="191"/>
      <c r="AB582" s="191"/>
      <c r="AC582" s="191"/>
      <c r="AD582" s="16"/>
      <c r="AE582" s="16"/>
      <c r="AF582" s="16"/>
      <c r="AG582" s="16"/>
      <c r="AH582" s="16"/>
      <c r="AI582" s="16"/>
      <c r="AJ582" s="16"/>
      <c r="AK582" s="16"/>
      <c r="AL582" s="16"/>
      <c r="AM582" s="16"/>
      <c r="AN582" s="16"/>
      <c r="AO582" s="16"/>
      <c r="AP582" s="16"/>
      <c r="AQ582" s="16"/>
      <c r="AR582" s="16"/>
      <c r="AS582" s="16"/>
    </row>
    <row r="583" spans="18:45" x14ac:dyDescent="0.35">
      <c r="R583" s="191"/>
      <c r="S583" s="191"/>
      <c r="T583" s="193"/>
      <c r="U583" s="191"/>
      <c r="V583" s="194"/>
      <c r="W583" s="191"/>
      <c r="Y583" s="191"/>
      <c r="Z583" s="191"/>
      <c r="AA583" s="191"/>
      <c r="AB583" s="191"/>
      <c r="AC583" s="191"/>
      <c r="AD583" s="16"/>
      <c r="AE583" s="16"/>
      <c r="AF583" s="16"/>
      <c r="AG583" s="16"/>
      <c r="AH583" s="16"/>
      <c r="AI583" s="16"/>
      <c r="AJ583" s="16"/>
      <c r="AK583" s="16"/>
      <c r="AL583" s="16"/>
      <c r="AM583" s="16"/>
      <c r="AN583" s="16"/>
      <c r="AO583" s="16"/>
      <c r="AP583" s="16"/>
      <c r="AQ583" s="16"/>
      <c r="AR583" s="16"/>
      <c r="AS583" s="16"/>
    </row>
    <row r="584" spans="18:45" x14ac:dyDescent="0.35">
      <c r="R584" s="191"/>
      <c r="S584" s="191"/>
      <c r="T584" s="193"/>
      <c r="U584" s="191"/>
      <c r="V584" s="194"/>
      <c r="W584" s="191"/>
      <c r="Y584" s="191"/>
      <c r="Z584" s="191"/>
      <c r="AA584" s="191"/>
      <c r="AB584" s="191"/>
      <c r="AC584" s="191"/>
      <c r="AD584" s="16"/>
      <c r="AE584" s="16"/>
      <c r="AF584" s="16"/>
      <c r="AG584" s="16"/>
      <c r="AH584" s="16"/>
      <c r="AI584" s="16"/>
      <c r="AJ584" s="16"/>
      <c r="AK584" s="16"/>
      <c r="AL584" s="16"/>
      <c r="AM584" s="16"/>
      <c r="AN584" s="16"/>
      <c r="AO584" s="16"/>
      <c r="AP584" s="16"/>
      <c r="AQ584" s="16"/>
      <c r="AR584" s="16"/>
      <c r="AS584" s="16"/>
    </row>
    <row r="585" spans="18:45" x14ac:dyDescent="0.35">
      <c r="R585" s="191"/>
      <c r="S585" s="191"/>
      <c r="T585" s="193"/>
      <c r="U585" s="191"/>
      <c r="V585" s="194"/>
      <c r="W585" s="191"/>
      <c r="Y585" s="191"/>
      <c r="Z585" s="191"/>
      <c r="AA585" s="191"/>
      <c r="AB585" s="191"/>
      <c r="AC585" s="191"/>
      <c r="AD585" s="16"/>
      <c r="AE585" s="16"/>
      <c r="AF585" s="16"/>
      <c r="AG585" s="16"/>
      <c r="AH585" s="16"/>
      <c r="AI585" s="16"/>
      <c r="AJ585" s="16"/>
      <c r="AK585" s="16"/>
      <c r="AL585" s="16"/>
      <c r="AM585" s="16"/>
      <c r="AN585" s="16"/>
      <c r="AO585" s="16"/>
      <c r="AP585" s="16"/>
      <c r="AQ585" s="16"/>
      <c r="AR585" s="16"/>
      <c r="AS585" s="16"/>
    </row>
    <row r="586" spans="18:45" x14ac:dyDescent="0.35">
      <c r="R586" s="191"/>
      <c r="S586" s="191"/>
      <c r="T586" s="193"/>
      <c r="U586" s="191"/>
      <c r="V586" s="194"/>
      <c r="W586" s="191"/>
      <c r="Y586" s="191"/>
      <c r="Z586" s="191"/>
      <c r="AA586" s="191"/>
      <c r="AB586" s="191"/>
      <c r="AC586" s="191"/>
      <c r="AD586" s="16"/>
      <c r="AE586" s="16"/>
      <c r="AF586" s="16"/>
      <c r="AG586" s="16"/>
      <c r="AH586" s="16"/>
      <c r="AI586" s="16"/>
      <c r="AJ586" s="16"/>
      <c r="AK586" s="16"/>
      <c r="AL586" s="16"/>
      <c r="AM586" s="16"/>
      <c r="AN586" s="16"/>
      <c r="AO586" s="16"/>
      <c r="AP586" s="16"/>
      <c r="AQ586" s="16"/>
      <c r="AR586" s="16"/>
      <c r="AS586" s="16"/>
    </row>
    <row r="587" spans="18:45" x14ac:dyDescent="0.35">
      <c r="R587" s="191"/>
      <c r="S587" s="191"/>
      <c r="T587" s="193"/>
      <c r="U587" s="191"/>
      <c r="V587" s="194"/>
      <c r="W587" s="191"/>
      <c r="Y587" s="191"/>
      <c r="Z587" s="191"/>
      <c r="AA587" s="191"/>
      <c r="AB587" s="191"/>
      <c r="AC587" s="191"/>
      <c r="AD587" s="16"/>
      <c r="AE587" s="16"/>
      <c r="AF587" s="16"/>
      <c r="AG587" s="16"/>
      <c r="AH587" s="16"/>
      <c r="AI587" s="16"/>
      <c r="AJ587" s="16"/>
      <c r="AK587" s="16"/>
      <c r="AL587" s="16"/>
      <c r="AM587" s="16"/>
      <c r="AN587" s="16"/>
      <c r="AO587" s="16"/>
      <c r="AP587" s="16"/>
      <c r="AQ587" s="16"/>
      <c r="AR587" s="16"/>
      <c r="AS587" s="16"/>
    </row>
    <row r="588" spans="18:45" x14ac:dyDescent="0.35">
      <c r="R588" s="191"/>
      <c r="S588" s="191"/>
      <c r="T588" s="193"/>
      <c r="U588" s="191"/>
      <c r="V588" s="194"/>
      <c r="W588" s="191"/>
      <c r="Y588" s="191"/>
      <c r="Z588" s="191"/>
      <c r="AA588" s="191"/>
      <c r="AB588" s="191"/>
      <c r="AC588" s="191"/>
      <c r="AD588" s="16"/>
      <c r="AE588" s="16"/>
      <c r="AF588" s="16"/>
      <c r="AG588" s="16"/>
      <c r="AH588" s="16"/>
      <c r="AI588" s="16"/>
      <c r="AJ588" s="16"/>
      <c r="AK588" s="16"/>
      <c r="AL588" s="16"/>
      <c r="AM588" s="16"/>
      <c r="AN588" s="16"/>
      <c r="AO588" s="16"/>
      <c r="AP588" s="16"/>
      <c r="AQ588" s="16"/>
      <c r="AR588" s="16"/>
      <c r="AS588" s="16"/>
    </row>
    <row r="589" spans="18:45" x14ac:dyDescent="0.35">
      <c r="R589" s="191"/>
      <c r="S589" s="191"/>
      <c r="T589" s="193"/>
      <c r="U589" s="191"/>
      <c r="V589" s="194"/>
      <c r="W589" s="191"/>
      <c r="Y589" s="191"/>
      <c r="Z589" s="191"/>
      <c r="AA589" s="191"/>
      <c r="AB589" s="191"/>
      <c r="AC589" s="191"/>
      <c r="AD589" s="16"/>
      <c r="AE589" s="16"/>
      <c r="AF589" s="16"/>
      <c r="AG589" s="16"/>
      <c r="AH589" s="16"/>
      <c r="AI589" s="16"/>
      <c r="AJ589" s="16"/>
      <c r="AK589" s="16"/>
      <c r="AL589" s="16"/>
      <c r="AM589" s="16"/>
      <c r="AN589" s="16"/>
      <c r="AO589" s="16"/>
      <c r="AP589" s="16"/>
      <c r="AQ589" s="16"/>
      <c r="AR589" s="16"/>
      <c r="AS589" s="16"/>
    </row>
    <row r="590" spans="18:45" x14ac:dyDescent="0.35">
      <c r="R590" s="191"/>
      <c r="S590" s="191"/>
      <c r="T590" s="193"/>
      <c r="U590" s="191"/>
      <c r="V590" s="194"/>
      <c r="W590" s="191"/>
      <c r="Y590" s="191"/>
      <c r="Z590" s="191"/>
      <c r="AA590" s="191"/>
      <c r="AB590" s="191"/>
      <c r="AC590" s="191"/>
      <c r="AD590" s="16"/>
      <c r="AE590" s="16"/>
      <c r="AF590" s="16"/>
      <c r="AG590" s="16"/>
      <c r="AH590" s="16"/>
      <c r="AI590" s="16"/>
      <c r="AJ590" s="16"/>
      <c r="AK590" s="16"/>
      <c r="AL590" s="16"/>
      <c r="AM590" s="16"/>
      <c r="AN590" s="16"/>
      <c r="AO590" s="16"/>
      <c r="AP590" s="16"/>
      <c r="AQ590" s="16"/>
      <c r="AR590" s="16"/>
      <c r="AS590" s="16"/>
    </row>
    <row r="591" spans="18:45" x14ac:dyDescent="0.35">
      <c r="R591" s="191"/>
      <c r="S591" s="191"/>
      <c r="T591" s="193"/>
      <c r="U591" s="191"/>
      <c r="V591" s="194"/>
      <c r="W591" s="191"/>
      <c r="Y591" s="191"/>
      <c r="Z591" s="191"/>
      <c r="AA591" s="191"/>
      <c r="AB591" s="191"/>
      <c r="AC591" s="191"/>
      <c r="AD591" s="16"/>
      <c r="AE591" s="16"/>
      <c r="AF591" s="16"/>
      <c r="AG591" s="16"/>
      <c r="AH591" s="16"/>
      <c r="AI591" s="16"/>
      <c r="AJ591" s="16"/>
      <c r="AK591" s="16"/>
      <c r="AL591" s="16"/>
      <c r="AM591" s="16"/>
      <c r="AN591" s="16"/>
      <c r="AO591" s="16"/>
      <c r="AP591" s="16"/>
      <c r="AQ591" s="16"/>
      <c r="AR591" s="16"/>
      <c r="AS591" s="16"/>
    </row>
    <row r="592" spans="18:45" x14ac:dyDescent="0.35">
      <c r="R592" s="191"/>
      <c r="S592" s="191"/>
      <c r="T592" s="193"/>
      <c r="U592" s="191"/>
      <c r="V592" s="194"/>
      <c r="W592" s="191"/>
      <c r="Y592" s="191"/>
      <c r="Z592" s="191"/>
      <c r="AA592" s="191"/>
      <c r="AB592" s="191"/>
      <c r="AC592" s="191"/>
      <c r="AD592" s="16"/>
      <c r="AE592" s="16"/>
      <c r="AF592" s="16"/>
      <c r="AG592" s="16"/>
      <c r="AH592" s="16"/>
      <c r="AI592" s="16"/>
      <c r="AJ592" s="16"/>
      <c r="AK592" s="16"/>
      <c r="AL592" s="16"/>
      <c r="AM592" s="16"/>
      <c r="AN592" s="16"/>
      <c r="AO592" s="16"/>
      <c r="AP592" s="16"/>
      <c r="AQ592" s="16"/>
      <c r="AR592" s="16"/>
      <c r="AS592" s="16"/>
    </row>
    <row r="593" spans="18:45" x14ac:dyDescent="0.35">
      <c r="R593" s="191"/>
      <c r="S593" s="191"/>
      <c r="T593" s="193"/>
      <c r="U593" s="191"/>
      <c r="V593" s="194"/>
      <c r="W593" s="191"/>
      <c r="Y593" s="191"/>
      <c r="Z593" s="191"/>
      <c r="AA593" s="191"/>
      <c r="AB593" s="191"/>
      <c r="AC593" s="191"/>
      <c r="AD593" s="16"/>
      <c r="AE593" s="16"/>
      <c r="AF593" s="16"/>
      <c r="AG593" s="16"/>
      <c r="AH593" s="16"/>
      <c r="AI593" s="16"/>
      <c r="AJ593" s="16"/>
      <c r="AK593" s="16"/>
      <c r="AL593" s="16"/>
      <c r="AM593" s="16"/>
      <c r="AN593" s="16"/>
      <c r="AO593" s="16"/>
      <c r="AP593" s="16"/>
      <c r="AQ593" s="16"/>
      <c r="AR593" s="16"/>
      <c r="AS593" s="16"/>
    </row>
    <row r="594" spans="18:45" x14ac:dyDescent="0.35">
      <c r="R594" s="191"/>
      <c r="S594" s="191"/>
      <c r="T594" s="193"/>
      <c r="U594" s="191"/>
      <c r="V594" s="194"/>
      <c r="W594" s="191"/>
      <c r="Y594" s="191"/>
      <c r="Z594" s="191"/>
      <c r="AA594" s="191"/>
      <c r="AB594" s="191"/>
      <c r="AC594" s="191"/>
      <c r="AD594" s="16"/>
      <c r="AE594" s="16"/>
      <c r="AF594" s="16"/>
      <c r="AG594" s="16"/>
      <c r="AH594" s="16"/>
      <c r="AI594" s="16"/>
      <c r="AJ594" s="16"/>
      <c r="AK594" s="16"/>
      <c r="AL594" s="16"/>
      <c r="AM594" s="16"/>
      <c r="AN594" s="16"/>
      <c r="AO594" s="16"/>
      <c r="AP594" s="16"/>
      <c r="AQ594" s="16"/>
      <c r="AR594" s="16"/>
      <c r="AS594" s="16"/>
    </row>
    <row r="595" spans="18:45" x14ac:dyDescent="0.35">
      <c r="R595" s="191"/>
      <c r="S595" s="191"/>
      <c r="T595" s="193"/>
      <c r="U595" s="191"/>
      <c r="V595" s="194"/>
      <c r="W595" s="191"/>
      <c r="Y595" s="191"/>
      <c r="Z595" s="191"/>
      <c r="AA595" s="191"/>
      <c r="AB595" s="191"/>
      <c r="AC595" s="191"/>
      <c r="AD595" s="16"/>
      <c r="AE595" s="16"/>
      <c r="AF595" s="16"/>
      <c r="AG595" s="16"/>
      <c r="AH595" s="16"/>
      <c r="AI595" s="16"/>
      <c r="AJ595" s="16"/>
      <c r="AK595" s="16"/>
      <c r="AL595" s="16"/>
      <c r="AM595" s="16"/>
      <c r="AN595" s="16"/>
      <c r="AO595" s="16"/>
      <c r="AP595" s="16"/>
      <c r="AQ595" s="16"/>
      <c r="AR595" s="16"/>
      <c r="AS595" s="16"/>
    </row>
    <row r="596" spans="18:45" x14ac:dyDescent="0.35">
      <c r="R596" s="191"/>
      <c r="S596" s="191"/>
      <c r="T596" s="193"/>
      <c r="U596" s="191"/>
      <c r="V596" s="194"/>
      <c r="W596" s="191"/>
      <c r="Y596" s="191"/>
      <c r="Z596" s="191"/>
      <c r="AA596" s="191"/>
      <c r="AB596" s="191"/>
      <c r="AC596" s="191"/>
      <c r="AD596" s="16"/>
      <c r="AE596" s="16"/>
      <c r="AF596" s="16"/>
      <c r="AG596" s="16"/>
      <c r="AH596" s="16"/>
      <c r="AI596" s="16"/>
      <c r="AJ596" s="16"/>
      <c r="AK596" s="16"/>
      <c r="AL596" s="16"/>
      <c r="AM596" s="16"/>
      <c r="AN596" s="16"/>
      <c r="AO596" s="16"/>
      <c r="AP596" s="16"/>
      <c r="AQ596" s="16"/>
      <c r="AR596" s="16"/>
      <c r="AS596" s="16"/>
    </row>
    <row r="597" spans="18:45" x14ac:dyDescent="0.35">
      <c r="R597" s="191"/>
      <c r="S597" s="191"/>
      <c r="T597" s="193"/>
      <c r="U597" s="191"/>
      <c r="V597" s="194"/>
      <c r="W597" s="191"/>
      <c r="Y597" s="191"/>
      <c r="Z597" s="191"/>
      <c r="AA597" s="191"/>
      <c r="AB597" s="191"/>
      <c r="AC597" s="191"/>
      <c r="AD597" s="16"/>
      <c r="AE597" s="16"/>
      <c r="AF597" s="16"/>
      <c r="AG597" s="16"/>
      <c r="AH597" s="16"/>
      <c r="AI597" s="16"/>
      <c r="AJ597" s="16"/>
      <c r="AK597" s="16"/>
      <c r="AL597" s="16"/>
      <c r="AM597" s="16"/>
      <c r="AN597" s="16"/>
      <c r="AO597" s="16"/>
      <c r="AP597" s="16"/>
      <c r="AQ597" s="16"/>
      <c r="AR597" s="16"/>
      <c r="AS597" s="16"/>
    </row>
    <row r="598" spans="18:45" x14ac:dyDescent="0.35">
      <c r="R598" s="191"/>
      <c r="S598" s="191"/>
      <c r="T598" s="193"/>
      <c r="U598" s="191"/>
      <c r="V598" s="194"/>
      <c r="W598" s="191"/>
      <c r="Y598" s="191"/>
      <c r="Z598" s="191"/>
      <c r="AA598" s="191"/>
      <c r="AB598" s="191"/>
      <c r="AC598" s="191"/>
      <c r="AD598" s="16"/>
      <c r="AE598" s="16"/>
      <c r="AF598" s="16"/>
      <c r="AG598" s="16"/>
      <c r="AH598" s="16"/>
      <c r="AI598" s="16"/>
      <c r="AJ598" s="16"/>
      <c r="AK598" s="16"/>
      <c r="AL598" s="16"/>
      <c r="AM598" s="16"/>
      <c r="AN598" s="16"/>
      <c r="AO598" s="16"/>
      <c r="AP598" s="16"/>
      <c r="AQ598" s="16"/>
      <c r="AR598" s="16"/>
      <c r="AS598" s="16"/>
    </row>
    <row r="599" spans="18:45" x14ac:dyDescent="0.35">
      <c r="R599" s="191"/>
      <c r="S599" s="191"/>
      <c r="T599" s="193"/>
      <c r="U599" s="191"/>
      <c r="V599" s="194"/>
      <c r="W599" s="191"/>
      <c r="Y599" s="191"/>
      <c r="Z599" s="191"/>
      <c r="AA599" s="191"/>
      <c r="AB599" s="191"/>
      <c r="AC599" s="191"/>
      <c r="AD599" s="16"/>
      <c r="AE599" s="16"/>
      <c r="AF599" s="16"/>
      <c r="AG599" s="16"/>
      <c r="AH599" s="16"/>
      <c r="AI599" s="16"/>
      <c r="AJ599" s="16"/>
      <c r="AK599" s="16"/>
      <c r="AL599" s="16"/>
      <c r="AM599" s="16"/>
      <c r="AN599" s="16"/>
      <c r="AO599" s="16"/>
      <c r="AP599" s="16"/>
      <c r="AQ599" s="16"/>
      <c r="AR599" s="16"/>
      <c r="AS599" s="16"/>
    </row>
    <row r="600" spans="18:45" x14ac:dyDescent="0.35">
      <c r="R600" s="191"/>
      <c r="S600" s="191"/>
      <c r="T600" s="193"/>
      <c r="U600" s="191"/>
      <c r="V600" s="194"/>
      <c r="W600" s="191"/>
      <c r="Y600" s="191"/>
      <c r="Z600" s="191"/>
      <c r="AA600" s="191"/>
      <c r="AB600" s="191"/>
      <c r="AC600" s="191"/>
      <c r="AD600" s="16"/>
      <c r="AE600" s="16"/>
      <c r="AF600" s="16"/>
      <c r="AG600" s="16"/>
      <c r="AH600" s="16"/>
      <c r="AI600" s="16"/>
      <c r="AJ600" s="16"/>
      <c r="AK600" s="16"/>
      <c r="AL600" s="16"/>
      <c r="AM600" s="16"/>
      <c r="AN600" s="16"/>
      <c r="AO600" s="16"/>
      <c r="AP600" s="16"/>
      <c r="AQ600" s="16"/>
      <c r="AR600" s="16"/>
      <c r="AS600" s="16"/>
    </row>
    <row r="601" spans="18:45" x14ac:dyDescent="0.35">
      <c r="R601" s="191"/>
      <c r="S601" s="191"/>
      <c r="T601" s="193"/>
      <c r="U601" s="191"/>
      <c r="V601" s="194"/>
      <c r="W601" s="191"/>
      <c r="Y601" s="191"/>
      <c r="Z601" s="191"/>
      <c r="AA601" s="191"/>
      <c r="AB601" s="191"/>
      <c r="AC601" s="191"/>
      <c r="AD601" s="16"/>
      <c r="AE601" s="16"/>
      <c r="AF601" s="16"/>
      <c r="AG601" s="16"/>
      <c r="AH601" s="16"/>
      <c r="AI601" s="16"/>
      <c r="AJ601" s="16"/>
      <c r="AK601" s="16"/>
      <c r="AL601" s="16"/>
      <c r="AM601" s="16"/>
      <c r="AN601" s="16"/>
      <c r="AO601" s="16"/>
      <c r="AP601" s="16"/>
      <c r="AQ601" s="16"/>
      <c r="AR601" s="16"/>
      <c r="AS601" s="16"/>
    </row>
    <row r="602" spans="18:45" x14ac:dyDescent="0.35">
      <c r="R602" s="191"/>
      <c r="S602" s="191"/>
      <c r="T602" s="193"/>
      <c r="U602" s="191"/>
      <c r="V602" s="194"/>
      <c r="W602" s="191"/>
      <c r="Y602" s="191"/>
      <c r="Z602" s="191"/>
      <c r="AA602" s="191"/>
      <c r="AB602" s="191"/>
      <c r="AC602" s="191"/>
      <c r="AD602" s="16"/>
      <c r="AE602" s="16"/>
      <c r="AF602" s="16"/>
      <c r="AG602" s="16"/>
      <c r="AH602" s="16"/>
      <c r="AI602" s="16"/>
      <c r="AJ602" s="16"/>
      <c r="AK602" s="16"/>
      <c r="AL602" s="16"/>
      <c r="AM602" s="16"/>
      <c r="AN602" s="16"/>
      <c r="AO602" s="16"/>
      <c r="AP602" s="16"/>
      <c r="AQ602" s="16"/>
      <c r="AR602" s="16"/>
      <c r="AS602" s="16"/>
    </row>
    <row r="603" spans="18:45" x14ac:dyDescent="0.35">
      <c r="R603" s="191"/>
      <c r="S603" s="191"/>
      <c r="T603" s="193"/>
      <c r="U603" s="191"/>
      <c r="V603" s="194"/>
      <c r="W603" s="191"/>
      <c r="Y603" s="191"/>
      <c r="Z603" s="191"/>
      <c r="AA603" s="191"/>
      <c r="AB603" s="191"/>
      <c r="AC603" s="191"/>
      <c r="AD603" s="16"/>
      <c r="AE603" s="16"/>
      <c r="AF603" s="16"/>
      <c r="AG603" s="16"/>
      <c r="AH603" s="16"/>
      <c r="AI603" s="16"/>
      <c r="AJ603" s="16"/>
      <c r="AK603" s="16"/>
      <c r="AL603" s="16"/>
      <c r="AM603" s="16"/>
      <c r="AN603" s="16"/>
      <c r="AO603" s="16"/>
      <c r="AP603" s="16"/>
      <c r="AQ603" s="16"/>
      <c r="AR603" s="16"/>
      <c r="AS603" s="16"/>
    </row>
    <row r="604" spans="18:45" x14ac:dyDescent="0.35">
      <c r="R604" s="191"/>
      <c r="S604" s="191"/>
      <c r="T604" s="193"/>
      <c r="U604" s="191"/>
      <c r="V604" s="194"/>
      <c r="W604" s="191"/>
      <c r="Y604" s="191"/>
      <c r="Z604" s="191"/>
      <c r="AA604" s="191"/>
      <c r="AB604" s="191"/>
      <c r="AC604" s="191"/>
      <c r="AD604" s="16"/>
      <c r="AE604" s="16"/>
      <c r="AF604" s="16"/>
      <c r="AG604" s="16"/>
      <c r="AH604" s="16"/>
      <c r="AI604" s="16"/>
      <c r="AJ604" s="16"/>
      <c r="AK604" s="16"/>
      <c r="AL604" s="16"/>
      <c r="AM604" s="16"/>
      <c r="AN604" s="16"/>
      <c r="AO604" s="16"/>
      <c r="AP604" s="16"/>
      <c r="AQ604" s="16"/>
      <c r="AR604" s="16"/>
      <c r="AS604" s="16"/>
    </row>
    <row r="605" spans="18:45" x14ac:dyDescent="0.35">
      <c r="R605" s="191"/>
      <c r="S605" s="191"/>
      <c r="T605" s="193"/>
      <c r="U605" s="191"/>
      <c r="V605" s="194"/>
      <c r="W605" s="191"/>
      <c r="Y605" s="191"/>
      <c r="Z605" s="191"/>
      <c r="AA605" s="191"/>
      <c r="AB605" s="191"/>
      <c r="AC605" s="191"/>
      <c r="AD605" s="16"/>
      <c r="AE605" s="16"/>
      <c r="AF605" s="16"/>
      <c r="AG605" s="16"/>
      <c r="AH605" s="16"/>
      <c r="AI605" s="16"/>
      <c r="AJ605" s="16"/>
      <c r="AK605" s="16"/>
      <c r="AL605" s="16"/>
      <c r="AM605" s="16"/>
      <c r="AN605" s="16"/>
      <c r="AO605" s="16"/>
      <c r="AP605" s="16"/>
      <c r="AQ605" s="16"/>
      <c r="AR605" s="16"/>
      <c r="AS605" s="16"/>
    </row>
    <row r="606" spans="18:45" x14ac:dyDescent="0.35">
      <c r="R606" s="191"/>
      <c r="S606" s="191"/>
      <c r="T606" s="193"/>
      <c r="U606" s="191"/>
      <c r="V606" s="194"/>
      <c r="W606" s="191"/>
      <c r="Y606" s="191"/>
      <c r="Z606" s="191"/>
      <c r="AA606" s="191"/>
      <c r="AB606" s="191"/>
      <c r="AC606" s="191"/>
      <c r="AD606" s="16"/>
      <c r="AE606" s="16"/>
      <c r="AF606" s="16"/>
      <c r="AG606" s="16"/>
      <c r="AH606" s="16"/>
      <c r="AI606" s="16"/>
      <c r="AJ606" s="16"/>
      <c r="AK606" s="16"/>
      <c r="AL606" s="16"/>
      <c r="AM606" s="16"/>
      <c r="AN606" s="16"/>
      <c r="AO606" s="16"/>
      <c r="AP606" s="16"/>
      <c r="AQ606" s="16"/>
      <c r="AR606" s="16"/>
      <c r="AS606" s="16"/>
    </row>
    <row r="607" spans="18:45" x14ac:dyDescent="0.35">
      <c r="R607" s="191"/>
      <c r="S607" s="191"/>
      <c r="T607" s="193"/>
      <c r="U607" s="191"/>
      <c r="V607" s="194"/>
      <c r="W607" s="191"/>
      <c r="Y607" s="191"/>
      <c r="Z607" s="191"/>
      <c r="AA607" s="191"/>
      <c r="AB607" s="191"/>
      <c r="AC607" s="191"/>
      <c r="AD607" s="16"/>
      <c r="AE607" s="16"/>
      <c r="AF607" s="16"/>
      <c r="AG607" s="16"/>
      <c r="AH607" s="16"/>
      <c r="AI607" s="16"/>
      <c r="AJ607" s="16"/>
      <c r="AK607" s="16"/>
      <c r="AL607" s="16"/>
      <c r="AM607" s="16"/>
      <c r="AN607" s="16"/>
      <c r="AO607" s="16"/>
      <c r="AP607" s="16"/>
      <c r="AQ607" s="16"/>
      <c r="AR607" s="16"/>
      <c r="AS607" s="16"/>
    </row>
    <row r="608" spans="18:45" x14ac:dyDescent="0.35">
      <c r="R608" s="191"/>
      <c r="S608" s="191"/>
      <c r="T608" s="193"/>
      <c r="U608" s="191"/>
      <c r="V608" s="194"/>
      <c r="W608" s="191"/>
      <c r="Y608" s="191"/>
      <c r="Z608" s="191"/>
      <c r="AA608" s="191"/>
      <c r="AB608" s="191"/>
      <c r="AC608" s="191"/>
      <c r="AD608" s="16"/>
      <c r="AE608" s="16"/>
      <c r="AF608" s="16"/>
      <c r="AG608" s="16"/>
      <c r="AH608" s="16"/>
      <c r="AI608" s="16"/>
      <c r="AJ608" s="16"/>
      <c r="AK608" s="16"/>
      <c r="AL608" s="16"/>
      <c r="AM608" s="16"/>
      <c r="AN608" s="16"/>
      <c r="AO608" s="16"/>
      <c r="AP608" s="16"/>
      <c r="AQ608" s="16"/>
      <c r="AR608" s="16"/>
      <c r="AS608" s="16"/>
    </row>
    <row r="609" spans="18:45" x14ac:dyDescent="0.35">
      <c r="R609" s="191"/>
      <c r="S609" s="191"/>
      <c r="T609" s="193"/>
      <c r="U609" s="191"/>
      <c r="V609" s="194"/>
      <c r="W609" s="191"/>
      <c r="Y609" s="191"/>
      <c r="Z609" s="191"/>
      <c r="AA609" s="191"/>
      <c r="AB609" s="191"/>
      <c r="AC609" s="191"/>
      <c r="AD609" s="16"/>
      <c r="AE609" s="16"/>
      <c r="AF609" s="16"/>
      <c r="AG609" s="16"/>
      <c r="AH609" s="16"/>
      <c r="AI609" s="16"/>
      <c r="AJ609" s="16"/>
      <c r="AK609" s="16"/>
      <c r="AL609" s="16"/>
      <c r="AM609" s="16"/>
      <c r="AN609" s="16"/>
      <c r="AO609" s="16"/>
      <c r="AP609" s="16"/>
      <c r="AQ609" s="16"/>
      <c r="AR609" s="16"/>
      <c r="AS609" s="16"/>
    </row>
    <row r="610" spans="18:45" x14ac:dyDescent="0.35">
      <c r="R610" s="191"/>
      <c r="S610" s="191"/>
      <c r="T610" s="193"/>
      <c r="U610" s="191"/>
      <c r="V610" s="194"/>
      <c r="W610" s="191"/>
      <c r="Y610" s="191"/>
      <c r="Z610" s="191"/>
      <c r="AA610" s="191"/>
      <c r="AB610" s="191"/>
      <c r="AC610" s="191"/>
      <c r="AD610" s="16"/>
      <c r="AE610" s="16"/>
      <c r="AF610" s="16"/>
      <c r="AG610" s="16"/>
      <c r="AH610" s="16"/>
      <c r="AI610" s="16"/>
      <c r="AJ610" s="16"/>
      <c r="AK610" s="16"/>
      <c r="AL610" s="16"/>
      <c r="AM610" s="16"/>
      <c r="AN610" s="16"/>
      <c r="AO610" s="16"/>
      <c r="AP610" s="16"/>
      <c r="AQ610" s="16"/>
      <c r="AR610" s="16"/>
      <c r="AS610" s="16"/>
    </row>
    <row r="611" spans="18:45" x14ac:dyDescent="0.35">
      <c r="R611" s="191"/>
      <c r="S611" s="191"/>
      <c r="T611" s="193"/>
      <c r="U611" s="191"/>
      <c r="V611" s="194"/>
      <c r="W611" s="191"/>
      <c r="Y611" s="191"/>
      <c r="Z611" s="191"/>
      <c r="AA611" s="191"/>
      <c r="AB611" s="191"/>
      <c r="AC611" s="191"/>
      <c r="AD611" s="16"/>
      <c r="AE611" s="16"/>
      <c r="AF611" s="16"/>
      <c r="AG611" s="16"/>
      <c r="AH611" s="16"/>
      <c r="AI611" s="16"/>
      <c r="AJ611" s="16"/>
      <c r="AK611" s="16"/>
      <c r="AL611" s="16"/>
      <c r="AM611" s="16"/>
      <c r="AN611" s="16"/>
      <c r="AO611" s="16"/>
      <c r="AP611" s="16"/>
      <c r="AQ611" s="16"/>
      <c r="AR611" s="16"/>
      <c r="AS611" s="16"/>
    </row>
    <row r="612" spans="18:45" x14ac:dyDescent="0.35">
      <c r="R612" s="191"/>
      <c r="S612" s="191"/>
      <c r="T612" s="193"/>
      <c r="U612" s="191"/>
      <c r="V612" s="194"/>
      <c r="W612" s="191"/>
      <c r="Y612" s="191"/>
      <c r="Z612" s="191"/>
      <c r="AA612" s="191"/>
      <c r="AB612" s="191"/>
      <c r="AC612" s="191"/>
      <c r="AD612" s="16"/>
      <c r="AE612" s="16"/>
      <c r="AF612" s="16"/>
      <c r="AG612" s="16"/>
      <c r="AH612" s="16"/>
      <c r="AI612" s="16"/>
      <c r="AJ612" s="16"/>
      <c r="AK612" s="16"/>
      <c r="AL612" s="16"/>
      <c r="AM612" s="16"/>
      <c r="AN612" s="16"/>
      <c r="AO612" s="16"/>
      <c r="AP612" s="16"/>
      <c r="AQ612" s="16"/>
      <c r="AR612" s="16"/>
      <c r="AS612" s="16"/>
    </row>
    <row r="613" spans="18:45" x14ac:dyDescent="0.35">
      <c r="R613" s="191"/>
      <c r="S613" s="191"/>
      <c r="T613" s="193"/>
      <c r="U613" s="191"/>
      <c r="V613" s="194"/>
      <c r="W613" s="191"/>
      <c r="Y613" s="191"/>
      <c r="Z613" s="191"/>
      <c r="AA613" s="191"/>
      <c r="AB613" s="191"/>
      <c r="AC613" s="191"/>
      <c r="AD613" s="16"/>
      <c r="AE613" s="16"/>
      <c r="AF613" s="16"/>
      <c r="AG613" s="16"/>
      <c r="AH613" s="16"/>
      <c r="AI613" s="16"/>
      <c r="AJ613" s="16"/>
      <c r="AK613" s="16"/>
      <c r="AL613" s="16"/>
      <c r="AM613" s="16"/>
      <c r="AN613" s="16"/>
      <c r="AO613" s="16"/>
      <c r="AP613" s="16"/>
      <c r="AQ613" s="16"/>
      <c r="AR613" s="16"/>
      <c r="AS613" s="16"/>
    </row>
    <row r="614" spans="18:45" x14ac:dyDescent="0.35">
      <c r="R614" s="191"/>
      <c r="S614" s="191"/>
      <c r="T614" s="193"/>
      <c r="U614" s="191"/>
      <c r="V614" s="194"/>
      <c r="W614" s="191"/>
      <c r="Y614" s="191"/>
      <c r="Z614" s="191"/>
      <c r="AA614" s="191"/>
      <c r="AB614" s="191"/>
      <c r="AC614" s="191"/>
      <c r="AD614" s="16"/>
      <c r="AE614" s="16"/>
      <c r="AF614" s="16"/>
      <c r="AG614" s="16"/>
      <c r="AH614" s="16"/>
      <c r="AI614" s="16"/>
      <c r="AJ614" s="16"/>
      <c r="AK614" s="16"/>
      <c r="AL614" s="16"/>
      <c r="AM614" s="16"/>
      <c r="AN614" s="16"/>
      <c r="AO614" s="16"/>
      <c r="AP614" s="16"/>
      <c r="AQ614" s="16"/>
      <c r="AR614" s="16"/>
      <c r="AS614" s="16"/>
    </row>
    <row r="615" spans="18:45" x14ac:dyDescent="0.35">
      <c r="R615" s="191"/>
      <c r="S615" s="191"/>
      <c r="T615" s="193"/>
      <c r="U615" s="191"/>
      <c r="V615" s="194"/>
      <c r="W615" s="191"/>
      <c r="Y615" s="191"/>
      <c r="Z615" s="191"/>
      <c r="AA615" s="191"/>
      <c r="AB615" s="191"/>
      <c r="AC615" s="191"/>
      <c r="AD615" s="16"/>
      <c r="AE615" s="16"/>
      <c r="AF615" s="16"/>
      <c r="AG615" s="16"/>
      <c r="AH615" s="16"/>
      <c r="AI615" s="16"/>
      <c r="AJ615" s="16"/>
      <c r="AK615" s="16"/>
      <c r="AL615" s="16"/>
      <c r="AM615" s="16"/>
      <c r="AN615" s="16"/>
      <c r="AO615" s="16"/>
      <c r="AP615" s="16"/>
      <c r="AQ615" s="16"/>
      <c r="AR615" s="16"/>
      <c r="AS615" s="16"/>
    </row>
    <row r="616" spans="18:45" x14ac:dyDescent="0.35">
      <c r="R616" s="191"/>
      <c r="S616" s="191"/>
      <c r="T616" s="193"/>
      <c r="U616" s="191"/>
      <c r="V616" s="194"/>
      <c r="W616" s="191"/>
      <c r="Y616" s="191"/>
      <c r="Z616" s="191"/>
      <c r="AA616" s="191"/>
      <c r="AB616" s="191"/>
      <c r="AC616" s="191"/>
      <c r="AD616" s="16"/>
      <c r="AE616" s="16"/>
      <c r="AF616" s="16"/>
      <c r="AG616" s="16"/>
      <c r="AH616" s="16"/>
      <c r="AI616" s="16"/>
      <c r="AJ616" s="16"/>
      <c r="AK616" s="16"/>
      <c r="AL616" s="16"/>
      <c r="AM616" s="16"/>
      <c r="AN616" s="16"/>
      <c r="AO616" s="16"/>
      <c r="AP616" s="16"/>
      <c r="AQ616" s="16"/>
      <c r="AR616" s="16"/>
      <c r="AS616" s="16"/>
    </row>
    <row r="617" spans="18:45" x14ac:dyDescent="0.35">
      <c r="R617" s="191"/>
      <c r="S617" s="191"/>
      <c r="T617" s="193"/>
      <c r="U617" s="191"/>
      <c r="V617" s="194"/>
      <c r="W617" s="191"/>
      <c r="Y617" s="191"/>
      <c r="Z617" s="191"/>
      <c r="AA617" s="191"/>
      <c r="AB617" s="191"/>
      <c r="AC617" s="191"/>
      <c r="AD617" s="16"/>
      <c r="AE617" s="16"/>
      <c r="AF617" s="16"/>
      <c r="AG617" s="16"/>
      <c r="AH617" s="16"/>
      <c r="AI617" s="16"/>
      <c r="AJ617" s="16"/>
      <c r="AK617" s="16"/>
      <c r="AL617" s="16"/>
      <c r="AM617" s="16"/>
      <c r="AN617" s="16"/>
      <c r="AO617" s="16"/>
      <c r="AP617" s="16"/>
      <c r="AQ617" s="16"/>
      <c r="AR617" s="16"/>
      <c r="AS617" s="16"/>
    </row>
    <row r="618" spans="18:45" x14ac:dyDescent="0.35">
      <c r="R618" s="191"/>
      <c r="S618" s="191"/>
      <c r="T618" s="193"/>
      <c r="U618" s="191"/>
      <c r="V618" s="194"/>
      <c r="W618" s="191"/>
      <c r="Y618" s="191"/>
      <c r="Z618" s="191"/>
      <c r="AA618" s="191"/>
      <c r="AB618" s="191"/>
      <c r="AC618" s="191"/>
      <c r="AD618" s="16"/>
      <c r="AE618" s="16"/>
      <c r="AF618" s="16"/>
      <c r="AG618" s="16"/>
      <c r="AH618" s="16"/>
      <c r="AI618" s="16"/>
      <c r="AJ618" s="16"/>
      <c r="AK618" s="16"/>
      <c r="AL618" s="16"/>
      <c r="AM618" s="16"/>
      <c r="AN618" s="16"/>
      <c r="AO618" s="16"/>
      <c r="AP618" s="16"/>
      <c r="AQ618" s="16"/>
      <c r="AR618" s="16"/>
      <c r="AS618" s="16"/>
    </row>
    <row r="619" spans="18:45" x14ac:dyDescent="0.35">
      <c r="R619" s="191"/>
      <c r="S619" s="191"/>
      <c r="T619" s="193"/>
      <c r="U619" s="191"/>
      <c r="V619" s="194"/>
      <c r="W619" s="191"/>
      <c r="Y619" s="191"/>
      <c r="Z619" s="191"/>
      <c r="AA619" s="191"/>
      <c r="AB619" s="191"/>
      <c r="AC619" s="191"/>
      <c r="AD619" s="16"/>
      <c r="AE619" s="16"/>
      <c r="AF619" s="16"/>
      <c r="AG619" s="16"/>
      <c r="AH619" s="16"/>
      <c r="AI619" s="16"/>
      <c r="AJ619" s="16"/>
      <c r="AK619" s="16"/>
      <c r="AL619" s="16"/>
      <c r="AM619" s="16"/>
      <c r="AN619" s="16"/>
      <c r="AO619" s="16"/>
      <c r="AP619" s="16"/>
      <c r="AQ619" s="16"/>
      <c r="AR619" s="16"/>
      <c r="AS619" s="16"/>
    </row>
    <row r="620" spans="18:45" x14ac:dyDescent="0.35">
      <c r="R620" s="191"/>
      <c r="S620" s="191"/>
      <c r="T620" s="193"/>
      <c r="U620" s="191"/>
      <c r="V620" s="194"/>
      <c r="W620" s="191"/>
      <c r="Y620" s="191"/>
      <c r="Z620" s="191"/>
      <c r="AA620" s="191"/>
      <c r="AB620" s="191"/>
      <c r="AC620" s="191"/>
      <c r="AD620" s="16"/>
      <c r="AE620" s="16"/>
      <c r="AF620" s="16"/>
      <c r="AG620" s="16"/>
      <c r="AH620" s="16"/>
      <c r="AI620" s="16"/>
      <c r="AJ620" s="16"/>
      <c r="AK620" s="16"/>
      <c r="AL620" s="16"/>
      <c r="AM620" s="16"/>
      <c r="AN620" s="16"/>
      <c r="AO620" s="16"/>
      <c r="AP620" s="16"/>
      <c r="AQ620" s="16"/>
      <c r="AR620" s="16"/>
      <c r="AS620" s="16"/>
    </row>
    <row r="621" spans="18:45" x14ac:dyDescent="0.35">
      <c r="R621" s="191"/>
      <c r="S621" s="191"/>
      <c r="T621" s="193"/>
      <c r="U621" s="191"/>
      <c r="V621" s="194"/>
      <c r="W621" s="191"/>
      <c r="Y621" s="191"/>
      <c r="Z621" s="191"/>
      <c r="AA621" s="191"/>
      <c r="AB621" s="191"/>
      <c r="AC621" s="191"/>
      <c r="AD621" s="16"/>
      <c r="AE621" s="16"/>
      <c r="AF621" s="16"/>
      <c r="AG621" s="16"/>
      <c r="AH621" s="16"/>
      <c r="AI621" s="16"/>
      <c r="AJ621" s="16"/>
      <c r="AK621" s="16"/>
      <c r="AL621" s="16"/>
      <c r="AM621" s="16"/>
      <c r="AN621" s="16"/>
      <c r="AO621" s="16"/>
      <c r="AP621" s="16"/>
      <c r="AQ621" s="16"/>
      <c r="AR621" s="16"/>
      <c r="AS621" s="16"/>
    </row>
    <row r="622" spans="18:45" x14ac:dyDescent="0.35">
      <c r="R622" s="191"/>
      <c r="S622" s="191"/>
      <c r="T622" s="193"/>
      <c r="U622" s="191"/>
      <c r="V622" s="194"/>
      <c r="W622" s="191"/>
      <c r="Y622" s="191"/>
      <c r="Z622" s="191"/>
      <c r="AA622" s="191"/>
      <c r="AB622" s="191"/>
      <c r="AC622" s="191"/>
      <c r="AD622" s="16"/>
      <c r="AE622" s="16"/>
      <c r="AF622" s="16"/>
      <c r="AG622" s="16"/>
      <c r="AH622" s="16"/>
      <c r="AI622" s="16"/>
      <c r="AJ622" s="16"/>
      <c r="AK622" s="16"/>
      <c r="AL622" s="16"/>
      <c r="AM622" s="16"/>
      <c r="AN622" s="16"/>
      <c r="AO622" s="16"/>
      <c r="AP622" s="16"/>
      <c r="AQ622" s="16"/>
      <c r="AR622" s="16"/>
      <c r="AS622" s="16"/>
    </row>
    <row r="623" spans="18:45" x14ac:dyDescent="0.35">
      <c r="R623" s="191"/>
      <c r="S623" s="191"/>
      <c r="T623" s="193"/>
      <c r="U623" s="191"/>
      <c r="V623" s="194"/>
      <c r="W623" s="191"/>
      <c r="Y623" s="191"/>
      <c r="Z623" s="191"/>
      <c r="AA623" s="191"/>
      <c r="AB623" s="191"/>
      <c r="AC623" s="191"/>
      <c r="AD623" s="16"/>
      <c r="AE623" s="16"/>
      <c r="AF623" s="16"/>
      <c r="AG623" s="16"/>
      <c r="AH623" s="16"/>
      <c r="AI623" s="16"/>
      <c r="AJ623" s="16"/>
      <c r="AK623" s="16"/>
      <c r="AL623" s="16"/>
      <c r="AM623" s="16"/>
      <c r="AN623" s="16"/>
      <c r="AO623" s="16"/>
      <c r="AP623" s="16"/>
      <c r="AQ623" s="16"/>
      <c r="AR623" s="16"/>
      <c r="AS623" s="16"/>
    </row>
    <row r="624" spans="18:45" x14ac:dyDescent="0.35">
      <c r="R624" s="191"/>
      <c r="S624" s="191"/>
      <c r="T624" s="193"/>
      <c r="U624" s="191"/>
      <c r="V624" s="194"/>
      <c r="W624" s="191"/>
      <c r="Y624" s="191"/>
      <c r="Z624" s="191"/>
      <c r="AA624" s="191"/>
      <c r="AB624" s="191"/>
      <c r="AC624" s="191"/>
      <c r="AD624" s="16"/>
      <c r="AE624" s="16"/>
      <c r="AF624" s="16"/>
      <c r="AG624" s="16"/>
      <c r="AH624" s="16"/>
      <c r="AI624" s="16"/>
      <c r="AJ624" s="16"/>
      <c r="AK624" s="16"/>
      <c r="AL624" s="16"/>
      <c r="AM624" s="16"/>
      <c r="AN624" s="16"/>
      <c r="AO624" s="16"/>
      <c r="AP624" s="16"/>
      <c r="AQ624" s="16"/>
      <c r="AR624" s="16"/>
      <c r="AS624" s="16"/>
    </row>
    <row r="625" spans="18:45" x14ac:dyDescent="0.35">
      <c r="R625" s="191"/>
      <c r="S625" s="191"/>
      <c r="T625" s="193"/>
      <c r="U625" s="191"/>
      <c r="V625" s="194"/>
      <c r="W625" s="191"/>
      <c r="Y625" s="191"/>
      <c r="Z625" s="191"/>
      <c r="AA625" s="191"/>
      <c r="AB625" s="191"/>
      <c r="AC625" s="191"/>
      <c r="AD625" s="16"/>
      <c r="AE625" s="16"/>
      <c r="AF625" s="16"/>
      <c r="AG625" s="16"/>
      <c r="AH625" s="16"/>
      <c r="AI625" s="16"/>
      <c r="AJ625" s="16"/>
      <c r="AK625" s="16"/>
      <c r="AL625" s="16"/>
      <c r="AM625" s="16"/>
      <c r="AN625" s="16"/>
      <c r="AO625" s="16"/>
      <c r="AP625" s="16"/>
      <c r="AQ625" s="16"/>
      <c r="AR625" s="16"/>
      <c r="AS625" s="16"/>
    </row>
    <row r="626" spans="18:45" x14ac:dyDescent="0.35">
      <c r="R626" s="191"/>
      <c r="S626" s="191"/>
      <c r="T626" s="193"/>
      <c r="U626" s="191"/>
      <c r="V626" s="194"/>
      <c r="W626" s="191"/>
      <c r="Y626" s="191"/>
      <c r="Z626" s="191"/>
      <c r="AA626" s="191"/>
      <c r="AB626" s="191"/>
      <c r="AC626" s="191"/>
      <c r="AD626" s="16"/>
      <c r="AE626" s="16"/>
      <c r="AF626" s="16"/>
      <c r="AG626" s="16"/>
      <c r="AH626" s="16"/>
      <c r="AI626" s="16"/>
      <c r="AJ626" s="16"/>
      <c r="AK626" s="16"/>
      <c r="AL626" s="16"/>
      <c r="AM626" s="16"/>
      <c r="AN626" s="16"/>
      <c r="AO626" s="16"/>
      <c r="AP626" s="16"/>
      <c r="AQ626" s="16"/>
      <c r="AR626" s="16"/>
      <c r="AS626" s="16"/>
    </row>
    <row r="627" spans="18:45" x14ac:dyDescent="0.35">
      <c r="R627" s="191"/>
      <c r="S627" s="191"/>
      <c r="T627" s="193"/>
      <c r="U627" s="191"/>
      <c r="V627" s="194"/>
      <c r="W627" s="191"/>
      <c r="Y627" s="191"/>
      <c r="Z627" s="191"/>
      <c r="AA627" s="191"/>
      <c r="AB627" s="191"/>
      <c r="AC627" s="191"/>
      <c r="AD627" s="16"/>
      <c r="AE627" s="16"/>
      <c r="AF627" s="16"/>
      <c r="AG627" s="16"/>
      <c r="AH627" s="16"/>
      <c r="AI627" s="16"/>
      <c r="AJ627" s="16"/>
      <c r="AK627" s="16"/>
      <c r="AL627" s="16"/>
      <c r="AM627" s="16"/>
      <c r="AN627" s="16"/>
      <c r="AO627" s="16"/>
      <c r="AP627" s="16"/>
      <c r="AQ627" s="16"/>
      <c r="AR627" s="16"/>
      <c r="AS627" s="16"/>
    </row>
    <row r="628" spans="18:45" x14ac:dyDescent="0.35">
      <c r="R628" s="191"/>
      <c r="S628" s="191"/>
      <c r="T628" s="193"/>
      <c r="U628" s="191"/>
      <c r="V628" s="194"/>
      <c r="W628" s="191"/>
      <c r="Y628" s="191"/>
      <c r="Z628" s="191"/>
      <c r="AA628" s="191"/>
      <c r="AB628" s="191"/>
      <c r="AC628" s="191"/>
      <c r="AD628" s="16"/>
      <c r="AE628" s="16"/>
      <c r="AF628" s="16"/>
      <c r="AG628" s="16"/>
      <c r="AH628" s="16"/>
      <c r="AI628" s="16"/>
      <c r="AJ628" s="16"/>
      <c r="AK628" s="16"/>
      <c r="AL628" s="16"/>
      <c r="AM628" s="16"/>
      <c r="AN628" s="16"/>
      <c r="AO628" s="16"/>
      <c r="AP628" s="16"/>
      <c r="AQ628" s="16"/>
      <c r="AR628" s="16"/>
      <c r="AS628" s="16"/>
    </row>
    <row r="629" spans="18:45" x14ac:dyDescent="0.35">
      <c r="R629" s="191"/>
      <c r="S629" s="191"/>
      <c r="T629" s="193"/>
      <c r="U629" s="191"/>
      <c r="V629" s="194"/>
      <c r="W629" s="191"/>
      <c r="Y629" s="191"/>
      <c r="Z629" s="191"/>
      <c r="AA629" s="191"/>
      <c r="AB629" s="191"/>
      <c r="AC629" s="191"/>
      <c r="AD629" s="16"/>
      <c r="AE629" s="16"/>
      <c r="AF629" s="16"/>
      <c r="AG629" s="16"/>
      <c r="AH629" s="16"/>
      <c r="AI629" s="16"/>
      <c r="AJ629" s="16"/>
      <c r="AK629" s="16"/>
      <c r="AL629" s="16"/>
      <c r="AM629" s="16"/>
      <c r="AN629" s="16"/>
      <c r="AO629" s="16"/>
      <c r="AP629" s="16"/>
      <c r="AQ629" s="16"/>
      <c r="AR629" s="16"/>
      <c r="AS629" s="16"/>
    </row>
    <row r="630" spans="18:45" x14ac:dyDescent="0.35">
      <c r="R630" s="191"/>
      <c r="S630" s="191"/>
      <c r="T630" s="193"/>
      <c r="U630" s="191"/>
      <c r="V630" s="194"/>
      <c r="W630" s="191"/>
      <c r="Y630" s="191"/>
      <c r="Z630" s="191"/>
      <c r="AA630" s="191"/>
      <c r="AB630" s="191"/>
      <c r="AC630" s="191"/>
      <c r="AD630" s="16"/>
      <c r="AE630" s="16"/>
      <c r="AF630" s="16"/>
      <c r="AG630" s="16"/>
      <c r="AH630" s="16"/>
      <c r="AI630" s="16"/>
      <c r="AJ630" s="16"/>
      <c r="AK630" s="16"/>
      <c r="AL630" s="16"/>
      <c r="AM630" s="16"/>
      <c r="AN630" s="16"/>
      <c r="AO630" s="16"/>
      <c r="AP630" s="16"/>
      <c r="AQ630" s="16"/>
      <c r="AR630" s="16"/>
      <c r="AS630" s="16"/>
    </row>
    <row r="631" spans="18:45" x14ac:dyDescent="0.35">
      <c r="R631" s="191"/>
      <c r="S631" s="191"/>
      <c r="T631" s="193"/>
      <c r="U631" s="191"/>
      <c r="V631" s="194"/>
      <c r="W631" s="191"/>
      <c r="Y631" s="191"/>
      <c r="Z631" s="191"/>
      <c r="AA631" s="191"/>
      <c r="AB631" s="191"/>
      <c r="AC631" s="191"/>
      <c r="AD631" s="16"/>
      <c r="AE631" s="16"/>
      <c r="AF631" s="16"/>
      <c r="AG631" s="16"/>
      <c r="AH631" s="16"/>
      <c r="AI631" s="16"/>
      <c r="AJ631" s="16"/>
      <c r="AK631" s="16"/>
      <c r="AL631" s="16"/>
      <c r="AM631" s="16"/>
      <c r="AN631" s="16"/>
      <c r="AO631" s="16"/>
      <c r="AP631" s="16"/>
      <c r="AQ631" s="16"/>
      <c r="AR631" s="16"/>
      <c r="AS631" s="16"/>
    </row>
    <row r="632" spans="18:45" x14ac:dyDescent="0.35">
      <c r="R632" s="191"/>
      <c r="S632" s="191"/>
      <c r="T632" s="193"/>
      <c r="U632" s="191"/>
      <c r="V632" s="194"/>
      <c r="W632" s="191"/>
      <c r="Y632" s="191"/>
      <c r="Z632" s="191"/>
      <c r="AA632" s="191"/>
      <c r="AB632" s="191"/>
      <c r="AC632" s="191"/>
      <c r="AD632" s="16"/>
      <c r="AE632" s="16"/>
      <c r="AF632" s="16"/>
      <c r="AG632" s="16"/>
      <c r="AH632" s="16"/>
      <c r="AI632" s="16"/>
      <c r="AJ632" s="16"/>
      <c r="AK632" s="16"/>
      <c r="AL632" s="16"/>
      <c r="AM632" s="16"/>
      <c r="AN632" s="16"/>
      <c r="AO632" s="16"/>
      <c r="AP632" s="16"/>
      <c r="AQ632" s="16"/>
      <c r="AR632" s="16"/>
      <c r="AS632" s="16"/>
    </row>
    <row r="633" spans="18:45" x14ac:dyDescent="0.35">
      <c r="R633" s="191"/>
      <c r="S633" s="191"/>
      <c r="T633" s="193"/>
      <c r="U633" s="191"/>
      <c r="V633" s="194"/>
      <c r="W633" s="191"/>
      <c r="Y633" s="191"/>
      <c r="Z633" s="191"/>
      <c r="AA633" s="191"/>
      <c r="AB633" s="191"/>
      <c r="AC633" s="191"/>
      <c r="AD633" s="16"/>
      <c r="AE633" s="16"/>
      <c r="AF633" s="16"/>
      <c r="AG633" s="16"/>
      <c r="AH633" s="16"/>
      <c r="AI633" s="16"/>
      <c r="AJ633" s="16"/>
      <c r="AK633" s="16"/>
      <c r="AL633" s="16"/>
      <c r="AM633" s="16"/>
      <c r="AN633" s="16"/>
      <c r="AO633" s="16"/>
      <c r="AP633" s="16"/>
      <c r="AQ633" s="16"/>
      <c r="AR633" s="16"/>
      <c r="AS633" s="16"/>
    </row>
    <row r="634" spans="18:45" x14ac:dyDescent="0.35">
      <c r="R634" s="191"/>
      <c r="S634" s="191"/>
      <c r="T634" s="193"/>
      <c r="U634" s="191"/>
      <c r="V634" s="194"/>
      <c r="W634" s="191"/>
      <c r="Y634" s="191"/>
      <c r="Z634" s="191"/>
      <c r="AA634" s="191"/>
      <c r="AB634" s="191"/>
      <c r="AC634" s="191"/>
      <c r="AD634" s="16"/>
      <c r="AE634" s="16"/>
      <c r="AF634" s="16"/>
      <c r="AG634" s="16"/>
      <c r="AH634" s="16"/>
      <c r="AI634" s="16"/>
      <c r="AJ634" s="16"/>
      <c r="AK634" s="16"/>
      <c r="AL634" s="16"/>
      <c r="AM634" s="16"/>
      <c r="AN634" s="16"/>
      <c r="AO634" s="16"/>
      <c r="AP634" s="16"/>
      <c r="AQ634" s="16"/>
      <c r="AR634" s="16"/>
      <c r="AS634" s="16"/>
    </row>
    <row r="635" spans="18:45" x14ac:dyDescent="0.35">
      <c r="R635" s="191"/>
      <c r="S635" s="191"/>
      <c r="T635" s="193"/>
      <c r="U635" s="191"/>
      <c r="V635" s="194"/>
      <c r="W635" s="191"/>
      <c r="Y635" s="191"/>
      <c r="Z635" s="191"/>
      <c r="AA635" s="191"/>
      <c r="AB635" s="191"/>
      <c r="AC635" s="191"/>
      <c r="AD635" s="16"/>
      <c r="AE635" s="16"/>
      <c r="AF635" s="16"/>
      <c r="AG635" s="16"/>
      <c r="AH635" s="16"/>
      <c r="AI635" s="16"/>
      <c r="AJ635" s="16"/>
      <c r="AK635" s="16"/>
      <c r="AL635" s="16"/>
      <c r="AM635" s="16"/>
      <c r="AN635" s="16"/>
      <c r="AO635" s="16"/>
      <c r="AP635" s="16"/>
      <c r="AQ635" s="16"/>
      <c r="AR635" s="16"/>
      <c r="AS635" s="16"/>
    </row>
    <row r="636" spans="18:45" x14ac:dyDescent="0.35">
      <c r="R636" s="191"/>
      <c r="S636" s="191"/>
      <c r="T636" s="193"/>
      <c r="U636" s="191"/>
      <c r="V636" s="194"/>
      <c r="W636" s="191"/>
      <c r="Y636" s="191"/>
      <c r="Z636" s="191"/>
      <c r="AA636" s="191"/>
      <c r="AB636" s="191"/>
      <c r="AC636" s="191"/>
      <c r="AD636" s="16"/>
      <c r="AE636" s="16"/>
      <c r="AF636" s="16"/>
      <c r="AG636" s="16"/>
      <c r="AH636" s="16"/>
      <c r="AI636" s="16"/>
      <c r="AJ636" s="16"/>
      <c r="AK636" s="16"/>
      <c r="AL636" s="16"/>
      <c r="AM636" s="16"/>
      <c r="AN636" s="16"/>
      <c r="AO636" s="16"/>
      <c r="AP636" s="16"/>
      <c r="AQ636" s="16"/>
      <c r="AR636" s="16"/>
      <c r="AS636" s="16"/>
    </row>
    <row r="637" spans="18:45" x14ac:dyDescent="0.35">
      <c r="R637" s="191"/>
      <c r="S637" s="191"/>
      <c r="T637" s="193"/>
      <c r="U637" s="191"/>
      <c r="V637" s="194"/>
      <c r="W637" s="191"/>
      <c r="Y637" s="191"/>
      <c r="Z637" s="191"/>
      <c r="AA637" s="191"/>
      <c r="AB637" s="191"/>
      <c r="AC637" s="191"/>
      <c r="AD637" s="16"/>
      <c r="AE637" s="16"/>
      <c r="AF637" s="16"/>
      <c r="AG637" s="16"/>
      <c r="AH637" s="16"/>
      <c r="AI637" s="16"/>
      <c r="AJ637" s="16"/>
      <c r="AK637" s="16"/>
      <c r="AL637" s="16"/>
      <c r="AM637" s="16"/>
      <c r="AN637" s="16"/>
      <c r="AO637" s="16"/>
      <c r="AP637" s="16"/>
      <c r="AQ637" s="16"/>
      <c r="AR637" s="16"/>
      <c r="AS637" s="16"/>
    </row>
    <row r="638" spans="18:45" x14ac:dyDescent="0.35">
      <c r="R638" s="191"/>
      <c r="S638" s="191"/>
      <c r="T638" s="193"/>
      <c r="U638" s="191"/>
      <c r="V638" s="194"/>
      <c r="W638" s="191"/>
      <c r="Y638" s="191"/>
      <c r="Z638" s="191"/>
      <c r="AA638" s="191"/>
      <c r="AB638" s="191"/>
      <c r="AC638" s="191"/>
      <c r="AD638" s="16"/>
      <c r="AE638" s="16"/>
      <c r="AF638" s="16"/>
      <c r="AG638" s="16"/>
      <c r="AH638" s="16"/>
      <c r="AI638" s="16"/>
      <c r="AJ638" s="16"/>
      <c r="AK638" s="16"/>
      <c r="AL638" s="16"/>
      <c r="AM638" s="16"/>
      <c r="AN638" s="16"/>
      <c r="AO638" s="16"/>
      <c r="AP638" s="16"/>
      <c r="AQ638" s="16"/>
      <c r="AR638" s="16"/>
      <c r="AS638" s="16"/>
    </row>
    <row r="639" spans="18:45" x14ac:dyDescent="0.35">
      <c r="R639" s="191"/>
      <c r="S639" s="191"/>
      <c r="T639" s="193"/>
      <c r="U639" s="191"/>
      <c r="V639" s="194"/>
      <c r="W639" s="191"/>
      <c r="Y639" s="191"/>
      <c r="Z639" s="191"/>
      <c r="AA639" s="191"/>
      <c r="AB639" s="191"/>
      <c r="AC639" s="191"/>
      <c r="AD639" s="16"/>
      <c r="AE639" s="16"/>
      <c r="AF639" s="16"/>
      <c r="AG639" s="16"/>
      <c r="AH639" s="16"/>
      <c r="AI639" s="16"/>
      <c r="AJ639" s="16"/>
      <c r="AK639" s="16"/>
      <c r="AL639" s="16"/>
      <c r="AM639" s="16"/>
      <c r="AN639" s="16"/>
      <c r="AO639" s="16"/>
      <c r="AP639" s="16"/>
      <c r="AQ639" s="16"/>
      <c r="AR639" s="16"/>
      <c r="AS639" s="16"/>
    </row>
    <row r="640" spans="18:45" x14ac:dyDescent="0.35">
      <c r="R640" s="191"/>
      <c r="S640" s="191"/>
      <c r="T640" s="193"/>
      <c r="U640" s="191"/>
      <c r="V640" s="194"/>
      <c r="W640" s="191"/>
      <c r="Y640" s="191"/>
      <c r="Z640" s="191"/>
      <c r="AA640" s="191"/>
      <c r="AB640" s="191"/>
      <c r="AC640" s="191"/>
      <c r="AD640" s="16"/>
      <c r="AE640" s="16"/>
      <c r="AF640" s="16"/>
      <c r="AG640" s="16"/>
      <c r="AH640" s="16"/>
      <c r="AI640" s="16"/>
      <c r="AJ640" s="16"/>
      <c r="AK640" s="16"/>
      <c r="AL640" s="16"/>
      <c r="AM640" s="16"/>
      <c r="AN640" s="16"/>
      <c r="AO640" s="16"/>
      <c r="AP640" s="16"/>
      <c r="AQ640" s="16"/>
      <c r="AR640" s="16"/>
      <c r="AS640" s="16"/>
    </row>
    <row r="641" spans="18:45" x14ac:dyDescent="0.35">
      <c r="R641" s="191"/>
      <c r="S641" s="191"/>
      <c r="T641" s="193"/>
      <c r="U641" s="191"/>
      <c r="V641" s="194"/>
      <c r="W641" s="191"/>
      <c r="Y641" s="191"/>
      <c r="Z641" s="191"/>
      <c r="AA641" s="191"/>
      <c r="AB641" s="191"/>
      <c r="AC641" s="191"/>
      <c r="AD641" s="16"/>
      <c r="AE641" s="16"/>
      <c r="AF641" s="16"/>
      <c r="AG641" s="16"/>
      <c r="AH641" s="16"/>
      <c r="AI641" s="16"/>
      <c r="AJ641" s="16"/>
      <c r="AK641" s="16"/>
      <c r="AL641" s="16"/>
      <c r="AM641" s="16"/>
      <c r="AN641" s="16"/>
      <c r="AO641" s="16"/>
      <c r="AP641" s="16"/>
      <c r="AQ641" s="16"/>
      <c r="AR641" s="16"/>
      <c r="AS641" s="16"/>
    </row>
    <row r="642" spans="18:45" x14ac:dyDescent="0.35">
      <c r="R642" s="191"/>
      <c r="S642" s="191"/>
      <c r="T642" s="193"/>
      <c r="U642" s="191"/>
      <c r="V642" s="194"/>
      <c r="W642" s="191"/>
      <c r="Y642" s="191"/>
      <c r="Z642" s="191"/>
      <c r="AA642" s="191"/>
      <c r="AB642" s="191"/>
      <c r="AC642" s="191"/>
      <c r="AD642" s="16"/>
      <c r="AE642" s="16"/>
      <c r="AF642" s="16"/>
      <c r="AG642" s="16"/>
      <c r="AH642" s="16"/>
      <c r="AI642" s="16"/>
      <c r="AJ642" s="16"/>
      <c r="AK642" s="16"/>
      <c r="AL642" s="16"/>
      <c r="AM642" s="16"/>
      <c r="AN642" s="16"/>
      <c r="AO642" s="16"/>
      <c r="AP642" s="16"/>
      <c r="AQ642" s="16"/>
      <c r="AR642" s="16"/>
      <c r="AS642" s="16"/>
    </row>
    <row r="643" spans="18:45" x14ac:dyDescent="0.35">
      <c r="R643" s="191"/>
      <c r="S643" s="191"/>
      <c r="T643" s="193"/>
      <c r="U643" s="191"/>
      <c r="V643" s="194"/>
      <c r="W643" s="191"/>
      <c r="Y643" s="191"/>
      <c r="Z643" s="191"/>
      <c r="AA643" s="191"/>
      <c r="AB643" s="191"/>
      <c r="AC643" s="191"/>
      <c r="AD643" s="16"/>
      <c r="AE643" s="16"/>
      <c r="AF643" s="16"/>
      <c r="AG643" s="16"/>
      <c r="AH643" s="16"/>
      <c r="AI643" s="16"/>
      <c r="AJ643" s="16"/>
      <c r="AK643" s="16"/>
      <c r="AL643" s="16"/>
      <c r="AM643" s="16"/>
      <c r="AN643" s="16"/>
      <c r="AO643" s="16"/>
      <c r="AP643" s="16"/>
      <c r="AQ643" s="16"/>
      <c r="AR643" s="16"/>
      <c r="AS643" s="16"/>
    </row>
    <row r="644" spans="18:45" x14ac:dyDescent="0.35">
      <c r="R644" s="191"/>
      <c r="S644" s="191"/>
      <c r="T644" s="193"/>
      <c r="U644" s="191"/>
      <c r="V644" s="194"/>
      <c r="W644" s="191"/>
      <c r="Y644" s="191"/>
      <c r="Z644" s="191"/>
      <c r="AA644" s="191"/>
      <c r="AB644" s="191"/>
      <c r="AC644" s="191"/>
      <c r="AD644" s="16"/>
      <c r="AE644" s="16"/>
      <c r="AF644" s="16"/>
      <c r="AG644" s="16"/>
      <c r="AH644" s="16"/>
      <c r="AI644" s="16"/>
      <c r="AJ644" s="16"/>
      <c r="AK644" s="16"/>
      <c r="AL644" s="16"/>
      <c r="AM644" s="16"/>
      <c r="AN644" s="16"/>
      <c r="AO644" s="16"/>
      <c r="AP644" s="16"/>
      <c r="AQ644" s="16"/>
      <c r="AR644" s="16"/>
      <c r="AS644" s="16"/>
    </row>
    <row r="645" spans="18:45" x14ac:dyDescent="0.35">
      <c r="R645" s="191"/>
      <c r="S645" s="191"/>
      <c r="T645" s="193"/>
      <c r="U645" s="191"/>
      <c r="V645" s="194"/>
      <c r="W645" s="191"/>
      <c r="Y645" s="191"/>
      <c r="Z645" s="191"/>
      <c r="AA645" s="191"/>
      <c r="AB645" s="191"/>
      <c r="AC645" s="191"/>
      <c r="AD645" s="16"/>
      <c r="AE645" s="16"/>
      <c r="AF645" s="16"/>
      <c r="AG645" s="16"/>
      <c r="AH645" s="16"/>
      <c r="AI645" s="16"/>
      <c r="AJ645" s="16"/>
      <c r="AK645" s="16"/>
      <c r="AL645" s="16"/>
      <c r="AM645" s="16"/>
      <c r="AN645" s="16"/>
      <c r="AO645" s="16"/>
      <c r="AP645" s="16"/>
      <c r="AQ645" s="16"/>
      <c r="AR645" s="16"/>
      <c r="AS645" s="16"/>
    </row>
    <row r="646" spans="18:45" x14ac:dyDescent="0.35">
      <c r="R646" s="191"/>
      <c r="S646" s="191"/>
      <c r="T646" s="193"/>
      <c r="U646" s="191"/>
      <c r="V646" s="194"/>
      <c r="W646" s="191"/>
      <c r="Y646" s="191"/>
      <c r="Z646" s="191"/>
      <c r="AA646" s="191"/>
      <c r="AB646" s="191"/>
      <c r="AC646" s="191"/>
      <c r="AD646" s="16"/>
      <c r="AE646" s="16"/>
      <c r="AF646" s="16"/>
      <c r="AG646" s="16"/>
      <c r="AH646" s="16"/>
      <c r="AI646" s="16"/>
      <c r="AJ646" s="16"/>
      <c r="AK646" s="16"/>
      <c r="AL646" s="16"/>
      <c r="AM646" s="16"/>
      <c r="AN646" s="16"/>
      <c r="AO646" s="16"/>
      <c r="AP646" s="16"/>
      <c r="AQ646" s="16"/>
      <c r="AR646" s="16"/>
      <c r="AS646" s="16"/>
    </row>
    <row r="647" spans="18:45" x14ac:dyDescent="0.35">
      <c r="R647" s="191"/>
      <c r="S647" s="191"/>
      <c r="T647" s="193"/>
      <c r="U647" s="191"/>
      <c r="V647" s="194"/>
      <c r="W647" s="191"/>
      <c r="Y647" s="191"/>
      <c r="Z647" s="191"/>
      <c r="AA647" s="191"/>
      <c r="AB647" s="191"/>
      <c r="AC647" s="191"/>
      <c r="AD647" s="16"/>
      <c r="AE647" s="16"/>
      <c r="AF647" s="16"/>
      <c r="AG647" s="16"/>
      <c r="AH647" s="16"/>
      <c r="AI647" s="16"/>
      <c r="AJ647" s="16"/>
      <c r="AK647" s="16"/>
      <c r="AL647" s="16"/>
      <c r="AM647" s="16"/>
      <c r="AN647" s="16"/>
      <c r="AO647" s="16"/>
      <c r="AP647" s="16"/>
      <c r="AQ647" s="16"/>
      <c r="AR647" s="16"/>
      <c r="AS647" s="16"/>
    </row>
    <row r="648" spans="18:45" x14ac:dyDescent="0.35">
      <c r="R648" s="191"/>
      <c r="S648" s="191"/>
      <c r="T648" s="193"/>
      <c r="U648" s="191"/>
      <c r="V648" s="194"/>
      <c r="W648" s="191"/>
      <c r="Y648" s="191"/>
      <c r="Z648" s="191"/>
      <c r="AA648" s="191"/>
      <c r="AB648" s="191"/>
      <c r="AC648" s="191"/>
      <c r="AD648" s="16"/>
      <c r="AE648" s="16"/>
      <c r="AF648" s="16"/>
      <c r="AG648" s="16"/>
      <c r="AH648" s="16"/>
      <c r="AI648" s="16"/>
      <c r="AJ648" s="16"/>
      <c r="AK648" s="16"/>
      <c r="AL648" s="16"/>
      <c r="AM648" s="16"/>
      <c r="AN648" s="16"/>
      <c r="AO648" s="16"/>
      <c r="AP648" s="16"/>
      <c r="AQ648" s="16"/>
      <c r="AR648" s="16"/>
      <c r="AS648" s="16"/>
    </row>
    <row r="649" spans="18:45" x14ac:dyDescent="0.35">
      <c r="R649" s="191"/>
      <c r="S649" s="191"/>
      <c r="T649" s="193"/>
      <c r="U649" s="191"/>
      <c r="V649" s="194"/>
      <c r="W649" s="191"/>
      <c r="Y649" s="191"/>
      <c r="Z649" s="191"/>
      <c r="AA649" s="191"/>
      <c r="AB649" s="191"/>
      <c r="AC649" s="191"/>
      <c r="AD649" s="16"/>
      <c r="AE649" s="16"/>
      <c r="AF649" s="16"/>
      <c r="AG649" s="16"/>
      <c r="AH649" s="16"/>
      <c r="AI649" s="16"/>
      <c r="AJ649" s="16"/>
      <c r="AK649" s="16"/>
      <c r="AL649" s="16"/>
      <c r="AM649" s="16"/>
      <c r="AN649" s="16"/>
      <c r="AO649" s="16"/>
      <c r="AP649" s="16"/>
      <c r="AQ649" s="16"/>
      <c r="AR649" s="16"/>
      <c r="AS649" s="16"/>
    </row>
    <row r="650" spans="18:45" x14ac:dyDescent="0.35">
      <c r="R650" s="191"/>
      <c r="S650" s="191"/>
      <c r="T650" s="193"/>
      <c r="U650" s="191"/>
      <c r="V650" s="194"/>
      <c r="W650" s="191"/>
      <c r="Y650" s="191"/>
      <c r="Z650" s="191"/>
      <c r="AA650" s="191"/>
      <c r="AB650" s="191"/>
      <c r="AC650" s="191"/>
      <c r="AD650" s="16"/>
      <c r="AE650" s="16"/>
      <c r="AF650" s="16"/>
      <c r="AG650" s="16"/>
      <c r="AH650" s="16"/>
      <c r="AI650" s="16"/>
      <c r="AJ650" s="16"/>
      <c r="AK650" s="16"/>
      <c r="AL650" s="16"/>
      <c r="AM650" s="16"/>
      <c r="AN650" s="16"/>
      <c r="AO650" s="16"/>
      <c r="AP650" s="16"/>
      <c r="AQ650" s="16"/>
      <c r="AR650" s="16"/>
      <c r="AS650" s="16"/>
    </row>
    <row r="651" spans="18:45" x14ac:dyDescent="0.35">
      <c r="R651" s="191"/>
      <c r="S651" s="191"/>
      <c r="T651" s="193"/>
      <c r="U651" s="191"/>
      <c r="V651" s="194"/>
      <c r="W651" s="191"/>
      <c r="Y651" s="191"/>
      <c r="Z651" s="191"/>
      <c r="AA651" s="191"/>
      <c r="AB651" s="191"/>
      <c r="AC651" s="191"/>
      <c r="AD651" s="16"/>
      <c r="AE651" s="16"/>
      <c r="AF651" s="16"/>
      <c r="AG651" s="16"/>
      <c r="AH651" s="16"/>
      <c r="AI651" s="16"/>
      <c r="AJ651" s="16"/>
      <c r="AK651" s="16"/>
      <c r="AL651" s="16"/>
      <c r="AM651" s="16"/>
      <c r="AN651" s="16"/>
      <c r="AO651" s="16"/>
      <c r="AP651" s="16"/>
      <c r="AQ651" s="16"/>
      <c r="AR651" s="16"/>
      <c r="AS651" s="16"/>
    </row>
    <row r="652" spans="18:45" x14ac:dyDescent="0.35">
      <c r="R652" s="191"/>
      <c r="S652" s="191"/>
      <c r="T652" s="193"/>
      <c r="U652" s="191"/>
      <c r="V652" s="194"/>
      <c r="W652" s="191"/>
      <c r="Y652" s="191"/>
      <c r="Z652" s="191"/>
      <c r="AA652" s="191"/>
      <c r="AB652" s="191"/>
      <c r="AC652" s="191"/>
      <c r="AD652" s="16"/>
      <c r="AE652" s="16"/>
      <c r="AF652" s="16"/>
      <c r="AG652" s="16"/>
      <c r="AH652" s="16"/>
      <c r="AI652" s="16"/>
      <c r="AJ652" s="16"/>
      <c r="AK652" s="16"/>
      <c r="AL652" s="16"/>
      <c r="AM652" s="16"/>
      <c r="AN652" s="16"/>
      <c r="AO652" s="16"/>
      <c r="AP652" s="16"/>
      <c r="AQ652" s="16"/>
      <c r="AR652" s="16"/>
      <c r="AS652" s="16"/>
    </row>
    <row r="653" spans="18:45" x14ac:dyDescent="0.35">
      <c r="R653" s="191"/>
      <c r="S653" s="191"/>
      <c r="T653" s="193"/>
      <c r="U653" s="191"/>
      <c r="V653" s="194"/>
      <c r="W653" s="191"/>
      <c r="Y653" s="191"/>
      <c r="Z653" s="191"/>
      <c r="AA653" s="191"/>
      <c r="AB653" s="191"/>
      <c r="AC653" s="191"/>
      <c r="AD653" s="16"/>
      <c r="AE653" s="16"/>
      <c r="AF653" s="16"/>
      <c r="AG653" s="16"/>
      <c r="AH653" s="16"/>
      <c r="AI653" s="16"/>
      <c r="AJ653" s="16"/>
      <c r="AK653" s="16"/>
      <c r="AL653" s="16"/>
      <c r="AM653" s="16"/>
      <c r="AN653" s="16"/>
      <c r="AO653" s="16"/>
      <c r="AP653" s="16"/>
      <c r="AQ653" s="16"/>
      <c r="AR653" s="16"/>
      <c r="AS653" s="16"/>
    </row>
    <row r="654" spans="18:45" x14ac:dyDescent="0.35">
      <c r="R654" s="191"/>
      <c r="S654" s="191"/>
      <c r="T654" s="193"/>
      <c r="U654" s="191"/>
      <c r="V654" s="194"/>
      <c r="W654" s="191"/>
      <c r="Y654" s="191"/>
      <c r="Z654" s="191"/>
      <c r="AA654" s="191"/>
      <c r="AB654" s="191"/>
      <c r="AC654" s="191"/>
      <c r="AD654" s="16"/>
      <c r="AE654" s="16"/>
      <c r="AF654" s="16"/>
      <c r="AG654" s="16"/>
      <c r="AH654" s="16"/>
      <c r="AI654" s="16"/>
      <c r="AJ654" s="16"/>
      <c r="AK654" s="16"/>
      <c r="AL654" s="16"/>
      <c r="AM654" s="16"/>
      <c r="AN654" s="16"/>
      <c r="AO654" s="16"/>
      <c r="AP654" s="16"/>
      <c r="AQ654" s="16"/>
      <c r="AR654" s="16"/>
      <c r="AS654" s="16"/>
    </row>
    <row r="655" spans="18:45" x14ac:dyDescent="0.35">
      <c r="R655" s="191"/>
      <c r="S655" s="191"/>
      <c r="T655" s="193"/>
      <c r="U655" s="191"/>
      <c r="V655" s="194"/>
      <c r="W655" s="191"/>
      <c r="Y655" s="191"/>
      <c r="Z655" s="191"/>
      <c r="AA655" s="191"/>
      <c r="AB655" s="191"/>
      <c r="AC655" s="191"/>
      <c r="AD655" s="16"/>
      <c r="AE655" s="16"/>
      <c r="AF655" s="16"/>
      <c r="AG655" s="16"/>
      <c r="AH655" s="16"/>
      <c r="AI655" s="16"/>
      <c r="AJ655" s="16"/>
      <c r="AK655" s="16"/>
      <c r="AL655" s="16"/>
      <c r="AM655" s="16"/>
      <c r="AN655" s="16"/>
      <c r="AO655" s="16"/>
      <c r="AP655" s="16"/>
      <c r="AQ655" s="16"/>
      <c r="AR655" s="16"/>
      <c r="AS655" s="16"/>
    </row>
    <row r="656" spans="18:45" x14ac:dyDescent="0.35">
      <c r="R656" s="191"/>
      <c r="S656" s="191"/>
      <c r="T656" s="193"/>
      <c r="U656" s="191"/>
      <c r="V656" s="194"/>
      <c r="W656" s="191"/>
      <c r="Y656" s="191"/>
      <c r="Z656" s="191"/>
      <c r="AA656" s="191"/>
      <c r="AB656" s="191"/>
      <c r="AC656" s="191"/>
      <c r="AD656" s="16"/>
      <c r="AE656" s="16"/>
      <c r="AF656" s="16"/>
      <c r="AG656" s="16"/>
      <c r="AH656" s="16"/>
      <c r="AI656" s="16"/>
      <c r="AJ656" s="16"/>
      <c r="AK656" s="16"/>
      <c r="AL656" s="16"/>
      <c r="AM656" s="16"/>
      <c r="AN656" s="16"/>
      <c r="AO656" s="16"/>
      <c r="AP656" s="16"/>
      <c r="AQ656" s="16"/>
      <c r="AR656" s="16"/>
      <c r="AS656" s="16"/>
    </row>
    <row r="657" spans="18:45" x14ac:dyDescent="0.35">
      <c r="R657" s="191"/>
      <c r="S657" s="191"/>
      <c r="T657" s="193"/>
      <c r="U657" s="191"/>
      <c r="V657" s="194"/>
      <c r="W657" s="191"/>
      <c r="Y657" s="191"/>
      <c r="Z657" s="191"/>
      <c r="AA657" s="191"/>
      <c r="AB657" s="191"/>
      <c r="AC657" s="191"/>
      <c r="AD657" s="16"/>
      <c r="AE657" s="16"/>
      <c r="AF657" s="16"/>
      <c r="AG657" s="16"/>
      <c r="AH657" s="16"/>
      <c r="AI657" s="16"/>
      <c r="AJ657" s="16"/>
      <c r="AK657" s="16"/>
      <c r="AL657" s="16"/>
      <c r="AM657" s="16"/>
      <c r="AN657" s="16"/>
      <c r="AO657" s="16"/>
      <c r="AP657" s="16"/>
      <c r="AQ657" s="16"/>
      <c r="AR657" s="16"/>
      <c r="AS657" s="16"/>
    </row>
    <row r="658" spans="18:45" x14ac:dyDescent="0.35">
      <c r="R658" s="191"/>
      <c r="S658" s="191"/>
      <c r="T658" s="193"/>
      <c r="U658" s="191"/>
      <c r="V658" s="194"/>
      <c r="W658" s="191"/>
      <c r="Y658" s="191"/>
      <c r="Z658" s="191"/>
      <c r="AA658" s="191"/>
      <c r="AB658" s="191"/>
      <c r="AC658" s="191"/>
      <c r="AD658" s="16"/>
      <c r="AE658" s="16"/>
      <c r="AF658" s="16"/>
      <c r="AG658" s="16"/>
      <c r="AH658" s="16"/>
      <c r="AI658" s="16"/>
      <c r="AJ658" s="16"/>
      <c r="AK658" s="16"/>
      <c r="AL658" s="16"/>
      <c r="AM658" s="16"/>
      <c r="AN658" s="16"/>
      <c r="AO658" s="16"/>
      <c r="AP658" s="16"/>
      <c r="AQ658" s="16"/>
      <c r="AR658" s="16"/>
      <c r="AS658" s="16"/>
    </row>
    <row r="659" spans="18:45" x14ac:dyDescent="0.35">
      <c r="R659" s="191"/>
      <c r="S659" s="191"/>
      <c r="T659" s="193"/>
      <c r="U659" s="191"/>
      <c r="V659" s="194"/>
      <c r="W659" s="191"/>
      <c r="Y659" s="191"/>
      <c r="Z659" s="191"/>
      <c r="AA659" s="191"/>
      <c r="AB659" s="191"/>
      <c r="AC659" s="191"/>
      <c r="AD659" s="16"/>
      <c r="AE659" s="16"/>
      <c r="AF659" s="16"/>
      <c r="AG659" s="16"/>
      <c r="AH659" s="16"/>
      <c r="AI659" s="16"/>
      <c r="AJ659" s="16"/>
      <c r="AK659" s="16"/>
      <c r="AL659" s="16"/>
      <c r="AM659" s="16"/>
      <c r="AN659" s="16"/>
      <c r="AO659" s="16"/>
      <c r="AP659" s="16"/>
      <c r="AQ659" s="16"/>
      <c r="AR659" s="16"/>
      <c r="AS659" s="16"/>
    </row>
    <row r="660" spans="18:45" x14ac:dyDescent="0.35">
      <c r="R660" s="191"/>
      <c r="S660" s="191"/>
      <c r="T660" s="193"/>
      <c r="U660" s="191"/>
      <c r="V660" s="194"/>
      <c r="W660" s="191"/>
      <c r="Y660" s="191"/>
      <c r="Z660" s="191"/>
      <c r="AA660" s="191"/>
      <c r="AB660" s="191"/>
      <c r="AC660" s="191"/>
      <c r="AD660" s="16"/>
      <c r="AE660" s="16"/>
      <c r="AF660" s="16"/>
      <c r="AG660" s="16"/>
      <c r="AH660" s="16"/>
      <c r="AI660" s="16"/>
      <c r="AJ660" s="16"/>
      <c r="AK660" s="16"/>
      <c r="AL660" s="16"/>
      <c r="AM660" s="16"/>
      <c r="AN660" s="16"/>
      <c r="AO660" s="16"/>
      <c r="AP660" s="16"/>
      <c r="AQ660" s="16"/>
      <c r="AR660" s="16"/>
      <c r="AS660" s="16"/>
    </row>
    <row r="661" spans="18:45" x14ac:dyDescent="0.35">
      <c r="R661" s="191"/>
      <c r="S661" s="191"/>
      <c r="T661" s="193"/>
      <c r="U661" s="191"/>
      <c r="V661" s="194"/>
      <c r="W661" s="191"/>
      <c r="Y661" s="191"/>
      <c r="Z661" s="191"/>
      <c r="AA661" s="191"/>
      <c r="AB661" s="191"/>
      <c r="AC661" s="191"/>
      <c r="AD661" s="16"/>
      <c r="AE661" s="16"/>
      <c r="AF661" s="16"/>
      <c r="AG661" s="16"/>
      <c r="AH661" s="16"/>
      <c r="AI661" s="16"/>
      <c r="AJ661" s="16"/>
      <c r="AK661" s="16"/>
      <c r="AL661" s="16"/>
      <c r="AM661" s="16"/>
      <c r="AN661" s="16"/>
      <c r="AO661" s="16"/>
      <c r="AP661" s="16"/>
      <c r="AQ661" s="16"/>
      <c r="AR661" s="16"/>
      <c r="AS661" s="16"/>
    </row>
    <row r="662" spans="18:45" x14ac:dyDescent="0.35">
      <c r="R662" s="191"/>
      <c r="S662" s="191"/>
      <c r="T662" s="193"/>
      <c r="U662" s="191"/>
      <c r="V662" s="194"/>
      <c r="W662" s="191"/>
      <c r="Y662" s="191"/>
      <c r="Z662" s="191"/>
      <c r="AA662" s="191"/>
      <c r="AB662" s="191"/>
      <c r="AC662" s="191"/>
      <c r="AD662" s="16"/>
      <c r="AE662" s="16"/>
      <c r="AF662" s="16"/>
      <c r="AG662" s="16"/>
      <c r="AH662" s="16"/>
      <c r="AI662" s="16"/>
      <c r="AJ662" s="16"/>
      <c r="AK662" s="16"/>
      <c r="AL662" s="16"/>
      <c r="AM662" s="16"/>
      <c r="AN662" s="16"/>
      <c r="AO662" s="16"/>
      <c r="AP662" s="16"/>
      <c r="AQ662" s="16"/>
      <c r="AR662" s="16"/>
      <c r="AS662" s="16"/>
    </row>
    <row r="663" spans="18:45" x14ac:dyDescent="0.35">
      <c r="R663" s="191"/>
      <c r="S663" s="191"/>
      <c r="T663" s="193"/>
      <c r="U663" s="191"/>
      <c r="V663" s="194"/>
      <c r="W663" s="191"/>
      <c r="Y663" s="191"/>
      <c r="Z663" s="191"/>
      <c r="AA663" s="191"/>
      <c r="AB663" s="191"/>
      <c r="AC663" s="191"/>
      <c r="AD663" s="16"/>
      <c r="AE663" s="16"/>
      <c r="AF663" s="16"/>
      <c r="AG663" s="16"/>
      <c r="AH663" s="16"/>
      <c r="AI663" s="16"/>
      <c r="AJ663" s="16"/>
      <c r="AK663" s="16"/>
      <c r="AL663" s="16"/>
      <c r="AM663" s="16"/>
      <c r="AN663" s="16"/>
      <c r="AO663" s="16"/>
      <c r="AP663" s="16"/>
      <c r="AQ663" s="16"/>
      <c r="AR663" s="16"/>
      <c r="AS663" s="16"/>
    </row>
    <row r="664" spans="18:45" x14ac:dyDescent="0.35">
      <c r="R664" s="191"/>
      <c r="S664" s="191"/>
      <c r="T664" s="193"/>
      <c r="U664" s="191"/>
      <c r="V664" s="194"/>
      <c r="W664" s="191"/>
      <c r="Y664" s="191"/>
      <c r="Z664" s="191"/>
      <c r="AA664" s="191"/>
      <c r="AB664" s="191"/>
      <c r="AC664" s="191"/>
      <c r="AD664" s="16"/>
      <c r="AE664" s="16"/>
      <c r="AF664" s="16"/>
      <c r="AG664" s="16"/>
      <c r="AH664" s="16"/>
      <c r="AI664" s="16"/>
      <c r="AJ664" s="16"/>
      <c r="AK664" s="16"/>
      <c r="AL664" s="16"/>
      <c r="AM664" s="16"/>
      <c r="AN664" s="16"/>
      <c r="AO664" s="16"/>
      <c r="AP664" s="16"/>
      <c r="AQ664" s="16"/>
      <c r="AR664" s="16"/>
      <c r="AS664" s="16"/>
    </row>
    <row r="665" spans="18:45" x14ac:dyDescent="0.35">
      <c r="R665" s="191"/>
      <c r="S665" s="191"/>
      <c r="T665" s="193"/>
      <c r="U665" s="191"/>
      <c r="V665" s="194"/>
      <c r="W665" s="191"/>
      <c r="Y665" s="191"/>
      <c r="Z665" s="191"/>
      <c r="AA665" s="191"/>
      <c r="AB665" s="191"/>
      <c r="AC665" s="191"/>
      <c r="AD665" s="16"/>
      <c r="AE665" s="16"/>
      <c r="AF665" s="16"/>
      <c r="AG665" s="16"/>
      <c r="AH665" s="16"/>
      <c r="AI665" s="16"/>
      <c r="AJ665" s="16"/>
      <c r="AK665" s="16"/>
      <c r="AL665" s="16"/>
      <c r="AM665" s="16"/>
      <c r="AN665" s="16"/>
      <c r="AO665" s="16"/>
      <c r="AP665" s="16"/>
      <c r="AQ665" s="16"/>
      <c r="AR665" s="16"/>
      <c r="AS665" s="16"/>
    </row>
    <row r="666" spans="18:45" x14ac:dyDescent="0.35">
      <c r="R666" s="191"/>
      <c r="S666" s="191"/>
      <c r="T666" s="193"/>
      <c r="U666" s="191"/>
      <c r="V666" s="194"/>
      <c r="W666" s="191"/>
      <c r="Y666" s="191"/>
      <c r="Z666" s="191"/>
      <c r="AA666" s="191"/>
      <c r="AB666" s="191"/>
      <c r="AC666" s="191"/>
      <c r="AD666" s="16"/>
      <c r="AE666" s="16"/>
      <c r="AF666" s="16"/>
      <c r="AG666" s="16"/>
      <c r="AH666" s="16"/>
      <c r="AI666" s="16"/>
      <c r="AJ666" s="16"/>
      <c r="AK666" s="16"/>
      <c r="AL666" s="16"/>
      <c r="AM666" s="16"/>
      <c r="AN666" s="16"/>
      <c r="AO666" s="16"/>
      <c r="AP666" s="16"/>
      <c r="AQ666" s="16"/>
      <c r="AR666" s="16"/>
      <c r="AS666" s="16"/>
    </row>
    <row r="667" spans="18:45" x14ac:dyDescent="0.35">
      <c r="R667" s="191"/>
      <c r="S667" s="191"/>
      <c r="T667" s="193"/>
      <c r="U667" s="191"/>
      <c r="V667" s="194"/>
      <c r="W667" s="191"/>
      <c r="Y667" s="191"/>
      <c r="Z667" s="191"/>
      <c r="AA667" s="191"/>
      <c r="AB667" s="191"/>
      <c r="AC667" s="191"/>
      <c r="AD667" s="16"/>
      <c r="AE667" s="16"/>
      <c r="AF667" s="16"/>
      <c r="AG667" s="16"/>
      <c r="AH667" s="16"/>
      <c r="AI667" s="16"/>
      <c r="AJ667" s="16"/>
      <c r="AK667" s="16"/>
      <c r="AL667" s="16"/>
      <c r="AM667" s="16"/>
      <c r="AN667" s="16"/>
      <c r="AO667" s="16"/>
      <c r="AP667" s="16"/>
      <c r="AQ667" s="16"/>
      <c r="AR667" s="16"/>
      <c r="AS667" s="16"/>
    </row>
    <row r="668" spans="18:45" x14ac:dyDescent="0.35">
      <c r="R668" s="191"/>
      <c r="S668" s="191"/>
      <c r="T668" s="193"/>
      <c r="U668" s="191"/>
      <c r="V668" s="194"/>
      <c r="W668" s="191"/>
      <c r="Y668" s="191"/>
      <c r="Z668" s="191"/>
      <c r="AA668" s="191"/>
      <c r="AB668" s="191"/>
      <c r="AC668" s="191"/>
      <c r="AD668" s="16"/>
      <c r="AE668" s="16"/>
      <c r="AF668" s="16"/>
      <c r="AG668" s="16"/>
      <c r="AH668" s="16"/>
      <c r="AI668" s="16"/>
      <c r="AJ668" s="16"/>
      <c r="AK668" s="16"/>
      <c r="AL668" s="16"/>
      <c r="AM668" s="16"/>
      <c r="AN668" s="16"/>
      <c r="AO668" s="16"/>
      <c r="AP668" s="16"/>
      <c r="AQ668" s="16"/>
      <c r="AR668" s="16"/>
      <c r="AS668" s="16"/>
    </row>
    <row r="669" spans="18:45" x14ac:dyDescent="0.35">
      <c r="R669" s="191"/>
      <c r="S669" s="191"/>
      <c r="T669" s="193"/>
      <c r="U669" s="191"/>
      <c r="V669" s="194"/>
      <c r="W669" s="191"/>
      <c r="Y669" s="191"/>
      <c r="Z669" s="191"/>
      <c r="AA669" s="191"/>
      <c r="AB669" s="191"/>
      <c r="AC669" s="191"/>
      <c r="AD669" s="16"/>
      <c r="AE669" s="16"/>
      <c r="AF669" s="16"/>
      <c r="AG669" s="16"/>
      <c r="AH669" s="16"/>
      <c r="AI669" s="16"/>
      <c r="AJ669" s="16"/>
      <c r="AK669" s="16"/>
      <c r="AL669" s="16"/>
      <c r="AM669" s="16"/>
      <c r="AN669" s="16"/>
      <c r="AO669" s="16"/>
      <c r="AP669" s="16"/>
      <c r="AQ669" s="16"/>
      <c r="AR669" s="16"/>
      <c r="AS669" s="16"/>
    </row>
    <row r="670" spans="18:45" x14ac:dyDescent="0.35">
      <c r="R670" s="191"/>
      <c r="S670" s="191"/>
      <c r="T670" s="193"/>
      <c r="U670" s="191"/>
      <c r="V670" s="194"/>
      <c r="W670" s="191"/>
      <c r="Y670" s="191"/>
      <c r="Z670" s="191"/>
      <c r="AA670" s="191"/>
      <c r="AB670" s="191"/>
      <c r="AC670" s="191"/>
      <c r="AD670" s="16"/>
      <c r="AE670" s="16"/>
      <c r="AF670" s="16"/>
      <c r="AG670" s="16"/>
      <c r="AH670" s="16"/>
      <c r="AI670" s="16"/>
      <c r="AJ670" s="16"/>
      <c r="AK670" s="16"/>
      <c r="AL670" s="16"/>
      <c r="AM670" s="16"/>
      <c r="AN670" s="16"/>
      <c r="AO670" s="16"/>
      <c r="AP670" s="16"/>
      <c r="AQ670" s="16"/>
      <c r="AR670" s="16"/>
      <c r="AS670" s="16"/>
    </row>
    <row r="671" spans="18:45" x14ac:dyDescent="0.35">
      <c r="R671" s="191"/>
      <c r="S671" s="191"/>
      <c r="T671" s="193"/>
      <c r="U671" s="191"/>
      <c r="V671" s="194"/>
      <c r="W671" s="191"/>
      <c r="Y671" s="191"/>
      <c r="Z671" s="191"/>
      <c r="AA671" s="191"/>
      <c r="AB671" s="191"/>
      <c r="AC671" s="191"/>
      <c r="AD671" s="16"/>
      <c r="AE671" s="16"/>
      <c r="AF671" s="16"/>
      <c r="AG671" s="16"/>
      <c r="AH671" s="16"/>
      <c r="AI671" s="16"/>
      <c r="AJ671" s="16"/>
      <c r="AK671" s="16"/>
      <c r="AL671" s="16"/>
      <c r="AM671" s="16"/>
      <c r="AN671" s="16"/>
      <c r="AO671" s="16"/>
      <c r="AP671" s="16"/>
      <c r="AQ671" s="16"/>
      <c r="AR671" s="16"/>
      <c r="AS671" s="16"/>
    </row>
    <row r="672" spans="18:45" x14ac:dyDescent="0.35">
      <c r="R672" s="191"/>
      <c r="S672" s="191"/>
      <c r="T672" s="193"/>
      <c r="U672" s="191"/>
      <c r="V672" s="194"/>
      <c r="W672" s="191"/>
      <c r="Y672" s="191"/>
      <c r="Z672" s="191"/>
      <c r="AA672" s="191"/>
      <c r="AB672" s="191"/>
      <c r="AC672" s="191"/>
      <c r="AD672" s="16"/>
      <c r="AE672" s="16"/>
      <c r="AF672" s="16"/>
      <c r="AG672" s="16"/>
      <c r="AH672" s="16"/>
      <c r="AI672" s="16"/>
      <c r="AJ672" s="16"/>
      <c r="AK672" s="16"/>
      <c r="AL672" s="16"/>
      <c r="AM672" s="16"/>
      <c r="AN672" s="16"/>
      <c r="AO672" s="16"/>
      <c r="AP672" s="16"/>
      <c r="AQ672" s="16"/>
      <c r="AR672" s="16"/>
      <c r="AS672" s="16"/>
    </row>
    <row r="673" spans="18:45" x14ac:dyDescent="0.35">
      <c r="R673" s="191"/>
      <c r="S673" s="191"/>
      <c r="T673" s="193"/>
      <c r="U673" s="191"/>
      <c r="V673" s="194"/>
      <c r="W673" s="191"/>
      <c r="Y673" s="191"/>
      <c r="Z673" s="191"/>
      <c r="AA673" s="191"/>
      <c r="AB673" s="191"/>
      <c r="AC673" s="191"/>
      <c r="AD673" s="16"/>
      <c r="AE673" s="16"/>
      <c r="AF673" s="16"/>
      <c r="AG673" s="16"/>
      <c r="AH673" s="16"/>
      <c r="AI673" s="16"/>
      <c r="AJ673" s="16"/>
      <c r="AK673" s="16"/>
      <c r="AL673" s="16"/>
      <c r="AM673" s="16"/>
      <c r="AN673" s="16"/>
      <c r="AO673" s="16"/>
      <c r="AP673" s="16"/>
      <c r="AQ673" s="16"/>
      <c r="AR673" s="16"/>
      <c r="AS673" s="16"/>
    </row>
    <row r="674" spans="18:45" x14ac:dyDescent="0.35">
      <c r="R674" s="191"/>
      <c r="S674" s="191"/>
      <c r="T674" s="193"/>
      <c r="U674" s="191"/>
      <c r="V674" s="194"/>
      <c r="W674" s="191"/>
      <c r="Y674" s="191"/>
      <c r="Z674" s="191"/>
      <c r="AA674" s="191"/>
      <c r="AB674" s="191"/>
      <c r="AC674" s="191"/>
      <c r="AD674" s="16"/>
      <c r="AE674" s="16"/>
      <c r="AF674" s="16"/>
      <c r="AG674" s="16"/>
      <c r="AH674" s="16"/>
      <c r="AI674" s="16"/>
      <c r="AJ674" s="16"/>
      <c r="AK674" s="16"/>
      <c r="AL674" s="16"/>
      <c r="AM674" s="16"/>
      <c r="AN674" s="16"/>
      <c r="AO674" s="16"/>
      <c r="AP674" s="16"/>
      <c r="AQ674" s="16"/>
      <c r="AR674" s="16"/>
      <c r="AS674" s="16"/>
    </row>
    <row r="675" spans="18:45" x14ac:dyDescent="0.35">
      <c r="R675" s="191"/>
      <c r="S675" s="191"/>
      <c r="T675" s="193"/>
      <c r="U675" s="191"/>
      <c r="V675" s="194"/>
      <c r="W675" s="191"/>
      <c r="Y675" s="191"/>
      <c r="Z675" s="191"/>
      <c r="AA675" s="191"/>
      <c r="AB675" s="191"/>
      <c r="AC675" s="191"/>
      <c r="AD675" s="16"/>
      <c r="AE675" s="16"/>
      <c r="AF675" s="16"/>
      <c r="AG675" s="16"/>
      <c r="AH675" s="16"/>
      <c r="AI675" s="16"/>
      <c r="AJ675" s="16"/>
      <c r="AK675" s="16"/>
      <c r="AL675" s="16"/>
      <c r="AM675" s="16"/>
      <c r="AN675" s="16"/>
      <c r="AO675" s="16"/>
      <c r="AP675" s="16"/>
      <c r="AQ675" s="16"/>
      <c r="AR675" s="16"/>
      <c r="AS675" s="16"/>
    </row>
    <row r="676" spans="18:45" x14ac:dyDescent="0.35">
      <c r="R676" s="191"/>
      <c r="S676" s="191"/>
      <c r="T676" s="193"/>
      <c r="U676" s="191"/>
      <c r="V676" s="194"/>
      <c r="W676" s="191"/>
      <c r="Y676" s="191"/>
      <c r="Z676" s="191"/>
      <c r="AA676" s="191"/>
      <c r="AB676" s="191"/>
      <c r="AC676" s="191"/>
      <c r="AD676" s="16"/>
      <c r="AE676" s="16"/>
      <c r="AF676" s="16"/>
      <c r="AG676" s="16"/>
      <c r="AH676" s="16"/>
      <c r="AI676" s="16"/>
      <c r="AJ676" s="16"/>
      <c r="AK676" s="16"/>
      <c r="AL676" s="16"/>
      <c r="AM676" s="16"/>
      <c r="AN676" s="16"/>
      <c r="AO676" s="16"/>
      <c r="AP676" s="16"/>
      <c r="AQ676" s="16"/>
      <c r="AR676" s="16"/>
      <c r="AS676" s="16"/>
    </row>
    <row r="677" spans="18:45" x14ac:dyDescent="0.35">
      <c r="R677" s="191"/>
      <c r="S677" s="191"/>
      <c r="T677" s="193"/>
      <c r="U677" s="191"/>
      <c r="V677" s="194"/>
      <c r="W677" s="191"/>
      <c r="Y677" s="191"/>
      <c r="Z677" s="191"/>
      <c r="AA677" s="191"/>
      <c r="AB677" s="191"/>
      <c r="AC677" s="191"/>
      <c r="AD677" s="16"/>
      <c r="AE677" s="16"/>
      <c r="AF677" s="16"/>
      <c r="AG677" s="16"/>
      <c r="AH677" s="16"/>
      <c r="AI677" s="16"/>
      <c r="AJ677" s="16"/>
      <c r="AK677" s="16"/>
      <c r="AL677" s="16"/>
      <c r="AM677" s="16"/>
      <c r="AN677" s="16"/>
      <c r="AO677" s="16"/>
      <c r="AP677" s="16"/>
      <c r="AQ677" s="16"/>
      <c r="AR677" s="16"/>
      <c r="AS677" s="16"/>
    </row>
    <row r="678" spans="18:45" x14ac:dyDescent="0.35">
      <c r="R678" s="191"/>
      <c r="S678" s="191"/>
      <c r="T678" s="193"/>
      <c r="U678" s="191"/>
      <c r="V678" s="194"/>
      <c r="W678" s="191"/>
      <c r="Y678" s="191"/>
      <c r="Z678" s="191"/>
      <c r="AA678" s="191"/>
      <c r="AB678" s="191"/>
      <c r="AC678" s="191"/>
      <c r="AD678" s="16"/>
      <c r="AE678" s="16"/>
      <c r="AF678" s="16"/>
      <c r="AG678" s="16"/>
      <c r="AH678" s="16"/>
      <c r="AI678" s="16"/>
      <c r="AJ678" s="16"/>
      <c r="AK678" s="16"/>
      <c r="AL678" s="16"/>
      <c r="AM678" s="16"/>
      <c r="AN678" s="16"/>
      <c r="AO678" s="16"/>
      <c r="AP678" s="16"/>
      <c r="AQ678" s="16"/>
      <c r="AR678" s="16"/>
      <c r="AS678" s="16"/>
    </row>
    <row r="679" spans="18:45" x14ac:dyDescent="0.35">
      <c r="R679" s="191"/>
      <c r="S679" s="191"/>
      <c r="T679" s="193"/>
      <c r="U679" s="191"/>
      <c r="V679" s="194"/>
      <c r="W679" s="191"/>
      <c r="Y679" s="191"/>
      <c r="Z679" s="191"/>
      <c r="AA679" s="191"/>
      <c r="AB679" s="191"/>
      <c r="AC679" s="191"/>
      <c r="AD679" s="16"/>
      <c r="AE679" s="16"/>
      <c r="AF679" s="16"/>
      <c r="AG679" s="16"/>
      <c r="AH679" s="16"/>
      <c r="AI679" s="16"/>
      <c r="AJ679" s="16"/>
      <c r="AK679" s="16"/>
      <c r="AL679" s="16"/>
      <c r="AM679" s="16"/>
      <c r="AN679" s="16"/>
      <c r="AO679" s="16"/>
      <c r="AP679" s="16"/>
      <c r="AQ679" s="16"/>
      <c r="AR679" s="16"/>
      <c r="AS679" s="16"/>
    </row>
    <row r="680" spans="18:45" x14ac:dyDescent="0.35">
      <c r="R680" s="191"/>
      <c r="S680" s="191"/>
      <c r="T680" s="193"/>
      <c r="U680" s="191"/>
      <c r="V680" s="194"/>
      <c r="W680" s="191"/>
      <c r="Y680" s="191"/>
      <c r="Z680" s="191"/>
      <c r="AA680" s="191"/>
      <c r="AB680" s="191"/>
      <c r="AC680" s="191"/>
      <c r="AD680" s="16"/>
      <c r="AE680" s="16"/>
      <c r="AF680" s="16"/>
      <c r="AG680" s="16"/>
      <c r="AH680" s="16"/>
      <c r="AI680" s="16"/>
      <c r="AJ680" s="16"/>
      <c r="AK680" s="16"/>
      <c r="AL680" s="16"/>
      <c r="AM680" s="16"/>
      <c r="AN680" s="16"/>
      <c r="AO680" s="16"/>
      <c r="AP680" s="16"/>
      <c r="AQ680" s="16"/>
      <c r="AR680" s="16"/>
      <c r="AS680" s="16"/>
    </row>
    <row r="681" spans="18:45" x14ac:dyDescent="0.35">
      <c r="R681" s="191"/>
      <c r="S681" s="191"/>
      <c r="T681" s="193"/>
      <c r="U681" s="191"/>
      <c r="V681" s="194"/>
      <c r="W681" s="191"/>
      <c r="Y681" s="191"/>
      <c r="Z681" s="191"/>
      <c r="AA681" s="191"/>
      <c r="AB681" s="191"/>
      <c r="AC681" s="191"/>
      <c r="AD681" s="16"/>
      <c r="AE681" s="16"/>
      <c r="AF681" s="16"/>
      <c r="AG681" s="16"/>
      <c r="AH681" s="16"/>
      <c r="AI681" s="16"/>
      <c r="AJ681" s="16"/>
      <c r="AK681" s="16"/>
      <c r="AL681" s="16"/>
      <c r="AM681" s="16"/>
      <c r="AN681" s="16"/>
      <c r="AO681" s="16"/>
      <c r="AP681" s="16"/>
      <c r="AQ681" s="16"/>
      <c r="AR681" s="16"/>
      <c r="AS681" s="16"/>
    </row>
    <row r="682" spans="18:45" x14ac:dyDescent="0.35">
      <c r="R682" s="191"/>
      <c r="S682" s="191"/>
      <c r="T682" s="193"/>
      <c r="U682" s="191"/>
      <c r="V682" s="194"/>
      <c r="W682" s="191"/>
      <c r="Y682" s="191"/>
      <c r="Z682" s="191"/>
      <c r="AA682" s="191"/>
      <c r="AB682" s="191"/>
      <c r="AC682" s="191"/>
      <c r="AD682" s="16"/>
      <c r="AE682" s="16"/>
      <c r="AF682" s="16"/>
      <c r="AG682" s="16"/>
      <c r="AH682" s="16"/>
      <c r="AI682" s="16"/>
      <c r="AJ682" s="16"/>
      <c r="AK682" s="16"/>
      <c r="AL682" s="16"/>
      <c r="AM682" s="16"/>
      <c r="AN682" s="16"/>
      <c r="AO682" s="16"/>
      <c r="AP682" s="16"/>
      <c r="AQ682" s="16"/>
      <c r="AR682" s="16"/>
      <c r="AS682" s="16"/>
    </row>
    <row r="683" spans="18:45" x14ac:dyDescent="0.35">
      <c r="R683" s="191"/>
      <c r="S683" s="191"/>
      <c r="T683" s="193"/>
      <c r="U683" s="191"/>
      <c r="V683" s="194"/>
      <c r="W683" s="191"/>
      <c r="Y683" s="191"/>
      <c r="Z683" s="191"/>
      <c r="AA683" s="191"/>
      <c r="AB683" s="191"/>
      <c r="AC683" s="191"/>
      <c r="AD683" s="16"/>
      <c r="AE683" s="16"/>
      <c r="AF683" s="16"/>
      <c r="AG683" s="16"/>
      <c r="AH683" s="16"/>
      <c r="AI683" s="16"/>
      <c r="AJ683" s="16"/>
      <c r="AK683" s="16"/>
      <c r="AL683" s="16"/>
      <c r="AM683" s="16"/>
      <c r="AN683" s="16"/>
      <c r="AO683" s="16"/>
      <c r="AP683" s="16"/>
      <c r="AQ683" s="16"/>
      <c r="AR683" s="16"/>
      <c r="AS683" s="16"/>
    </row>
    <row r="684" spans="18:45" x14ac:dyDescent="0.35">
      <c r="R684" s="191"/>
      <c r="S684" s="191"/>
      <c r="T684" s="193"/>
      <c r="U684" s="191"/>
      <c r="V684" s="194"/>
      <c r="W684" s="191"/>
      <c r="Y684" s="191"/>
      <c r="Z684" s="191"/>
      <c r="AA684" s="191"/>
      <c r="AB684" s="191"/>
      <c r="AC684" s="191"/>
      <c r="AD684" s="16"/>
      <c r="AE684" s="16"/>
      <c r="AF684" s="16"/>
      <c r="AG684" s="16"/>
      <c r="AH684" s="16"/>
      <c r="AI684" s="16"/>
      <c r="AJ684" s="16"/>
      <c r="AK684" s="16"/>
      <c r="AL684" s="16"/>
      <c r="AM684" s="16"/>
      <c r="AN684" s="16"/>
      <c r="AO684" s="16"/>
      <c r="AP684" s="16"/>
      <c r="AQ684" s="16"/>
      <c r="AR684" s="16"/>
      <c r="AS684" s="16"/>
    </row>
    <row r="685" spans="18:45" x14ac:dyDescent="0.35">
      <c r="R685" s="191"/>
      <c r="S685" s="191"/>
      <c r="T685" s="193"/>
      <c r="U685" s="191"/>
      <c r="V685" s="194"/>
      <c r="W685" s="191"/>
      <c r="Y685" s="191"/>
      <c r="Z685" s="191"/>
      <c r="AA685" s="191"/>
      <c r="AB685" s="191"/>
      <c r="AC685" s="191"/>
      <c r="AD685" s="16"/>
      <c r="AE685" s="16"/>
      <c r="AF685" s="16"/>
      <c r="AG685" s="16"/>
      <c r="AH685" s="16"/>
      <c r="AI685" s="16"/>
      <c r="AJ685" s="16"/>
      <c r="AK685" s="16"/>
      <c r="AL685" s="16"/>
      <c r="AM685" s="16"/>
      <c r="AN685" s="16"/>
      <c r="AO685" s="16"/>
      <c r="AP685" s="16"/>
      <c r="AQ685" s="16"/>
      <c r="AR685" s="16"/>
      <c r="AS685" s="16"/>
    </row>
    <row r="686" spans="18:45" x14ac:dyDescent="0.35">
      <c r="R686" s="191"/>
      <c r="S686" s="191"/>
      <c r="T686" s="193"/>
      <c r="U686" s="191"/>
      <c r="V686" s="194"/>
      <c r="W686" s="191"/>
      <c r="Y686" s="191"/>
      <c r="Z686" s="191"/>
      <c r="AA686" s="191"/>
      <c r="AB686" s="191"/>
      <c r="AC686" s="191"/>
      <c r="AD686" s="16"/>
      <c r="AE686" s="16"/>
      <c r="AF686" s="16"/>
      <c r="AG686" s="16"/>
      <c r="AH686" s="16"/>
      <c r="AI686" s="16"/>
      <c r="AJ686" s="16"/>
      <c r="AK686" s="16"/>
      <c r="AL686" s="16"/>
      <c r="AM686" s="16"/>
      <c r="AN686" s="16"/>
      <c r="AO686" s="16"/>
      <c r="AP686" s="16"/>
      <c r="AQ686" s="16"/>
      <c r="AR686" s="16"/>
      <c r="AS686" s="16"/>
    </row>
    <row r="687" spans="18:45" x14ac:dyDescent="0.35">
      <c r="R687" s="191"/>
      <c r="S687" s="191"/>
      <c r="T687" s="193"/>
      <c r="U687" s="191"/>
      <c r="V687" s="194"/>
      <c r="W687" s="191"/>
      <c r="Y687" s="191"/>
      <c r="Z687" s="191"/>
      <c r="AA687" s="191"/>
      <c r="AB687" s="191"/>
      <c r="AC687" s="191"/>
      <c r="AD687" s="16"/>
      <c r="AE687" s="16"/>
      <c r="AF687" s="16"/>
      <c r="AG687" s="16"/>
      <c r="AH687" s="16"/>
      <c r="AI687" s="16"/>
      <c r="AJ687" s="16"/>
      <c r="AK687" s="16"/>
      <c r="AL687" s="16"/>
      <c r="AM687" s="16"/>
      <c r="AN687" s="16"/>
      <c r="AO687" s="16"/>
      <c r="AP687" s="16"/>
      <c r="AQ687" s="16"/>
      <c r="AR687" s="16"/>
      <c r="AS687" s="16"/>
    </row>
    <row r="688" spans="18:45" x14ac:dyDescent="0.35">
      <c r="R688" s="191"/>
      <c r="S688" s="191"/>
      <c r="T688" s="193"/>
      <c r="U688" s="191"/>
      <c r="V688" s="194"/>
      <c r="W688" s="191"/>
      <c r="Y688" s="191"/>
      <c r="Z688" s="191"/>
      <c r="AA688" s="191"/>
      <c r="AB688" s="191"/>
      <c r="AC688" s="191"/>
      <c r="AD688" s="16"/>
      <c r="AE688" s="16"/>
      <c r="AF688" s="16"/>
      <c r="AG688" s="16"/>
      <c r="AH688" s="16"/>
      <c r="AI688" s="16"/>
      <c r="AJ688" s="16"/>
      <c r="AK688" s="16"/>
      <c r="AL688" s="16"/>
      <c r="AM688" s="16"/>
      <c r="AN688" s="16"/>
      <c r="AO688" s="16"/>
      <c r="AP688" s="16"/>
      <c r="AQ688" s="16"/>
      <c r="AR688" s="16"/>
      <c r="AS688" s="16"/>
    </row>
    <row r="689" spans="18:45" x14ac:dyDescent="0.35">
      <c r="R689" s="191"/>
      <c r="S689" s="191"/>
      <c r="T689" s="193"/>
      <c r="U689" s="191"/>
      <c r="V689" s="194"/>
      <c r="W689" s="191"/>
      <c r="Y689" s="191"/>
      <c r="Z689" s="191"/>
      <c r="AA689" s="191"/>
      <c r="AB689" s="191"/>
      <c r="AC689" s="191"/>
      <c r="AD689" s="16"/>
      <c r="AE689" s="16"/>
      <c r="AF689" s="16"/>
      <c r="AG689" s="16"/>
      <c r="AH689" s="16"/>
      <c r="AI689" s="16"/>
      <c r="AJ689" s="16"/>
      <c r="AK689" s="16"/>
      <c r="AL689" s="16"/>
      <c r="AM689" s="16"/>
      <c r="AN689" s="16"/>
      <c r="AO689" s="16"/>
      <c r="AP689" s="16"/>
      <c r="AQ689" s="16"/>
      <c r="AR689" s="16"/>
      <c r="AS689" s="16"/>
    </row>
    <row r="690" spans="18:45" x14ac:dyDescent="0.35">
      <c r="R690" s="191"/>
      <c r="S690" s="191"/>
      <c r="T690" s="193"/>
      <c r="U690" s="191"/>
      <c r="V690" s="194"/>
      <c r="W690" s="191"/>
      <c r="Y690" s="191"/>
      <c r="Z690" s="191"/>
      <c r="AA690" s="191"/>
      <c r="AB690" s="191"/>
      <c r="AC690" s="191"/>
      <c r="AD690" s="16"/>
      <c r="AE690" s="16"/>
      <c r="AF690" s="16"/>
      <c r="AG690" s="16"/>
      <c r="AH690" s="16"/>
      <c r="AI690" s="16"/>
      <c r="AJ690" s="16"/>
      <c r="AK690" s="16"/>
      <c r="AL690" s="16"/>
      <c r="AM690" s="16"/>
      <c r="AN690" s="16"/>
      <c r="AO690" s="16"/>
      <c r="AP690" s="16"/>
      <c r="AQ690" s="16"/>
      <c r="AR690" s="16"/>
      <c r="AS690" s="16"/>
    </row>
    <row r="691" spans="18:45" x14ac:dyDescent="0.35">
      <c r="R691" s="191"/>
      <c r="S691" s="191"/>
      <c r="T691" s="193"/>
      <c r="U691" s="191"/>
      <c r="V691" s="194"/>
      <c r="W691" s="191"/>
      <c r="Y691" s="191"/>
      <c r="Z691" s="191"/>
      <c r="AA691" s="191"/>
      <c r="AB691" s="191"/>
      <c r="AC691" s="191"/>
      <c r="AD691" s="16"/>
      <c r="AE691" s="16"/>
      <c r="AF691" s="16"/>
      <c r="AG691" s="16"/>
      <c r="AH691" s="16"/>
      <c r="AI691" s="16"/>
      <c r="AJ691" s="16"/>
      <c r="AK691" s="16"/>
      <c r="AL691" s="16"/>
      <c r="AM691" s="16"/>
      <c r="AN691" s="16"/>
      <c r="AO691" s="16"/>
      <c r="AP691" s="16"/>
      <c r="AQ691" s="16"/>
      <c r="AR691" s="16"/>
      <c r="AS691" s="16"/>
    </row>
    <row r="692" spans="18:45" x14ac:dyDescent="0.35">
      <c r="R692" s="191"/>
      <c r="S692" s="191"/>
      <c r="T692" s="193"/>
      <c r="U692" s="191"/>
      <c r="V692" s="194"/>
      <c r="W692" s="191"/>
      <c r="Y692" s="191"/>
      <c r="Z692" s="191"/>
      <c r="AA692" s="191"/>
      <c r="AB692" s="191"/>
      <c r="AC692" s="191"/>
      <c r="AD692" s="16"/>
      <c r="AE692" s="16"/>
      <c r="AF692" s="16"/>
      <c r="AG692" s="16"/>
      <c r="AH692" s="16"/>
      <c r="AI692" s="16"/>
      <c r="AJ692" s="16"/>
      <c r="AK692" s="16"/>
      <c r="AL692" s="16"/>
      <c r="AM692" s="16"/>
      <c r="AN692" s="16"/>
      <c r="AO692" s="16"/>
      <c r="AP692" s="16"/>
      <c r="AQ692" s="16"/>
      <c r="AR692" s="16"/>
      <c r="AS692" s="16"/>
    </row>
    <row r="693" spans="18:45" x14ac:dyDescent="0.35">
      <c r="R693" s="191"/>
      <c r="S693" s="191"/>
      <c r="T693" s="193"/>
      <c r="U693" s="191"/>
      <c r="V693" s="194"/>
      <c r="W693" s="191"/>
      <c r="Y693" s="191"/>
      <c r="Z693" s="191"/>
      <c r="AA693" s="191"/>
      <c r="AB693" s="191"/>
      <c r="AC693" s="191"/>
      <c r="AD693" s="16"/>
      <c r="AE693" s="16"/>
      <c r="AF693" s="16"/>
      <c r="AG693" s="16"/>
      <c r="AH693" s="16"/>
      <c r="AI693" s="16"/>
      <c r="AJ693" s="16"/>
      <c r="AK693" s="16"/>
      <c r="AL693" s="16"/>
      <c r="AM693" s="16"/>
      <c r="AN693" s="16"/>
      <c r="AO693" s="16"/>
      <c r="AP693" s="16"/>
      <c r="AQ693" s="16"/>
      <c r="AR693" s="16"/>
      <c r="AS693" s="16"/>
    </row>
    <row r="694" spans="18:45" x14ac:dyDescent="0.35">
      <c r="R694" s="191"/>
      <c r="S694" s="191"/>
      <c r="T694" s="193"/>
      <c r="U694" s="191"/>
      <c r="V694" s="194"/>
      <c r="W694" s="191"/>
      <c r="Y694" s="191"/>
      <c r="Z694" s="191"/>
      <c r="AA694" s="191"/>
      <c r="AB694" s="191"/>
      <c r="AC694" s="191"/>
      <c r="AD694" s="16"/>
      <c r="AE694" s="16"/>
      <c r="AF694" s="16"/>
      <c r="AG694" s="16"/>
      <c r="AH694" s="16"/>
      <c r="AI694" s="16"/>
      <c r="AJ694" s="16"/>
      <c r="AK694" s="16"/>
      <c r="AL694" s="16"/>
      <c r="AM694" s="16"/>
      <c r="AN694" s="16"/>
      <c r="AO694" s="16"/>
      <c r="AP694" s="16"/>
      <c r="AQ694" s="16"/>
      <c r="AR694" s="16"/>
      <c r="AS694" s="16"/>
    </row>
    <row r="695" spans="18:45" x14ac:dyDescent="0.35">
      <c r="R695" s="191"/>
      <c r="S695" s="191"/>
      <c r="T695" s="193"/>
      <c r="U695" s="191"/>
      <c r="V695" s="194"/>
      <c r="W695" s="191"/>
      <c r="Y695" s="191"/>
      <c r="Z695" s="191"/>
      <c r="AA695" s="191"/>
      <c r="AB695" s="191"/>
      <c r="AC695" s="191"/>
      <c r="AD695" s="16"/>
      <c r="AE695" s="16"/>
      <c r="AF695" s="16"/>
      <c r="AG695" s="16"/>
      <c r="AH695" s="16"/>
      <c r="AI695" s="16"/>
      <c r="AJ695" s="16"/>
      <c r="AK695" s="16"/>
      <c r="AL695" s="16"/>
      <c r="AM695" s="16"/>
      <c r="AN695" s="16"/>
      <c r="AO695" s="16"/>
      <c r="AP695" s="16"/>
      <c r="AQ695" s="16"/>
      <c r="AR695" s="16"/>
      <c r="AS695" s="16"/>
    </row>
    <row r="696" spans="18:45" x14ac:dyDescent="0.35">
      <c r="R696" s="191"/>
      <c r="S696" s="191"/>
      <c r="T696" s="193"/>
      <c r="U696" s="191"/>
      <c r="V696" s="194"/>
      <c r="W696" s="191"/>
      <c r="Y696" s="191"/>
      <c r="Z696" s="191"/>
      <c r="AA696" s="191"/>
      <c r="AB696" s="191"/>
      <c r="AC696" s="191"/>
      <c r="AD696" s="16"/>
      <c r="AE696" s="16"/>
      <c r="AF696" s="16"/>
      <c r="AG696" s="16"/>
      <c r="AH696" s="16"/>
      <c r="AI696" s="16"/>
      <c r="AJ696" s="16"/>
      <c r="AK696" s="16"/>
      <c r="AL696" s="16"/>
      <c r="AM696" s="16"/>
      <c r="AN696" s="16"/>
      <c r="AO696" s="16"/>
      <c r="AP696" s="16"/>
      <c r="AQ696" s="16"/>
      <c r="AR696" s="16"/>
      <c r="AS696" s="16"/>
    </row>
    <row r="697" spans="18:45" x14ac:dyDescent="0.35">
      <c r="R697" s="191"/>
      <c r="S697" s="191"/>
      <c r="T697" s="193"/>
      <c r="U697" s="191"/>
      <c r="V697" s="194"/>
      <c r="W697" s="191"/>
      <c r="Y697" s="191"/>
      <c r="Z697" s="191"/>
      <c r="AA697" s="191"/>
      <c r="AB697" s="191"/>
      <c r="AC697" s="191"/>
      <c r="AD697" s="16"/>
      <c r="AE697" s="16"/>
      <c r="AF697" s="16"/>
      <c r="AG697" s="16"/>
      <c r="AH697" s="16"/>
      <c r="AI697" s="16"/>
      <c r="AJ697" s="16"/>
      <c r="AK697" s="16"/>
      <c r="AL697" s="16"/>
      <c r="AM697" s="16"/>
      <c r="AN697" s="16"/>
      <c r="AO697" s="16"/>
      <c r="AP697" s="16"/>
      <c r="AQ697" s="16"/>
      <c r="AR697" s="16"/>
      <c r="AS697" s="16"/>
    </row>
    <row r="698" spans="18:45" x14ac:dyDescent="0.35">
      <c r="R698" s="191"/>
      <c r="S698" s="191"/>
      <c r="T698" s="193"/>
      <c r="U698" s="191"/>
      <c r="V698" s="194"/>
      <c r="W698" s="191"/>
      <c r="Y698" s="191"/>
      <c r="Z698" s="191"/>
      <c r="AA698" s="191"/>
      <c r="AB698" s="191"/>
      <c r="AC698" s="191"/>
      <c r="AD698" s="16"/>
      <c r="AE698" s="16"/>
      <c r="AF698" s="16"/>
      <c r="AG698" s="16"/>
      <c r="AH698" s="16"/>
      <c r="AI698" s="16"/>
      <c r="AJ698" s="16"/>
      <c r="AK698" s="16"/>
      <c r="AL698" s="16"/>
      <c r="AM698" s="16"/>
      <c r="AN698" s="16"/>
      <c r="AO698" s="16"/>
      <c r="AP698" s="16"/>
      <c r="AQ698" s="16"/>
      <c r="AR698" s="16"/>
      <c r="AS698" s="16"/>
    </row>
    <row r="699" spans="18:45" x14ac:dyDescent="0.35">
      <c r="R699" s="191"/>
      <c r="S699" s="191"/>
      <c r="T699" s="193"/>
      <c r="U699" s="191"/>
      <c r="V699" s="194"/>
      <c r="W699" s="191"/>
      <c r="Y699" s="191"/>
      <c r="Z699" s="191"/>
      <c r="AA699" s="191"/>
      <c r="AB699" s="191"/>
      <c r="AC699" s="191"/>
      <c r="AD699" s="16"/>
      <c r="AE699" s="16"/>
      <c r="AF699" s="16"/>
      <c r="AG699" s="16"/>
      <c r="AH699" s="16"/>
      <c r="AI699" s="16"/>
      <c r="AJ699" s="16"/>
      <c r="AK699" s="16"/>
      <c r="AL699" s="16"/>
      <c r="AM699" s="16"/>
      <c r="AN699" s="16"/>
      <c r="AO699" s="16"/>
      <c r="AP699" s="16"/>
      <c r="AQ699" s="16"/>
      <c r="AR699" s="16"/>
      <c r="AS699" s="16"/>
    </row>
    <row r="700" spans="18:45" x14ac:dyDescent="0.35">
      <c r="R700" s="191"/>
      <c r="S700" s="191"/>
      <c r="T700" s="193"/>
      <c r="U700" s="191"/>
      <c r="V700" s="194"/>
      <c r="W700" s="191"/>
      <c r="Y700" s="191"/>
      <c r="Z700" s="191"/>
      <c r="AA700" s="191"/>
      <c r="AB700" s="191"/>
      <c r="AC700" s="191"/>
      <c r="AD700" s="16"/>
      <c r="AE700" s="16"/>
      <c r="AF700" s="16"/>
      <c r="AG700" s="16"/>
      <c r="AH700" s="16"/>
      <c r="AI700" s="16"/>
      <c r="AJ700" s="16"/>
      <c r="AK700" s="16"/>
      <c r="AL700" s="16"/>
      <c r="AM700" s="16"/>
      <c r="AN700" s="16"/>
      <c r="AO700" s="16"/>
      <c r="AP700" s="16"/>
      <c r="AQ700" s="16"/>
      <c r="AR700" s="16"/>
      <c r="AS700" s="16"/>
    </row>
    <row r="701" spans="18:45" x14ac:dyDescent="0.35">
      <c r="R701" s="191"/>
      <c r="S701" s="191"/>
      <c r="T701" s="193"/>
      <c r="U701" s="191"/>
      <c r="V701" s="194"/>
      <c r="W701" s="191"/>
      <c r="Y701" s="191"/>
      <c r="Z701" s="191"/>
      <c r="AA701" s="191"/>
      <c r="AB701" s="191"/>
      <c r="AC701" s="191"/>
      <c r="AD701" s="16"/>
      <c r="AE701" s="16"/>
      <c r="AF701" s="16"/>
      <c r="AG701" s="16"/>
      <c r="AH701" s="16"/>
      <c r="AI701" s="16"/>
      <c r="AJ701" s="16"/>
      <c r="AK701" s="16"/>
      <c r="AL701" s="16"/>
      <c r="AM701" s="16"/>
      <c r="AN701" s="16"/>
      <c r="AO701" s="16"/>
      <c r="AP701" s="16"/>
      <c r="AQ701" s="16"/>
      <c r="AR701" s="16"/>
      <c r="AS701" s="16"/>
    </row>
    <row r="702" spans="18:45" x14ac:dyDescent="0.35">
      <c r="R702" s="191"/>
      <c r="S702" s="191"/>
      <c r="T702" s="193"/>
      <c r="U702" s="191"/>
      <c r="V702" s="194"/>
      <c r="W702" s="191"/>
      <c r="Y702" s="191"/>
      <c r="Z702" s="191"/>
      <c r="AA702" s="191"/>
      <c r="AB702" s="191"/>
      <c r="AC702" s="191"/>
      <c r="AD702" s="16"/>
      <c r="AE702" s="16"/>
      <c r="AF702" s="16"/>
      <c r="AG702" s="16"/>
      <c r="AH702" s="16"/>
      <c r="AI702" s="16"/>
      <c r="AJ702" s="16"/>
      <c r="AK702" s="16"/>
      <c r="AL702" s="16"/>
      <c r="AM702" s="16"/>
      <c r="AN702" s="16"/>
      <c r="AO702" s="16"/>
      <c r="AP702" s="16"/>
      <c r="AQ702" s="16"/>
      <c r="AR702" s="16"/>
      <c r="AS702" s="16"/>
    </row>
    <row r="703" spans="18:45" x14ac:dyDescent="0.35">
      <c r="R703" s="191"/>
      <c r="S703" s="191"/>
      <c r="T703" s="193"/>
      <c r="U703" s="191"/>
      <c r="V703" s="194"/>
      <c r="W703" s="191"/>
      <c r="Y703" s="191"/>
      <c r="Z703" s="191"/>
      <c r="AA703" s="191"/>
      <c r="AB703" s="191"/>
      <c r="AC703" s="191"/>
      <c r="AD703" s="16"/>
      <c r="AE703" s="16"/>
      <c r="AF703" s="16"/>
      <c r="AG703" s="16"/>
      <c r="AH703" s="16"/>
      <c r="AI703" s="16"/>
      <c r="AJ703" s="16"/>
      <c r="AK703" s="16"/>
      <c r="AL703" s="16"/>
      <c r="AM703" s="16"/>
      <c r="AN703" s="16"/>
      <c r="AO703" s="16"/>
      <c r="AP703" s="16"/>
      <c r="AQ703" s="16"/>
      <c r="AR703" s="16"/>
      <c r="AS703" s="16"/>
    </row>
    <row r="704" spans="18:45" x14ac:dyDescent="0.35">
      <c r="R704" s="191"/>
      <c r="S704" s="191"/>
      <c r="T704" s="193"/>
      <c r="U704" s="191"/>
      <c r="V704" s="194"/>
      <c r="W704" s="191"/>
      <c r="Y704" s="191"/>
      <c r="Z704" s="191"/>
      <c r="AA704" s="191"/>
      <c r="AB704" s="191"/>
      <c r="AC704" s="191"/>
      <c r="AD704" s="16"/>
      <c r="AE704" s="16"/>
      <c r="AF704" s="16"/>
      <c r="AG704" s="16"/>
      <c r="AH704" s="16"/>
      <c r="AI704" s="16"/>
      <c r="AJ704" s="16"/>
      <c r="AK704" s="16"/>
      <c r="AL704" s="16"/>
      <c r="AM704" s="16"/>
      <c r="AN704" s="16"/>
      <c r="AO704" s="16"/>
      <c r="AP704" s="16"/>
      <c r="AQ704" s="16"/>
      <c r="AR704" s="16"/>
      <c r="AS704" s="16"/>
    </row>
    <row r="705" spans="18:45" x14ac:dyDescent="0.35">
      <c r="R705" s="191"/>
      <c r="S705" s="191"/>
      <c r="T705" s="193"/>
      <c r="U705" s="191"/>
      <c r="V705" s="194"/>
      <c r="W705" s="191"/>
      <c r="Y705" s="191"/>
      <c r="Z705" s="191"/>
      <c r="AA705" s="191"/>
      <c r="AB705" s="191"/>
      <c r="AC705" s="191"/>
      <c r="AD705" s="16"/>
      <c r="AE705" s="16"/>
      <c r="AF705" s="16"/>
      <c r="AG705" s="16"/>
      <c r="AH705" s="16"/>
      <c r="AI705" s="16"/>
      <c r="AJ705" s="16"/>
      <c r="AK705" s="16"/>
      <c r="AL705" s="16"/>
      <c r="AM705" s="16"/>
      <c r="AN705" s="16"/>
      <c r="AO705" s="16"/>
      <c r="AP705" s="16"/>
      <c r="AQ705" s="16"/>
      <c r="AR705" s="16"/>
      <c r="AS705" s="16"/>
    </row>
    <row r="706" spans="18:45" x14ac:dyDescent="0.35">
      <c r="R706" s="191"/>
      <c r="S706" s="191"/>
      <c r="T706" s="193"/>
      <c r="U706" s="191"/>
      <c r="V706" s="194"/>
      <c r="W706" s="191"/>
      <c r="Y706" s="191"/>
      <c r="Z706" s="191"/>
      <c r="AA706" s="191"/>
      <c r="AB706" s="191"/>
      <c r="AC706" s="191"/>
      <c r="AD706" s="16"/>
      <c r="AE706" s="16"/>
      <c r="AF706" s="16"/>
      <c r="AG706" s="16"/>
      <c r="AH706" s="16"/>
      <c r="AI706" s="16"/>
      <c r="AJ706" s="16"/>
      <c r="AK706" s="16"/>
      <c r="AL706" s="16"/>
      <c r="AM706" s="16"/>
      <c r="AN706" s="16"/>
      <c r="AO706" s="16"/>
      <c r="AP706" s="16"/>
      <c r="AQ706" s="16"/>
      <c r="AR706" s="16"/>
      <c r="AS706" s="16"/>
    </row>
    <row r="707" spans="18:45" x14ac:dyDescent="0.35">
      <c r="R707" s="191"/>
      <c r="S707" s="191"/>
      <c r="T707" s="193"/>
      <c r="U707" s="191"/>
      <c r="V707" s="194"/>
      <c r="W707" s="191"/>
      <c r="Y707" s="191"/>
      <c r="Z707" s="191"/>
      <c r="AA707" s="191"/>
      <c r="AB707" s="191"/>
      <c r="AC707" s="191"/>
      <c r="AD707" s="16"/>
      <c r="AE707" s="16"/>
      <c r="AF707" s="16"/>
      <c r="AG707" s="16"/>
      <c r="AH707" s="16"/>
      <c r="AI707" s="16"/>
      <c r="AJ707" s="16"/>
      <c r="AK707" s="16"/>
      <c r="AL707" s="16"/>
      <c r="AM707" s="16"/>
      <c r="AN707" s="16"/>
      <c r="AO707" s="16"/>
      <c r="AP707" s="16"/>
      <c r="AQ707" s="16"/>
      <c r="AR707" s="16"/>
      <c r="AS707" s="16"/>
    </row>
    <row r="708" spans="18:45" x14ac:dyDescent="0.35">
      <c r="R708" s="191"/>
      <c r="S708" s="191"/>
      <c r="T708" s="193"/>
      <c r="U708" s="191"/>
      <c r="V708" s="194"/>
      <c r="W708" s="191"/>
      <c r="Y708" s="191"/>
      <c r="Z708" s="191"/>
      <c r="AA708" s="191"/>
      <c r="AB708" s="191"/>
      <c r="AC708" s="191"/>
      <c r="AD708" s="16"/>
      <c r="AE708" s="16"/>
      <c r="AF708" s="16"/>
      <c r="AG708" s="16"/>
      <c r="AH708" s="16"/>
      <c r="AI708" s="16"/>
      <c r="AJ708" s="16"/>
      <c r="AK708" s="16"/>
      <c r="AL708" s="16"/>
      <c r="AM708" s="16"/>
      <c r="AN708" s="16"/>
      <c r="AO708" s="16"/>
      <c r="AP708" s="16"/>
      <c r="AQ708" s="16"/>
      <c r="AR708" s="16"/>
      <c r="AS708" s="16"/>
    </row>
    <row r="709" spans="18:45" x14ac:dyDescent="0.35">
      <c r="R709" s="191"/>
      <c r="S709" s="191"/>
      <c r="T709" s="193"/>
      <c r="U709" s="191"/>
      <c r="V709" s="194"/>
      <c r="W709" s="191"/>
      <c r="Y709" s="191"/>
      <c r="Z709" s="191"/>
      <c r="AA709" s="191"/>
      <c r="AB709" s="191"/>
      <c r="AC709" s="191"/>
      <c r="AD709" s="16"/>
      <c r="AE709" s="16"/>
      <c r="AF709" s="16"/>
      <c r="AG709" s="16"/>
      <c r="AH709" s="16"/>
      <c r="AI709" s="16"/>
      <c r="AJ709" s="16"/>
      <c r="AK709" s="16"/>
      <c r="AL709" s="16"/>
      <c r="AM709" s="16"/>
      <c r="AN709" s="16"/>
      <c r="AO709" s="16"/>
      <c r="AP709" s="16"/>
      <c r="AQ709" s="16"/>
      <c r="AR709" s="16"/>
      <c r="AS709" s="16"/>
    </row>
    <row r="710" spans="18:45" x14ac:dyDescent="0.35">
      <c r="R710" s="191"/>
      <c r="S710" s="191"/>
      <c r="T710" s="193"/>
      <c r="U710" s="191"/>
      <c r="V710" s="194"/>
      <c r="W710" s="191"/>
      <c r="Y710" s="191"/>
      <c r="Z710" s="191"/>
      <c r="AA710" s="191"/>
      <c r="AB710" s="191"/>
      <c r="AC710" s="191"/>
      <c r="AD710" s="16"/>
      <c r="AE710" s="16"/>
      <c r="AF710" s="16"/>
      <c r="AG710" s="16"/>
      <c r="AH710" s="16"/>
      <c r="AI710" s="16"/>
      <c r="AJ710" s="16"/>
      <c r="AK710" s="16"/>
      <c r="AL710" s="16"/>
      <c r="AM710" s="16"/>
      <c r="AN710" s="16"/>
      <c r="AO710" s="16"/>
      <c r="AP710" s="16"/>
      <c r="AQ710" s="16"/>
      <c r="AR710" s="16"/>
      <c r="AS710" s="16"/>
    </row>
    <row r="711" spans="18:45" x14ac:dyDescent="0.35">
      <c r="R711" s="191"/>
      <c r="S711" s="191"/>
      <c r="T711" s="193"/>
      <c r="U711" s="191"/>
      <c r="V711" s="194"/>
      <c r="W711" s="191"/>
      <c r="Y711" s="191"/>
      <c r="Z711" s="191"/>
      <c r="AA711" s="191"/>
      <c r="AB711" s="191"/>
      <c r="AC711" s="191"/>
      <c r="AD711" s="16"/>
      <c r="AE711" s="16"/>
      <c r="AF711" s="16"/>
      <c r="AG711" s="16"/>
      <c r="AH711" s="16"/>
      <c r="AI711" s="16"/>
      <c r="AJ711" s="16"/>
      <c r="AK711" s="16"/>
      <c r="AL711" s="16"/>
      <c r="AM711" s="16"/>
      <c r="AN711" s="16"/>
      <c r="AO711" s="16"/>
      <c r="AP711" s="16"/>
      <c r="AQ711" s="16"/>
      <c r="AR711" s="16"/>
      <c r="AS711" s="16"/>
    </row>
    <row r="712" spans="18:45" x14ac:dyDescent="0.35">
      <c r="R712" s="191"/>
      <c r="S712" s="191"/>
      <c r="T712" s="193"/>
      <c r="U712" s="191"/>
      <c r="V712" s="194"/>
      <c r="W712" s="191"/>
      <c r="Y712" s="191"/>
      <c r="Z712" s="191"/>
      <c r="AA712" s="191"/>
      <c r="AB712" s="191"/>
      <c r="AC712" s="191"/>
      <c r="AD712" s="16"/>
      <c r="AE712" s="16"/>
      <c r="AF712" s="16"/>
      <c r="AG712" s="16"/>
      <c r="AH712" s="16"/>
      <c r="AI712" s="16"/>
      <c r="AJ712" s="16"/>
      <c r="AK712" s="16"/>
      <c r="AL712" s="16"/>
      <c r="AM712" s="16"/>
      <c r="AN712" s="16"/>
      <c r="AO712" s="16"/>
      <c r="AP712" s="16"/>
      <c r="AQ712" s="16"/>
      <c r="AR712" s="16"/>
      <c r="AS712" s="16"/>
    </row>
    <row r="713" spans="18:45" x14ac:dyDescent="0.35">
      <c r="R713" s="191"/>
      <c r="S713" s="191"/>
      <c r="T713" s="193"/>
      <c r="U713" s="191"/>
      <c r="V713" s="194"/>
      <c r="W713" s="191"/>
      <c r="Y713" s="191"/>
      <c r="Z713" s="191"/>
      <c r="AA713" s="191"/>
      <c r="AB713" s="191"/>
      <c r="AC713" s="191"/>
      <c r="AD713" s="16"/>
      <c r="AE713" s="16"/>
      <c r="AF713" s="16"/>
      <c r="AG713" s="16"/>
      <c r="AH713" s="16"/>
      <c r="AI713" s="16"/>
      <c r="AJ713" s="16"/>
      <c r="AK713" s="16"/>
      <c r="AL713" s="16"/>
      <c r="AM713" s="16"/>
      <c r="AN713" s="16"/>
      <c r="AO713" s="16"/>
      <c r="AP713" s="16"/>
      <c r="AQ713" s="16"/>
      <c r="AR713" s="16"/>
      <c r="AS713" s="16"/>
    </row>
    <row r="714" spans="18:45" x14ac:dyDescent="0.35">
      <c r="R714" s="191"/>
      <c r="S714" s="191"/>
      <c r="T714" s="193"/>
      <c r="U714" s="191"/>
      <c r="V714" s="194"/>
      <c r="W714" s="191"/>
      <c r="Y714" s="191"/>
      <c r="Z714" s="191"/>
      <c r="AA714" s="191"/>
      <c r="AB714" s="191"/>
      <c r="AC714" s="191"/>
      <c r="AD714" s="16"/>
      <c r="AE714" s="16"/>
      <c r="AF714" s="16"/>
      <c r="AG714" s="16"/>
      <c r="AH714" s="16"/>
      <c r="AI714" s="16"/>
      <c r="AJ714" s="16"/>
      <c r="AK714" s="16"/>
      <c r="AL714" s="16"/>
      <c r="AM714" s="16"/>
      <c r="AN714" s="16"/>
      <c r="AO714" s="16"/>
      <c r="AP714" s="16"/>
      <c r="AQ714" s="16"/>
      <c r="AR714" s="16"/>
      <c r="AS714" s="16"/>
    </row>
    <row r="715" spans="18:45" x14ac:dyDescent="0.35">
      <c r="R715" s="191"/>
      <c r="S715" s="191"/>
      <c r="T715" s="193"/>
      <c r="U715" s="191"/>
      <c r="V715" s="194"/>
      <c r="W715" s="191"/>
      <c r="Y715" s="191"/>
      <c r="Z715" s="191"/>
      <c r="AA715" s="191"/>
      <c r="AB715" s="191"/>
      <c r="AC715" s="191"/>
      <c r="AD715" s="16"/>
      <c r="AE715" s="16"/>
      <c r="AF715" s="16"/>
      <c r="AG715" s="16"/>
      <c r="AH715" s="16"/>
      <c r="AI715" s="16"/>
      <c r="AJ715" s="16"/>
      <c r="AK715" s="16"/>
      <c r="AL715" s="16"/>
      <c r="AM715" s="16"/>
      <c r="AN715" s="16"/>
      <c r="AO715" s="16"/>
      <c r="AP715" s="16"/>
      <c r="AQ715" s="16"/>
      <c r="AR715" s="16"/>
      <c r="AS715" s="16"/>
    </row>
    <row r="716" spans="18:45" x14ac:dyDescent="0.35">
      <c r="R716" s="191"/>
      <c r="S716" s="191"/>
      <c r="T716" s="193"/>
      <c r="U716" s="191"/>
      <c r="V716" s="194"/>
      <c r="W716" s="191"/>
      <c r="Y716" s="191"/>
      <c r="Z716" s="191"/>
      <c r="AA716" s="191"/>
      <c r="AB716" s="191"/>
      <c r="AC716" s="191"/>
      <c r="AD716" s="16"/>
      <c r="AE716" s="16"/>
      <c r="AF716" s="16"/>
      <c r="AG716" s="16"/>
      <c r="AH716" s="16"/>
      <c r="AI716" s="16"/>
      <c r="AJ716" s="16"/>
      <c r="AK716" s="16"/>
      <c r="AL716" s="16"/>
      <c r="AM716" s="16"/>
      <c r="AN716" s="16"/>
      <c r="AO716" s="16"/>
      <c r="AP716" s="16"/>
      <c r="AQ716" s="16"/>
      <c r="AR716" s="16"/>
      <c r="AS716" s="16"/>
    </row>
    <row r="717" spans="18:45" x14ac:dyDescent="0.35">
      <c r="R717" s="191"/>
      <c r="S717" s="191"/>
      <c r="T717" s="193"/>
      <c r="U717" s="191"/>
      <c r="V717" s="194"/>
      <c r="W717" s="191"/>
      <c r="Y717" s="191"/>
      <c r="Z717" s="191"/>
      <c r="AA717" s="191"/>
      <c r="AB717" s="191"/>
      <c r="AC717" s="191"/>
      <c r="AD717" s="16"/>
      <c r="AE717" s="16"/>
      <c r="AF717" s="16"/>
      <c r="AG717" s="16"/>
      <c r="AH717" s="16"/>
      <c r="AI717" s="16"/>
      <c r="AJ717" s="16"/>
      <c r="AK717" s="16"/>
      <c r="AL717" s="16"/>
      <c r="AM717" s="16"/>
      <c r="AN717" s="16"/>
      <c r="AO717" s="16"/>
      <c r="AP717" s="16"/>
      <c r="AQ717" s="16"/>
      <c r="AR717" s="16"/>
      <c r="AS717" s="16"/>
    </row>
    <row r="718" spans="18:45" x14ac:dyDescent="0.35">
      <c r="R718" s="191"/>
      <c r="S718" s="191"/>
      <c r="T718" s="193"/>
      <c r="U718" s="191"/>
      <c r="V718" s="194"/>
      <c r="W718" s="191"/>
      <c r="Y718" s="191"/>
      <c r="Z718" s="191"/>
      <c r="AA718" s="191"/>
      <c r="AB718" s="191"/>
      <c r="AC718" s="191"/>
      <c r="AD718" s="16"/>
      <c r="AE718" s="16"/>
      <c r="AF718" s="16"/>
      <c r="AG718" s="16"/>
      <c r="AH718" s="16"/>
      <c r="AI718" s="16"/>
      <c r="AJ718" s="16"/>
      <c r="AK718" s="16"/>
      <c r="AL718" s="16"/>
      <c r="AM718" s="16"/>
      <c r="AN718" s="16"/>
      <c r="AO718" s="16"/>
      <c r="AP718" s="16"/>
      <c r="AQ718" s="16"/>
      <c r="AR718" s="16"/>
      <c r="AS718" s="16"/>
    </row>
    <row r="719" spans="18:45" x14ac:dyDescent="0.35">
      <c r="R719" s="191"/>
      <c r="S719" s="191"/>
      <c r="T719" s="193"/>
      <c r="U719" s="191"/>
      <c r="V719" s="194"/>
      <c r="W719" s="191"/>
      <c r="Y719" s="191"/>
      <c r="Z719" s="191"/>
      <c r="AA719" s="191"/>
      <c r="AB719" s="191"/>
      <c r="AC719" s="191"/>
      <c r="AD719" s="16"/>
      <c r="AE719" s="16"/>
      <c r="AF719" s="16"/>
      <c r="AG719" s="16"/>
      <c r="AH719" s="16"/>
      <c r="AI719" s="16"/>
      <c r="AJ719" s="16"/>
      <c r="AK719" s="16"/>
      <c r="AL719" s="16"/>
      <c r="AM719" s="16"/>
      <c r="AN719" s="16"/>
      <c r="AO719" s="16"/>
      <c r="AP719" s="16"/>
      <c r="AQ719" s="16"/>
      <c r="AR719" s="16"/>
      <c r="AS719" s="16"/>
    </row>
    <row r="720" spans="18:45" x14ac:dyDescent="0.35">
      <c r="R720" s="191"/>
      <c r="S720" s="191"/>
      <c r="T720" s="193"/>
      <c r="U720" s="191"/>
      <c r="V720" s="194"/>
      <c r="W720" s="191"/>
      <c r="Y720" s="191"/>
      <c r="Z720" s="191"/>
      <c r="AA720" s="191"/>
      <c r="AB720" s="191"/>
      <c r="AC720" s="191"/>
      <c r="AD720" s="16"/>
      <c r="AE720" s="16"/>
      <c r="AF720" s="16"/>
      <c r="AG720" s="16"/>
      <c r="AH720" s="16"/>
      <c r="AI720" s="16"/>
      <c r="AJ720" s="16"/>
      <c r="AK720" s="16"/>
      <c r="AL720" s="16"/>
      <c r="AM720" s="16"/>
      <c r="AN720" s="16"/>
      <c r="AO720" s="16"/>
      <c r="AP720" s="16"/>
      <c r="AQ720" s="16"/>
      <c r="AR720" s="16"/>
      <c r="AS720" s="16"/>
    </row>
    <row r="721" spans="18:45" x14ac:dyDescent="0.35">
      <c r="R721" s="191"/>
      <c r="S721" s="191"/>
      <c r="T721" s="193"/>
      <c r="U721" s="191"/>
      <c r="V721" s="194"/>
      <c r="W721" s="191"/>
      <c r="Y721" s="191"/>
      <c r="Z721" s="191"/>
      <c r="AA721" s="191"/>
      <c r="AB721" s="191"/>
      <c r="AC721" s="191"/>
      <c r="AD721" s="16"/>
      <c r="AE721" s="16"/>
      <c r="AF721" s="16"/>
      <c r="AG721" s="16"/>
      <c r="AH721" s="16"/>
      <c r="AI721" s="16"/>
      <c r="AJ721" s="16"/>
      <c r="AK721" s="16"/>
      <c r="AL721" s="16"/>
      <c r="AM721" s="16"/>
      <c r="AN721" s="16"/>
      <c r="AO721" s="16"/>
      <c r="AP721" s="16"/>
      <c r="AQ721" s="16"/>
      <c r="AR721" s="16"/>
      <c r="AS721" s="16"/>
    </row>
    <row r="722" spans="18:45" x14ac:dyDescent="0.35">
      <c r="R722" s="191"/>
      <c r="S722" s="191"/>
      <c r="T722" s="193"/>
      <c r="U722" s="191"/>
      <c r="V722" s="194"/>
      <c r="W722" s="191"/>
      <c r="Y722" s="191"/>
      <c r="Z722" s="191"/>
      <c r="AA722" s="191"/>
      <c r="AB722" s="191"/>
      <c r="AC722" s="191"/>
      <c r="AD722" s="16"/>
      <c r="AE722" s="16"/>
      <c r="AF722" s="16"/>
      <c r="AG722" s="16"/>
      <c r="AH722" s="16"/>
      <c r="AI722" s="16"/>
      <c r="AJ722" s="16"/>
      <c r="AK722" s="16"/>
      <c r="AL722" s="16"/>
      <c r="AM722" s="16"/>
      <c r="AN722" s="16"/>
      <c r="AO722" s="16"/>
      <c r="AP722" s="16"/>
      <c r="AQ722" s="16"/>
      <c r="AR722" s="16"/>
      <c r="AS722" s="16"/>
    </row>
    <row r="723" spans="18:45" x14ac:dyDescent="0.35">
      <c r="R723" s="191"/>
      <c r="S723" s="191"/>
      <c r="T723" s="193"/>
      <c r="U723" s="191"/>
      <c r="V723" s="194"/>
      <c r="W723" s="191"/>
      <c r="Y723" s="191"/>
      <c r="Z723" s="191"/>
      <c r="AA723" s="191"/>
      <c r="AB723" s="191"/>
      <c r="AC723" s="191"/>
      <c r="AD723" s="16"/>
      <c r="AE723" s="16"/>
      <c r="AF723" s="16"/>
      <c r="AG723" s="16"/>
      <c r="AH723" s="16"/>
      <c r="AI723" s="16"/>
      <c r="AJ723" s="16"/>
      <c r="AK723" s="16"/>
      <c r="AL723" s="16"/>
      <c r="AM723" s="16"/>
      <c r="AN723" s="16"/>
      <c r="AO723" s="16"/>
      <c r="AP723" s="16"/>
      <c r="AQ723" s="16"/>
      <c r="AR723" s="16"/>
      <c r="AS723" s="16"/>
    </row>
    <row r="724" spans="18:45" x14ac:dyDescent="0.35">
      <c r="R724" s="191"/>
      <c r="S724" s="191"/>
      <c r="T724" s="193"/>
      <c r="U724" s="191"/>
      <c r="V724" s="194"/>
      <c r="W724" s="191"/>
      <c r="Y724" s="191"/>
      <c r="Z724" s="191"/>
      <c r="AA724" s="191"/>
      <c r="AB724" s="191"/>
      <c r="AC724" s="191"/>
      <c r="AD724" s="16"/>
      <c r="AE724" s="16"/>
      <c r="AF724" s="16"/>
      <c r="AG724" s="16"/>
      <c r="AH724" s="16"/>
      <c r="AI724" s="16"/>
      <c r="AJ724" s="16"/>
      <c r="AK724" s="16"/>
      <c r="AL724" s="16"/>
      <c r="AM724" s="16"/>
      <c r="AN724" s="16"/>
      <c r="AO724" s="16"/>
      <c r="AP724" s="16"/>
      <c r="AQ724" s="16"/>
      <c r="AR724" s="16"/>
      <c r="AS724" s="16"/>
    </row>
    <row r="725" spans="18:45" x14ac:dyDescent="0.35">
      <c r="R725" s="191"/>
      <c r="S725" s="191"/>
      <c r="T725" s="193"/>
      <c r="U725" s="191"/>
      <c r="V725" s="194"/>
      <c r="W725" s="191"/>
      <c r="Y725" s="191"/>
      <c r="Z725" s="191"/>
      <c r="AA725" s="191"/>
      <c r="AB725" s="191"/>
      <c r="AC725" s="191"/>
      <c r="AD725" s="16"/>
      <c r="AE725" s="16"/>
      <c r="AF725" s="16"/>
      <c r="AG725" s="16"/>
      <c r="AH725" s="16"/>
      <c r="AI725" s="16"/>
      <c r="AJ725" s="16"/>
      <c r="AK725" s="16"/>
      <c r="AL725" s="16"/>
      <c r="AM725" s="16"/>
      <c r="AN725" s="16"/>
      <c r="AO725" s="16"/>
      <c r="AP725" s="16"/>
      <c r="AQ725" s="16"/>
      <c r="AR725" s="16"/>
      <c r="AS725" s="16"/>
    </row>
    <row r="726" spans="18:45" x14ac:dyDescent="0.35">
      <c r="R726" s="191"/>
      <c r="S726" s="191"/>
      <c r="T726" s="193"/>
      <c r="U726" s="191"/>
      <c r="V726" s="194"/>
      <c r="W726" s="191"/>
      <c r="Y726" s="191"/>
      <c r="Z726" s="191"/>
      <c r="AA726" s="191"/>
      <c r="AB726" s="191"/>
      <c r="AC726" s="191"/>
      <c r="AD726" s="16"/>
      <c r="AE726" s="16"/>
      <c r="AF726" s="16"/>
      <c r="AG726" s="16"/>
      <c r="AH726" s="16"/>
      <c r="AI726" s="16"/>
      <c r="AJ726" s="16"/>
      <c r="AK726" s="16"/>
      <c r="AL726" s="16"/>
      <c r="AM726" s="16"/>
      <c r="AN726" s="16"/>
      <c r="AO726" s="16"/>
      <c r="AP726" s="16"/>
      <c r="AQ726" s="16"/>
      <c r="AR726" s="16"/>
      <c r="AS726" s="16"/>
    </row>
    <row r="727" spans="18:45" x14ac:dyDescent="0.35">
      <c r="R727" s="191"/>
      <c r="S727" s="191"/>
      <c r="T727" s="193"/>
      <c r="U727" s="191"/>
      <c r="V727" s="194"/>
      <c r="W727" s="191"/>
      <c r="Y727" s="191"/>
      <c r="Z727" s="191"/>
      <c r="AA727" s="191"/>
      <c r="AB727" s="191"/>
      <c r="AC727" s="191"/>
      <c r="AD727" s="16"/>
      <c r="AE727" s="16"/>
      <c r="AF727" s="16"/>
      <c r="AG727" s="16"/>
      <c r="AH727" s="16"/>
      <c r="AI727" s="16"/>
      <c r="AJ727" s="16"/>
      <c r="AK727" s="16"/>
      <c r="AL727" s="16"/>
      <c r="AM727" s="16"/>
      <c r="AN727" s="16"/>
      <c r="AO727" s="16"/>
      <c r="AP727" s="16"/>
      <c r="AQ727" s="16"/>
      <c r="AR727" s="16"/>
      <c r="AS727" s="16"/>
    </row>
    <row r="728" spans="18:45" x14ac:dyDescent="0.35">
      <c r="R728" s="191"/>
      <c r="S728" s="191"/>
      <c r="T728" s="193"/>
      <c r="U728" s="191"/>
      <c r="V728" s="194"/>
      <c r="W728" s="191"/>
      <c r="Y728" s="191"/>
      <c r="Z728" s="191"/>
      <c r="AA728" s="191"/>
      <c r="AB728" s="191"/>
      <c r="AC728" s="191"/>
      <c r="AD728" s="16"/>
      <c r="AE728" s="16"/>
      <c r="AF728" s="16"/>
      <c r="AG728" s="16"/>
      <c r="AH728" s="16"/>
      <c r="AI728" s="16"/>
      <c r="AJ728" s="16"/>
      <c r="AK728" s="16"/>
      <c r="AL728" s="16"/>
      <c r="AM728" s="16"/>
      <c r="AN728" s="16"/>
      <c r="AO728" s="16"/>
      <c r="AP728" s="16"/>
      <c r="AQ728" s="16"/>
      <c r="AR728" s="16"/>
      <c r="AS728" s="16"/>
    </row>
    <row r="729" spans="18:45" x14ac:dyDescent="0.35">
      <c r="R729" s="191"/>
      <c r="S729" s="191"/>
      <c r="T729" s="193"/>
      <c r="U729" s="191"/>
      <c r="V729" s="194"/>
      <c r="W729" s="191"/>
      <c r="Y729" s="191"/>
      <c r="Z729" s="191"/>
      <c r="AA729" s="191"/>
      <c r="AB729" s="191"/>
      <c r="AC729" s="191"/>
      <c r="AD729" s="16"/>
      <c r="AE729" s="16"/>
      <c r="AF729" s="16"/>
      <c r="AG729" s="16"/>
      <c r="AH729" s="16"/>
      <c r="AI729" s="16"/>
      <c r="AJ729" s="16"/>
      <c r="AK729" s="16"/>
      <c r="AL729" s="16"/>
      <c r="AM729" s="16"/>
      <c r="AN729" s="16"/>
      <c r="AO729" s="16"/>
      <c r="AP729" s="16"/>
      <c r="AQ729" s="16"/>
      <c r="AR729" s="16"/>
      <c r="AS729" s="16"/>
    </row>
    <row r="730" spans="18:45" x14ac:dyDescent="0.35">
      <c r="R730" s="191"/>
      <c r="S730" s="191"/>
      <c r="T730" s="193"/>
      <c r="U730" s="191"/>
      <c r="V730" s="194"/>
      <c r="W730" s="191"/>
      <c r="Y730" s="191"/>
      <c r="Z730" s="191"/>
      <c r="AA730" s="191"/>
      <c r="AB730" s="191"/>
      <c r="AC730" s="191"/>
      <c r="AD730" s="16"/>
      <c r="AE730" s="16"/>
      <c r="AF730" s="16"/>
      <c r="AG730" s="16"/>
      <c r="AH730" s="16"/>
      <c r="AI730" s="16"/>
      <c r="AJ730" s="16"/>
      <c r="AK730" s="16"/>
      <c r="AL730" s="16"/>
      <c r="AM730" s="16"/>
      <c r="AN730" s="16"/>
      <c r="AO730" s="16"/>
      <c r="AP730" s="16"/>
      <c r="AQ730" s="16"/>
      <c r="AR730" s="16"/>
      <c r="AS730" s="16"/>
    </row>
    <row r="731" spans="18:45" x14ac:dyDescent="0.35">
      <c r="R731" s="191"/>
      <c r="S731" s="191"/>
      <c r="T731" s="193"/>
      <c r="U731" s="191"/>
      <c r="V731" s="194"/>
      <c r="W731" s="191"/>
      <c r="Y731" s="191"/>
      <c r="Z731" s="191"/>
      <c r="AA731" s="191"/>
      <c r="AB731" s="191"/>
      <c r="AC731" s="191"/>
      <c r="AD731" s="16"/>
      <c r="AE731" s="16"/>
      <c r="AF731" s="16"/>
      <c r="AG731" s="16"/>
      <c r="AH731" s="16"/>
      <c r="AI731" s="16"/>
      <c r="AJ731" s="16"/>
      <c r="AK731" s="16"/>
      <c r="AL731" s="16"/>
      <c r="AM731" s="16"/>
      <c r="AN731" s="16"/>
      <c r="AO731" s="16"/>
      <c r="AP731" s="16"/>
      <c r="AQ731" s="16"/>
      <c r="AR731" s="16"/>
      <c r="AS731" s="16"/>
    </row>
    <row r="732" spans="18:45" x14ac:dyDescent="0.35">
      <c r="R732" s="191"/>
      <c r="S732" s="191"/>
      <c r="T732" s="193"/>
      <c r="U732" s="191"/>
      <c r="V732" s="194"/>
      <c r="W732" s="191"/>
      <c r="Y732" s="191"/>
      <c r="Z732" s="191"/>
      <c r="AA732" s="191"/>
      <c r="AB732" s="191"/>
      <c r="AC732" s="191"/>
      <c r="AD732" s="16"/>
      <c r="AE732" s="16"/>
      <c r="AF732" s="16"/>
      <c r="AG732" s="16"/>
      <c r="AH732" s="16"/>
      <c r="AI732" s="16"/>
      <c r="AJ732" s="16"/>
      <c r="AK732" s="16"/>
      <c r="AL732" s="16"/>
      <c r="AM732" s="16"/>
      <c r="AN732" s="16"/>
      <c r="AO732" s="16"/>
      <c r="AP732" s="16"/>
      <c r="AQ732" s="16"/>
      <c r="AR732" s="16"/>
      <c r="AS732" s="16"/>
    </row>
    <row r="733" spans="18:45" x14ac:dyDescent="0.35">
      <c r="R733" s="191"/>
      <c r="S733" s="191"/>
      <c r="T733" s="193"/>
      <c r="U733" s="191"/>
      <c r="V733" s="194"/>
      <c r="W733" s="191"/>
      <c r="Y733" s="191"/>
      <c r="Z733" s="191"/>
      <c r="AA733" s="191"/>
      <c r="AB733" s="191"/>
      <c r="AC733" s="191"/>
      <c r="AD733" s="16"/>
      <c r="AE733" s="16"/>
      <c r="AF733" s="16"/>
      <c r="AG733" s="16"/>
      <c r="AH733" s="16"/>
      <c r="AI733" s="16"/>
      <c r="AJ733" s="16"/>
      <c r="AK733" s="16"/>
      <c r="AL733" s="16"/>
      <c r="AM733" s="16"/>
      <c r="AN733" s="16"/>
      <c r="AO733" s="16"/>
      <c r="AP733" s="16"/>
      <c r="AQ733" s="16"/>
      <c r="AR733" s="16"/>
      <c r="AS733" s="16"/>
    </row>
    <row r="734" spans="18:45" x14ac:dyDescent="0.35">
      <c r="R734" s="191"/>
      <c r="S734" s="191"/>
      <c r="T734" s="193"/>
      <c r="U734" s="191"/>
      <c r="V734" s="194"/>
      <c r="W734" s="191"/>
      <c r="Y734" s="191"/>
      <c r="Z734" s="191"/>
      <c r="AA734" s="191"/>
      <c r="AB734" s="191"/>
      <c r="AC734" s="191"/>
      <c r="AD734" s="16"/>
      <c r="AE734" s="16"/>
      <c r="AF734" s="16"/>
      <c r="AG734" s="16"/>
      <c r="AH734" s="16"/>
      <c r="AI734" s="16"/>
      <c r="AJ734" s="16"/>
      <c r="AK734" s="16"/>
      <c r="AL734" s="16"/>
      <c r="AM734" s="16"/>
      <c r="AN734" s="16"/>
      <c r="AO734" s="16"/>
      <c r="AP734" s="16"/>
      <c r="AQ734" s="16"/>
      <c r="AR734" s="16"/>
      <c r="AS734" s="16"/>
    </row>
    <row r="735" spans="18:45" x14ac:dyDescent="0.35">
      <c r="R735" s="191"/>
      <c r="S735" s="191"/>
      <c r="T735" s="193"/>
      <c r="U735" s="191"/>
      <c r="V735" s="194"/>
      <c r="W735" s="191"/>
      <c r="Y735" s="191"/>
      <c r="Z735" s="191"/>
      <c r="AA735" s="191"/>
      <c r="AB735" s="191"/>
      <c r="AC735" s="191"/>
      <c r="AD735" s="16"/>
      <c r="AE735" s="16"/>
      <c r="AF735" s="16"/>
      <c r="AG735" s="16"/>
      <c r="AH735" s="16"/>
      <c r="AI735" s="16"/>
      <c r="AJ735" s="16"/>
      <c r="AK735" s="16"/>
      <c r="AL735" s="16"/>
      <c r="AM735" s="16"/>
      <c r="AN735" s="16"/>
      <c r="AO735" s="16"/>
      <c r="AP735" s="16"/>
      <c r="AQ735" s="16"/>
      <c r="AR735" s="16"/>
      <c r="AS735" s="16"/>
    </row>
    <row r="736" spans="18:45" x14ac:dyDescent="0.35">
      <c r="R736" s="191"/>
      <c r="S736" s="191"/>
      <c r="T736" s="193"/>
      <c r="U736" s="191"/>
      <c r="V736" s="194"/>
      <c r="W736" s="191"/>
      <c r="Y736" s="191"/>
      <c r="Z736" s="191"/>
      <c r="AA736" s="191"/>
      <c r="AB736" s="191"/>
      <c r="AC736" s="191"/>
      <c r="AD736" s="16"/>
      <c r="AE736" s="16"/>
      <c r="AF736" s="16"/>
      <c r="AG736" s="16"/>
      <c r="AH736" s="16"/>
      <c r="AI736" s="16"/>
      <c r="AJ736" s="16"/>
      <c r="AK736" s="16"/>
      <c r="AL736" s="16"/>
      <c r="AM736" s="16"/>
      <c r="AN736" s="16"/>
      <c r="AO736" s="16"/>
      <c r="AP736" s="16"/>
      <c r="AQ736" s="16"/>
      <c r="AR736" s="16"/>
      <c r="AS736" s="16"/>
    </row>
    <row r="737" spans="18:45" x14ac:dyDescent="0.35">
      <c r="R737" s="191"/>
      <c r="S737" s="191"/>
      <c r="T737" s="193"/>
      <c r="U737" s="191"/>
      <c r="V737" s="194"/>
      <c r="W737" s="191"/>
      <c r="Y737" s="191"/>
      <c r="Z737" s="191"/>
      <c r="AA737" s="191"/>
      <c r="AB737" s="191"/>
      <c r="AC737" s="191"/>
      <c r="AD737" s="16"/>
      <c r="AE737" s="16"/>
      <c r="AF737" s="16"/>
      <c r="AG737" s="16"/>
      <c r="AH737" s="16"/>
      <c r="AI737" s="16"/>
      <c r="AJ737" s="16"/>
      <c r="AK737" s="16"/>
      <c r="AL737" s="16"/>
      <c r="AM737" s="16"/>
      <c r="AN737" s="16"/>
      <c r="AO737" s="16"/>
      <c r="AP737" s="16"/>
      <c r="AQ737" s="16"/>
      <c r="AR737" s="16"/>
      <c r="AS737" s="16"/>
    </row>
    <row r="738" spans="18:45" x14ac:dyDescent="0.35">
      <c r="R738" s="191"/>
      <c r="S738" s="191"/>
      <c r="T738" s="193"/>
      <c r="U738" s="191"/>
      <c r="V738" s="194"/>
      <c r="W738" s="191"/>
      <c r="Y738" s="191"/>
      <c r="Z738" s="191"/>
      <c r="AA738" s="191"/>
      <c r="AB738" s="191"/>
      <c r="AC738" s="191"/>
      <c r="AD738" s="16"/>
      <c r="AE738" s="16"/>
      <c r="AF738" s="16"/>
      <c r="AG738" s="16"/>
      <c r="AH738" s="16"/>
      <c r="AI738" s="16"/>
      <c r="AJ738" s="16"/>
      <c r="AK738" s="16"/>
      <c r="AL738" s="16"/>
      <c r="AM738" s="16"/>
      <c r="AN738" s="16"/>
      <c r="AO738" s="16"/>
      <c r="AP738" s="16"/>
      <c r="AQ738" s="16"/>
      <c r="AR738" s="16"/>
      <c r="AS738" s="16"/>
    </row>
    <row r="739" spans="18:45" x14ac:dyDescent="0.35">
      <c r="R739" s="191"/>
      <c r="S739" s="191"/>
      <c r="T739" s="193"/>
      <c r="U739" s="191"/>
      <c r="V739" s="194"/>
      <c r="W739" s="191"/>
      <c r="Y739" s="191"/>
      <c r="Z739" s="191"/>
      <c r="AA739" s="191"/>
      <c r="AB739" s="191"/>
      <c r="AC739" s="191"/>
      <c r="AD739" s="16"/>
      <c r="AE739" s="16"/>
      <c r="AF739" s="16"/>
      <c r="AG739" s="16"/>
      <c r="AH739" s="16"/>
      <c r="AI739" s="16"/>
      <c r="AJ739" s="16"/>
      <c r="AK739" s="16"/>
      <c r="AL739" s="16"/>
      <c r="AM739" s="16"/>
      <c r="AN739" s="16"/>
      <c r="AO739" s="16"/>
      <c r="AP739" s="16"/>
      <c r="AQ739" s="16"/>
      <c r="AR739" s="16"/>
      <c r="AS739" s="16"/>
    </row>
    <row r="740" spans="18:45" x14ac:dyDescent="0.35">
      <c r="R740" s="191"/>
      <c r="S740" s="191"/>
      <c r="T740" s="193"/>
      <c r="U740" s="191"/>
      <c r="V740" s="194"/>
      <c r="W740" s="191"/>
      <c r="Y740" s="191"/>
      <c r="Z740" s="191"/>
      <c r="AA740" s="191"/>
      <c r="AB740" s="191"/>
      <c r="AC740" s="191"/>
      <c r="AD740" s="16"/>
      <c r="AE740" s="16"/>
      <c r="AF740" s="16"/>
      <c r="AG740" s="16"/>
      <c r="AH740" s="16"/>
      <c r="AI740" s="16"/>
      <c r="AJ740" s="16"/>
      <c r="AK740" s="16"/>
      <c r="AL740" s="16"/>
      <c r="AM740" s="16"/>
      <c r="AN740" s="16"/>
      <c r="AO740" s="16"/>
      <c r="AP740" s="16"/>
      <c r="AQ740" s="16"/>
      <c r="AR740" s="16"/>
      <c r="AS740" s="16"/>
    </row>
    <row r="741" spans="18:45" x14ac:dyDescent="0.35">
      <c r="R741" s="191"/>
      <c r="S741" s="191"/>
      <c r="T741" s="193"/>
      <c r="U741" s="191"/>
      <c r="V741" s="194"/>
      <c r="W741" s="191"/>
      <c r="Y741" s="191"/>
      <c r="Z741" s="191"/>
      <c r="AA741" s="191"/>
      <c r="AB741" s="191"/>
      <c r="AC741" s="191"/>
      <c r="AD741" s="16"/>
      <c r="AE741" s="16"/>
      <c r="AF741" s="16"/>
      <c r="AG741" s="16"/>
      <c r="AH741" s="16"/>
      <c r="AI741" s="16"/>
      <c r="AJ741" s="16"/>
      <c r="AK741" s="16"/>
      <c r="AL741" s="16"/>
      <c r="AM741" s="16"/>
      <c r="AN741" s="16"/>
      <c r="AO741" s="16"/>
      <c r="AP741" s="16"/>
      <c r="AQ741" s="16"/>
      <c r="AR741" s="16"/>
      <c r="AS741" s="16"/>
    </row>
    <row r="742" spans="18:45" x14ac:dyDescent="0.35">
      <c r="R742" s="191"/>
      <c r="S742" s="191"/>
      <c r="T742" s="193"/>
      <c r="U742" s="191"/>
      <c r="V742" s="194"/>
      <c r="W742" s="191"/>
      <c r="Y742" s="191"/>
      <c r="Z742" s="191"/>
      <c r="AA742" s="191"/>
      <c r="AB742" s="191"/>
      <c r="AC742" s="191"/>
      <c r="AD742" s="16"/>
      <c r="AE742" s="16"/>
      <c r="AF742" s="16"/>
      <c r="AG742" s="16"/>
      <c r="AH742" s="16"/>
      <c r="AI742" s="16"/>
      <c r="AJ742" s="16"/>
      <c r="AK742" s="16"/>
      <c r="AL742" s="16"/>
      <c r="AM742" s="16"/>
      <c r="AN742" s="16"/>
      <c r="AO742" s="16"/>
      <c r="AP742" s="16"/>
      <c r="AQ742" s="16"/>
      <c r="AR742" s="16"/>
      <c r="AS742" s="16"/>
    </row>
    <row r="743" spans="18:45" x14ac:dyDescent="0.35">
      <c r="R743" s="191"/>
      <c r="S743" s="191"/>
      <c r="T743" s="193"/>
      <c r="U743" s="191"/>
      <c r="V743" s="194"/>
      <c r="W743" s="191"/>
      <c r="Y743" s="191"/>
      <c r="Z743" s="191"/>
      <c r="AA743" s="191"/>
      <c r="AB743" s="191"/>
      <c r="AC743" s="191"/>
      <c r="AD743" s="16"/>
      <c r="AE743" s="16"/>
      <c r="AF743" s="16"/>
      <c r="AG743" s="16"/>
      <c r="AH743" s="16"/>
      <c r="AI743" s="16"/>
      <c r="AJ743" s="16"/>
      <c r="AK743" s="16"/>
      <c r="AL743" s="16"/>
      <c r="AM743" s="16"/>
      <c r="AN743" s="16"/>
      <c r="AO743" s="16"/>
      <c r="AP743" s="16"/>
      <c r="AQ743" s="16"/>
      <c r="AR743" s="16"/>
      <c r="AS743" s="16"/>
    </row>
    <row r="744" spans="18:45" x14ac:dyDescent="0.35">
      <c r="R744" s="191"/>
      <c r="S744" s="191"/>
      <c r="T744" s="193"/>
      <c r="U744" s="191"/>
      <c r="V744" s="194"/>
      <c r="W744" s="191"/>
      <c r="Y744" s="191"/>
      <c r="Z744" s="191"/>
      <c r="AA744" s="191"/>
      <c r="AB744" s="191"/>
      <c r="AC744" s="191"/>
      <c r="AD744" s="16"/>
      <c r="AE744" s="16"/>
      <c r="AF744" s="16"/>
      <c r="AG744" s="16"/>
      <c r="AH744" s="16"/>
      <c r="AI744" s="16"/>
      <c r="AJ744" s="16"/>
      <c r="AK744" s="16"/>
      <c r="AL744" s="16"/>
      <c r="AM744" s="16"/>
      <c r="AN744" s="16"/>
      <c r="AO744" s="16"/>
      <c r="AP744" s="16"/>
      <c r="AQ744" s="16"/>
      <c r="AR744" s="16"/>
      <c r="AS744" s="16"/>
    </row>
    <row r="745" spans="18:45" x14ac:dyDescent="0.35">
      <c r="R745" s="191"/>
      <c r="S745" s="191"/>
      <c r="T745" s="193"/>
      <c r="U745" s="191"/>
      <c r="V745" s="194"/>
      <c r="W745" s="191"/>
      <c r="Y745" s="191"/>
      <c r="Z745" s="191"/>
      <c r="AA745" s="191"/>
      <c r="AB745" s="191"/>
      <c r="AC745" s="191"/>
      <c r="AD745" s="16"/>
      <c r="AE745" s="16"/>
      <c r="AF745" s="16"/>
      <c r="AG745" s="16"/>
      <c r="AH745" s="16"/>
      <c r="AI745" s="16"/>
      <c r="AJ745" s="16"/>
      <c r="AK745" s="16"/>
      <c r="AL745" s="16"/>
      <c r="AM745" s="16"/>
      <c r="AN745" s="16"/>
      <c r="AO745" s="16"/>
      <c r="AP745" s="16"/>
      <c r="AQ745" s="16"/>
      <c r="AR745" s="16"/>
      <c r="AS745" s="16"/>
    </row>
    <row r="746" spans="18:45" x14ac:dyDescent="0.35">
      <c r="R746" s="191"/>
      <c r="S746" s="191"/>
      <c r="T746" s="193"/>
      <c r="U746" s="191"/>
      <c r="V746" s="194"/>
      <c r="W746" s="191"/>
      <c r="Y746" s="191"/>
      <c r="Z746" s="191"/>
      <c r="AA746" s="191"/>
      <c r="AB746" s="191"/>
      <c r="AC746" s="191"/>
      <c r="AD746" s="16"/>
      <c r="AE746" s="16"/>
      <c r="AF746" s="16"/>
      <c r="AG746" s="16"/>
      <c r="AH746" s="16"/>
      <c r="AI746" s="16"/>
      <c r="AJ746" s="16"/>
      <c r="AK746" s="16"/>
      <c r="AL746" s="16"/>
      <c r="AM746" s="16"/>
      <c r="AN746" s="16"/>
      <c r="AO746" s="16"/>
      <c r="AP746" s="16"/>
      <c r="AQ746" s="16"/>
      <c r="AR746" s="16"/>
      <c r="AS746" s="16"/>
    </row>
    <row r="747" spans="18:45" x14ac:dyDescent="0.35">
      <c r="R747" s="191"/>
      <c r="S747" s="191"/>
      <c r="T747" s="193"/>
      <c r="U747" s="191"/>
      <c r="V747" s="194"/>
      <c r="W747" s="191"/>
      <c r="Y747" s="191"/>
      <c r="Z747" s="191"/>
      <c r="AA747" s="191"/>
      <c r="AB747" s="191"/>
      <c r="AC747" s="191"/>
      <c r="AD747" s="16"/>
      <c r="AE747" s="16"/>
      <c r="AF747" s="16"/>
      <c r="AG747" s="16"/>
      <c r="AH747" s="16"/>
      <c r="AI747" s="16"/>
      <c r="AJ747" s="16"/>
      <c r="AK747" s="16"/>
      <c r="AL747" s="16"/>
      <c r="AM747" s="16"/>
      <c r="AN747" s="16"/>
      <c r="AO747" s="16"/>
      <c r="AP747" s="16"/>
      <c r="AQ747" s="16"/>
      <c r="AR747" s="16"/>
      <c r="AS747" s="16"/>
    </row>
    <row r="748" spans="18:45" x14ac:dyDescent="0.35">
      <c r="R748" s="191"/>
      <c r="S748" s="191"/>
      <c r="T748" s="193"/>
      <c r="U748" s="191"/>
      <c r="V748" s="194"/>
      <c r="W748" s="191"/>
      <c r="Y748" s="191"/>
      <c r="Z748" s="191"/>
      <c r="AA748" s="191"/>
      <c r="AB748" s="191"/>
      <c r="AC748" s="191"/>
      <c r="AD748" s="16"/>
      <c r="AE748" s="16"/>
      <c r="AF748" s="16"/>
      <c r="AG748" s="16"/>
      <c r="AH748" s="16"/>
      <c r="AI748" s="16"/>
      <c r="AJ748" s="16"/>
      <c r="AK748" s="16"/>
      <c r="AL748" s="16"/>
      <c r="AM748" s="16"/>
      <c r="AN748" s="16"/>
      <c r="AO748" s="16"/>
      <c r="AP748" s="16"/>
      <c r="AQ748" s="16"/>
      <c r="AR748" s="16"/>
      <c r="AS748" s="16"/>
    </row>
    <row r="749" spans="18:45" x14ac:dyDescent="0.35">
      <c r="R749" s="191"/>
      <c r="S749" s="191"/>
      <c r="T749" s="193"/>
      <c r="U749" s="191"/>
      <c r="V749" s="194"/>
      <c r="W749" s="191"/>
      <c r="Y749" s="191"/>
      <c r="Z749" s="191"/>
      <c r="AA749" s="191"/>
      <c r="AB749" s="191"/>
      <c r="AC749" s="191"/>
      <c r="AD749" s="16"/>
      <c r="AE749" s="16"/>
      <c r="AF749" s="16"/>
      <c r="AG749" s="16"/>
      <c r="AH749" s="16"/>
      <c r="AI749" s="16"/>
      <c r="AJ749" s="16"/>
      <c r="AK749" s="16"/>
      <c r="AL749" s="16"/>
      <c r="AM749" s="16"/>
      <c r="AN749" s="16"/>
      <c r="AO749" s="16"/>
      <c r="AP749" s="16"/>
      <c r="AQ749" s="16"/>
      <c r="AR749" s="16"/>
      <c r="AS749" s="16"/>
    </row>
    <row r="750" spans="18:45" x14ac:dyDescent="0.35">
      <c r="R750" s="191"/>
      <c r="S750" s="191"/>
      <c r="T750" s="193"/>
      <c r="U750" s="191"/>
      <c r="V750" s="194"/>
      <c r="W750" s="191"/>
      <c r="Y750" s="191"/>
      <c r="Z750" s="191"/>
      <c r="AA750" s="191"/>
      <c r="AB750" s="191"/>
      <c r="AC750" s="191"/>
      <c r="AD750" s="16"/>
      <c r="AE750" s="16"/>
      <c r="AF750" s="16"/>
      <c r="AG750" s="16"/>
      <c r="AH750" s="16"/>
      <c r="AI750" s="16"/>
      <c r="AJ750" s="16"/>
      <c r="AK750" s="16"/>
      <c r="AL750" s="16"/>
      <c r="AM750" s="16"/>
      <c r="AN750" s="16"/>
      <c r="AO750" s="16"/>
      <c r="AP750" s="16"/>
      <c r="AQ750" s="16"/>
      <c r="AR750" s="16"/>
      <c r="AS750" s="16"/>
    </row>
    <row r="751" spans="18:45" x14ac:dyDescent="0.35">
      <c r="R751" s="191"/>
      <c r="S751" s="191"/>
      <c r="T751" s="193"/>
      <c r="U751" s="191"/>
      <c r="V751" s="194"/>
      <c r="W751" s="191"/>
      <c r="Y751" s="191"/>
      <c r="Z751" s="191"/>
      <c r="AA751" s="191"/>
      <c r="AB751" s="191"/>
      <c r="AC751" s="191"/>
      <c r="AD751" s="16"/>
      <c r="AE751" s="16"/>
      <c r="AF751" s="16"/>
      <c r="AG751" s="16"/>
      <c r="AH751" s="16"/>
      <c r="AI751" s="16"/>
      <c r="AJ751" s="16"/>
      <c r="AK751" s="16"/>
      <c r="AL751" s="16"/>
      <c r="AM751" s="16"/>
      <c r="AN751" s="16"/>
      <c r="AO751" s="16"/>
      <c r="AP751" s="16"/>
      <c r="AQ751" s="16"/>
      <c r="AR751" s="16"/>
      <c r="AS751" s="16"/>
    </row>
    <row r="752" spans="18:45" x14ac:dyDescent="0.35">
      <c r="R752" s="191"/>
      <c r="S752" s="191"/>
      <c r="T752" s="193"/>
      <c r="U752" s="191"/>
      <c r="V752" s="194"/>
      <c r="W752" s="191"/>
      <c r="Y752" s="191"/>
      <c r="Z752" s="191"/>
      <c r="AA752" s="191"/>
      <c r="AB752" s="191"/>
      <c r="AC752" s="191"/>
      <c r="AD752" s="16"/>
      <c r="AE752" s="16"/>
      <c r="AF752" s="16"/>
      <c r="AG752" s="16"/>
      <c r="AH752" s="16"/>
      <c r="AI752" s="16"/>
      <c r="AJ752" s="16"/>
      <c r="AK752" s="16"/>
      <c r="AL752" s="16"/>
      <c r="AM752" s="16"/>
      <c r="AN752" s="16"/>
      <c r="AO752" s="16"/>
      <c r="AP752" s="16"/>
      <c r="AQ752" s="16"/>
      <c r="AR752" s="16"/>
      <c r="AS752" s="16"/>
    </row>
    <row r="753" spans="18:45" x14ac:dyDescent="0.35">
      <c r="R753" s="191"/>
      <c r="S753" s="191"/>
      <c r="T753" s="193"/>
      <c r="U753" s="191"/>
      <c r="V753" s="194"/>
      <c r="W753" s="191"/>
      <c r="Y753" s="191"/>
      <c r="Z753" s="191"/>
      <c r="AA753" s="191"/>
      <c r="AB753" s="191"/>
      <c r="AC753" s="191"/>
      <c r="AD753" s="16"/>
      <c r="AE753" s="16"/>
      <c r="AF753" s="16"/>
      <c r="AG753" s="16"/>
      <c r="AH753" s="16"/>
      <c r="AI753" s="16"/>
      <c r="AJ753" s="16"/>
      <c r="AK753" s="16"/>
      <c r="AL753" s="16"/>
      <c r="AM753" s="16"/>
      <c r="AN753" s="16"/>
      <c r="AO753" s="16"/>
      <c r="AP753" s="16"/>
      <c r="AQ753" s="16"/>
      <c r="AR753" s="16"/>
      <c r="AS753" s="16"/>
    </row>
    <row r="754" spans="18:45" x14ac:dyDescent="0.35">
      <c r="R754" s="191"/>
      <c r="S754" s="191"/>
      <c r="T754" s="193"/>
      <c r="U754" s="191"/>
      <c r="V754" s="194"/>
      <c r="W754" s="191"/>
      <c r="Y754" s="191"/>
      <c r="Z754" s="191"/>
      <c r="AA754" s="191"/>
      <c r="AB754" s="191"/>
      <c r="AC754" s="191"/>
      <c r="AD754" s="16"/>
      <c r="AE754" s="16"/>
      <c r="AF754" s="16"/>
      <c r="AG754" s="16"/>
      <c r="AH754" s="16"/>
      <c r="AI754" s="16"/>
      <c r="AJ754" s="16"/>
      <c r="AK754" s="16"/>
      <c r="AL754" s="16"/>
      <c r="AM754" s="16"/>
      <c r="AN754" s="16"/>
      <c r="AO754" s="16"/>
      <c r="AP754" s="16"/>
      <c r="AQ754" s="16"/>
      <c r="AR754" s="16"/>
      <c r="AS754" s="16"/>
    </row>
    <row r="755" spans="18:45" x14ac:dyDescent="0.35">
      <c r="R755" s="191"/>
      <c r="S755" s="191"/>
      <c r="T755" s="193"/>
      <c r="U755" s="191"/>
      <c r="V755" s="194"/>
      <c r="W755" s="191"/>
      <c r="Y755" s="191"/>
      <c r="Z755" s="191"/>
      <c r="AA755" s="191"/>
      <c r="AB755" s="191"/>
      <c r="AC755" s="191"/>
      <c r="AD755" s="16"/>
      <c r="AE755" s="16"/>
      <c r="AF755" s="16"/>
      <c r="AG755" s="16"/>
      <c r="AH755" s="16"/>
      <c r="AI755" s="16"/>
      <c r="AJ755" s="16"/>
      <c r="AK755" s="16"/>
      <c r="AL755" s="16"/>
      <c r="AM755" s="16"/>
      <c r="AN755" s="16"/>
      <c r="AO755" s="16"/>
      <c r="AP755" s="16"/>
      <c r="AQ755" s="16"/>
      <c r="AR755" s="16"/>
      <c r="AS755" s="16"/>
    </row>
    <row r="756" spans="18:45" x14ac:dyDescent="0.35">
      <c r="R756" s="191"/>
      <c r="S756" s="191"/>
      <c r="T756" s="193"/>
      <c r="U756" s="191"/>
      <c r="V756" s="194"/>
      <c r="W756" s="191"/>
      <c r="Y756" s="191"/>
      <c r="Z756" s="191"/>
      <c r="AA756" s="191"/>
      <c r="AB756" s="191"/>
      <c r="AC756" s="191"/>
      <c r="AD756" s="16"/>
      <c r="AE756" s="16"/>
      <c r="AF756" s="16"/>
      <c r="AG756" s="16"/>
      <c r="AH756" s="16"/>
      <c r="AI756" s="16"/>
      <c r="AJ756" s="16"/>
      <c r="AK756" s="16"/>
      <c r="AL756" s="16"/>
      <c r="AM756" s="16"/>
      <c r="AN756" s="16"/>
      <c r="AO756" s="16"/>
      <c r="AP756" s="16"/>
      <c r="AQ756" s="16"/>
      <c r="AR756" s="16"/>
      <c r="AS756" s="16"/>
    </row>
    <row r="757" spans="18:45" x14ac:dyDescent="0.35">
      <c r="R757" s="191"/>
      <c r="S757" s="191"/>
      <c r="T757" s="193"/>
      <c r="U757" s="191"/>
      <c r="V757" s="194"/>
      <c r="W757" s="191"/>
      <c r="Y757" s="191"/>
      <c r="Z757" s="191"/>
      <c r="AA757" s="191"/>
      <c r="AB757" s="191"/>
      <c r="AC757" s="191"/>
      <c r="AD757" s="16"/>
      <c r="AE757" s="16"/>
      <c r="AF757" s="16"/>
      <c r="AG757" s="16"/>
      <c r="AH757" s="16"/>
      <c r="AI757" s="16"/>
      <c r="AJ757" s="16"/>
      <c r="AK757" s="16"/>
      <c r="AL757" s="16"/>
      <c r="AM757" s="16"/>
      <c r="AN757" s="16"/>
      <c r="AO757" s="16"/>
      <c r="AP757" s="16"/>
      <c r="AQ757" s="16"/>
      <c r="AR757" s="16"/>
      <c r="AS757" s="16"/>
    </row>
    <row r="758" spans="18:45" x14ac:dyDescent="0.35">
      <c r="R758" s="191"/>
      <c r="S758" s="191"/>
      <c r="T758" s="193"/>
      <c r="U758" s="191"/>
      <c r="V758" s="194"/>
      <c r="W758" s="191"/>
      <c r="Y758" s="191"/>
      <c r="Z758" s="191"/>
      <c r="AA758" s="191"/>
      <c r="AB758" s="191"/>
      <c r="AC758" s="191"/>
      <c r="AD758" s="16"/>
      <c r="AE758" s="16"/>
      <c r="AF758" s="16"/>
      <c r="AG758" s="16"/>
      <c r="AH758" s="16"/>
      <c r="AI758" s="16"/>
      <c r="AJ758" s="16"/>
      <c r="AK758" s="16"/>
      <c r="AL758" s="16"/>
      <c r="AM758" s="16"/>
      <c r="AN758" s="16"/>
      <c r="AO758" s="16"/>
      <c r="AP758" s="16"/>
      <c r="AQ758" s="16"/>
      <c r="AR758" s="16"/>
      <c r="AS758" s="16"/>
    </row>
    <row r="759" spans="18:45" x14ac:dyDescent="0.35">
      <c r="R759" s="191"/>
      <c r="S759" s="191"/>
      <c r="T759" s="193"/>
      <c r="U759" s="191"/>
      <c r="V759" s="194"/>
      <c r="W759" s="191"/>
      <c r="Y759" s="191"/>
      <c r="Z759" s="191"/>
      <c r="AA759" s="191"/>
      <c r="AB759" s="191"/>
      <c r="AC759" s="191"/>
      <c r="AD759" s="16"/>
      <c r="AE759" s="16"/>
      <c r="AF759" s="16"/>
      <c r="AG759" s="16"/>
      <c r="AH759" s="16"/>
      <c r="AI759" s="16"/>
      <c r="AJ759" s="16"/>
      <c r="AK759" s="16"/>
      <c r="AL759" s="16"/>
      <c r="AM759" s="16"/>
      <c r="AN759" s="16"/>
      <c r="AO759" s="16"/>
      <c r="AP759" s="16"/>
      <c r="AQ759" s="16"/>
      <c r="AR759" s="16"/>
      <c r="AS759" s="16"/>
    </row>
    <row r="760" spans="18:45" x14ac:dyDescent="0.35">
      <c r="R760" s="191"/>
      <c r="S760" s="191"/>
      <c r="T760" s="193"/>
      <c r="U760" s="191"/>
      <c r="V760" s="194"/>
      <c r="W760" s="191"/>
      <c r="Y760" s="191"/>
      <c r="Z760" s="191"/>
      <c r="AA760" s="191"/>
      <c r="AB760" s="191"/>
      <c r="AC760" s="191"/>
      <c r="AD760" s="16"/>
      <c r="AE760" s="16"/>
      <c r="AF760" s="16"/>
      <c r="AG760" s="16"/>
      <c r="AH760" s="16"/>
      <c r="AI760" s="16"/>
      <c r="AJ760" s="16"/>
      <c r="AK760" s="16"/>
      <c r="AL760" s="16"/>
      <c r="AM760" s="16"/>
      <c r="AN760" s="16"/>
      <c r="AO760" s="16"/>
      <c r="AP760" s="16"/>
      <c r="AQ760" s="16"/>
      <c r="AR760" s="16"/>
      <c r="AS760" s="16"/>
    </row>
    <row r="761" spans="18:45" x14ac:dyDescent="0.35">
      <c r="R761" s="191"/>
      <c r="S761" s="191"/>
      <c r="T761" s="193"/>
      <c r="U761" s="191"/>
      <c r="V761" s="194"/>
      <c r="W761" s="191"/>
      <c r="Y761" s="191"/>
      <c r="Z761" s="191"/>
      <c r="AA761" s="191"/>
      <c r="AB761" s="191"/>
      <c r="AC761" s="191"/>
      <c r="AD761" s="16"/>
      <c r="AE761" s="16"/>
      <c r="AF761" s="16"/>
      <c r="AG761" s="16"/>
      <c r="AH761" s="16"/>
      <c r="AI761" s="16"/>
      <c r="AJ761" s="16"/>
      <c r="AK761" s="16"/>
      <c r="AL761" s="16"/>
      <c r="AM761" s="16"/>
      <c r="AN761" s="16"/>
      <c r="AO761" s="16"/>
      <c r="AP761" s="16"/>
      <c r="AQ761" s="16"/>
      <c r="AR761" s="16"/>
      <c r="AS761" s="16"/>
    </row>
    <row r="762" spans="18:45" x14ac:dyDescent="0.35">
      <c r="R762" s="191"/>
      <c r="S762" s="191"/>
      <c r="T762" s="193"/>
      <c r="U762" s="191"/>
      <c r="V762" s="194"/>
      <c r="W762" s="191"/>
      <c r="Y762" s="191"/>
      <c r="Z762" s="191"/>
      <c r="AA762" s="191"/>
      <c r="AB762" s="191"/>
      <c r="AC762" s="191"/>
      <c r="AD762" s="16"/>
      <c r="AE762" s="16"/>
      <c r="AF762" s="16"/>
      <c r="AG762" s="16"/>
      <c r="AH762" s="16"/>
      <c r="AI762" s="16"/>
      <c r="AJ762" s="16"/>
      <c r="AK762" s="16"/>
      <c r="AL762" s="16"/>
      <c r="AM762" s="16"/>
      <c r="AN762" s="16"/>
      <c r="AO762" s="16"/>
      <c r="AP762" s="16"/>
      <c r="AQ762" s="16"/>
      <c r="AR762" s="16"/>
      <c r="AS762" s="16"/>
    </row>
    <row r="763" spans="18:45" x14ac:dyDescent="0.35">
      <c r="R763" s="191"/>
      <c r="S763" s="191"/>
      <c r="T763" s="193"/>
      <c r="U763" s="191"/>
      <c r="V763" s="194"/>
      <c r="W763" s="191"/>
      <c r="Y763" s="191"/>
      <c r="Z763" s="191"/>
      <c r="AA763" s="191"/>
      <c r="AB763" s="191"/>
      <c r="AC763" s="191"/>
      <c r="AD763" s="16"/>
      <c r="AE763" s="16"/>
      <c r="AF763" s="16"/>
      <c r="AG763" s="16"/>
      <c r="AH763" s="16"/>
      <c r="AI763" s="16"/>
      <c r="AJ763" s="16"/>
      <c r="AK763" s="16"/>
      <c r="AL763" s="16"/>
      <c r="AM763" s="16"/>
      <c r="AN763" s="16"/>
      <c r="AO763" s="16"/>
      <c r="AP763" s="16"/>
      <c r="AQ763" s="16"/>
      <c r="AR763" s="16"/>
      <c r="AS763" s="16"/>
    </row>
    <row r="764" spans="18:45" x14ac:dyDescent="0.35">
      <c r="R764" s="191"/>
      <c r="S764" s="191"/>
      <c r="T764" s="193"/>
      <c r="U764" s="191"/>
      <c r="V764" s="194"/>
      <c r="W764" s="191"/>
      <c r="Y764" s="191"/>
      <c r="Z764" s="191"/>
      <c r="AA764" s="191"/>
      <c r="AB764" s="191"/>
      <c r="AC764" s="191"/>
      <c r="AD764" s="16"/>
      <c r="AE764" s="16"/>
      <c r="AF764" s="16"/>
      <c r="AG764" s="16"/>
      <c r="AH764" s="16"/>
      <c r="AI764" s="16"/>
      <c r="AJ764" s="16"/>
      <c r="AK764" s="16"/>
      <c r="AL764" s="16"/>
      <c r="AM764" s="16"/>
      <c r="AN764" s="16"/>
      <c r="AO764" s="16"/>
      <c r="AP764" s="16"/>
      <c r="AQ764" s="16"/>
      <c r="AR764" s="16"/>
      <c r="AS764" s="16"/>
    </row>
    <row r="765" spans="18:45" x14ac:dyDescent="0.35">
      <c r="R765" s="191"/>
      <c r="S765" s="191"/>
      <c r="T765" s="193"/>
      <c r="U765" s="191"/>
      <c r="V765" s="194"/>
      <c r="W765" s="191"/>
      <c r="Y765" s="191"/>
      <c r="Z765" s="191"/>
      <c r="AA765" s="191"/>
      <c r="AB765" s="191"/>
      <c r="AC765" s="191"/>
      <c r="AD765" s="16"/>
      <c r="AE765" s="16"/>
      <c r="AF765" s="16"/>
      <c r="AG765" s="16"/>
      <c r="AH765" s="16"/>
      <c r="AI765" s="16"/>
      <c r="AJ765" s="16"/>
      <c r="AK765" s="16"/>
      <c r="AL765" s="16"/>
      <c r="AM765" s="16"/>
      <c r="AN765" s="16"/>
      <c r="AO765" s="16"/>
      <c r="AP765" s="16"/>
      <c r="AQ765" s="16"/>
      <c r="AR765" s="16"/>
      <c r="AS765" s="16"/>
    </row>
    <row r="766" spans="18:45" x14ac:dyDescent="0.35">
      <c r="R766" s="191"/>
      <c r="S766" s="191"/>
      <c r="T766" s="193"/>
      <c r="U766" s="191"/>
      <c r="V766" s="194"/>
      <c r="W766" s="191"/>
      <c r="Y766" s="191"/>
      <c r="Z766" s="191"/>
      <c r="AA766" s="191"/>
      <c r="AB766" s="191"/>
      <c r="AC766" s="191"/>
      <c r="AD766" s="16"/>
      <c r="AE766" s="16"/>
      <c r="AF766" s="16"/>
      <c r="AG766" s="16"/>
      <c r="AH766" s="16"/>
      <c r="AI766" s="16"/>
      <c r="AJ766" s="16"/>
      <c r="AK766" s="16"/>
      <c r="AL766" s="16"/>
      <c r="AM766" s="16"/>
      <c r="AN766" s="16"/>
      <c r="AO766" s="16"/>
      <c r="AP766" s="16"/>
      <c r="AQ766" s="16"/>
      <c r="AR766" s="16"/>
      <c r="AS766" s="16"/>
    </row>
    <row r="767" spans="18:45" x14ac:dyDescent="0.35">
      <c r="R767" s="191"/>
      <c r="S767" s="191"/>
      <c r="T767" s="193"/>
      <c r="U767" s="191"/>
      <c r="V767" s="194"/>
      <c r="W767" s="191"/>
      <c r="Y767" s="191"/>
      <c r="Z767" s="191"/>
      <c r="AA767" s="191"/>
      <c r="AB767" s="191"/>
      <c r="AC767" s="191"/>
      <c r="AD767" s="16"/>
      <c r="AE767" s="16"/>
      <c r="AF767" s="16"/>
      <c r="AG767" s="16"/>
      <c r="AH767" s="16"/>
      <c r="AI767" s="16"/>
      <c r="AJ767" s="16"/>
      <c r="AK767" s="16"/>
      <c r="AL767" s="16"/>
      <c r="AM767" s="16"/>
      <c r="AN767" s="16"/>
      <c r="AO767" s="16"/>
      <c r="AP767" s="16"/>
      <c r="AQ767" s="16"/>
      <c r="AR767" s="16"/>
      <c r="AS767" s="16"/>
    </row>
    <row r="768" spans="18:45" x14ac:dyDescent="0.35">
      <c r="R768" s="191"/>
      <c r="S768" s="191"/>
      <c r="T768" s="193"/>
      <c r="U768" s="191"/>
      <c r="V768" s="194"/>
      <c r="W768" s="191"/>
      <c r="Y768" s="191"/>
      <c r="Z768" s="191"/>
      <c r="AA768" s="191"/>
      <c r="AB768" s="191"/>
      <c r="AC768" s="191"/>
      <c r="AD768" s="16"/>
      <c r="AE768" s="16"/>
      <c r="AF768" s="16"/>
      <c r="AG768" s="16"/>
      <c r="AH768" s="16"/>
      <c r="AI768" s="16"/>
      <c r="AJ768" s="16"/>
      <c r="AK768" s="16"/>
      <c r="AL768" s="16"/>
      <c r="AM768" s="16"/>
      <c r="AN768" s="16"/>
      <c r="AO768" s="16"/>
      <c r="AP768" s="16"/>
      <c r="AQ768" s="16"/>
      <c r="AR768" s="16"/>
      <c r="AS768" s="16"/>
    </row>
    <row r="769" spans="18:45" x14ac:dyDescent="0.35">
      <c r="R769" s="191"/>
      <c r="S769" s="191"/>
      <c r="T769" s="193"/>
      <c r="U769" s="191"/>
      <c r="V769" s="194"/>
      <c r="W769" s="191"/>
      <c r="Y769" s="191"/>
      <c r="Z769" s="191"/>
      <c r="AA769" s="191"/>
      <c r="AB769" s="191"/>
      <c r="AC769" s="191"/>
      <c r="AD769" s="16"/>
      <c r="AE769" s="16"/>
      <c r="AF769" s="16"/>
      <c r="AG769" s="16"/>
      <c r="AH769" s="16"/>
      <c r="AI769" s="16"/>
      <c r="AJ769" s="16"/>
      <c r="AK769" s="16"/>
      <c r="AL769" s="16"/>
      <c r="AM769" s="16"/>
      <c r="AN769" s="16"/>
      <c r="AO769" s="16"/>
      <c r="AP769" s="16"/>
      <c r="AQ769" s="16"/>
      <c r="AR769" s="16"/>
      <c r="AS769" s="16"/>
    </row>
    <row r="770" spans="18:45" x14ac:dyDescent="0.35">
      <c r="R770" s="191"/>
      <c r="S770" s="191"/>
      <c r="T770" s="193"/>
      <c r="U770" s="191"/>
      <c r="V770" s="194"/>
      <c r="W770" s="191"/>
      <c r="Y770" s="191"/>
      <c r="Z770" s="191"/>
      <c r="AA770" s="191"/>
      <c r="AB770" s="191"/>
      <c r="AC770" s="191"/>
      <c r="AD770" s="16"/>
      <c r="AE770" s="16"/>
      <c r="AF770" s="16"/>
      <c r="AG770" s="16"/>
      <c r="AH770" s="16"/>
      <c r="AI770" s="16"/>
      <c r="AJ770" s="16"/>
      <c r="AK770" s="16"/>
      <c r="AL770" s="16"/>
      <c r="AM770" s="16"/>
      <c r="AN770" s="16"/>
      <c r="AO770" s="16"/>
      <c r="AP770" s="16"/>
      <c r="AQ770" s="16"/>
      <c r="AR770" s="16"/>
      <c r="AS770" s="16"/>
    </row>
    <row r="771" spans="18:45" x14ac:dyDescent="0.35">
      <c r="R771" s="191"/>
      <c r="S771" s="191"/>
      <c r="T771" s="193"/>
      <c r="U771" s="191"/>
      <c r="V771" s="194"/>
      <c r="W771" s="191"/>
      <c r="Y771" s="191"/>
      <c r="Z771" s="191"/>
      <c r="AA771" s="191"/>
      <c r="AB771" s="191"/>
      <c r="AC771" s="191"/>
      <c r="AD771" s="16"/>
      <c r="AE771" s="16"/>
      <c r="AF771" s="16"/>
      <c r="AG771" s="16"/>
      <c r="AH771" s="16"/>
      <c r="AI771" s="16"/>
      <c r="AJ771" s="16"/>
      <c r="AK771" s="16"/>
      <c r="AL771" s="16"/>
      <c r="AM771" s="16"/>
      <c r="AN771" s="16"/>
      <c r="AO771" s="16"/>
      <c r="AP771" s="16"/>
      <c r="AQ771" s="16"/>
      <c r="AR771" s="16"/>
      <c r="AS771" s="16"/>
    </row>
    <row r="772" spans="18:45" x14ac:dyDescent="0.35">
      <c r="R772" s="191"/>
      <c r="S772" s="191"/>
      <c r="T772" s="193"/>
      <c r="U772" s="191"/>
      <c r="V772" s="194"/>
      <c r="W772" s="191"/>
      <c r="Y772" s="191"/>
      <c r="Z772" s="191"/>
      <c r="AA772" s="191"/>
      <c r="AB772" s="191"/>
      <c r="AC772" s="191"/>
      <c r="AD772" s="16"/>
      <c r="AE772" s="16"/>
      <c r="AF772" s="16"/>
      <c r="AG772" s="16"/>
      <c r="AH772" s="16"/>
      <c r="AI772" s="16"/>
      <c r="AJ772" s="16"/>
      <c r="AK772" s="16"/>
      <c r="AL772" s="16"/>
      <c r="AM772" s="16"/>
      <c r="AN772" s="16"/>
      <c r="AO772" s="16"/>
      <c r="AP772" s="16"/>
      <c r="AQ772" s="16"/>
      <c r="AR772" s="16"/>
      <c r="AS772" s="16"/>
    </row>
    <row r="773" spans="18:45" x14ac:dyDescent="0.35">
      <c r="R773" s="191"/>
      <c r="S773" s="191"/>
      <c r="T773" s="193"/>
      <c r="U773" s="191"/>
      <c r="V773" s="194"/>
      <c r="W773" s="191"/>
      <c r="Y773" s="191"/>
      <c r="Z773" s="191"/>
      <c r="AA773" s="191"/>
      <c r="AB773" s="191"/>
      <c r="AC773" s="191"/>
      <c r="AD773" s="16"/>
      <c r="AE773" s="16"/>
      <c r="AF773" s="16"/>
      <c r="AG773" s="16"/>
      <c r="AH773" s="16"/>
      <c r="AI773" s="16"/>
      <c r="AJ773" s="16"/>
      <c r="AK773" s="16"/>
      <c r="AL773" s="16"/>
      <c r="AM773" s="16"/>
      <c r="AN773" s="16"/>
      <c r="AO773" s="16"/>
      <c r="AP773" s="16"/>
      <c r="AQ773" s="16"/>
      <c r="AR773" s="16"/>
      <c r="AS773" s="16"/>
    </row>
    <row r="774" spans="18:45" x14ac:dyDescent="0.35">
      <c r="R774" s="191"/>
      <c r="S774" s="191"/>
      <c r="T774" s="193"/>
      <c r="U774" s="191"/>
      <c r="V774" s="194"/>
      <c r="W774" s="191"/>
      <c r="Y774" s="191"/>
      <c r="Z774" s="191"/>
      <c r="AA774" s="191"/>
      <c r="AB774" s="191"/>
      <c r="AC774" s="191"/>
      <c r="AD774" s="16"/>
      <c r="AE774" s="16"/>
      <c r="AF774" s="16"/>
      <c r="AG774" s="16"/>
      <c r="AH774" s="16"/>
      <c r="AI774" s="16"/>
      <c r="AJ774" s="16"/>
      <c r="AK774" s="16"/>
      <c r="AL774" s="16"/>
      <c r="AM774" s="16"/>
      <c r="AN774" s="16"/>
      <c r="AO774" s="16"/>
      <c r="AP774" s="16"/>
      <c r="AQ774" s="16"/>
      <c r="AR774" s="16"/>
      <c r="AS774" s="16"/>
    </row>
    <row r="775" spans="18:45" x14ac:dyDescent="0.35">
      <c r="R775" s="191"/>
      <c r="S775" s="191"/>
      <c r="T775" s="193"/>
      <c r="U775" s="191"/>
      <c r="V775" s="194"/>
      <c r="W775" s="191"/>
      <c r="Y775" s="191"/>
      <c r="Z775" s="191"/>
      <c r="AA775" s="191"/>
      <c r="AB775" s="191"/>
      <c r="AC775" s="191"/>
      <c r="AD775" s="16"/>
      <c r="AE775" s="16"/>
      <c r="AF775" s="16"/>
      <c r="AG775" s="16"/>
      <c r="AH775" s="16"/>
      <c r="AI775" s="16"/>
      <c r="AJ775" s="16"/>
      <c r="AK775" s="16"/>
      <c r="AL775" s="16"/>
      <c r="AM775" s="16"/>
      <c r="AN775" s="16"/>
      <c r="AO775" s="16"/>
      <c r="AP775" s="16"/>
      <c r="AQ775" s="16"/>
      <c r="AR775" s="16"/>
      <c r="AS775" s="16"/>
    </row>
    <row r="776" spans="18:45" x14ac:dyDescent="0.35">
      <c r="R776" s="191"/>
      <c r="S776" s="191"/>
      <c r="T776" s="193"/>
      <c r="U776" s="191"/>
      <c r="V776" s="194"/>
      <c r="W776" s="191"/>
      <c r="Y776" s="191"/>
      <c r="Z776" s="191"/>
      <c r="AA776" s="191"/>
      <c r="AB776" s="191"/>
      <c r="AC776" s="191"/>
      <c r="AD776" s="16"/>
      <c r="AE776" s="16"/>
      <c r="AF776" s="16"/>
      <c r="AG776" s="16"/>
      <c r="AH776" s="16"/>
      <c r="AI776" s="16"/>
      <c r="AJ776" s="16"/>
      <c r="AK776" s="16"/>
      <c r="AL776" s="16"/>
      <c r="AM776" s="16"/>
      <c r="AN776" s="16"/>
      <c r="AO776" s="16"/>
      <c r="AP776" s="16"/>
      <c r="AQ776" s="16"/>
      <c r="AR776" s="16"/>
      <c r="AS776" s="16"/>
    </row>
    <row r="777" spans="18:45" x14ac:dyDescent="0.35">
      <c r="R777" s="191"/>
      <c r="S777" s="191"/>
      <c r="T777" s="193"/>
      <c r="U777" s="191"/>
      <c r="V777" s="194"/>
      <c r="W777" s="191"/>
      <c r="Y777" s="191"/>
      <c r="Z777" s="191"/>
      <c r="AA777" s="191"/>
      <c r="AB777" s="191"/>
      <c r="AC777" s="191"/>
      <c r="AD777" s="16"/>
      <c r="AE777" s="16"/>
      <c r="AF777" s="16"/>
      <c r="AG777" s="16"/>
      <c r="AH777" s="16"/>
      <c r="AI777" s="16"/>
      <c r="AJ777" s="16"/>
      <c r="AK777" s="16"/>
      <c r="AL777" s="16"/>
      <c r="AM777" s="16"/>
      <c r="AN777" s="16"/>
      <c r="AO777" s="16"/>
      <c r="AP777" s="16"/>
      <c r="AQ777" s="16"/>
      <c r="AR777" s="16"/>
      <c r="AS777" s="16"/>
    </row>
    <row r="778" spans="18:45" x14ac:dyDescent="0.35">
      <c r="R778" s="191"/>
      <c r="S778" s="191"/>
      <c r="T778" s="193"/>
      <c r="U778" s="191"/>
      <c r="V778" s="194"/>
      <c r="W778" s="191"/>
      <c r="Y778" s="191"/>
      <c r="Z778" s="191"/>
      <c r="AA778" s="191"/>
      <c r="AB778" s="191"/>
      <c r="AC778" s="191"/>
      <c r="AD778" s="16"/>
      <c r="AE778" s="16"/>
      <c r="AF778" s="16"/>
      <c r="AG778" s="16"/>
      <c r="AH778" s="16"/>
      <c r="AI778" s="16"/>
      <c r="AJ778" s="16"/>
      <c r="AK778" s="16"/>
      <c r="AL778" s="16"/>
      <c r="AM778" s="16"/>
      <c r="AN778" s="16"/>
      <c r="AO778" s="16"/>
      <c r="AP778" s="16"/>
      <c r="AQ778" s="16"/>
      <c r="AR778" s="16"/>
      <c r="AS778" s="16"/>
    </row>
    <row r="779" spans="18:45" x14ac:dyDescent="0.35">
      <c r="R779" s="191"/>
      <c r="S779" s="191"/>
      <c r="T779" s="193"/>
      <c r="U779" s="191"/>
      <c r="V779" s="194"/>
      <c r="W779" s="191"/>
      <c r="Y779" s="191"/>
      <c r="Z779" s="191"/>
      <c r="AA779" s="191"/>
      <c r="AB779" s="191"/>
      <c r="AC779" s="191"/>
      <c r="AD779" s="16"/>
      <c r="AE779" s="16"/>
      <c r="AF779" s="16"/>
      <c r="AG779" s="16"/>
      <c r="AH779" s="16"/>
      <c r="AI779" s="16"/>
      <c r="AJ779" s="16"/>
      <c r="AK779" s="16"/>
      <c r="AL779" s="16"/>
      <c r="AM779" s="16"/>
      <c r="AN779" s="16"/>
      <c r="AO779" s="16"/>
      <c r="AP779" s="16"/>
      <c r="AQ779" s="16"/>
      <c r="AR779" s="16"/>
      <c r="AS779" s="16"/>
    </row>
    <row r="780" spans="18:45" x14ac:dyDescent="0.35">
      <c r="R780" s="191"/>
      <c r="S780" s="191"/>
      <c r="T780" s="193"/>
      <c r="U780" s="191"/>
      <c r="V780" s="194"/>
      <c r="W780" s="191"/>
      <c r="Y780" s="191"/>
      <c r="Z780" s="191"/>
      <c r="AA780" s="191"/>
      <c r="AB780" s="191"/>
      <c r="AC780" s="191"/>
      <c r="AD780" s="16"/>
      <c r="AE780" s="16"/>
      <c r="AF780" s="16"/>
      <c r="AG780" s="16"/>
      <c r="AH780" s="16"/>
      <c r="AI780" s="16"/>
      <c r="AJ780" s="16"/>
      <c r="AK780" s="16"/>
      <c r="AL780" s="16"/>
      <c r="AM780" s="16"/>
      <c r="AN780" s="16"/>
      <c r="AO780" s="16"/>
      <c r="AP780" s="16"/>
      <c r="AQ780" s="16"/>
      <c r="AR780" s="16"/>
      <c r="AS780" s="16"/>
    </row>
    <row r="781" spans="18:45" x14ac:dyDescent="0.35">
      <c r="R781" s="191"/>
      <c r="S781" s="191"/>
      <c r="T781" s="193"/>
      <c r="U781" s="191"/>
      <c r="V781" s="194"/>
      <c r="W781" s="191"/>
      <c r="Y781" s="191"/>
      <c r="Z781" s="191"/>
      <c r="AA781" s="191"/>
      <c r="AB781" s="191"/>
      <c r="AC781" s="191"/>
      <c r="AD781" s="16"/>
      <c r="AE781" s="16"/>
      <c r="AF781" s="16"/>
      <c r="AG781" s="16"/>
      <c r="AH781" s="16"/>
      <c r="AI781" s="16"/>
      <c r="AJ781" s="16"/>
      <c r="AK781" s="16"/>
      <c r="AL781" s="16"/>
      <c r="AM781" s="16"/>
      <c r="AN781" s="16"/>
      <c r="AO781" s="16"/>
      <c r="AP781" s="16"/>
      <c r="AQ781" s="16"/>
      <c r="AR781" s="16"/>
      <c r="AS781" s="16"/>
    </row>
    <row r="782" spans="18:45" x14ac:dyDescent="0.35">
      <c r="R782" s="191"/>
      <c r="S782" s="191"/>
      <c r="T782" s="193"/>
      <c r="U782" s="191"/>
      <c r="V782" s="194"/>
      <c r="W782" s="191"/>
      <c r="Y782" s="191"/>
      <c r="Z782" s="191"/>
      <c r="AA782" s="191"/>
      <c r="AB782" s="191"/>
      <c r="AC782" s="191"/>
      <c r="AD782" s="16"/>
      <c r="AE782" s="16"/>
      <c r="AF782" s="16"/>
      <c r="AG782" s="16"/>
      <c r="AH782" s="16"/>
      <c r="AI782" s="16"/>
      <c r="AJ782" s="16"/>
      <c r="AK782" s="16"/>
      <c r="AL782" s="16"/>
      <c r="AM782" s="16"/>
      <c r="AN782" s="16"/>
      <c r="AO782" s="16"/>
      <c r="AP782" s="16"/>
      <c r="AQ782" s="16"/>
      <c r="AR782" s="16"/>
      <c r="AS782" s="16"/>
    </row>
    <row r="783" spans="18:45" x14ac:dyDescent="0.35">
      <c r="R783" s="191"/>
      <c r="S783" s="191"/>
      <c r="T783" s="193"/>
      <c r="U783" s="191"/>
      <c r="V783" s="194"/>
      <c r="W783" s="191"/>
      <c r="Y783" s="191"/>
      <c r="Z783" s="191"/>
      <c r="AA783" s="191"/>
      <c r="AB783" s="191"/>
      <c r="AC783" s="191"/>
      <c r="AD783" s="16"/>
      <c r="AE783" s="16"/>
      <c r="AF783" s="16"/>
      <c r="AG783" s="16"/>
      <c r="AH783" s="16"/>
      <c r="AI783" s="16"/>
      <c r="AJ783" s="16"/>
      <c r="AK783" s="16"/>
      <c r="AL783" s="16"/>
      <c r="AM783" s="16"/>
      <c r="AN783" s="16"/>
      <c r="AO783" s="16"/>
      <c r="AP783" s="16"/>
      <c r="AQ783" s="16"/>
      <c r="AR783" s="16"/>
      <c r="AS783" s="16"/>
    </row>
    <row r="784" spans="18:45" x14ac:dyDescent="0.35">
      <c r="R784" s="191"/>
      <c r="S784" s="191"/>
      <c r="T784" s="193"/>
      <c r="U784" s="191"/>
      <c r="V784" s="194"/>
      <c r="W784" s="191"/>
      <c r="Y784" s="191"/>
      <c r="Z784" s="191"/>
      <c r="AA784" s="191"/>
      <c r="AB784" s="191"/>
      <c r="AC784" s="191"/>
      <c r="AD784" s="16"/>
      <c r="AE784" s="16"/>
      <c r="AF784" s="16"/>
      <c r="AG784" s="16"/>
      <c r="AH784" s="16"/>
      <c r="AI784" s="16"/>
      <c r="AJ784" s="16"/>
      <c r="AK784" s="16"/>
      <c r="AL784" s="16"/>
      <c r="AM784" s="16"/>
      <c r="AN784" s="16"/>
      <c r="AO784" s="16"/>
      <c r="AP784" s="16"/>
      <c r="AQ784" s="16"/>
      <c r="AR784" s="16"/>
      <c r="AS784" s="16"/>
    </row>
    <row r="785" spans="18:45" x14ac:dyDescent="0.35">
      <c r="R785" s="191"/>
      <c r="S785" s="191"/>
      <c r="T785" s="193"/>
      <c r="U785" s="191"/>
      <c r="V785" s="194"/>
      <c r="W785" s="191"/>
      <c r="Y785" s="191"/>
      <c r="Z785" s="191"/>
      <c r="AA785" s="191"/>
      <c r="AB785" s="191"/>
      <c r="AC785" s="191"/>
      <c r="AD785" s="16"/>
      <c r="AE785" s="16"/>
      <c r="AF785" s="16"/>
      <c r="AG785" s="16"/>
      <c r="AH785" s="16"/>
      <c r="AI785" s="16"/>
      <c r="AJ785" s="16"/>
      <c r="AK785" s="16"/>
      <c r="AL785" s="16"/>
      <c r="AM785" s="16"/>
      <c r="AN785" s="16"/>
      <c r="AO785" s="16"/>
      <c r="AP785" s="16"/>
      <c r="AQ785" s="16"/>
      <c r="AR785" s="16"/>
      <c r="AS785" s="16"/>
    </row>
    <row r="786" spans="18:45" x14ac:dyDescent="0.35">
      <c r="R786" s="191"/>
      <c r="S786" s="191"/>
      <c r="T786" s="193"/>
      <c r="U786" s="191"/>
      <c r="V786" s="194"/>
      <c r="W786" s="191"/>
      <c r="Y786" s="191"/>
      <c r="Z786" s="191"/>
      <c r="AA786" s="191"/>
      <c r="AB786" s="191"/>
      <c r="AC786" s="191"/>
      <c r="AD786" s="16"/>
      <c r="AE786" s="16"/>
      <c r="AF786" s="16"/>
      <c r="AG786" s="16"/>
      <c r="AH786" s="16"/>
      <c r="AI786" s="16"/>
      <c r="AJ786" s="16"/>
      <c r="AK786" s="16"/>
      <c r="AL786" s="16"/>
      <c r="AM786" s="16"/>
      <c r="AN786" s="16"/>
      <c r="AO786" s="16"/>
      <c r="AP786" s="16"/>
      <c r="AQ786" s="16"/>
      <c r="AR786" s="16"/>
      <c r="AS786" s="16"/>
    </row>
    <row r="787" spans="18:45" x14ac:dyDescent="0.35">
      <c r="R787" s="191"/>
      <c r="S787" s="191"/>
      <c r="T787" s="193"/>
      <c r="U787" s="191"/>
      <c r="V787" s="194"/>
      <c r="W787" s="191"/>
      <c r="Y787" s="191"/>
      <c r="Z787" s="191"/>
      <c r="AA787" s="191"/>
      <c r="AB787" s="191"/>
      <c r="AC787" s="191"/>
      <c r="AD787" s="16"/>
      <c r="AE787" s="16"/>
      <c r="AF787" s="16"/>
      <c r="AG787" s="16"/>
      <c r="AH787" s="16"/>
      <c r="AI787" s="16"/>
      <c r="AJ787" s="16"/>
      <c r="AK787" s="16"/>
      <c r="AL787" s="16"/>
      <c r="AM787" s="16"/>
      <c r="AN787" s="16"/>
      <c r="AO787" s="16"/>
      <c r="AP787" s="16"/>
      <c r="AQ787" s="16"/>
      <c r="AR787" s="16"/>
      <c r="AS787" s="16"/>
    </row>
    <row r="788" spans="18:45" x14ac:dyDescent="0.35">
      <c r="R788" s="191"/>
      <c r="S788" s="191"/>
      <c r="T788" s="193"/>
      <c r="U788" s="191"/>
      <c r="V788" s="194"/>
      <c r="W788" s="191"/>
      <c r="Y788" s="191"/>
      <c r="Z788" s="191"/>
      <c r="AA788" s="191"/>
      <c r="AB788" s="191"/>
      <c r="AC788" s="191"/>
      <c r="AD788" s="16"/>
      <c r="AE788" s="16"/>
      <c r="AF788" s="16"/>
      <c r="AG788" s="16"/>
      <c r="AH788" s="16"/>
      <c r="AI788" s="16"/>
      <c r="AJ788" s="16"/>
      <c r="AK788" s="16"/>
      <c r="AL788" s="16"/>
      <c r="AM788" s="16"/>
      <c r="AN788" s="16"/>
      <c r="AO788" s="16"/>
      <c r="AP788" s="16"/>
      <c r="AQ788" s="16"/>
      <c r="AR788" s="16"/>
      <c r="AS788" s="16"/>
    </row>
    <row r="789" spans="18:45" x14ac:dyDescent="0.35">
      <c r="R789" s="191"/>
      <c r="S789" s="191"/>
      <c r="T789" s="193"/>
      <c r="U789" s="191"/>
      <c r="V789" s="194"/>
      <c r="W789" s="191"/>
      <c r="Y789" s="191"/>
      <c r="Z789" s="191"/>
      <c r="AA789" s="191"/>
      <c r="AB789" s="191"/>
      <c r="AC789" s="191"/>
      <c r="AD789" s="16"/>
      <c r="AE789" s="16"/>
      <c r="AF789" s="16"/>
      <c r="AG789" s="16"/>
      <c r="AH789" s="16"/>
      <c r="AI789" s="16"/>
      <c r="AJ789" s="16"/>
      <c r="AK789" s="16"/>
      <c r="AL789" s="16"/>
      <c r="AM789" s="16"/>
      <c r="AN789" s="16"/>
      <c r="AO789" s="16"/>
      <c r="AP789" s="16"/>
      <c r="AQ789" s="16"/>
      <c r="AR789" s="16"/>
      <c r="AS789" s="16"/>
    </row>
    <row r="790" spans="18:45" x14ac:dyDescent="0.35">
      <c r="R790" s="191"/>
      <c r="S790" s="191"/>
      <c r="T790" s="193"/>
      <c r="U790" s="191"/>
      <c r="V790" s="194"/>
      <c r="W790" s="191"/>
      <c r="Y790" s="191"/>
      <c r="Z790" s="191"/>
      <c r="AA790" s="191"/>
      <c r="AB790" s="191"/>
      <c r="AC790" s="191"/>
      <c r="AD790" s="16"/>
      <c r="AE790" s="16"/>
      <c r="AF790" s="16"/>
      <c r="AG790" s="16"/>
      <c r="AH790" s="16"/>
      <c r="AI790" s="16"/>
      <c r="AJ790" s="16"/>
      <c r="AK790" s="16"/>
      <c r="AL790" s="16"/>
      <c r="AM790" s="16"/>
      <c r="AN790" s="16"/>
      <c r="AO790" s="16"/>
      <c r="AP790" s="16"/>
      <c r="AQ790" s="16"/>
      <c r="AR790" s="16"/>
      <c r="AS790" s="16"/>
    </row>
    <row r="791" spans="18:45" x14ac:dyDescent="0.35">
      <c r="R791" s="191"/>
      <c r="S791" s="191"/>
      <c r="T791" s="193"/>
      <c r="U791" s="191"/>
      <c r="V791" s="194"/>
      <c r="W791" s="191"/>
      <c r="Y791" s="191"/>
      <c r="Z791" s="191"/>
      <c r="AA791" s="191"/>
      <c r="AB791" s="191"/>
      <c r="AC791" s="191"/>
      <c r="AD791" s="16"/>
      <c r="AE791" s="16"/>
      <c r="AF791" s="16"/>
      <c r="AG791" s="16"/>
      <c r="AH791" s="16"/>
      <c r="AI791" s="16"/>
      <c r="AJ791" s="16"/>
      <c r="AK791" s="16"/>
      <c r="AL791" s="16"/>
      <c r="AM791" s="16"/>
      <c r="AN791" s="16"/>
      <c r="AO791" s="16"/>
      <c r="AP791" s="16"/>
      <c r="AQ791" s="16"/>
      <c r="AR791" s="16"/>
      <c r="AS791" s="16"/>
    </row>
    <row r="792" spans="18:45" x14ac:dyDescent="0.35">
      <c r="R792" s="191"/>
      <c r="S792" s="191"/>
      <c r="T792" s="193"/>
      <c r="U792" s="191"/>
      <c r="V792" s="194"/>
      <c r="W792" s="191"/>
      <c r="Y792" s="191"/>
      <c r="Z792" s="191"/>
      <c r="AA792" s="191"/>
      <c r="AB792" s="191"/>
      <c r="AC792" s="191"/>
      <c r="AD792" s="16"/>
      <c r="AE792" s="16"/>
      <c r="AF792" s="16"/>
      <c r="AG792" s="16"/>
      <c r="AH792" s="16"/>
      <c r="AI792" s="16"/>
      <c r="AJ792" s="16"/>
      <c r="AK792" s="16"/>
      <c r="AL792" s="16"/>
      <c r="AM792" s="16"/>
      <c r="AN792" s="16"/>
      <c r="AO792" s="16"/>
      <c r="AP792" s="16"/>
      <c r="AQ792" s="16"/>
      <c r="AR792" s="16"/>
      <c r="AS792" s="16"/>
    </row>
    <row r="793" spans="18:45" x14ac:dyDescent="0.35">
      <c r="R793" s="191"/>
      <c r="S793" s="191"/>
      <c r="T793" s="193"/>
      <c r="U793" s="191"/>
      <c r="V793" s="194"/>
      <c r="W793" s="191"/>
      <c r="Y793" s="191"/>
      <c r="Z793" s="191"/>
      <c r="AA793" s="191"/>
      <c r="AB793" s="191"/>
      <c r="AC793" s="191"/>
      <c r="AD793" s="16"/>
      <c r="AE793" s="16"/>
      <c r="AF793" s="16"/>
      <c r="AG793" s="16"/>
      <c r="AH793" s="16"/>
      <c r="AI793" s="16"/>
      <c r="AJ793" s="16"/>
      <c r="AK793" s="16"/>
      <c r="AL793" s="16"/>
      <c r="AM793" s="16"/>
      <c r="AN793" s="16"/>
      <c r="AO793" s="16"/>
      <c r="AP793" s="16"/>
      <c r="AQ793" s="16"/>
      <c r="AR793" s="16"/>
      <c r="AS793" s="16"/>
    </row>
    <row r="794" spans="18:45" x14ac:dyDescent="0.35">
      <c r="R794" s="191"/>
      <c r="S794" s="191"/>
      <c r="T794" s="193"/>
      <c r="U794" s="191"/>
      <c r="V794" s="194"/>
      <c r="W794" s="191"/>
      <c r="Y794" s="191"/>
      <c r="Z794" s="191"/>
      <c r="AA794" s="191"/>
      <c r="AB794" s="191"/>
      <c r="AC794" s="191"/>
      <c r="AD794" s="16"/>
      <c r="AE794" s="16"/>
      <c r="AF794" s="16"/>
      <c r="AG794" s="16"/>
      <c r="AH794" s="16"/>
      <c r="AI794" s="16"/>
      <c r="AJ794" s="16"/>
      <c r="AK794" s="16"/>
      <c r="AL794" s="16"/>
      <c r="AM794" s="16"/>
      <c r="AN794" s="16"/>
      <c r="AO794" s="16"/>
      <c r="AP794" s="16"/>
      <c r="AQ794" s="16"/>
      <c r="AR794" s="16"/>
      <c r="AS794" s="16"/>
    </row>
    <row r="795" spans="18:45" x14ac:dyDescent="0.35">
      <c r="R795" s="191"/>
      <c r="S795" s="191"/>
      <c r="T795" s="193"/>
      <c r="U795" s="191"/>
      <c r="V795" s="194"/>
      <c r="W795" s="191"/>
      <c r="Y795" s="191"/>
      <c r="Z795" s="191"/>
      <c r="AA795" s="191"/>
      <c r="AB795" s="191"/>
      <c r="AC795" s="191"/>
      <c r="AD795" s="16"/>
      <c r="AE795" s="16"/>
      <c r="AF795" s="16"/>
      <c r="AG795" s="16"/>
      <c r="AH795" s="16"/>
      <c r="AI795" s="16"/>
      <c r="AJ795" s="16"/>
      <c r="AK795" s="16"/>
      <c r="AL795" s="16"/>
      <c r="AM795" s="16"/>
      <c r="AN795" s="16"/>
      <c r="AO795" s="16"/>
      <c r="AP795" s="16"/>
      <c r="AQ795" s="16"/>
      <c r="AR795" s="16"/>
      <c r="AS795" s="16"/>
    </row>
    <row r="796" spans="18:45" x14ac:dyDescent="0.35">
      <c r="R796" s="191"/>
      <c r="S796" s="191"/>
      <c r="T796" s="193"/>
      <c r="U796" s="191"/>
      <c r="V796" s="194"/>
      <c r="W796" s="191"/>
      <c r="Y796" s="191"/>
      <c r="Z796" s="191"/>
      <c r="AA796" s="191"/>
      <c r="AB796" s="191"/>
      <c r="AC796" s="191"/>
      <c r="AD796" s="16"/>
      <c r="AE796" s="16"/>
      <c r="AF796" s="16"/>
      <c r="AG796" s="16"/>
      <c r="AH796" s="16"/>
      <c r="AI796" s="16"/>
      <c r="AJ796" s="16"/>
      <c r="AK796" s="16"/>
      <c r="AL796" s="16"/>
      <c r="AM796" s="16"/>
      <c r="AN796" s="16"/>
      <c r="AO796" s="16"/>
      <c r="AP796" s="16"/>
      <c r="AQ796" s="16"/>
      <c r="AR796" s="16"/>
      <c r="AS796" s="16"/>
    </row>
    <row r="797" spans="18:45" x14ac:dyDescent="0.35">
      <c r="R797" s="191"/>
      <c r="S797" s="191"/>
      <c r="T797" s="193"/>
      <c r="U797" s="191"/>
      <c r="V797" s="194"/>
      <c r="W797" s="191"/>
      <c r="Y797" s="191"/>
      <c r="Z797" s="191"/>
      <c r="AA797" s="191"/>
      <c r="AB797" s="191"/>
      <c r="AC797" s="191"/>
      <c r="AD797" s="16"/>
      <c r="AE797" s="16"/>
      <c r="AF797" s="16"/>
      <c r="AG797" s="16"/>
      <c r="AH797" s="16"/>
      <c r="AI797" s="16"/>
      <c r="AJ797" s="16"/>
      <c r="AK797" s="16"/>
      <c r="AL797" s="16"/>
      <c r="AM797" s="16"/>
      <c r="AN797" s="16"/>
      <c r="AO797" s="16"/>
      <c r="AP797" s="16"/>
      <c r="AQ797" s="16"/>
      <c r="AR797" s="16"/>
      <c r="AS797" s="16"/>
    </row>
    <row r="798" spans="18:45" x14ac:dyDescent="0.35">
      <c r="R798" s="191"/>
      <c r="S798" s="191"/>
      <c r="T798" s="193"/>
      <c r="U798" s="191"/>
      <c r="V798" s="194"/>
      <c r="W798" s="191"/>
      <c r="Y798" s="191"/>
      <c r="Z798" s="191"/>
      <c r="AA798" s="191"/>
      <c r="AB798" s="191"/>
      <c r="AC798" s="191"/>
      <c r="AD798" s="16"/>
      <c r="AE798" s="16"/>
      <c r="AF798" s="16"/>
      <c r="AG798" s="16"/>
      <c r="AH798" s="16"/>
      <c r="AI798" s="16"/>
      <c r="AJ798" s="16"/>
      <c r="AK798" s="16"/>
      <c r="AL798" s="16"/>
      <c r="AM798" s="16"/>
      <c r="AN798" s="16"/>
      <c r="AO798" s="16"/>
      <c r="AP798" s="16"/>
      <c r="AQ798" s="16"/>
      <c r="AR798" s="16"/>
      <c r="AS798" s="16"/>
    </row>
    <row r="799" spans="18:45" x14ac:dyDescent="0.35">
      <c r="R799" s="191"/>
      <c r="S799" s="191"/>
      <c r="T799" s="193"/>
      <c r="U799" s="191"/>
      <c r="V799" s="194"/>
      <c r="W799" s="191"/>
      <c r="Y799" s="191"/>
      <c r="Z799" s="191"/>
      <c r="AA799" s="191"/>
      <c r="AB799" s="191"/>
      <c r="AC799" s="191"/>
      <c r="AD799" s="16"/>
      <c r="AE799" s="16"/>
      <c r="AF799" s="16"/>
      <c r="AG799" s="16"/>
      <c r="AH799" s="16"/>
      <c r="AI799" s="16"/>
      <c r="AJ799" s="16"/>
      <c r="AK799" s="16"/>
      <c r="AL799" s="16"/>
      <c r="AM799" s="16"/>
      <c r="AN799" s="16"/>
      <c r="AO799" s="16"/>
      <c r="AP799" s="16"/>
      <c r="AQ799" s="16"/>
      <c r="AR799" s="16"/>
      <c r="AS799" s="16"/>
    </row>
    <row r="800" spans="18:45" x14ac:dyDescent="0.35">
      <c r="R800" s="191"/>
      <c r="S800" s="191"/>
      <c r="T800" s="193"/>
      <c r="U800" s="191"/>
      <c r="V800" s="194"/>
      <c r="W800" s="191"/>
      <c r="Y800" s="191"/>
      <c r="Z800" s="191"/>
      <c r="AA800" s="191"/>
      <c r="AB800" s="191"/>
      <c r="AC800" s="191"/>
      <c r="AD800" s="16"/>
      <c r="AE800" s="16"/>
      <c r="AF800" s="16"/>
      <c r="AG800" s="16"/>
      <c r="AH800" s="16"/>
      <c r="AI800" s="16"/>
      <c r="AJ800" s="16"/>
      <c r="AK800" s="16"/>
      <c r="AL800" s="16"/>
      <c r="AM800" s="16"/>
      <c r="AN800" s="16"/>
      <c r="AO800" s="16"/>
      <c r="AP800" s="16"/>
      <c r="AQ800" s="16"/>
      <c r="AR800" s="16"/>
      <c r="AS800" s="16"/>
    </row>
    <row r="801" spans="18:45" x14ac:dyDescent="0.35">
      <c r="R801" s="191"/>
      <c r="S801" s="191"/>
      <c r="T801" s="193"/>
      <c r="U801" s="191"/>
      <c r="V801" s="194"/>
      <c r="W801" s="191"/>
      <c r="Y801" s="191"/>
      <c r="Z801" s="191"/>
      <c r="AA801" s="191"/>
      <c r="AB801" s="191"/>
      <c r="AC801" s="191"/>
      <c r="AD801" s="16"/>
      <c r="AE801" s="16"/>
      <c r="AF801" s="16"/>
      <c r="AG801" s="16"/>
      <c r="AH801" s="16"/>
      <c r="AI801" s="16"/>
      <c r="AJ801" s="16"/>
      <c r="AK801" s="16"/>
      <c r="AL801" s="16"/>
      <c r="AM801" s="16"/>
      <c r="AN801" s="16"/>
      <c r="AO801" s="16"/>
      <c r="AP801" s="16"/>
      <c r="AQ801" s="16"/>
      <c r="AR801" s="16"/>
      <c r="AS801" s="16"/>
    </row>
    <row r="802" spans="18:45" x14ac:dyDescent="0.35">
      <c r="R802" s="191"/>
      <c r="S802" s="191"/>
      <c r="T802" s="193"/>
      <c r="U802" s="191"/>
      <c r="V802" s="194"/>
      <c r="W802" s="191"/>
      <c r="Y802" s="191"/>
      <c r="Z802" s="191"/>
      <c r="AA802" s="191"/>
      <c r="AB802" s="191"/>
      <c r="AC802" s="191"/>
      <c r="AD802" s="16"/>
      <c r="AE802" s="16"/>
      <c r="AF802" s="16"/>
      <c r="AG802" s="16"/>
      <c r="AH802" s="16"/>
      <c r="AI802" s="16"/>
      <c r="AJ802" s="16"/>
      <c r="AK802" s="16"/>
      <c r="AL802" s="16"/>
      <c r="AM802" s="16"/>
      <c r="AN802" s="16"/>
      <c r="AO802" s="16"/>
      <c r="AP802" s="16"/>
      <c r="AQ802" s="16"/>
      <c r="AR802" s="16"/>
      <c r="AS802" s="16"/>
    </row>
    <row r="803" spans="18:45" x14ac:dyDescent="0.35">
      <c r="R803" s="191"/>
      <c r="S803" s="191"/>
      <c r="T803" s="193"/>
      <c r="U803" s="191"/>
      <c r="V803" s="194"/>
      <c r="W803" s="191"/>
      <c r="Y803" s="191"/>
      <c r="Z803" s="191"/>
      <c r="AA803" s="191"/>
      <c r="AB803" s="191"/>
      <c r="AC803" s="191"/>
      <c r="AD803" s="16"/>
      <c r="AE803" s="16"/>
      <c r="AF803" s="16"/>
      <c r="AG803" s="16"/>
      <c r="AH803" s="16"/>
      <c r="AI803" s="16"/>
      <c r="AJ803" s="16"/>
      <c r="AK803" s="16"/>
      <c r="AL803" s="16"/>
      <c r="AM803" s="16"/>
      <c r="AN803" s="16"/>
      <c r="AO803" s="16"/>
      <c r="AP803" s="16"/>
      <c r="AQ803" s="16"/>
      <c r="AR803" s="16"/>
      <c r="AS803" s="16"/>
    </row>
    <row r="804" spans="18:45" x14ac:dyDescent="0.35">
      <c r="R804" s="191"/>
      <c r="S804" s="191"/>
      <c r="T804" s="193"/>
      <c r="U804" s="191"/>
      <c r="V804" s="194"/>
      <c r="W804" s="191"/>
      <c r="Y804" s="191"/>
      <c r="Z804" s="191"/>
      <c r="AA804" s="191"/>
      <c r="AB804" s="191"/>
      <c r="AC804" s="191"/>
      <c r="AD804" s="16"/>
      <c r="AE804" s="16"/>
      <c r="AF804" s="16"/>
      <c r="AG804" s="16"/>
      <c r="AH804" s="16"/>
      <c r="AI804" s="16"/>
      <c r="AJ804" s="16"/>
      <c r="AK804" s="16"/>
      <c r="AL804" s="16"/>
      <c r="AM804" s="16"/>
      <c r="AN804" s="16"/>
      <c r="AO804" s="16"/>
      <c r="AP804" s="16"/>
      <c r="AQ804" s="16"/>
      <c r="AR804" s="16"/>
      <c r="AS804" s="16"/>
    </row>
    <row r="805" spans="18:45" x14ac:dyDescent="0.35">
      <c r="R805" s="191"/>
      <c r="S805" s="191"/>
      <c r="T805" s="193"/>
      <c r="U805" s="191"/>
      <c r="V805" s="194"/>
      <c r="W805" s="191"/>
      <c r="Y805" s="191"/>
      <c r="Z805" s="191"/>
      <c r="AA805" s="191"/>
      <c r="AB805" s="191"/>
      <c r="AC805" s="191"/>
      <c r="AD805" s="16"/>
      <c r="AE805" s="16"/>
      <c r="AF805" s="16"/>
      <c r="AG805" s="16"/>
      <c r="AH805" s="16"/>
      <c r="AI805" s="16"/>
      <c r="AJ805" s="16"/>
      <c r="AK805" s="16"/>
      <c r="AL805" s="16"/>
      <c r="AM805" s="16"/>
      <c r="AN805" s="16"/>
      <c r="AO805" s="16"/>
      <c r="AP805" s="16"/>
      <c r="AQ805" s="16"/>
      <c r="AR805" s="16"/>
      <c r="AS805" s="16"/>
    </row>
    <row r="806" spans="18:45" x14ac:dyDescent="0.35">
      <c r="R806" s="191"/>
      <c r="S806" s="191"/>
      <c r="T806" s="193"/>
      <c r="U806" s="191"/>
      <c r="V806" s="194"/>
      <c r="W806" s="191"/>
      <c r="Y806" s="191"/>
      <c r="Z806" s="191"/>
      <c r="AA806" s="191"/>
      <c r="AB806" s="191"/>
      <c r="AC806" s="191"/>
      <c r="AD806" s="16"/>
      <c r="AE806" s="16"/>
      <c r="AF806" s="16"/>
      <c r="AG806" s="16"/>
      <c r="AH806" s="16"/>
      <c r="AI806" s="16"/>
      <c r="AJ806" s="16"/>
      <c r="AK806" s="16"/>
      <c r="AL806" s="16"/>
      <c r="AM806" s="16"/>
      <c r="AN806" s="16"/>
      <c r="AO806" s="16"/>
      <c r="AP806" s="16"/>
      <c r="AQ806" s="16"/>
      <c r="AR806" s="16"/>
      <c r="AS806" s="16"/>
    </row>
    <row r="807" spans="18:45" x14ac:dyDescent="0.35">
      <c r="R807" s="191"/>
      <c r="S807" s="191"/>
      <c r="T807" s="193"/>
      <c r="U807" s="191"/>
      <c r="V807" s="194"/>
      <c r="W807" s="191"/>
      <c r="Y807" s="191"/>
      <c r="Z807" s="191"/>
      <c r="AA807" s="191"/>
      <c r="AB807" s="191"/>
      <c r="AC807" s="191"/>
      <c r="AD807" s="16"/>
      <c r="AE807" s="16"/>
      <c r="AF807" s="16"/>
      <c r="AG807" s="16"/>
      <c r="AH807" s="16"/>
      <c r="AI807" s="16"/>
      <c r="AJ807" s="16"/>
      <c r="AK807" s="16"/>
      <c r="AL807" s="16"/>
      <c r="AM807" s="16"/>
      <c r="AN807" s="16"/>
      <c r="AO807" s="16"/>
      <c r="AP807" s="16"/>
      <c r="AQ807" s="16"/>
      <c r="AR807" s="16"/>
      <c r="AS807" s="16"/>
    </row>
    <row r="808" spans="18:45" x14ac:dyDescent="0.35">
      <c r="R808" s="191"/>
      <c r="S808" s="191"/>
      <c r="T808" s="193"/>
      <c r="U808" s="191"/>
      <c r="V808" s="194"/>
      <c r="W808" s="191"/>
      <c r="Y808" s="191"/>
      <c r="Z808" s="191"/>
      <c r="AA808" s="191"/>
      <c r="AB808" s="191"/>
      <c r="AC808" s="191"/>
      <c r="AD808" s="16"/>
      <c r="AE808" s="16"/>
      <c r="AF808" s="16"/>
      <c r="AG808" s="16"/>
      <c r="AH808" s="16"/>
      <c r="AI808" s="16"/>
      <c r="AJ808" s="16"/>
      <c r="AK808" s="16"/>
      <c r="AL808" s="16"/>
      <c r="AM808" s="16"/>
      <c r="AN808" s="16"/>
      <c r="AO808" s="16"/>
      <c r="AP808" s="16"/>
      <c r="AQ808" s="16"/>
      <c r="AR808" s="16"/>
      <c r="AS808" s="16"/>
    </row>
    <row r="809" spans="18:45" x14ac:dyDescent="0.35">
      <c r="R809" s="191"/>
      <c r="S809" s="191"/>
      <c r="T809" s="193"/>
      <c r="U809" s="191"/>
      <c r="V809" s="194"/>
      <c r="W809" s="191"/>
      <c r="Y809" s="191"/>
      <c r="Z809" s="191"/>
      <c r="AA809" s="191"/>
      <c r="AB809" s="191"/>
      <c r="AC809" s="191"/>
      <c r="AD809" s="16"/>
      <c r="AE809" s="16"/>
      <c r="AF809" s="16"/>
      <c r="AG809" s="16"/>
      <c r="AH809" s="16"/>
      <c r="AI809" s="16"/>
      <c r="AJ809" s="16"/>
      <c r="AK809" s="16"/>
      <c r="AL809" s="16"/>
      <c r="AM809" s="16"/>
      <c r="AN809" s="16"/>
      <c r="AO809" s="16"/>
      <c r="AP809" s="16"/>
      <c r="AQ809" s="16"/>
      <c r="AR809" s="16"/>
      <c r="AS809" s="16"/>
    </row>
    <row r="810" spans="18:45" x14ac:dyDescent="0.35">
      <c r="R810" s="191"/>
      <c r="S810" s="191"/>
      <c r="T810" s="193"/>
      <c r="U810" s="191"/>
      <c r="V810" s="194"/>
      <c r="W810" s="191"/>
      <c r="Y810" s="191"/>
      <c r="Z810" s="191"/>
      <c r="AA810" s="191"/>
      <c r="AB810" s="191"/>
      <c r="AC810" s="191"/>
      <c r="AD810" s="16"/>
      <c r="AE810" s="16"/>
      <c r="AF810" s="16"/>
      <c r="AG810" s="16"/>
      <c r="AH810" s="16"/>
      <c r="AI810" s="16"/>
      <c r="AJ810" s="16"/>
      <c r="AK810" s="16"/>
      <c r="AL810" s="16"/>
      <c r="AM810" s="16"/>
      <c r="AN810" s="16"/>
      <c r="AO810" s="16"/>
      <c r="AP810" s="16"/>
      <c r="AQ810" s="16"/>
      <c r="AR810" s="16"/>
      <c r="AS810" s="16"/>
    </row>
    <row r="811" spans="18:45" x14ac:dyDescent="0.35">
      <c r="R811" s="191"/>
      <c r="S811" s="191"/>
      <c r="T811" s="193"/>
      <c r="U811" s="191"/>
      <c r="V811" s="194"/>
      <c r="W811" s="191"/>
      <c r="Y811" s="191"/>
      <c r="Z811" s="191"/>
      <c r="AA811" s="191"/>
      <c r="AB811" s="191"/>
      <c r="AC811" s="191"/>
      <c r="AD811" s="16"/>
      <c r="AE811" s="16"/>
      <c r="AF811" s="16"/>
      <c r="AG811" s="16"/>
      <c r="AH811" s="16"/>
      <c r="AI811" s="16"/>
      <c r="AJ811" s="16"/>
      <c r="AK811" s="16"/>
      <c r="AL811" s="16"/>
      <c r="AM811" s="16"/>
      <c r="AN811" s="16"/>
      <c r="AO811" s="16"/>
      <c r="AP811" s="16"/>
      <c r="AQ811" s="16"/>
      <c r="AR811" s="16"/>
      <c r="AS811" s="16"/>
    </row>
    <row r="812" spans="18:45" x14ac:dyDescent="0.35">
      <c r="R812" s="191"/>
      <c r="S812" s="191"/>
      <c r="T812" s="193"/>
      <c r="U812" s="191"/>
      <c r="V812" s="194"/>
      <c r="W812" s="191"/>
      <c r="Y812" s="191"/>
      <c r="Z812" s="191"/>
      <c r="AA812" s="191"/>
      <c r="AB812" s="191"/>
      <c r="AC812" s="191"/>
      <c r="AD812" s="16"/>
      <c r="AE812" s="16"/>
      <c r="AF812" s="16"/>
      <c r="AG812" s="16"/>
      <c r="AH812" s="16"/>
      <c r="AI812" s="16"/>
      <c r="AJ812" s="16"/>
      <c r="AK812" s="16"/>
      <c r="AL812" s="16"/>
      <c r="AM812" s="16"/>
      <c r="AN812" s="16"/>
      <c r="AO812" s="16"/>
      <c r="AP812" s="16"/>
      <c r="AQ812" s="16"/>
      <c r="AR812" s="16"/>
      <c r="AS812" s="16"/>
    </row>
    <row r="813" spans="18:45" x14ac:dyDescent="0.35">
      <c r="R813" s="191"/>
      <c r="S813" s="191"/>
      <c r="T813" s="193"/>
      <c r="U813" s="191"/>
      <c r="V813" s="194"/>
      <c r="W813" s="191"/>
      <c r="Y813" s="191"/>
      <c r="Z813" s="191"/>
      <c r="AA813" s="191"/>
      <c r="AB813" s="191"/>
      <c r="AC813" s="191"/>
      <c r="AD813" s="16"/>
      <c r="AE813" s="16"/>
      <c r="AF813" s="16"/>
      <c r="AG813" s="16"/>
      <c r="AH813" s="16"/>
      <c r="AI813" s="16"/>
      <c r="AJ813" s="16"/>
      <c r="AK813" s="16"/>
      <c r="AL813" s="16"/>
      <c r="AM813" s="16"/>
      <c r="AN813" s="16"/>
      <c r="AO813" s="16"/>
      <c r="AP813" s="16"/>
      <c r="AQ813" s="16"/>
      <c r="AR813" s="16"/>
      <c r="AS813" s="16"/>
    </row>
    <row r="814" spans="18:45" x14ac:dyDescent="0.35">
      <c r="R814" s="191"/>
      <c r="S814" s="191"/>
      <c r="T814" s="193"/>
      <c r="U814" s="191"/>
      <c r="V814" s="194"/>
      <c r="W814" s="191"/>
      <c r="Y814" s="191"/>
      <c r="Z814" s="191"/>
      <c r="AA814" s="191"/>
      <c r="AB814" s="191"/>
      <c r="AC814" s="191"/>
      <c r="AD814" s="16"/>
      <c r="AE814" s="16"/>
      <c r="AF814" s="16"/>
      <c r="AG814" s="16"/>
      <c r="AH814" s="16"/>
      <c r="AI814" s="16"/>
      <c r="AJ814" s="16"/>
      <c r="AK814" s="16"/>
      <c r="AL814" s="16"/>
      <c r="AM814" s="16"/>
      <c r="AN814" s="16"/>
      <c r="AO814" s="16"/>
      <c r="AP814" s="16"/>
      <c r="AQ814" s="16"/>
      <c r="AR814" s="16"/>
      <c r="AS814" s="16"/>
    </row>
    <row r="815" spans="18:45" x14ac:dyDescent="0.35">
      <c r="R815" s="191"/>
      <c r="S815" s="191"/>
      <c r="T815" s="193"/>
      <c r="U815" s="191"/>
      <c r="V815" s="194"/>
      <c r="W815" s="191"/>
      <c r="Y815" s="191"/>
      <c r="Z815" s="191"/>
      <c r="AA815" s="191"/>
      <c r="AB815" s="191"/>
      <c r="AC815" s="191"/>
      <c r="AD815" s="16"/>
      <c r="AE815" s="16"/>
      <c r="AF815" s="16"/>
      <c r="AG815" s="16"/>
      <c r="AH815" s="16"/>
      <c r="AI815" s="16"/>
      <c r="AJ815" s="16"/>
      <c r="AK815" s="16"/>
      <c r="AL815" s="16"/>
      <c r="AM815" s="16"/>
      <c r="AN815" s="16"/>
      <c r="AO815" s="16"/>
      <c r="AP815" s="16"/>
      <c r="AQ815" s="16"/>
      <c r="AR815" s="16"/>
      <c r="AS815" s="16"/>
    </row>
    <row r="816" spans="18:45" x14ac:dyDescent="0.35">
      <c r="R816" s="191"/>
      <c r="S816" s="191"/>
      <c r="T816" s="193"/>
      <c r="U816" s="191"/>
      <c r="V816" s="194"/>
      <c r="W816" s="191"/>
      <c r="Y816" s="191"/>
      <c r="Z816" s="191"/>
      <c r="AA816" s="191"/>
      <c r="AB816" s="191"/>
      <c r="AC816" s="191"/>
      <c r="AD816" s="16"/>
      <c r="AE816" s="16"/>
      <c r="AF816" s="16"/>
      <c r="AG816" s="16"/>
      <c r="AH816" s="16"/>
      <c r="AI816" s="16"/>
      <c r="AJ816" s="16"/>
      <c r="AK816" s="16"/>
      <c r="AL816" s="16"/>
      <c r="AM816" s="16"/>
      <c r="AN816" s="16"/>
      <c r="AO816" s="16"/>
      <c r="AP816" s="16"/>
      <c r="AQ816" s="16"/>
      <c r="AR816" s="16"/>
      <c r="AS816" s="16"/>
    </row>
    <row r="817" spans="18:45" x14ac:dyDescent="0.35">
      <c r="R817" s="191"/>
      <c r="S817" s="191"/>
      <c r="T817" s="193"/>
      <c r="U817" s="191"/>
      <c r="V817" s="194"/>
      <c r="W817" s="191"/>
      <c r="Y817" s="191"/>
      <c r="Z817" s="191"/>
      <c r="AA817" s="191"/>
      <c r="AB817" s="191"/>
      <c r="AC817" s="191"/>
      <c r="AD817" s="16"/>
      <c r="AE817" s="16"/>
      <c r="AF817" s="16"/>
      <c r="AG817" s="16"/>
      <c r="AH817" s="16"/>
      <c r="AI817" s="16"/>
      <c r="AJ817" s="16"/>
      <c r="AK817" s="16"/>
      <c r="AL817" s="16"/>
      <c r="AM817" s="16"/>
      <c r="AN817" s="16"/>
      <c r="AO817" s="16"/>
      <c r="AP817" s="16"/>
      <c r="AQ817" s="16"/>
      <c r="AR817" s="16"/>
      <c r="AS817" s="16"/>
    </row>
    <row r="818" spans="18:45" x14ac:dyDescent="0.35">
      <c r="R818" s="191"/>
      <c r="S818" s="191"/>
      <c r="T818" s="193"/>
      <c r="U818" s="191"/>
      <c r="V818" s="194"/>
      <c r="W818" s="191"/>
      <c r="Y818" s="191"/>
      <c r="Z818" s="191"/>
      <c r="AA818" s="191"/>
      <c r="AB818" s="191"/>
      <c r="AC818" s="191"/>
      <c r="AD818" s="16"/>
      <c r="AE818" s="16"/>
      <c r="AF818" s="16"/>
      <c r="AG818" s="16"/>
      <c r="AH818" s="16"/>
      <c r="AI818" s="16"/>
      <c r="AJ818" s="16"/>
      <c r="AK818" s="16"/>
      <c r="AL818" s="16"/>
      <c r="AM818" s="16"/>
      <c r="AN818" s="16"/>
      <c r="AO818" s="16"/>
      <c r="AP818" s="16"/>
      <c r="AQ818" s="16"/>
      <c r="AR818" s="16"/>
      <c r="AS818" s="16"/>
    </row>
    <row r="819" spans="18:45" x14ac:dyDescent="0.35">
      <c r="R819" s="191"/>
      <c r="S819" s="191"/>
      <c r="T819" s="193"/>
      <c r="U819" s="191"/>
      <c r="V819" s="194"/>
      <c r="W819" s="191"/>
      <c r="Y819" s="191"/>
      <c r="Z819" s="191"/>
      <c r="AA819" s="191"/>
      <c r="AB819" s="191"/>
      <c r="AC819" s="191"/>
      <c r="AD819" s="16"/>
      <c r="AE819" s="16"/>
      <c r="AF819" s="16"/>
      <c r="AG819" s="16"/>
      <c r="AH819" s="16"/>
      <c r="AI819" s="16"/>
      <c r="AJ819" s="16"/>
      <c r="AK819" s="16"/>
      <c r="AL819" s="16"/>
      <c r="AM819" s="16"/>
      <c r="AN819" s="16"/>
      <c r="AO819" s="16"/>
      <c r="AP819" s="16"/>
      <c r="AQ819" s="16"/>
      <c r="AR819" s="16"/>
      <c r="AS819" s="16"/>
    </row>
    <row r="820" spans="18:45" x14ac:dyDescent="0.35">
      <c r="R820" s="191"/>
      <c r="S820" s="191"/>
      <c r="T820" s="193"/>
      <c r="U820" s="191"/>
      <c r="V820" s="194"/>
      <c r="W820" s="191"/>
      <c r="Y820" s="191"/>
      <c r="Z820" s="191"/>
      <c r="AA820" s="191"/>
      <c r="AB820" s="191"/>
      <c r="AC820" s="191"/>
      <c r="AD820" s="16"/>
      <c r="AE820" s="16"/>
      <c r="AF820" s="16"/>
      <c r="AG820" s="16"/>
      <c r="AH820" s="16"/>
      <c r="AI820" s="16"/>
      <c r="AJ820" s="16"/>
      <c r="AK820" s="16"/>
      <c r="AL820" s="16"/>
      <c r="AM820" s="16"/>
      <c r="AN820" s="16"/>
      <c r="AO820" s="16"/>
      <c r="AP820" s="16"/>
      <c r="AQ820" s="16"/>
      <c r="AR820" s="16"/>
      <c r="AS820" s="16"/>
    </row>
    <row r="821" spans="18:45" x14ac:dyDescent="0.35">
      <c r="R821" s="191"/>
      <c r="S821" s="191"/>
      <c r="T821" s="193"/>
      <c r="U821" s="191"/>
      <c r="V821" s="194"/>
      <c r="W821" s="191"/>
      <c r="Y821" s="191"/>
      <c r="Z821" s="191"/>
      <c r="AA821" s="191"/>
      <c r="AB821" s="191"/>
      <c r="AC821" s="191"/>
      <c r="AD821" s="16"/>
      <c r="AE821" s="16"/>
      <c r="AF821" s="16"/>
      <c r="AG821" s="16"/>
      <c r="AH821" s="16"/>
      <c r="AI821" s="16"/>
      <c r="AJ821" s="16"/>
      <c r="AK821" s="16"/>
      <c r="AL821" s="16"/>
      <c r="AM821" s="16"/>
      <c r="AN821" s="16"/>
      <c r="AO821" s="16"/>
      <c r="AP821" s="16"/>
      <c r="AQ821" s="16"/>
      <c r="AR821" s="16"/>
      <c r="AS821" s="16"/>
    </row>
    <row r="822" spans="18:45" x14ac:dyDescent="0.35">
      <c r="R822" s="191"/>
      <c r="S822" s="191"/>
      <c r="T822" s="193"/>
      <c r="U822" s="191"/>
      <c r="V822" s="194"/>
      <c r="W822" s="191"/>
      <c r="Y822" s="191"/>
      <c r="Z822" s="191"/>
      <c r="AA822" s="191"/>
      <c r="AB822" s="191"/>
      <c r="AC822" s="191"/>
      <c r="AD822" s="16"/>
      <c r="AE822" s="16"/>
      <c r="AF822" s="16"/>
      <c r="AG822" s="16"/>
      <c r="AH822" s="16"/>
      <c r="AI822" s="16"/>
      <c r="AJ822" s="16"/>
      <c r="AK822" s="16"/>
      <c r="AL822" s="16"/>
      <c r="AM822" s="16"/>
      <c r="AN822" s="16"/>
      <c r="AO822" s="16"/>
      <c r="AP822" s="16"/>
      <c r="AQ822" s="16"/>
      <c r="AR822" s="16"/>
      <c r="AS822" s="16"/>
    </row>
    <row r="823" spans="18:45" x14ac:dyDescent="0.35">
      <c r="R823" s="191"/>
      <c r="S823" s="191"/>
      <c r="T823" s="193"/>
      <c r="U823" s="191"/>
      <c r="V823" s="194"/>
      <c r="W823" s="191"/>
      <c r="Y823" s="191"/>
      <c r="Z823" s="191"/>
      <c r="AA823" s="191"/>
      <c r="AB823" s="191"/>
      <c r="AC823" s="191"/>
      <c r="AD823" s="16"/>
      <c r="AE823" s="16"/>
      <c r="AF823" s="16"/>
      <c r="AG823" s="16"/>
      <c r="AH823" s="16"/>
      <c r="AI823" s="16"/>
      <c r="AJ823" s="16"/>
      <c r="AK823" s="16"/>
      <c r="AL823" s="16"/>
      <c r="AM823" s="16"/>
      <c r="AN823" s="16"/>
      <c r="AO823" s="16"/>
      <c r="AP823" s="16"/>
      <c r="AQ823" s="16"/>
      <c r="AR823" s="16"/>
      <c r="AS823" s="16"/>
    </row>
    <row r="824" spans="18:45" x14ac:dyDescent="0.35">
      <c r="R824" s="191"/>
      <c r="S824" s="191"/>
      <c r="T824" s="193"/>
      <c r="U824" s="191"/>
      <c r="V824" s="194"/>
      <c r="W824" s="191"/>
      <c r="Y824" s="191"/>
      <c r="Z824" s="191"/>
      <c r="AA824" s="191"/>
      <c r="AB824" s="191"/>
      <c r="AC824" s="191"/>
      <c r="AD824" s="16"/>
      <c r="AE824" s="16"/>
      <c r="AF824" s="16"/>
      <c r="AG824" s="16"/>
      <c r="AH824" s="16"/>
      <c r="AI824" s="16"/>
      <c r="AJ824" s="16"/>
      <c r="AK824" s="16"/>
      <c r="AL824" s="16"/>
      <c r="AM824" s="16"/>
      <c r="AN824" s="16"/>
      <c r="AO824" s="16"/>
      <c r="AP824" s="16"/>
      <c r="AQ824" s="16"/>
      <c r="AR824" s="16"/>
      <c r="AS824" s="16"/>
    </row>
    <row r="825" spans="18:45" x14ac:dyDescent="0.35">
      <c r="R825" s="191"/>
      <c r="S825" s="191"/>
      <c r="T825" s="193"/>
      <c r="U825" s="191"/>
      <c r="V825" s="194"/>
      <c r="W825" s="191"/>
      <c r="Y825" s="191"/>
      <c r="Z825" s="191"/>
      <c r="AA825" s="191"/>
      <c r="AB825" s="191"/>
      <c r="AC825" s="191"/>
      <c r="AD825" s="16"/>
      <c r="AE825" s="16"/>
      <c r="AF825" s="16"/>
      <c r="AG825" s="16"/>
      <c r="AH825" s="16"/>
      <c r="AI825" s="16"/>
      <c r="AJ825" s="16"/>
      <c r="AK825" s="16"/>
      <c r="AL825" s="16"/>
      <c r="AM825" s="16"/>
      <c r="AN825" s="16"/>
      <c r="AO825" s="16"/>
      <c r="AP825" s="16"/>
      <c r="AQ825" s="16"/>
      <c r="AR825" s="16"/>
      <c r="AS825" s="16"/>
    </row>
    <row r="826" spans="18:45" x14ac:dyDescent="0.35">
      <c r="R826" s="191"/>
      <c r="S826" s="191"/>
      <c r="T826" s="193"/>
      <c r="U826" s="191"/>
      <c r="V826" s="194"/>
      <c r="W826" s="191"/>
      <c r="Y826" s="191"/>
      <c r="Z826" s="191"/>
      <c r="AA826" s="191"/>
      <c r="AB826" s="191"/>
      <c r="AC826" s="191"/>
      <c r="AD826" s="16"/>
      <c r="AE826" s="16"/>
      <c r="AF826" s="16"/>
      <c r="AG826" s="16"/>
      <c r="AH826" s="16"/>
      <c r="AI826" s="16"/>
      <c r="AJ826" s="16"/>
      <c r="AK826" s="16"/>
      <c r="AL826" s="16"/>
      <c r="AM826" s="16"/>
      <c r="AN826" s="16"/>
      <c r="AO826" s="16"/>
      <c r="AP826" s="16"/>
      <c r="AQ826" s="16"/>
      <c r="AR826" s="16"/>
      <c r="AS826" s="16"/>
    </row>
    <row r="827" spans="18:45" x14ac:dyDescent="0.35">
      <c r="R827" s="191"/>
      <c r="S827" s="191"/>
      <c r="T827" s="193"/>
      <c r="U827" s="191"/>
      <c r="V827" s="194"/>
      <c r="W827" s="191"/>
      <c r="Y827" s="191"/>
      <c r="Z827" s="191"/>
      <c r="AA827" s="191"/>
      <c r="AB827" s="191"/>
      <c r="AC827" s="191"/>
      <c r="AD827" s="16"/>
      <c r="AE827" s="16"/>
      <c r="AF827" s="16"/>
      <c r="AG827" s="16"/>
      <c r="AH827" s="16"/>
      <c r="AI827" s="16"/>
      <c r="AJ827" s="16"/>
      <c r="AK827" s="16"/>
      <c r="AL827" s="16"/>
      <c r="AM827" s="16"/>
      <c r="AN827" s="16"/>
      <c r="AO827" s="16"/>
      <c r="AP827" s="16"/>
      <c r="AQ827" s="16"/>
      <c r="AR827" s="16"/>
      <c r="AS827" s="16"/>
    </row>
    <row r="828" spans="18:45" x14ac:dyDescent="0.35">
      <c r="R828" s="191"/>
      <c r="S828" s="191"/>
      <c r="T828" s="193"/>
      <c r="U828" s="191"/>
      <c r="V828" s="194"/>
      <c r="W828" s="191"/>
      <c r="Y828" s="191"/>
      <c r="Z828" s="191"/>
      <c r="AA828" s="191"/>
      <c r="AB828" s="191"/>
      <c r="AC828" s="191"/>
      <c r="AD828" s="16"/>
      <c r="AE828" s="16"/>
      <c r="AF828" s="16"/>
      <c r="AG828" s="16"/>
      <c r="AH828" s="16"/>
      <c r="AI828" s="16"/>
      <c r="AJ828" s="16"/>
      <c r="AK828" s="16"/>
      <c r="AL828" s="16"/>
      <c r="AM828" s="16"/>
      <c r="AN828" s="16"/>
      <c r="AO828" s="16"/>
      <c r="AP828" s="16"/>
      <c r="AQ828" s="16"/>
      <c r="AR828" s="16"/>
      <c r="AS828" s="16"/>
    </row>
    <row r="829" spans="18:45" x14ac:dyDescent="0.35">
      <c r="R829" s="191"/>
      <c r="S829" s="191"/>
      <c r="T829" s="193"/>
      <c r="U829" s="191"/>
      <c r="V829" s="194"/>
      <c r="W829" s="191"/>
      <c r="Y829" s="191"/>
      <c r="Z829" s="191"/>
      <c r="AA829" s="191"/>
      <c r="AB829" s="191"/>
      <c r="AC829" s="191"/>
      <c r="AD829" s="16"/>
      <c r="AE829" s="16"/>
      <c r="AF829" s="16"/>
      <c r="AG829" s="16"/>
      <c r="AH829" s="16"/>
      <c r="AI829" s="16"/>
      <c r="AJ829" s="16"/>
      <c r="AK829" s="16"/>
      <c r="AL829" s="16"/>
      <c r="AM829" s="16"/>
      <c r="AN829" s="16"/>
      <c r="AO829" s="16"/>
      <c r="AP829" s="16"/>
      <c r="AQ829" s="16"/>
      <c r="AR829" s="16"/>
      <c r="AS829" s="16"/>
    </row>
    <row r="830" spans="18:45" x14ac:dyDescent="0.35">
      <c r="R830" s="191"/>
      <c r="S830" s="191"/>
      <c r="T830" s="193"/>
      <c r="U830" s="191"/>
      <c r="V830" s="194"/>
      <c r="W830" s="191"/>
      <c r="Y830" s="191"/>
      <c r="Z830" s="191"/>
      <c r="AA830" s="191"/>
      <c r="AB830" s="191"/>
      <c r="AC830" s="191"/>
      <c r="AD830" s="16"/>
      <c r="AE830" s="16"/>
      <c r="AF830" s="16"/>
      <c r="AG830" s="16"/>
      <c r="AH830" s="16"/>
      <c r="AI830" s="16"/>
      <c r="AJ830" s="16"/>
      <c r="AK830" s="16"/>
      <c r="AL830" s="16"/>
      <c r="AM830" s="16"/>
      <c r="AN830" s="16"/>
      <c r="AO830" s="16"/>
      <c r="AP830" s="16"/>
      <c r="AQ830" s="16"/>
      <c r="AR830" s="16"/>
      <c r="AS830" s="16"/>
    </row>
    <row r="831" spans="18:45" x14ac:dyDescent="0.35">
      <c r="R831" s="191"/>
      <c r="S831" s="191"/>
      <c r="T831" s="193"/>
      <c r="U831" s="191"/>
      <c r="V831" s="194"/>
      <c r="W831" s="191"/>
      <c r="Y831" s="191"/>
      <c r="Z831" s="191"/>
      <c r="AA831" s="191"/>
      <c r="AB831" s="191"/>
      <c r="AC831" s="191"/>
      <c r="AD831" s="16"/>
      <c r="AE831" s="16"/>
      <c r="AF831" s="16"/>
      <c r="AG831" s="16"/>
      <c r="AH831" s="16"/>
      <c r="AI831" s="16"/>
      <c r="AJ831" s="16"/>
      <c r="AK831" s="16"/>
      <c r="AL831" s="16"/>
      <c r="AM831" s="16"/>
      <c r="AN831" s="16"/>
      <c r="AO831" s="16"/>
      <c r="AP831" s="16"/>
      <c r="AQ831" s="16"/>
      <c r="AR831" s="16"/>
      <c r="AS831" s="16"/>
    </row>
    <row r="832" spans="18:45" x14ac:dyDescent="0.35">
      <c r="R832" s="191"/>
      <c r="S832" s="191"/>
      <c r="T832" s="193"/>
      <c r="U832" s="191"/>
      <c r="V832" s="194"/>
      <c r="W832" s="191"/>
      <c r="Y832" s="191"/>
      <c r="Z832" s="191"/>
      <c r="AA832" s="191"/>
      <c r="AB832" s="191"/>
      <c r="AC832" s="191"/>
      <c r="AD832" s="16"/>
      <c r="AE832" s="16"/>
      <c r="AF832" s="16"/>
      <c r="AG832" s="16"/>
      <c r="AH832" s="16"/>
      <c r="AI832" s="16"/>
      <c r="AJ832" s="16"/>
      <c r="AK832" s="16"/>
      <c r="AL832" s="16"/>
      <c r="AM832" s="16"/>
      <c r="AN832" s="16"/>
      <c r="AO832" s="16"/>
      <c r="AP832" s="16"/>
      <c r="AQ832" s="16"/>
      <c r="AR832" s="16"/>
      <c r="AS832" s="16"/>
    </row>
    <row r="833" spans="18:45" x14ac:dyDescent="0.35">
      <c r="R833" s="191"/>
      <c r="S833" s="191"/>
      <c r="T833" s="193"/>
      <c r="U833" s="191"/>
      <c r="V833" s="194"/>
      <c r="W833" s="191"/>
      <c r="Y833" s="191"/>
      <c r="Z833" s="191"/>
      <c r="AA833" s="191"/>
      <c r="AB833" s="191"/>
      <c r="AC833" s="191"/>
      <c r="AD833" s="16"/>
      <c r="AE833" s="16"/>
      <c r="AF833" s="16"/>
      <c r="AG833" s="16"/>
      <c r="AH833" s="16"/>
      <c r="AI833" s="16"/>
      <c r="AJ833" s="16"/>
      <c r="AK833" s="16"/>
      <c r="AL833" s="16"/>
      <c r="AM833" s="16"/>
      <c r="AN833" s="16"/>
      <c r="AO833" s="16"/>
      <c r="AP833" s="16"/>
      <c r="AQ833" s="16"/>
      <c r="AR833" s="16"/>
      <c r="AS833" s="16"/>
    </row>
    <row r="834" spans="18:45" x14ac:dyDescent="0.35">
      <c r="R834" s="191"/>
      <c r="S834" s="191"/>
      <c r="T834" s="193"/>
      <c r="U834" s="191"/>
      <c r="V834" s="194"/>
      <c r="W834" s="191"/>
      <c r="Y834" s="191"/>
      <c r="Z834" s="191"/>
      <c r="AA834" s="191"/>
      <c r="AB834" s="191"/>
      <c r="AC834" s="191"/>
      <c r="AD834" s="16"/>
      <c r="AE834" s="16"/>
      <c r="AF834" s="16"/>
      <c r="AG834" s="16"/>
      <c r="AH834" s="16"/>
      <c r="AI834" s="16"/>
      <c r="AJ834" s="16"/>
      <c r="AK834" s="16"/>
      <c r="AL834" s="16"/>
      <c r="AM834" s="16"/>
      <c r="AN834" s="16"/>
      <c r="AO834" s="16"/>
      <c r="AP834" s="16"/>
      <c r="AQ834" s="16"/>
      <c r="AR834" s="16"/>
      <c r="AS834" s="16"/>
    </row>
    <row r="835" spans="18:45" x14ac:dyDescent="0.35">
      <c r="R835" s="191"/>
      <c r="S835" s="191"/>
      <c r="T835" s="193"/>
      <c r="U835" s="191"/>
      <c r="V835" s="194"/>
      <c r="W835" s="191"/>
      <c r="Y835" s="191"/>
      <c r="Z835" s="191"/>
      <c r="AA835" s="191"/>
      <c r="AB835" s="191"/>
      <c r="AC835" s="191"/>
      <c r="AD835" s="16"/>
      <c r="AE835" s="16"/>
      <c r="AF835" s="16"/>
      <c r="AG835" s="16"/>
      <c r="AH835" s="16"/>
      <c r="AI835" s="16"/>
      <c r="AJ835" s="16"/>
      <c r="AK835" s="16"/>
      <c r="AL835" s="16"/>
      <c r="AM835" s="16"/>
      <c r="AN835" s="16"/>
      <c r="AO835" s="16"/>
      <c r="AP835" s="16"/>
      <c r="AQ835" s="16"/>
      <c r="AR835" s="16"/>
      <c r="AS835" s="16"/>
    </row>
    <row r="836" spans="18:45" x14ac:dyDescent="0.35">
      <c r="R836" s="191"/>
      <c r="S836" s="191"/>
      <c r="T836" s="193"/>
      <c r="U836" s="191"/>
      <c r="V836" s="194"/>
      <c r="W836" s="191"/>
      <c r="Y836" s="191"/>
      <c r="Z836" s="191"/>
      <c r="AA836" s="191"/>
      <c r="AB836" s="191"/>
      <c r="AC836" s="191"/>
      <c r="AD836" s="16"/>
      <c r="AE836" s="16"/>
      <c r="AF836" s="16"/>
      <c r="AG836" s="16"/>
      <c r="AH836" s="16"/>
      <c r="AI836" s="16"/>
      <c r="AJ836" s="16"/>
      <c r="AK836" s="16"/>
      <c r="AL836" s="16"/>
      <c r="AM836" s="16"/>
      <c r="AN836" s="16"/>
      <c r="AO836" s="16"/>
      <c r="AP836" s="16"/>
      <c r="AQ836" s="16"/>
      <c r="AR836" s="16"/>
      <c r="AS836" s="16"/>
    </row>
    <row r="837" spans="18:45" x14ac:dyDescent="0.35">
      <c r="R837" s="191"/>
      <c r="S837" s="191"/>
      <c r="T837" s="193"/>
      <c r="U837" s="191"/>
      <c r="V837" s="194"/>
      <c r="W837" s="191"/>
      <c r="Y837" s="191"/>
      <c r="Z837" s="191"/>
      <c r="AA837" s="191"/>
      <c r="AB837" s="191"/>
      <c r="AC837" s="191"/>
      <c r="AD837" s="16"/>
      <c r="AE837" s="16"/>
      <c r="AF837" s="16"/>
      <c r="AG837" s="16"/>
      <c r="AH837" s="16"/>
      <c r="AI837" s="16"/>
      <c r="AJ837" s="16"/>
      <c r="AK837" s="16"/>
      <c r="AL837" s="16"/>
      <c r="AM837" s="16"/>
      <c r="AN837" s="16"/>
      <c r="AO837" s="16"/>
      <c r="AP837" s="16"/>
      <c r="AQ837" s="16"/>
      <c r="AR837" s="16"/>
      <c r="AS837" s="16"/>
    </row>
    <row r="838" spans="18:45" x14ac:dyDescent="0.35">
      <c r="R838" s="191"/>
      <c r="S838" s="191"/>
      <c r="T838" s="193"/>
      <c r="U838" s="191"/>
      <c r="V838" s="194"/>
      <c r="W838" s="191"/>
      <c r="Y838" s="191"/>
      <c r="Z838" s="191"/>
      <c r="AA838" s="191"/>
      <c r="AB838" s="191"/>
      <c r="AC838" s="191"/>
      <c r="AD838" s="16"/>
      <c r="AE838" s="16"/>
      <c r="AF838" s="16"/>
      <c r="AG838" s="16"/>
      <c r="AH838" s="16"/>
      <c r="AI838" s="16"/>
      <c r="AJ838" s="16"/>
      <c r="AK838" s="16"/>
      <c r="AL838" s="16"/>
      <c r="AM838" s="16"/>
      <c r="AN838" s="16"/>
      <c r="AO838" s="16"/>
      <c r="AP838" s="16"/>
      <c r="AQ838" s="16"/>
      <c r="AR838" s="16"/>
      <c r="AS838" s="16"/>
    </row>
    <row r="839" spans="18:45" x14ac:dyDescent="0.35">
      <c r="R839" s="191"/>
      <c r="S839" s="191"/>
      <c r="T839" s="193"/>
      <c r="U839" s="191"/>
      <c r="V839" s="194"/>
      <c r="W839" s="191"/>
      <c r="Y839" s="191"/>
      <c r="Z839" s="191"/>
      <c r="AA839" s="191"/>
      <c r="AB839" s="191"/>
      <c r="AC839" s="191"/>
      <c r="AD839" s="16"/>
      <c r="AE839" s="16"/>
      <c r="AF839" s="16"/>
      <c r="AG839" s="16"/>
      <c r="AH839" s="16"/>
      <c r="AI839" s="16"/>
      <c r="AJ839" s="16"/>
      <c r="AK839" s="16"/>
      <c r="AL839" s="16"/>
      <c r="AM839" s="16"/>
      <c r="AN839" s="16"/>
      <c r="AO839" s="16"/>
      <c r="AP839" s="16"/>
      <c r="AQ839" s="16"/>
      <c r="AR839" s="16"/>
      <c r="AS839" s="16"/>
    </row>
    <row r="840" spans="18:45" x14ac:dyDescent="0.35">
      <c r="R840" s="191"/>
      <c r="S840" s="191"/>
      <c r="T840" s="193"/>
      <c r="U840" s="191"/>
      <c r="V840" s="194"/>
      <c r="W840" s="191"/>
      <c r="Y840" s="191"/>
      <c r="Z840" s="191"/>
      <c r="AA840" s="191"/>
      <c r="AB840" s="191"/>
      <c r="AC840" s="191"/>
      <c r="AD840" s="16"/>
      <c r="AE840" s="16"/>
      <c r="AF840" s="16"/>
      <c r="AG840" s="16"/>
      <c r="AH840" s="16"/>
      <c r="AI840" s="16"/>
      <c r="AJ840" s="16"/>
      <c r="AK840" s="16"/>
      <c r="AL840" s="16"/>
      <c r="AM840" s="16"/>
      <c r="AN840" s="16"/>
      <c r="AO840" s="16"/>
      <c r="AP840" s="16"/>
      <c r="AQ840" s="16"/>
      <c r="AR840" s="16"/>
      <c r="AS840" s="16"/>
    </row>
    <row r="841" spans="18:45" x14ac:dyDescent="0.35">
      <c r="R841" s="191"/>
      <c r="S841" s="191"/>
      <c r="T841" s="193"/>
      <c r="U841" s="191"/>
      <c r="V841" s="194"/>
      <c r="W841" s="191"/>
      <c r="Y841" s="191"/>
      <c r="Z841" s="191"/>
      <c r="AA841" s="191"/>
      <c r="AB841" s="191"/>
      <c r="AC841" s="191"/>
      <c r="AD841" s="16"/>
      <c r="AE841" s="16"/>
      <c r="AF841" s="16"/>
      <c r="AG841" s="16"/>
      <c r="AH841" s="16"/>
      <c r="AI841" s="16"/>
      <c r="AJ841" s="16"/>
      <c r="AK841" s="16"/>
      <c r="AL841" s="16"/>
      <c r="AM841" s="16"/>
      <c r="AN841" s="16"/>
      <c r="AO841" s="16"/>
      <c r="AP841" s="16"/>
      <c r="AQ841" s="16"/>
      <c r="AR841" s="16"/>
      <c r="AS841" s="16"/>
    </row>
    <row r="842" spans="18:45" x14ac:dyDescent="0.35">
      <c r="R842" s="191"/>
      <c r="S842" s="191"/>
      <c r="T842" s="193"/>
      <c r="U842" s="191"/>
      <c r="V842" s="194"/>
      <c r="W842" s="191"/>
      <c r="Y842" s="191"/>
      <c r="Z842" s="191"/>
      <c r="AA842" s="191"/>
      <c r="AB842" s="191"/>
      <c r="AC842" s="191"/>
      <c r="AD842" s="16"/>
      <c r="AE842" s="16"/>
      <c r="AF842" s="16"/>
      <c r="AG842" s="16"/>
      <c r="AH842" s="16"/>
      <c r="AI842" s="16"/>
      <c r="AJ842" s="16"/>
      <c r="AK842" s="16"/>
      <c r="AL842" s="16"/>
      <c r="AM842" s="16"/>
      <c r="AN842" s="16"/>
      <c r="AO842" s="16"/>
      <c r="AP842" s="16"/>
      <c r="AQ842" s="16"/>
      <c r="AR842" s="16"/>
      <c r="AS842" s="16"/>
    </row>
    <row r="843" spans="18:45" x14ac:dyDescent="0.35">
      <c r="R843" s="191"/>
      <c r="S843" s="191"/>
      <c r="T843" s="193"/>
      <c r="U843" s="191"/>
      <c r="V843" s="194"/>
      <c r="W843" s="191"/>
      <c r="Y843" s="191"/>
      <c r="Z843" s="191"/>
      <c r="AA843" s="191"/>
      <c r="AB843" s="191"/>
      <c r="AC843" s="191"/>
      <c r="AD843" s="16"/>
      <c r="AE843" s="16"/>
      <c r="AF843" s="16"/>
      <c r="AG843" s="16"/>
      <c r="AH843" s="16"/>
      <c r="AI843" s="16"/>
      <c r="AJ843" s="16"/>
      <c r="AK843" s="16"/>
      <c r="AL843" s="16"/>
      <c r="AM843" s="16"/>
      <c r="AN843" s="16"/>
      <c r="AO843" s="16"/>
      <c r="AP843" s="16"/>
      <c r="AQ843" s="16"/>
      <c r="AR843" s="16"/>
      <c r="AS843" s="16"/>
    </row>
    <row r="844" spans="18:45" x14ac:dyDescent="0.35">
      <c r="R844" s="191"/>
      <c r="S844" s="191"/>
      <c r="T844" s="193"/>
      <c r="U844" s="191"/>
      <c r="V844" s="194"/>
      <c r="W844" s="191"/>
      <c r="Y844" s="191"/>
      <c r="Z844" s="191"/>
      <c r="AA844" s="191"/>
      <c r="AB844" s="191"/>
      <c r="AC844" s="191"/>
      <c r="AD844" s="16"/>
      <c r="AE844" s="16"/>
      <c r="AF844" s="16"/>
      <c r="AG844" s="16"/>
      <c r="AH844" s="16"/>
      <c r="AI844" s="16"/>
      <c r="AJ844" s="16"/>
      <c r="AK844" s="16"/>
      <c r="AL844" s="16"/>
      <c r="AM844" s="16"/>
      <c r="AN844" s="16"/>
      <c r="AO844" s="16"/>
      <c r="AP844" s="16"/>
      <c r="AQ844" s="16"/>
      <c r="AR844" s="16"/>
      <c r="AS844" s="16"/>
    </row>
    <row r="845" spans="18:45" x14ac:dyDescent="0.35">
      <c r="R845" s="191"/>
      <c r="S845" s="191"/>
      <c r="T845" s="193"/>
      <c r="U845" s="191"/>
      <c r="V845" s="194"/>
      <c r="W845" s="191"/>
      <c r="Y845" s="191"/>
      <c r="Z845" s="191"/>
      <c r="AA845" s="191"/>
      <c r="AB845" s="191"/>
      <c r="AC845" s="191"/>
      <c r="AD845" s="16"/>
      <c r="AE845" s="16"/>
      <c r="AF845" s="16"/>
      <c r="AG845" s="16"/>
      <c r="AH845" s="16"/>
      <c r="AI845" s="16"/>
      <c r="AJ845" s="16"/>
      <c r="AK845" s="16"/>
      <c r="AL845" s="16"/>
      <c r="AM845" s="16"/>
      <c r="AN845" s="16"/>
      <c r="AO845" s="16"/>
      <c r="AP845" s="16"/>
      <c r="AQ845" s="16"/>
      <c r="AR845" s="16"/>
      <c r="AS845" s="16"/>
    </row>
    <row r="846" spans="18:45" x14ac:dyDescent="0.35">
      <c r="R846" s="191"/>
      <c r="S846" s="191"/>
      <c r="T846" s="193"/>
      <c r="U846" s="191"/>
      <c r="V846" s="194"/>
      <c r="W846" s="191"/>
      <c r="Y846" s="191"/>
      <c r="Z846" s="191"/>
      <c r="AA846" s="191"/>
      <c r="AB846" s="191"/>
      <c r="AC846" s="191"/>
      <c r="AD846" s="16"/>
      <c r="AE846" s="16"/>
      <c r="AF846" s="16"/>
      <c r="AG846" s="16"/>
      <c r="AH846" s="16"/>
      <c r="AI846" s="16"/>
      <c r="AJ846" s="16"/>
      <c r="AK846" s="16"/>
      <c r="AL846" s="16"/>
      <c r="AM846" s="16"/>
      <c r="AN846" s="16"/>
      <c r="AO846" s="16"/>
      <c r="AP846" s="16"/>
      <c r="AQ846" s="16"/>
      <c r="AR846" s="16"/>
      <c r="AS846" s="16"/>
    </row>
    <row r="847" spans="18:45" x14ac:dyDescent="0.35">
      <c r="R847" s="191"/>
      <c r="S847" s="191"/>
      <c r="T847" s="193"/>
      <c r="U847" s="191"/>
      <c r="V847" s="194"/>
      <c r="W847" s="191"/>
      <c r="Y847" s="191"/>
      <c r="Z847" s="191"/>
      <c r="AA847" s="191"/>
      <c r="AB847" s="191"/>
      <c r="AC847" s="191"/>
      <c r="AD847" s="16"/>
      <c r="AE847" s="16"/>
      <c r="AF847" s="16"/>
      <c r="AG847" s="16"/>
      <c r="AH847" s="16"/>
      <c r="AI847" s="16"/>
      <c r="AJ847" s="16"/>
      <c r="AK847" s="16"/>
      <c r="AL847" s="16"/>
      <c r="AM847" s="16"/>
      <c r="AN847" s="16"/>
      <c r="AO847" s="16"/>
      <c r="AP847" s="16"/>
      <c r="AQ847" s="16"/>
      <c r="AR847" s="16"/>
      <c r="AS847" s="16"/>
    </row>
    <row r="848" spans="18:45" x14ac:dyDescent="0.35">
      <c r="R848" s="191"/>
      <c r="S848" s="191"/>
      <c r="T848" s="193"/>
      <c r="U848" s="191"/>
      <c r="V848" s="194"/>
      <c r="W848" s="191"/>
      <c r="Y848" s="191"/>
      <c r="Z848" s="191"/>
      <c r="AA848" s="191"/>
      <c r="AB848" s="191"/>
      <c r="AC848" s="191"/>
      <c r="AD848" s="16"/>
      <c r="AE848" s="16"/>
      <c r="AF848" s="16"/>
      <c r="AG848" s="16"/>
      <c r="AH848" s="16"/>
      <c r="AI848" s="16"/>
      <c r="AJ848" s="16"/>
      <c r="AK848" s="16"/>
      <c r="AL848" s="16"/>
      <c r="AM848" s="16"/>
      <c r="AN848" s="16"/>
      <c r="AO848" s="16"/>
      <c r="AP848" s="16"/>
      <c r="AQ848" s="16"/>
      <c r="AR848" s="16"/>
      <c r="AS848" s="16"/>
    </row>
    <row r="849" spans="18:45" x14ac:dyDescent="0.35">
      <c r="R849" s="191"/>
      <c r="S849" s="191"/>
      <c r="T849" s="193"/>
      <c r="U849" s="191"/>
      <c r="V849" s="194"/>
      <c r="W849" s="191"/>
      <c r="Y849" s="191"/>
      <c r="Z849" s="191"/>
      <c r="AA849" s="191"/>
      <c r="AB849" s="191"/>
      <c r="AC849" s="191"/>
      <c r="AD849" s="16"/>
      <c r="AE849" s="16"/>
      <c r="AF849" s="16"/>
      <c r="AG849" s="16"/>
      <c r="AH849" s="16"/>
      <c r="AI849" s="16"/>
      <c r="AJ849" s="16"/>
      <c r="AK849" s="16"/>
      <c r="AL849" s="16"/>
      <c r="AM849" s="16"/>
      <c r="AN849" s="16"/>
      <c r="AO849" s="16"/>
      <c r="AP849" s="16"/>
      <c r="AQ849" s="16"/>
      <c r="AR849" s="16"/>
      <c r="AS849" s="16"/>
    </row>
    <row r="850" spans="18:45" x14ac:dyDescent="0.35">
      <c r="R850" s="191"/>
      <c r="S850" s="191"/>
      <c r="T850" s="193"/>
      <c r="U850" s="191"/>
      <c r="V850" s="194"/>
      <c r="W850" s="191"/>
      <c r="Y850" s="191"/>
      <c r="Z850" s="191"/>
      <c r="AA850" s="191"/>
      <c r="AB850" s="191"/>
      <c r="AC850" s="191"/>
      <c r="AD850" s="16"/>
      <c r="AE850" s="16"/>
      <c r="AF850" s="16"/>
      <c r="AG850" s="16"/>
      <c r="AH850" s="16"/>
      <c r="AI850" s="16"/>
      <c r="AJ850" s="16"/>
      <c r="AK850" s="16"/>
      <c r="AL850" s="16"/>
      <c r="AM850" s="16"/>
      <c r="AN850" s="16"/>
      <c r="AO850" s="16"/>
      <c r="AP850" s="16"/>
      <c r="AQ850" s="16"/>
      <c r="AR850" s="16"/>
      <c r="AS850" s="16"/>
    </row>
    <row r="851" spans="18:45" x14ac:dyDescent="0.35">
      <c r="R851" s="191"/>
      <c r="S851" s="191"/>
      <c r="T851" s="193"/>
      <c r="U851" s="191"/>
      <c r="V851" s="194"/>
      <c r="W851" s="191"/>
      <c r="Y851" s="191"/>
      <c r="Z851" s="191"/>
      <c r="AA851" s="191"/>
      <c r="AB851" s="191"/>
      <c r="AC851" s="191"/>
      <c r="AD851" s="16"/>
      <c r="AE851" s="16"/>
      <c r="AF851" s="16"/>
      <c r="AG851" s="16"/>
      <c r="AH851" s="16"/>
      <c r="AI851" s="16"/>
      <c r="AJ851" s="16"/>
      <c r="AK851" s="16"/>
      <c r="AL851" s="16"/>
      <c r="AM851" s="16"/>
      <c r="AN851" s="16"/>
      <c r="AO851" s="16"/>
      <c r="AP851" s="16"/>
      <c r="AQ851" s="16"/>
      <c r="AR851" s="16"/>
      <c r="AS851" s="16"/>
    </row>
    <row r="852" spans="18:45" x14ac:dyDescent="0.35">
      <c r="R852" s="191"/>
      <c r="S852" s="191"/>
      <c r="T852" s="193"/>
      <c r="U852" s="191"/>
      <c r="V852" s="194"/>
      <c r="W852" s="191"/>
      <c r="Y852" s="191"/>
      <c r="Z852" s="191"/>
      <c r="AA852" s="191"/>
      <c r="AB852" s="191"/>
      <c r="AC852" s="191"/>
      <c r="AD852" s="16"/>
      <c r="AE852" s="16"/>
      <c r="AF852" s="16"/>
      <c r="AG852" s="16"/>
      <c r="AH852" s="16"/>
      <c r="AI852" s="16"/>
      <c r="AJ852" s="16"/>
      <c r="AK852" s="16"/>
      <c r="AL852" s="16"/>
      <c r="AM852" s="16"/>
      <c r="AN852" s="16"/>
      <c r="AO852" s="16"/>
      <c r="AP852" s="16"/>
      <c r="AQ852" s="16"/>
      <c r="AR852" s="16"/>
      <c r="AS852" s="16"/>
    </row>
    <row r="853" spans="18:45" x14ac:dyDescent="0.35">
      <c r="R853" s="191"/>
      <c r="S853" s="191"/>
      <c r="T853" s="193"/>
      <c r="U853" s="191"/>
      <c r="V853" s="194"/>
      <c r="W853" s="191"/>
      <c r="Y853" s="191"/>
      <c r="Z853" s="191"/>
      <c r="AA853" s="191"/>
      <c r="AB853" s="191"/>
      <c r="AC853" s="191"/>
      <c r="AD853" s="16"/>
      <c r="AE853" s="16"/>
      <c r="AF853" s="16"/>
      <c r="AG853" s="16"/>
      <c r="AH853" s="16"/>
      <c r="AI853" s="16"/>
      <c r="AJ853" s="16"/>
      <c r="AK853" s="16"/>
      <c r="AL853" s="16"/>
      <c r="AM853" s="16"/>
      <c r="AN853" s="16"/>
      <c r="AO853" s="16"/>
      <c r="AP853" s="16"/>
      <c r="AQ853" s="16"/>
      <c r="AR853" s="16"/>
      <c r="AS853" s="16"/>
    </row>
    <row r="854" spans="18:45" x14ac:dyDescent="0.35">
      <c r="R854" s="191"/>
      <c r="S854" s="191"/>
      <c r="T854" s="193"/>
      <c r="U854" s="191"/>
      <c r="V854" s="194"/>
      <c r="W854" s="191"/>
      <c r="Y854" s="191"/>
      <c r="Z854" s="191"/>
      <c r="AA854" s="191"/>
      <c r="AB854" s="191"/>
      <c r="AC854" s="191"/>
      <c r="AD854" s="16"/>
      <c r="AE854" s="16"/>
      <c r="AF854" s="16"/>
      <c r="AG854" s="16"/>
      <c r="AH854" s="16"/>
      <c r="AI854" s="16"/>
      <c r="AJ854" s="16"/>
      <c r="AK854" s="16"/>
      <c r="AL854" s="16"/>
      <c r="AM854" s="16"/>
      <c r="AN854" s="16"/>
      <c r="AO854" s="16"/>
      <c r="AP854" s="16"/>
      <c r="AQ854" s="16"/>
      <c r="AR854" s="16"/>
      <c r="AS854" s="16"/>
    </row>
    <row r="855" spans="18:45" x14ac:dyDescent="0.35">
      <c r="R855" s="191"/>
      <c r="S855" s="191"/>
      <c r="T855" s="193"/>
      <c r="U855" s="191"/>
      <c r="V855" s="194"/>
      <c r="W855" s="191"/>
      <c r="Y855" s="191"/>
      <c r="Z855" s="191"/>
      <c r="AA855" s="191"/>
      <c r="AB855" s="191"/>
      <c r="AC855" s="191"/>
      <c r="AD855" s="16"/>
      <c r="AE855" s="16"/>
      <c r="AF855" s="16"/>
      <c r="AG855" s="16"/>
      <c r="AH855" s="16"/>
      <c r="AI855" s="16"/>
      <c r="AJ855" s="16"/>
      <c r="AK855" s="16"/>
      <c r="AL855" s="16"/>
      <c r="AM855" s="16"/>
      <c r="AN855" s="16"/>
      <c r="AO855" s="16"/>
      <c r="AP855" s="16"/>
      <c r="AQ855" s="16"/>
      <c r="AR855" s="16"/>
      <c r="AS855" s="16"/>
    </row>
    <row r="856" spans="18:45" x14ac:dyDescent="0.35">
      <c r="R856" s="191"/>
      <c r="S856" s="191"/>
      <c r="T856" s="193"/>
      <c r="U856" s="191"/>
      <c r="V856" s="194"/>
      <c r="W856" s="191"/>
      <c r="Y856" s="191"/>
      <c r="Z856" s="191"/>
      <c r="AA856" s="191"/>
      <c r="AB856" s="191"/>
      <c r="AC856" s="191"/>
      <c r="AD856" s="16"/>
      <c r="AE856" s="16"/>
      <c r="AF856" s="16"/>
      <c r="AG856" s="16"/>
      <c r="AH856" s="16"/>
      <c r="AI856" s="16"/>
      <c r="AJ856" s="16"/>
      <c r="AK856" s="16"/>
      <c r="AL856" s="16"/>
      <c r="AM856" s="16"/>
      <c r="AN856" s="16"/>
      <c r="AO856" s="16"/>
      <c r="AP856" s="16"/>
      <c r="AQ856" s="16"/>
      <c r="AR856" s="16"/>
      <c r="AS856" s="16"/>
    </row>
    <row r="857" spans="18:45" x14ac:dyDescent="0.35">
      <c r="R857" s="191"/>
      <c r="S857" s="191"/>
      <c r="T857" s="193"/>
      <c r="U857" s="191"/>
      <c r="V857" s="194"/>
      <c r="W857" s="191"/>
      <c r="Y857" s="191"/>
      <c r="Z857" s="191"/>
      <c r="AA857" s="191"/>
      <c r="AB857" s="191"/>
      <c r="AC857" s="191"/>
      <c r="AD857" s="16"/>
      <c r="AE857" s="16"/>
      <c r="AF857" s="16"/>
      <c r="AG857" s="16"/>
      <c r="AH857" s="16"/>
      <c r="AI857" s="16"/>
      <c r="AJ857" s="16"/>
      <c r="AK857" s="16"/>
      <c r="AL857" s="16"/>
      <c r="AM857" s="16"/>
      <c r="AN857" s="16"/>
      <c r="AO857" s="16"/>
      <c r="AP857" s="16"/>
      <c r="AQ857" s="16"/>
      <c r="AR857" s="16"/>
      <c r="AS857" s="16"/>
    </row>
    <row r="858" spans="18:45" x14ac:dyDescent="0.35">
      <c r="R858" s="191"/>
      <c r="S858" s="191"/>
      <c r="T858" s="193"/>
      <c r="U858" s="191"/>
      <c r="V858" s="194"/>
      <c r="W858" s="191"/>
      <c r="Y858" s="191"/>
      <c r="Z858" s="191"/>
      <c r="AA858" s="191"/>
      <c r="AB858" s="191"/>
      <c r="AC858" s="191"/>
      <c r="AD858" s="16"/>
      <c r="AE858" s="16"/>
      <c r="AF858" s="16"/>
      <c r="AG858" s="16"/>
      <c r="AH858" s="16"/>
      <c r="AI858" s="16"/>
      <c r="AJ858" s="16"/>
      <c r="AK858" s="16"/>
      <c r="AL858" s="16"/>
      <c r="AM858" s="16"/>
      <c r="AN858" s="16"/>
      <c r="AO858" s="16"/>
      <c r="AP858" s="16"/>
      <c r="AQ858" s="16"/>
      <c r="AR858" s="16"/>
      <c r="AS858" s="16"/>
    </row>
    <row r="859" spans="18:45" x14ac:dyDescent="0.35">
      <c r="R859" s="191"/>
      <c r="S859" s="191"/>
      <c r="T859" s="193"/>
      <c r="U859" s="191"/>
      <c r="V859" s="194"/>
      <c r="W859" s="191"/>
      <c r="Y859" s="191"/>
      <c r="Z859" s="191"/>
      <c r="AA859" s="191"/>
      <c r="AB859" s="191"/>
      <c r="AC859" s="191"/>
      <c r="AD859" s="16"/>
      <c r="AE859" s="16"/>
      <c r="AF859" s="16"/>
      <c r="AG859" s="16"/>
      <c r="AH859" s="16"/>
      <c r="AI859" s="16"/>
      <c r="AJ859" s="16"/>
      <c r="AK859" s="16"/>
      <c r="AL859" s="16"/>
      <c r="AM859" s="16"/>
      <c r="AN859" s="16"/>
      <c r="AO859" s="16"/>
      <c r="AP859" s="16"/>
      <c r="AQ859" s="16"/>
      <c r="AR859" s="16"/>
      <c r="AS859" s="16"/>
    </row>
    <row r="860" spans="18:45" x14ac:dyDescent="0.35">
      <c r="R860" s="191"/>
      <c r="S860" s="191"/>
      <c r="T860" s="193"/>
      <c r="U860" s="191"/>
      <c r="V860" s="194"/>
      <c r="W860" s="191"/>
      <c r="Y860" s="191"/>
      <c r="Z860" s="191"/>
      <c r="AA860" s="191"/>
      <c r="AB860" s="191"/>
      <c r="AC860" s="191"/>
      <c r="AD860" s="16"/>
      <c r="AE860" s="16"/>
      <c r="AF860" s="16"/>
      <c r="AG860" s="16"/>
      <c r="AH860" s="16"/>
      <c r="AI860" s="16"/>
      <c r="AJ860" s="16"/>
      <c r="AK860" s="16"/>
      <c r="AL860" s="16"/>
      <c r="AM860" s="16"/>
      <c r="AN860" s="16"/>
      <c r="AO860" s="16"/>
      <c r="AP860" s="16"/>
      <c r="AQ860" s="16"/>
      <c r="AR860" s="16"/>
      <c r="AS860" s="16"/>
    </row>
    <row r="861" spans="18:45" x14ac:dyDescent="0.35">
      <c r="R861" s="191"/>
      <c r="S861" s="191"/>
      <c r="T861" s="193"/>
      <c r="U861" s="191"/>
      <c r="V861" s="194"/>
      <c r="W861" s="191"/>
      <c r="Y861" s="191"/>
      <c r="Z861" s="191"/>
      <c r="AA861" s="191"/>
      <c r="AB861" s="191"/>
      <c r="AC861" s="191"/>
      <c r="AD861" s="16"/>
      <c r="AE861" s="16"/>
      <c r="AF861" s="16"/>
      <c r="AG861" s="16"/>
      <c r="AH861" s="16"/>
      <c r="AI861" s="16"/>
      <c r="AJ861" s="16"/>
      <c r="AK861" s="16"/>
      <c r="AL861" s="16"/>
      <c r="AM861" s="16"/>
      <c r="AN861" s="16"/>
      <c r="AO861" s="16"/>
      <c r="AP861" s="16"/>
      <c r="AQ861" s="16"/>
      <c r="AR861" s="16"/>
      <c r="AS861" s="16"/>
    </row>
    <row r="862" spans="18:45" x14ac:dyDescent="0.35">
      <c r="R862" s="191"/>
      <c r="S862" s="191"/>
      <c r="T862" s="193"/>
      <c r="U862" s="191"/>
      <c r="V862" s="194"/>
      <c r="W862" s="191"/>
      <c r="Y862" s="191"/>
      <c r="Z862" s="191"/>
      <c r="AA862" s="191"/>
      <c r="AB862" s="191"/>
      <c r="AC862" s="191"/>
      <c r="AD862" s="16"/>
      <c r="AE862" s="16"/>
      <c r="AF862" s="16"/>
      <c r="AG862" s="16"/>
      <c r="AH862" s="16"/>
      <c r="AI862" s="16"/>
      <c r="AJ862" s="16"/>
      <c r="AK862" s="16"/>
      <c r="AL862" s="16"/>
      <c r="AM862" s="16"/>
      <c r="AN862" s="16"/>
      <c r="AO862" s="16"/>
      <c r="AP862" s="16"/>
      <c r="AQ862" s="16"/>
      <c r="AR862" s="16"/>
      <c r="AS862" s="16"/>
    </row>
    <row r="863" spans="18:45" x14ac:dyDescent="0.35">
      <c r="R863" s="191"/>
      <c r="S863" s="191"/>
      <c r="T863" s="193"/>
      <c r="U863" s="191"/>
      <c r="V863" s="194"/>
      <c r="W863" s="191"/>
      <c r="Y863" s="191"/>
      <c r="Z863" s="191"/>
      <c r="AA863" s="191"/>
      <c r="AB863" s="191"/>
      <c r="AC863" s="191"/>
      <c r="AD863" s="16"/>
      <c r="AE863" s="16"/>
      <c r="AF863" s="16"/>
      <c r="AG863" s="16"/>
      <c r="AH863" s="16"/>
      <c r="AI863" s="16"/>
      <c r="AJ863" s="16"/>
      <c r="AK863" s="16"/>
      <c r="AL863" s="16"/>
      <c r="AM863" s="16"/>
      <c r="AN863" s="16"/>
      <c r="AO863" s="16"/>
      <c r="AP863" s="16"/>
      <c r="AQ863" s="16"/>
      <c r="AR863" s="16"/>
      <c r="AS863" s="16"/>
    </row>
    <row r="864" spans="18:45" x14ac:dyDescent="0.35">
      <c r="R864" s="191"/>
      <c r="S864" s="191"/>
      <c r="T864" s="193"/>
      <c r="U864" s="191"/>
      <c r="V864" s="194"/>
      <c r="W864" s="191"/>
      <c r="Y864" s="191"/>
      <c r="Z864" s="191"/>
      <c r="AA864" s="191"/>
      <c r="AB864" s="191"/>
      <c r="AC864" s="191"/>
      <c r="AD864" s="16"/>
      <c r="AE864" s="16"/>
      <c r="AF864" s="16"/>
      <c r="AG864" s="16"/>
      <c r="AH864" s="16"/>
      <c r="AI864" s="16"/>
      <c r="AJ864" s="16"/>
      <c r="AK864" s="16"/>
      <c r="AL864" s="16"/>
      <c r="AM864" s="16"/>
      <c r="AN864" s="16"/>
      <c r="AO864" s="16"/>
      <c r="AP864" s="16"/>
      <c r="AQ864" s="16"/>
      <c r="AR864" s="16"/>
      <c r="AS864" s="16"/>
    </row>
    <row r="865" spans="18:45" x14ac:dyDescent="0.35">
      <c r="R865" s="191"/>
      <c r="S865" s="191"/>
      <c r="T865" s="193"/>
      <c r="U865" s="191"/>
      <c r="V865" s="194"/>
      <c r="W865" s="191"/>
      <c r="Y865" s="191"/>
      <c r="Z865" s="191"/>
      <c r="AA865" s="191"/>
      <c r="AB865" s="191"/>
      <c r="AC865" s="191"/>
      <c r="AD865" s="16"/>
      <c r="AE865" s="16"/>
      <c r="AF865" s="16"/>
      <c r="AG865" s="16"/>
      <c r="AH865" s="16"/>
      <c r="AI865" s="16"/>
      <c r="AJ865" s="16"/>
      <c r="AK865" s="16"/>
      <c r="AL865" s="16"/>
      <c r="AM865" s="16"/>
      <c r="AN865" s="16"/>
      <c r="AO865" s="16"/>
      <c r="AP865" s="16"/>
      <c r="AQ865" s="16"/>
      <c r="AR865" s="16"/>
      <c r="AS865" s="16"/>
    </row>
    <row r="866" spans="18:45" x14ac:dyDescent="0.35">
      <c r="R866" s="191"/>
      <c r="S866" s="191"/>
      <c r="T866" s="193"/>
      <c r="U866" s="191"/>
      <c r="V866" s="194"/>
      <c r="W866" s="191"/>
      <c r="Y866" s="191"/>
      <c r="Z866" s="191"/>
      <c r="AA866" s="191"/>
      <c r="AB866" s="191"/>
      <c r="AC866" s="191"/>
      <c r="AD866" s="16"/>
      <c r="AE866" s="16"/>
      <c r="AF866" s="16"/>
      <c r="AG866" s="16"/>
      <c r="AH866" s="16"/>
      <c r="AI866" s="16"/>
      <c r="AJ866" s="16"/>
      <c r="AK866" s="16"/>
      <c r="AL866" s="16"/>
      <c r="AM866" s="16"/>
      <c r="AN866" s="16"/>
      <c r="AO866" s="16"/>
      <c r="AP866" s="16"/>
      <c r="AQ866" s="16"/>
      <c r="AR866" s="16"/>
      <c r="AS866" s="16"/>
    </row>
    <row r="867" spans="18:45" x14ac:dyDescent="0.35">
      <c r="R867" s="191"/>
      <c r="S867" s="191"/>
      <c r="T867" s="193"/>
      <c r="U867" s="191"/>
      <c r="V867" s="194"/>
      <c r="W867" s="191"/>
      <c r="Y867" s="191"/>
      <c r="Z867" s="191"/>
      <c r="AA867" s="191"/>
      <c r="AB867" s="191"/>
      <c r="AC867" s="191"/>
      <c r="AD867" s="16"/>
      <c r="AE867" s="16"/>
      <c r="AF867" s="16"/>
      <c r="AG867" s="16"/>
      <c r="AH867" s="16"/>
      <c r="AI867" s="16"/>
      <c r="AJ867" s="16"/>
      <c r="AK867" s="16"/>
      <c r="AL867" s="16"/>
      <c r="AM867" s="16"/>
      <c r="AN867" s="16"/>
      <c r="AO867" s="16"/>
      <c r="AP867" s="16"/>
      <c r="AQ867" s="16"/>
      <c r="AR867" s="16"/>
      <c r="AS867" s="16"/>
    </row>
    <row r="868" spans="18:45" x14ac:dyDescent="0.35">
      <c r="R868" s="191"/>
      <c r="S868" s="191"/>
      <c r="T868" s="193"/>
      <c r="U868" s="191"/>
      <c r="V868" s="194"/>
      <c r="W868" s="191"/>
      <c r="Y868" s="191"/>
      <c r="Z868" s="191"/>
      <c r="AA868" s="191"/>
      <c r="AB868" s="191"/>
      <c r="AC868" s="191"/>
      <c r="AD868" s="16"/>
      <c r="AE868" s="16"/>
      <c r="AF868" s="16"/>
      <c r="AG868" s="16"/>
      <c r="AH868" s="16"/>
      <c r="AI868" s="16"/>
      <c r="AJ868" s="16"/>
      <c r="AK868" s="16"/>
      <c r="AL868" s="16"/>
      <c r="AM868" s="16"/>
      <c r="AN868" s="16"/>
      <c r="AO868" s="16"/>
      <c r="AP868" s="16"/>
      <c r="AQ868" s="16"/>
      <c r="AR868" s="16"/>
      <c r="AS868" s="16"/>
    </row>
    <row r="869" spans="18:45" x14ac:dyDescent="0.35">
      <c r="R869" s="191"/>
      <c r="S869" s="191"/>
      <c r="T869" s="193"/>
      <c r="U869" s="191"/>
      <c r="V869" s="194"/>
      <c r="W869" s="191"/>
      <c r="Y869" s="191"/>
      <c r="Z869" s="191"/>
      <c r="AA869" s="191"/>
      <c r="AB869" s="191"/>
      <c r="AC869" s="191"/>
      <c r="AD869" s="16"/>
      <c r="AE869" s="16"/>
      <c r="AF869" s="16"/>
      <c r="AG869" s="16"/>
      <c r="AH869" s="16"/>
      <c r="AI869" s="16"/>
      <c r="AJ869" s="16"/>
      <c r="AK869" s="16"/>
      <c r="AL869" s="16"/>
      <c r="AM869" s="16"/>
      <c r="AN869" s="16"/>
      <c r="AO869" s="16"/>
      <c r="AP869" s="16"/>
      <c r="AQ869" s="16"/>
      <c r="AR869" s="16"/>
      <c r="AS869" s="16"/>
    </row>
    <row r="870" spans="18:45" x14ac:dyDescent="0.35">
      <c r="R870" s="191"/>
      <c r="S870" s="191"/>
      <c r="T870" s="193"/>
      <c r="U870" s="191"/>
      <c r="V870" s="194"/>
      <c r="W870" s="191"/>
      <c r="Y870" s="191"/>
      <c r="Z870" s="191"/>
      <c r="AA870" s="191"/>
      <c r="AB870" s="191"/>
      <c r="AC870" s="191"/>
      <c r="AD870" s="16"/>
      <c r="AE870" s="16"/>
      <c r="AF870" s="16"/>
      <c r="AG870" s="16"/>
      <c r="AH870" s="16"/>
      <c r="AI870" s="16"/>
      <c r="AJ870" s="16"/>
      <c r="AK870" s="16"/>
      <c r="AL870" s="16"/>
      <c r="AM870" s="16"/>
      <c r="AN870" s="16"/>
      <c r="AO870" s="16"/>
      <c r="AP870" s="16"/>
      <c r="AQ870" s="16"/>
      <c r="AR870" s="16"/>
      <c r="AS870" s="16"/>
    </row>
    <row r="871" spans="18:45" x14ac:dyDescent="0.35">
      <c r="R871" s="191"/>
      <c r="S871" s="191"/>
      <c r="T871" s="193"/>
      <c r="U871" s="191"/>
      <c r="V871" s="194"/>
      <c r="W871" s="191"/>
      <c r="Y871" s="191"/>
      <c r="Z871" s="191"/>
      <c r="AA871" s="191"/>
      <c r="AB871" s="191"/>
      <c r="AC871" s="191"/>
      <c r="AD871" s="16"/>
      <c r="AE871" s="16"/>
      <c r="AF871" s="16"/>
      <c r="AG871" s="16"/>
      <c r="AH871" s="16"/>
      <c r="AI871" s="16"/>
      <c r="AJ871" s="16"/>
      <c r="AK871" s="16"/>
      <c r="AL871" s="16"/>
      <c r="AM871" s="16"/>
      <c r="AN871" s="16"/>
      <c r="AO871" s="16"/>
      <c r="AP871" s="16"/>
      <c r="AQ871" s="16"/>
      <c r="AR871" s="16"/>
      <c r="AS871" s="16"/>
    </row>
    <row r="872" spans="18:45" x14ac:dyDescent="0.35">
      <c r="R872" s="191"/>
      <c r="S872" s="191"/>
      <c r="T872" s="193"/>
      <c r="U872" s="191"/>
      <c r="V872" s="194"/>
      <c r="W872" s="191"/>
      <c r="Y872" s="191"/>
      <c r="Z872" s="191"/>
      <c r="AA872" s="191"/>
      <c r="AB872" s="191"/>
      <c r="AC872" s="191"/>
      <c r="AD872" s="16"/>
      <c r="AE872" s="16"/>
      <c r="AF872" s="16"/>
      <c r="AG872" s="16"/>
      <c r="AH872" s="16"/>
      <c r="AI872" s="16"/>
      <c r="AJ872" s="16"/>
      <c r="AK872" s="16"/>
      <c r="AL872" s="16"/>
      <c r="AM872" s="16"/>
      <c r="AN872" s="16"/>
      <c r="AO872" s="16"/>
      <c r="AP872" s="16"/>
      <c r="AQ872" s="16"/>
      <c r="AR872" s="16"/>
      <c r="AS872" s="16"/>
    </row>
    <row r="873" spans="18:45" x14ac:dyDescent="0.35">
      <c r="R873" s="191"/>
      <c r="S873" s="191"/>
      <c r="T873" s="193"/>
      <c r="U873" s="191"/>
      <c r="V873" s="194"/>
      <c r="W873" s="191"/>
      <c r="Y873" s="191"/>
      <c r="Z873" s="191"/>
      <c r="AA873" s="191"/>
      <c r="AB873" s="191"/>
      <c r="AC873" s="191"/>
      <c r="AD873" s="16"/>
      <c r="AE873" s="16"/>
      <c r="AF873" s="16"/>
      <c r="AG873" s="16"/>
      <c r="AH873" s="16"/>
      <c r="AI873" s="16"/>
      <c r="AJ873" s="16"/>
      <c r="AK873" s="16"/>
      <c r="AL873" s="16"/>
      <c r="AM873" s="16"/>
      <c r="AN873" s="16"/>
      <c r="AO873" s="16"/>
      <c r="AP873" s="16"/>
      <c r="AQ873" s="16"/>
      <c r="AR873" s="16"/>
      <c r="AS873" s="16"/>
    </row>
    <row r="874" spans="18:45" x14ac:dyDescent="0.35">
      <c r="R874" s="191"/>
      <c r="S874" s="191"/>
      <c r="T874" s="193"/>
      <c r="U874" s="191"/>
      <c r="V874" s="194"/>
      <c r="W874" s="191"/>
      <c r="Y874" s="191"/>
      <c r="Z874" s="191"/>
      <c r="AA874" s="191"/>
      <c r="AB874" s="191"/>
      <c r="AC874" s="191"/>
      <c r="AD874" s="16"/>
      <c r="AE874" s="16"/>
      <c r="AF874" s="16"/>
      <c r="AG874" s="16"/>
      <c r="AH874" s="16"/>
      <c r="AI874" s="16"/>
      <c r="AJ874" s="16"/>
      <c r="AK874" s="16"/>
      <c r="AL874" s="16"/>
      <c r="AM874" s="16"/>
      <c r="AN874" s="16"/>
      <c r="AO874" s="16"/>
      <c r="AP874" s="16"/>
      <c r="AQ874" s="16"/>
      <c r="AR874" s="16"/>
      <c r="AS874" s="16"/>
    </row>
    <row r="875" spans="18:45" x14ac:dyDescent="0.35">
      <c r="R875" s="191"/>
      <c r="S875" s="191"/>
      <c r="T875" s="193"/>
      <c r="U875" s="191"/>
      <c r="V875" s="194"/>
      <c r="W875" s="191"/>
      <c r="Y875" s="191"/>
      <c r="Z875" s="191"/>
      <c r="AA875" s="191"/>
      <c r="AB875" s="191"/>
      <c r="AC875" s="191"/>
      <c r="AD875" s="16"/>
      <c r="AE875" s="16"/>
      <c r="AF875" s="16"/>
      <c r="AG875" s="16"/>
      <c r="AH875" s="16"/>
      <c r="AI875" s="16"/>
      <c r="AJ875" s="16"/>
      <c r="AK875" s="16"/>
      <c r="AL875" s="16"/>
      <c r="AM875" s="16"/>
      <c r="AN875" s="16"/>
      <c r="AO875" s="16"/>
      <c r="AP875" s="16"/>
      <c r="AQ875" s="16"/>
      <c r="AR875" s="16"/>
      <c r="AS875" s="16"/>
    </row>
    <row r="876" spans="18:45" x14ac:dyDescent="0.35">
      <c r="R876" s="191"/>
      <c r="S876" s="191"/>
      <c r="T876" s="193"/>
      <c r="U876" s="191"/>
      <c r="V876" s="194"/>
      <c r="W876" s="191"/>
      <c r="Y876" s="191"/>
      <c r="Z876" s="191"/>
      <c r="AA876" s="191"/>
      <c r="AB876" s="191"/>
      <c r="AC876" s="191"/>
      <c r="AD876" s="16"/>
      <c r="AE876" s="16"/>
      <c r="AF876" s="16"/>
      <c r="AG876" s="16"/>
      <c r="AH876" s="16"/>
      <c r="AI876" s="16"/>
      <c r="AJ876" s="16"/>
      <c r="AK876" s="16"/>
      <c r="AL876" s="16"/>
      <c r="AM876" s="16"/>
      <c r="AN876" s="16"/>
      <c r="AO876" s="16"/>
      <c r="AP876" s="16"/>
      <c r="AQ876" s="16"/>
      <c r="AR876" s="16"/>
      <c r="AS876" s="16"/>
    </row>
    <row r="877" spans="18:45" x14ac:dyDescent="0.35">
      <c r="R877" s="191"/>
      <c r="S877" s="191"/>
      <c r="T877" s="193"/>
      <c r="U877" s="191"/>
      <c r="V877" s="194"/>
      <c r="W877" s="191"/>
      <c r="Y877" s="191"/>
      <c r="Z877" s="191"/>
      <c r="AA877" s="191"/>
      <c r="AB877" s="191"/>
      <c r="AC877" s="191"/>
      <c r="AD877" s="16"/>
      <c r="AE877" s="16"/>
      <c r="AF877" s="16"/>
      <c r="AG877" s="16"/>
      <c r="AH877" s="16"/>
      <c r="AI877" s="16"/>
      <c r="AJ877" s="16"/>
      <c r="AK877" s="16"/>
      <c r="AL877" s="16"/>
      <c r="AM877" s="16"/>
      <c r="AN877" s="16"/>
      <c r="AO877" s="16"/>
      <c r="AP877" s="16"/>
      <c r="AQ877" s="16"/>
      <c r="AR877" s="16"/>
      <c r="AS877" s="16"/>
    </row>
    <row r="878" spans="18:45" x14ac:dyDescent="0.35">
      <c r="R878" s="191"/>
      <c r="S878" s="191"/>
      <c r="T878" s="193"/>
      <c r="U878" s="191"/>
      <c r="V878" s="194"/>
      <c r="W878" s="191"/>
      <c r="Y878" s="191"/>
      <c r="Z878" s="191"/>
      <c r="AA878" s="191"/>
      <c r="AB878" s="191"/>
      <c r="AC878" s="191"/>
      <c r="AD878" s="16"/>
      <c r="AE878" s="16"/>
      <c r="AF878" s="16"/>
      <c r="AG878" s="16"/>
      <c r="AH878" s="16"/>
      <c r="AI878" s="16"/>
      <c r="AJ878" s="16"/>
      <c r="AK878" s="16"/>
      <c r="AL878" s="16"/>
      <c r="AM878" s="16"/>
      <c r="AN878" s="16"/>
      <c r="AO878" s="16"/>
      <c r="AP878" s="16"/>
      <c r="AQ878" s="16"/>
      <c r="AR878" s="16"/>
      <c r="AS878" s="16"/>
    </row>
    <row r="879" spans="18:45" x14ac:dyDescent="0.35">
      <c r="R879" s="191"/>
      <c r="S879" s="191"/>
      <c r="T879" s="193"/>
      <c r="U879" s="191"/>
      <c r="V879" s="194"/>
      <c r="W879" s="191"/>
      <c r="Y879" s="191"/>
      <c r="Z879" s="191"/>
      <c r="AA879" s="191"/>
      <c r="AB879" s="191"/>
      <c r="AC879" s="191"/>
      <c r="AD879" s="16"/>
      <c r="AE879" s="16"/>
      <c r="AF879" s="16"/>
      <c r="AG879" s="16"/>
      <c r="AH879" s="16"/>
      <c r="AI879" s="16"/>
      <c r="AJ879" s="16"/>
      <c r="AK879" s="16"/>
      <c r="AL879" s="16"/>
      <c r="AM879" s="16"/>
      <c r="AN879" s="16"/>
      <c r="AO879" s="16"/>
      <c r="AP879" s="16"/>
      <c r="AQ879" s="16"/>
      <c r="AR879" s="16"/>
      <c r="AS879" s="16"/>
    </row>
    <row r="880" spans="18:45" x14ac:dyDescent="0.35">
      <c r="R880" s="191"/>
      <c r="S880" s="191"/>
      <c r="T880" s="193"/>
      <c r="U880" s="191"/>
      <c r="V880" s="194"/>
      <c r="W880" s="191"/>
      <c r="Y880" s="191"/>
      <c r="Z880" s="191"/>
      <c r="AA880" s="191"/>
      <c r="AB880" s="191"/>
      <c r="AC880" s="191"/>
      <c r="AD880" s="16"/>
      <c r="AE880" s="16"/>
      <c r="AF880" s="16"/>
      <c r="AG880" s="16"/>
      <c r="AH880" s="16"/>
      <c r="AI880" s="16"/>
      <c r="AJ880" s="16"/>
      <c r="AK880" s="16"/>
      <c r="AL880" s="16"/>
      <c r="AM880" s="16"/>
      <c r="AN880" s="16"/>
      <c r="AO880" s="16"/>
      <c r="AP880" s="16"/>
      <c r="AQ880" s="16"/>
      <c r="AR880" s="16"/>
      <c r="AS880" s="16"/>
    </row>
    <row r="881" spans="18:45" x14ac:dyDescent="0.35">
      <c r="R881" s="191"/>
      <c r="S881" s="191"/>
      <c r="T881" s="193"/>
      <c r="U881" s="191"/>
      <c r="V881" s="194"/>
      <c r="W881" s="191"/>
      <c r="Y881" s="191"/>
      <c r="Z881" s="191"/>
      <c r="AA881" s="191"/>
      <c r="AB881" s="191"/>
      <c r="AC881" s="191"/>
      <c r="AD881" s="16"/>
      <c r="AE881" s="16"/>
      <c r="AF881" s="16"/>
      <c r="AG881" s="16"/>
      <c r="AH881" s="16"/>
      <c r="AI881" s="16"/>
      <c r="AJ881" s="16"/>
      <c r="AK881" s="16"/>
      <c r="AL881" s="16"/>
      <c r="AM881" s="16"/>
      <c r="AN881" s="16"/>
      <c r="AO881" s="16"/>
      <c r="AP881" s="16"/>
      <c r="AQ881" s="16"/>
      <c r="AR881" s="16"/>
      <c r="AS881" s="16"/>
    </row>
    <row r="882" spans="18:45" x14ac:dyDescent="0.35">
      <c r="R882" s="191"/>
      <c r="S882" s="191"/>
      <c r="T882" s="193"/>
      <c r="U882" s="191"/>
      <c r="V882" s="194"/>
      <c r="W882" s="191"/>
      <c r="Y882" s="191"/>
      <c r="Z882" s="191"/>
      <c r="AA882" s="191"/>
      <c r="AB882" s="191"/>
      <c r="AC882" s="191"/>
      <c r="AD882" s="16"/>
      <c r="AE882" s="16"/>
      <c r="AF882" s="16"/>
      <c r="AG882" s="16"/>
      <c r="AH882" s="16"/>
      <c r="AI882" s="16"/>
      <c r="AJ882" s="16"/>
      <c r="AK882" s="16"/>
      <c r="AL882" s="16"/>
      <c r="AM882" s="16"/>
      <c r="AN882" s="16"/>
      <c r="AO882" s="16"/>
      <c r="AP882" s="16"/>
      <c r="AQ882" s="16"/>
      <c r="AR882" s="16"/>
      <c r="AS882" s="16"/>
    </row>
    <row r="883" spans="18:45" x14ac:dyDescent="0.35">
      <c r="R883" s="191"/>
      <c r="S883" s="191"/>
      <c r="T883" s="193"/>
      <c r="U883" s="191"/>
      <c r="V883" s="194"/>
      <c r="W883" s="191"/>
      <c r="Y883" s="191"/>
      <c r="Z883" s="191"/>
      <c r="AA883" s="191"/>
      <c r="AB883" s="191"/>
      <c r="AC883" s="191"/>
      <c r="AD883" s="16"/>
      <c r="AE883" s="16"/>
      <c r="AF883" s="16"/>
      <c r="AG883" s="16"/>
      <c r="AH883" s="16"/>
      <c r="AI883" s="16"/>
      <c r="AJ883" s="16"/>
      <c r="AK883" s="16"/>
      <c r="AL883" s="16"/>
      <c r="AM883" s="16"/>
      <c r="AN883" s="16"/>
      <c r="AO883" s="16"/>
      <c r="AP883" s="16"/>
      <c r="AQ883" s="16"/>
      <c r="AR883" s="16"/>
      <c r="AS883" s="16"/>
    </row>
    <row r="884" spans="18:45" x14ac:dyDescent="0.35">
      <c r="R884" s="191"/>
      <c r="S884" s="191"/>
      <c r="T884" s="193"/>
      <c r="U884" s="191"/>
      <c r="V884" s="194"/>
      <c r="W884" s="191"/>
      <c r="Y884" s="191"/>
      <c r="Z884" s="191"/>
      <c r="AA884" s="191"/>
      <c r="AB884" s="191"/>
      <c r="AC884" s="191"/>
      <c r="AD884" s="16"/>
      <c r="AE884" s="16"/>
      <c r="AF884" s="16"/>
      <c r="AG884" s="16"/>
      <c r="AH884" s="16"/>
      <c r="AI884" s="16"/>
      <c r="AJ884" s="16"/>
      <c r="AK884" s="16"/>
      <c r="AL884" s="16"/>
      <c r="AM884" s="16"/>
      <c r="AN884" s="16"/>
      <c r="AO884" s="16"/>
      <c r="AP884" s="16"/>
      <c r="AQ884" s="16"/>
      <c r="AR884" s="16"/>
      <c r="AS884" s="16"/>
    </row>
    <row r="885" spans="18:45" x14ac:dyDescent="0.35">
      <c r="R885" s="191"/>
      <c r="S885" s="191"/>
      <c r="T885" s="193"/>
      <c r="U885" s="191"/>
      <c r="V885" s="194"/>
      <c r="W885" s="191"/>
      <c r="Y885" s="191"/>
      <c r="Z885" s="191"/>
      <c r="AA885" s="191"/>
      <c r="AB885" s="191"/>
      <c r="AC885" s="191"/>
      <c r="AD885" s="16"/>
      <c r="AE885" s="16"/>
      <c r="AF885" s="16"/>
      <c r="AG885" s="16"/>
      <c r="AH885" s="16"/>
      <c r="AI885" s="16"/>
      <c r="AJ885" s="16"/>
      <c r="AK885" s="16"/>
      <c r="AL885" s="16"/>
      <c r="AM885" s="16"/>
      <c r="AN885" s="16"/>
      <c r="AO885" s="16"/>
      <c r="AP885" s="16"/>
      <c r="AQ885" s="16"/>
      <c r="AR885" s="16"/>
      <c r="AS885" s="16"/>
    </row>
    <row r="886" spans="18:45" x14ac:dyDescent="0.35">
      <c r="R886" s="191"/>
      <c r="S886" s="191"/>
      <c r="T886" s="193"/>
      <c r="U886" s="191"/>
      <c r="V886" s="194"/>
      <c r="W886" s="191"/>
      <c r="Y886" s="191"/>
      <c r="Z886" s="191"/>
      <c r="AA886" s="191"/>
      <c r="AB886" s="191"/>
      <c r="AC886" s="191"/>
      <c r="AD886" s="16"/>
      <c r="AE886" s="16"/>
      <c r="AF886" s="16"/>
      <c r="AG886" s="16"/>
      <c r="AH886" s="16"/>
      <c r="AI886" s="16"/>
      <c r="AJ886" s="16"/>
      <c r="AK886" s="16"/>
      <c r="AL886" s="16"/>
      <c r="AM886" s="16"/>
      <c r="AN886" s="16"/>
      <c r="AO886" s="16"/>
      <c r="AP886" s="16"/>
      <c r="AQ886" s="16"/>
      <c r="AR886" s="16"/>
      <c r="AS886" s="16"/>
    </row>
    <row r="887" spans="18:45" x14ac:dyDescent="0.35">
      <c r="R887" s="191"/>
      <c r="S887" s="191"/>
      <c r="T887" s="193"/>
      <c r="U887" s="191"/>
      <c r="V887" s="194"/>
      <c r="W887" s="191"/>
      <c r="Y887" s="191"/>
      <c r="Z887" s="191"/>
      <c r="AA887" s="191"/>
      <c r="AB887" s="191"/>
      <c r="AC887" s="191"/>
      <c r="AD887" s="16"/>
      <c r="AE887" s="16"/>
      <c r="AF887" s="16"/>
      <c r="AG887" s="16"/>
      <c r="AH887" s="16"/>
      <c r="AI887" s="16"/>
      <c r="AJ887" s="16"/>
      <c r="AK887" s="16"/>
      <c r="AL887" s="16"/>
      <c r="AM887" s="16"/>
      <c r="AN887" s="16"/>
      <c r="AO887" s="16"/>
      <c r="AP887" s="16"/>
      <c r="AQ887" s="16"/>
      <c r="AR887" s="16"/>
      <c r="AS887" s="16"/>
    </row>
    <row r="888" spans="18:45" x14ac:dyDescent="0.35">
      <c r="R888" s="191"/>
      <c r="S888" s="191"/>
      <c r="T888" s="193"/>
      <c r="U888" s="191"/>
      <c r="V888" s="194"/>
      <c r="W888" s="191"/>
      <c r="Y888" s="191"/>
      <c r="Z888" s="191"/>
      <c r="AA888" s="191"/>
      <c r="AB888" s="191"/>
      <c r="AC888" s="191"/>
      <c r="AD888" s="16"/>
      <c r="AE888" s="16"/>
      <c r="AF888" s="16"/>
      <c r="AG888" s="16"/>
      <c r="AH888" s="16"/>
      <c r="AI888" s="16"/>
      <c r="AJ888" s="16"/>
      <c r="AK888" s="16"/>
      <c r="AL888" s="16"/>
      <c r="AM888" s="16"/>
      <c r="AN888" s="16"/>
      <c r="AO888" s="16"/>
      <c r="AP888" s="16"/>
      <c r="AQ888" s="16"/>
      <c r="AR888" s="16"/>
      <c r="AS888" s="16"/>
    </row>
    <row r="889" spans="18:45" x14ac:dyDescent="0.35">
      <c r="R889" s="191"/>
      <c r="S889" s="191"/>
      <c r="T889" s="193"/>
      <c r="U889" s="191"/>
      <c r="V889" s="194"/>
      <c r="W889" s="191"/>
      <c r="Y889" s="191"/>
      <c r="Z889" s="191"/>
      <c r="AA889" s="191"/>
      <c r="AB889" s="191"/>
      <c r="AC889" s="191"/>
      <c r="AD889" s="16"/>
      <c r="AE889" s="16"/>
      <c r="AF889" s="16"/>
      <c r="AG889" s="16"/>
      <c r="AH889" s="16"/>
      <c r="AI889" s="16"/>
      <c r="AJ889" s="16"/>
      <c r="AK889" s="16"/>
      <c r="AL889" s="16"/>
      <c r="AM889" s="16"/>
      <c r="AN889" s="16"/>
      <c r="AO889" s="16"/>
      <c r="AP889" s="16"/>
      <c r="AQ889" s="16"/>
      <c r="AR889" s="16"/>
      <c r="AS889" s="16"/>
    </row>
    <row r="890" spans="18:45" x14ac:dyDescent="0.35">
      <c r="R890" s="191"/>
      <c r="S890" s="191"/>
      <c r="T890" s="193"/>
      <c r="U890" s="191"/>
      <c r="V890" s="194"/>
      <c r="W890" s="191"/>
      <c r="Y890" s="191"/>
      <c r="Z890" s="191"/>
      <c r="AA890" s="191"/>
      <c r="AB890" s="191"/>
      <c r="AC890" s="191"/>
      <c r="AD890" s="16"/>
      <c r="AE890" s="16"/>
      <c r="AF890" s="16"/>
      <c r="AG890" s="16"/>
      <c r="AH890" s="16"/>
      <c r="AI890" s="16"/>
      <c r="AJ890" s="16"/>
      <c r="AK890" s="16"/>
      <c r="AL890" s="16"/>
      <c r="AM890" s="16"/>
      <c r="AN890" s="16"/>
      <c r="AO890" s="16"/>
      <c r="AP890" s="16"/>
      <c r="AQ890" s="16"/>
      <c r="AR890" s="16"/>
      <c r="AS890" s="16"/>
    </row>
    <row r="891" spans="18:45" x14ac:dyDescent="0.35">
      <c r="R891" s="191"/>
      <c r="S891" s="191"/>
      <c r="T891" s="193"/>
      <c r="U891" s="191"/>
      <c r="V891" s="194"/>
      <c r="W891" s="191"/>
      <c r="Y891" s="191"/>
      <c r="Z891" s="191"/>
      <c r="AA891" s="191"/>
      <c r="AB891" s="191"/>
      <c r="AC891" s="191"/>
      <c r="AD891" s="16"/>
      <c r="AE891" s="16"/>
      <c r="AF891" s="16"/>
      <c r="AG891" s="16"/>
      <c r="AH891" s="16"/>
      <c r="AI891" s="16"/>
      <c r="AJ891" s="16"/>
      <c r="AK891" s="16"/>
      <c r="AL891" s="16"/>
      <c r="AM891" s="16"/>
      <c r="AN891" s="16"/>
      <c r="AO891" s="16"/>
      <c r="AP891" s="16"/>
      <c r="AQ891" s="16"/>
      <c r="AR891" s="16"/>
      <c r="AS891" s="16"/>
    </row>
    <row r="892" spans="18:45" x14ac:dyDescent="0.35">
      <c r="R892" s="191"/>
      <c r="S892" s="191"/>
      <c r="T892" s="193"/>
      <c r="U892" s="191"/>
      <c r="V892" s="194"/>
      <c r="W892" s="191"/>
      <c r="Y892" s="191"/>
      <c r="Z892" s="191"/>
      <c r="AA892" s="191"/>
      <c r="AB892" s="191"/>
      <c r="AC892" s="191"/>
      <c r="AD892" s="16"/>
      <c r="AE892" s="16"/>
      <c r="AF892" s="16"/>
      <c r="AG892" s="16"/>
      <c r="AH892" s="16"/>
      <c r="AI892" s="16"/>
      <c r="AJ892" s="16"/>
      <c r="AK892" s="16"/>
      <c r="AL892" s="16"/>
      <c r="AM892" s="16"/>
      <c r="AN892" s="16"/>
      <c r="AO892" s="16"/>
      <c r="AP892" s="16"/>
      <c r="AQ892" s="16"/>
      <c r="AR892" s="16"/>
      <c r="AS892" s="16"/>
    </row>
    <row r="893" spans="18:45" x14ac:dyDescent="0.35">
      <c r="R893" s="191"/>
      <c r="S893" s="191"/>
      <c r="T893" s="193"/>
      <c r="U893" s="191"/>
      <c r="V893" s="194"/>
      <c r="W893" s="191"/>
      <c r="Y893" s="191"/>
      <c r="Z893" s="191"/>
      <c r="AA893" s="191"/>
      <c r="AB893" s="191"/>
      <c r="AC893" s="191"/>
      <c r="AD893" s="16"/>
      <c r="AE893" s="16"/>
      <c r="AF893" s="16"/>
      <c r="AG893" s="16"/>
      <c r="AH893" s="16"/>
      <c r="AI893" s="16"/>
      <c r="AJ893" s="16"/>
      <c r="AK893" s="16"/>
      <c r="AL893" s="16"/>
      <c r="AM893" s="16"/>
      <c r="AN893" s="16"/>
      <c r="AO893" s="16"/>
      <c r="AP893" s="16"/>
      <c r="AQ893" s="16"/>
      <c r="AR893" s="16"/>
      <c r="AS893" s="16"/>
    </row>
    <row r="894" spans="18:45" x14ac:dyDescent="0.35">
      <c r="R894" s="191"/>
      <c r="S894" s="191"/>
      <c r="T894" s="193"/>
      <c r="U894" s="191"/>
      <c r="V894" s="194"/>
      <c r="W894" s="191"/>
      <c r="Y894" s="191"/>
      <c r="Z894" s="191"/>
      <c r="AA894" s="191"/>
      <c r="AB894" s="191"/>
      <c r="AC894" s="191"/>
      <c r="AD894" s="16"/>
      <c r="AE894" s="16"/>
      <c r="AF894" s="16"/>
      <c r="AG894" s="16"/>
      <c r="AH894" s="16"/>
      <c r="AI894" s="16"/>
      <c r="AJ894" s="16"/>
      <c r="AK894" s="16"/>
      <c r="AL894" s="16"/>
      <c r="AM894" s="16"/>
      <c r="AN894" s="16"/>
      <c r="AO894" s="16"/>
      <c r="AP894" s="16"/>
      <c r="AQ894" s="16"/>
      <c r="AR894" s="16"/>
      <c r="AS894" s="16"/>
    </row>
    <row r="895" spans="18:45" x14ac:dyDescent="0.35">
      <c r="R895" s="191"/>
      <c r="S895" s="191"/>
      <c r="T895" s="193"/>
      <c r="U895" s="191"/>
      <c r="V895" s="194"/>
      <c r="W895" s="191"/>
      <c r="Y895" s="191"/>
      <c r="Z895" s="191"/>
      <c r="AA895" s="191"/>
      <c r="AB895" s="191"/>
      <c r="AC895" s="191"/>
      <c r="AD895" s="16"/>
      <c r="AE895" s="16"/>
      <c r="AF895" s="16"/>
      <c r="AG895" s="16"/>
      <c r="AH895" s="16"/>
      <c r="AI895" s="16"/>
      <c r="AJ895" s="16"/>
      <c r="AK895" s="16"/>
      <c r="AL895" s="16"/>
      <c r="AM895" s="16"/>
      <c r="AN895" s="16"/>
      <c r="AO895" s="16"/>
      <c r="AP895" s="16"/>
      <c r="AQ895" s="16"/>
      <c r="AR895" s="16"/>
      <c r="AS895" s="16"/>
    </row>
    <row r="896" spans="18:45" x14ac:dyDescent="0.35">
      <c r="R896" s="191"/>
      <c r="S896" s="191"/>
      <c r="T896" s="193"/>
      <c r="U896" s="191"/>
      <c r="V896" s="194"/>
      <c r="W896" s="191"/>
      <c r="Y896" s="191"/>
      <c r="Z896" s="191"/>
      <c r="AA896" s="191"/>
      <c r="AB896" s="191"/>
      <c r="AC896" s="191"/>
      <c r="AD896" s="16"/>
      <c r="AE896" s="16"/>
      <c r="AF896" s="16"/>
      <c r="AG896" s="16"/>
      <c r="AH896" s="16"/>
      <c r="AI896" s="16"/>
      <c r="AJ896" s="16"/>
      <c r="AK896" s="16"/>
      <c r="AL896" s="16"/>
      <c r="AM896" s="16"/>
      <c r="AN896" s="16"/>
      <c r="AO896" s="16"/>
      <c r="AP896" s="16"/>
      <c r="AQ896" s="16"/>
      <c r="AR896" s="16"/>
      <c r="AS896" s="16"/>
    </row>
    <row r="897" spans="18:45" x14ac:dyDescent="0.35">
      <c r="R897" s="191"/>
      <c r="S897" s="191"/>
      <c r="T897" s="193"/>
      <c r="U897" s="191"/>
      <c r="V897" s="194"/>
      <c r="W897" s="191"/>
      <c r="Y897" s="191"/>
      <c r="Z897" s="191"/>
      <c r="AA897" s="191"/>
      <c r="AB897" s="191"/>
      <c r="AC897" s="191"/>
      <c r="AD897" s="16"/>
      <c r="AE897" s="16"/>
      <c r="AF897" s="16"/>
      <c r="AG897" s="16"/>
      <c r="AH897" s="16"/>
      <c r="AI897" s="16"/>
      <c r="AJ897" s="16"/>
      <c r="AK897" s="16"/>
      <c r="AL897" s="16"/>
      <c r="AM897" s="16"/>
      <c r="AN897" s="16"/>
      <c r="AO897" s="16"/>
      <c r="AP897" s="16"/>
      <c r="AQ897" s="16"/>
      <c r="AR897" s="16"/>
      <c r="AS897" s="16"/>
    </row>
    <row r="898" spans="18:45" x14ac:dyDescent="0.35">
      <c r="R898" s="191"/>
      <c r="S898" s="191"/>
      <c r="T898" s="193"/>
      <c r="U898" s="191"/>
      <c r="V898" s="194"/>
      <c r="W898" s="191"/>
      <c r="Y898" s="191"/>
      <c r="Z898" s="191"/>
      <c r="AA898" s="191"/>
      <c r="AB898" s="191"/>
      <c r="AC898" s="191"/>
      <c r="AD898" s="16"/>
      <c r="AE898" s="16"/>
      <c r="AF898" s="16"/>
      <c r="AG898" s="16"/>
      <c r="AH898" s="16"/>
      <c r="AI898" s="16"/>
      <c r="AJ898" s="16"/>
      <c r="AK898" s="16"/>
      <c r="AL898" s="16"/>
      <c r="AM898" s="16"/>
      <c r="AN898" s="16"/>
      <c r="AO898" s="16"/>
      <c r="AP898" s="16"/>
      <c r="AQ898" s="16"/>
      <c r="AR898" s="16"/>
      <c r="AS898" s="16"/>
    </row>
    <row r="899" spans="18:45" x14ac:dyDescent="0.35">
      <c r="R899" s="191"/>
      <c r="S899" s="191"/>
      <c r="T899" s="193"/>
      <c r="U899" s="191"/>
      <c r="V899" s="194"/>
      <c r="W899" s="191"/>
      <c r="Y899" s="191"/>
      <c r="Z899" s="191"/>
      <c r="AA899" s="191"/>
      <c r="AB899" s="191"/>
      <c r="AC899" s="191"/>
      <c r="AD899" s="16"/>
      <c r="AE899" s="16"/>
      <c r="AF899" s="16"/>
      <c r="AG899" s="16"/>
      <c r="AH899" s="16"/>
      <c r="AI899" s="16"/>
      <c r="AJ899" s="16"/>
      <c r="AK899" s="16"/>
      <c r="AL899" s="16"/>
      <c r="AM899" s="16"/>
      <c r="AN899" s="16"/>
      <c r="AO899" s="16"/>
      <c r="AP899" s="16"/>
      <c r="AQ899" s="16"/>
      <c r="AR899" s="16"/>
      <c r="AS899" s="16"/>
    </row>
    <row r="900" spans="18:45" x14ac:dyDescent="0.35">
      <c r="R900" s="191"/>
      <c r="S900" s="191"/>
      <c r="T900" s="193"/>
      <c r="U900" s="191"/>
      <c r="V900" s="194"/>
      <c r="W900" s="191"/>
      <c r="Y900" s="191"/>
      <c r="Z900" s="191"/>
      <c r="AA900" s="191"/>
      <c r="AB900" s="191"/>
      <c r="AC900" s="191"/>
      <c r="AD900" s="16"/>
      <c r="AE900" s="16"/>
      <c r="AF900" s="16"/>
      <c r="AG900" s="16"/>
      <c r="AH900" s="16"/>
      <c r="AI900" s="16"/>
      <c r="AJ900" s="16"/>
      <c r="AK900" s="16"/>
      <c r="AL900" s="16"/>
      <c r="AM900" s="16"/>
      <c r="AN900" s="16"/>
      <c r="AO900" s="16"/>
      <c r="AP900" s="16"/>
      <c r="AQ900" s="16"/>
      <c r="AR900" s="16"/>
      <c r="AS900" s="16"/>
    </row>
    <row r="901" spans="18:45" x14ac:dyDescent="0.35">
      <c r="R901" s="191"/>
      <c r="S901" s="191"/>
      <c r="T901" s="193"/>
      <c r="U901" s="191"/>
      <c r="V901" s="194"/>
      <c r="W901" s="191"/>
      <c r="Y901" s="191"/>
      <c r="Z901" s="191"/>
      <c r="AA901" s="191"/>
      <c r="AB901" s="191"/>
      <c r="AC901" s="191"/>
      <c r="AD901" s="16"/>
      <c r="AE901" s="16"/>
      <c r="AF901" s="16"/>
      <c r="AG901" s="16"/>
      <c r="AH901" s="16"/>
      <c r="AI901" s="16"/>
      <c r="AJ901" s="16"/>
      <c r="AK901" s="16"/>
      <c r="AL901" s="16"/>
      <c r="AM901" s="16"/>
      <c r="AN901" s="16"/>
      <c r="AO901" s="16"/>
      <c r="AP901" s="16"/>
      <c r="AQ901" s="16"/>
      <c r="AR901" s="16"/>
      <c r="AS901" s="16"/>
    </row>
    <row r="902" spans="18:45" x14ac:dyDescent="0.35">
      <c r="R902" s="191"/>
      <c r="S902" s="191"/>
      <c r="T902" s="193"/>
      <c r="U902" s="191"/>
      <c r="V902" s="194"/>
      <c r="W902" s="191"/>
      <c r="Y902" s="191"/>
      <c r="Z902" s="191"/>
      <c r="AA902" s="191"/>
      <c r="AB902" s="191"/>
      <c r="AC902" s="191"/>
      <c r="AD902" s="16"/>
      <c r="AE902" s="16"/>
      <c r="AF902" s="16"/>
      <c r="AG902" s="16"/>
      <c r="AH902" s="16"/>
      <c r="AI902" s="16"/>
      <c r="AJ902" s="16"/>
      <c r="AK902" s="16"/>
      <c r="AL902" s="16"/>
      <c r="AM902" s="16"/>
      <c r="AN902" s="16"/>
      <c r="AO902" s="16"/>
      <c r="AP902" s="16"/>
      <c r="AQ902" s="16"/>
      <c r="AR902" s="16"/>
      <c r="AS902" s="16"/>
    </row>
    <row r="903" spans="18:45" x14ac:dyDescent="0.35">
      <c r="R903" s="191"/>
      <c r="S903" s="191"/>
      <c r="T903" s="193"/>
      <c r="U903" s="191"/>
      <c r="V903" s="194"/>
      <c r="W903" s="191"/>
      <c r="Y903" s="191"/>
      <c r="Z903" s="191"/>
      <c r="AA903" s="191"/>
      <c r="AB903" s="191"/>
      <c r="AC903" s="191"/>
      <c r="AD903" s="16"/>
      <c r="AE903" s="16"/>
      <c r="AF903" s="16"/>
      <c r="AG903" s="16"/>
      <c r="AH903" s="16"/>
      <c r="AI903" s="16"/>
      <c r="AJ903" s="16"/>
      <c r="AK903" s="16"/>
      <c r="AL903" s="16"/>
      <c r="AM903" s="16"/>
      <c r="AN903" s="16"/>
      <c r="AO903" s="16"/>
      <c r="AP903" s="16"/>
      <c r="AQ903" s="16"/>
      <c r="AR903" s="16"/>
      <c r="AS903" s="16"/>
    </row>
    <row r="904" spans="18:45" x14ac:dyDescent="0.35">
      <c r="R904" s="191"/>
      <c r="S904" s="191"/>
      <c r="T904" s="193"/>
      <c r="U904" s="191"/>
      <c r="V904" s="194"/>
      <c r="W904" s="191"/>
      <c r="Y904" s="191"/>
      <c r="Z904" s="191"/>
      <c r="AA904" s="191"/>
      <c r="AB904" s="191"/>
      <c r="AC904" s="191"/>
      <c r="AD904" s="16"/>
      <c r="AE904" s="16"/>
      <c r="AF904" s="16"/>
      <c r="AG904" s="16"/>
      <c r="AH904" s="16"/>
      <c r="AI904" s="16"/>
      <c r="AJ904" s="16"/>
      <c r="AK904" s="16"/>
      <c r="AL904" s="16"/>
      <c r="AM904" s="16"/>
      <c r="AN904" s="16"/>
      <c r="AO904" s="16"/>
      <c r="AP904" s="16"/>
      <c r="AQ904" s="16"/>
      <c r="AR904" s="16"/>
      <c r="AS904" s="16"/>
    </row>
    <row r="905" spans="18:45" x14ac:dyDescent="0.35">
      <c r="R905" s="191"/>
      <c r="S905" s="191"/>
      <c r="T905" s="193"/>
      <c r="U905" s="191"/>
      <c r="V905" s="194"/>
      <c r="W905" s="191"/>
      <c r="Y905" s="191"/>
      <c r="Z905" s="191"/>
      <c r="AA905" s="191"/>
      <c r="AB905" s="191"/>
      <c r="AC905" s="191"/>
      <c r="AD905" s="16"/>
      <c r="AE905" s="16"/>
      <c r="AF905" s="16"/>
      <c r="AG905" s="16"/>
      <c r="AH905" s="16"/>
      <c r="AI905" s="16"/>
      <c r="AJ905" s="16"/>
      <c r="AK905" s="16"/>
      <c r="AL905" s="16"/>
      <c r="AM905" s="16"/>
      <c r="AN905" s="16"/>
      <c r="AO905" s="16"/>
      <c r="AP905" s="16"/>
      <c r="AQ905" s="16"/>
      <c r="AR905" s="16"/>
      <c r="AS905" s="16"/>
    </row>
    <row r="906" spans="18:45" x14ac:dyDescent="0.35">
      <c r="R906" s="191"/>
      <c r="S906" s="191"/>
      <c r="T906" s="193"/>
      <c r="U906" s="191"/>
      <c r="V906" s="194"/>
      <c r="W906" s="191"/>
      <c r="Y906" s="191"/>
      <c r="Z906" s="191"/>
      <c r="AA906" s="191"/>
      <c r="AB906" s="191"/>
      <c r="AC906" s="191"/>
      <c r="AD906" s="16"/>
      <c r="AE906" s="16"/>
      <c r="AF906" s="16"/>
      <c r="AG906" s="16"/>
      <c r="AH906" s="16"/>
      <c r="AI906" s="16"/>
      <c r="AJ906" s="16"/>
      <c r="AK906" s="16"/>
      <c r="AL906" s="16"/>
      <c r="AM906" s="16"/>
      <c r="AN906" s="16"/>
      <c r="AO906" s="16"/>
      <c r="AP906" s="16"/>
      <c r="AQ906" s="16"/>
      <c r="AR906" s="16"/>
      <c r="AS906" s="16"/>
    </row>
    <row r="907" spans="18:45" x14ac:dyDescent="0.35">
      <c r="R907" s="191"/>
      <c r="S907" s="191"/>
      <c r="T907" s="193"/>
      <c r="U907" s="191"/>
      <c r="V907" s="194"/>
      <c r="W907" s="191"/>
      <c r="Y907" s="191"/>
      <c r="Z907" s="191"/>
      <c r="AA907" s="191"/>
      <c r="AB907" s="191"/>
      <c r="AC907" s="191"/>
      <c r="AD907" s="16"/>
      <c r="AE907" s="16"/>
      <c r="AF907" s="16"/>
      <c r="AG907" s="16"/>
      <c r="AH907" s="16"/>
      <c r="AI907" s="16"/>
      <c r="AJ907" s="16"/>
      <c r="AK907" s="16"/>
      <c r="AL907" s="16"/>
      <c r="AM907" s="16"/>
      <c r="AN907" s="16"/>
      <c r="AO907" s="16"/>
      <c r="AP907" s="16"/>
      <c r="AQ907" s="16"/>
      <c r="AR907" s="16"/>
      <c r="AS907" s="16"/>
    </row>
    <row r="908" spans="18:45" x14ac:dyDescent="0.35">
      <c r="R908" s="191"/>
      <c r="S908" s="191"/>
      <c r="T908" s="193"/>
      <c r="U908" s="191"/>
      <c r="V908" s="194"/>
      <c r="W908" s="191"/>
      <c r="Y908" s="191"/>
      <c r="Z908" s="191"/>
      <c r="AA908" s="191"/>
      <c r="AB908" s="191"/>
      <c r="AC908" s="191"/>
      <c r="AD908" s="16"/>
      <c r="AE908" s="16"/>
      <c r="AF908" s="16"/>
      <c r="AG908" s="16"/>
      <c r="AH908" s="16"/>
      <c r="AI908" s="16"/>
      <c r="AJ908" s="16"/>
      <c r="AK908" s="16"/>
      <c r="AL908" s="16"/>
      <c r="AM908" s="16"/>
      <c r="AN908" s="16"/>
      <c r="AO908" s="16"/>
      <c r="AP908" s="16"/>
      <c r="AQ908" s="16"/>
      <c r="AR908" s="16"/>
      <c r="AS908" s="16"/>
    </row>
    <row r="909" spans="18:45" x14ac:dyDescent="0.35">
      <c r="R909" s="191"/>
      <c r="S909" s="191"/>
      <c r="T909" s="193"/>
      <c r="U909" s="191"/>
      <c r="V909" s="194"/>
      <c r="W909" s="191"/>
      <c r="Y909" s="191"/>
      <c r="Z909" s="191"/>
      <c r="AA909" s="191"/>
      <c r="AB909" s="191"/>
      <c r="AC909" s="191"/>
      <c r="AD909" s="16"/>
      <c r="AE909" s="16"/>
      <c r="AF909" s="16"/>
      <c r="AG909" s="16"/>
      <c r="AH909" s="16"/>
      <c r="AI909" s="16"/>
      <c r="AJ909" s="16"/>
      <c r="AK909" s="16"/>
      <c r="AL909" s="16"/>
      <c r="AM909" s="16"/>
      <c r="AN909" s="16"/>
      <c r="AO909" s="16"/>
      <c r="AP909" s="16"/>
      <c r="AQ909" s="16"/>
      <c r="AR909" s="16"/>
      <c r="AS909" s="16"/>
    </row>
    <row r="910" spans="18:45" x14ac:dyDescent="0.35">
      <c r="R910" s="191"/>
      <c r="S910" s="191"/>
      <c r="T910" s="193"/>
      <c r="U910" s="191"/>
      <c r="V910" s="194"/>
      <c r="W910" s="191"/>
      <c r="Y910" s="191"/>
      <c r="Z910" s="191"/>
      <c r="AA910" s="191"/>
      <c r="AB910" s="191"/>
      <c r="AC910" s="191"/>
      <c r="AD910" s="16"/>
      <c r="AE910" s="16"/>
      <c r="AF910" s="16"/>
      <c r="AG910" s="16"/>
      <c r="AH910" s="16"/>
      <c r="AI910" s="16"/>
      <c r="AJ910" s="16"/>
      <c r="AK910" s="16"/>
      <c r="AL910" s="16"/>
      <c r="AM910" s="16"/>
      <c r="AN910" s="16"/>
      <c r="AO910" s="16"/>
      <c r="AP910" s="16"/>
      <c r="AQ910" s="16"/>
      <c r="AR910" s="16"/>
      <c r="AS910" s="16"/>
    </row>
    <row r="911" spans="18:45" x14ac:dyDescent="0.35">
      <c r="R911" s="191"/>
      <c r="S911" s="191"/>
      <c r="T911" s="193"/>
      <c r="U911" s="191"/>
      <c r="V911" s="194"/>
      <c r="W911" s="191"/>
      <c r="Y911" s="191"/>
      <c r="Z911" s="191"/>
      <c r="AA911" s="191"/>
      <c r="AB911" s="191"/>
      <c r="AC911" s="191"/>
      <c r="AD911" s="16"/>
      <c r="AE911" s="16"/>
      <c r="AF911" s="16"/>
      <c r="AG911" s="16"/>
      <c r="AH911" s="16"/>
      <c r="AI911" s="16"/>
      <c r="AJ911" s="16"/>
      <c r="AK911" s="16"/>
      <c r="AL911" s="16"/>
      <c r="AM911" s="16"/>
      <c r="AN911" s="16"/>
      <c r="AO911" s="16"/>
      <c r="AP911" s="16"/>
      <c r="AQ911" s="16"/>
      <c r="AR911" s="16"/>
      <c r="AS911" s="16"/>
    </row>
    <row r="912" spans="18:45" x14ac:dyDescent="0.35">
      <c r="R912" s="191"/>
      <c r="S912" s="191"/>
      <c r="T912" s="193"/>
      <c r="U912" s="191"/>
      <c r="V912" s="194"/>
      <c r="W912" s="191"/>
      <c r="Y912" s="191"/>
      <c r="Z912" s="191"/>
      <c r="AA912" s="191"/>
      <c r="AB912" s="191"/>
      <c r="AC912" s="191"/>
      <c r="AD912" s="16"/>
      <c r="AE912" s="16"/>
      <c r="AF912" s="16"/>
      <c r="AG912" s="16"/>
      <c r="AH912" s="16"/>
      <c r="AI912" s="16"/>
      <c r="AJ912" s="16"/>
      <c r="AK912" s="16"/>
      <c r="AL912" s="16"/>
      <c r="AM912" s="16"/>
      <c r="AN912" s="16"/>
      <c r="AO912" s="16"/>
      <c r="AP912" s="16"/>
      <c r="AQ912" s="16"/>
      <c r="AR912" s="16"/>
      <c r="AS912" s="16"/>
    </row>
    <row r="913" spans="18:45" x14ac:dyDescent="0.35">
      <c r="R913" s="191"/>
      <c r="S913" s="191"/>
      <c r="T913" s="193"/>
      <c r="U913" s="191"/>
      <c r="V913" s="194"/>
      <c r="W913" s="191"/>
      <c r="Y913" s="191"/>
      <c r="Z913" s="191"/>
      <c r="AA913" s="191"/>
      <c r="AB913" s="191"/>
      <c r="AC913" s="191"/>
      <c r="AD913" s="16"/>
      <c r="AE913" s="16"/>
      <c r="AF913" s="16"/>
      <c r="AG913" s="16"/>
      <c r="AH913" s="16"/>
      <c r="AI913" s="16"/>
      <c r="AJ913" s="16"/>
      <c r="AK913" s="16"/>
      <c r="AL913" s="16"/>
      <c r="AM913" s="16"/>
      <c r="AN913" s="16"/>
      <c r="AO913" s="16"/>
      <c r="AP913" s="16"/>
      <c r="AQ913" s="16"/>
      <c r="AR913" s="16"/>
      <c r="AS913" s="16"/>
    </row>
    <row r="914" spans="18:45" x14ac:dyDescent="0.35">
      <c r="R914" s="191"/>
      <c r="S914" s="191"/>
      <c r="T914" s="193"/>
      <c r="U914" s="191"/>
      <c r="V914" s="194"/>
      <c r="W914" s="191"/>
      <c r="Y914" s="191"/>
      <c r="Z914" s="191"/>
      <c r="AA914" s="191"/>
      <c r="AB914" s="191"/>
      <c r="AC914" s="191"/>
      <c r="AD914" s="16"/>
      <c r="AE914" s="16"/>
      <c r="AF914" s="16"/>
      <c r="AG914" s="16"/>
      <c r="AH914" s="16"/>
      <c r="AI914" s="16"/>
      <c r="AJ914" s="16"/>
      <c r="AK914" s="16"/>
      <c r="AL914" s="16"/>
      <c r="AM914" s="16"/>
      <c r="AN914" s="16"/>
      <c r="AO914" s="16"/>
      <c r="AP914" s="16"/>
      <c r="AQ914" s="16"/>
      <c r="AR914" s="16"/>
      <c r="AS914" s="16"/>
    </row>
    <row r="915" spans="18:45" x14ac:dyDescent="0.35">
      <c r="R915" s="191"/>
      <c r="S915" s="191"/>
      <c r="T915" s="193"/>
      <c r="U915" s="191"/>
      <c r="V915" s="194"/>
      <c r="W915" s="191"/>
      <c r="Y915" s="191"/>
      <c r="Z915" s="191"/>
      <c r="AA915" s="191"/>
      <c r="AB915" s="191"/>
      <c r="AC915" s="191"/>
      <c r="AD915" s="16"/>
      <c r="AE915" s="16"/>
      <c r="AF915" s="16"/>
      <c r="AG915" s="16"/>
      <c r="AH915" s="16"/>
      <c r="AI915" s="16"/>
      <c r="AJ915" s="16"/>
      <c r="AK915" s="16"/>
      <c r="AL915" s="16"/>
      <c r="AM915" s="16"/>
      <c r="AN915" s="16"/>
      <c r="AO915" s="16"/>
      <c r="AP915" s="16"/>
      <c r="AQ915" s="16"/>
      <c r="AR915" s="16"/>
      <c r="AS915" s="16"/>
    </row>
    <row r="916" spans="18:45" x14ac:dyDescent="0.35">
      <c r="R916" s="191"/>
      <c r="S916" s="191"/>
      <c r="T916" s="193"/>
      <c r="U916" s="191"/>
      <c r="V916" s="194"/>
      <c r="W916" s="191"/>
      <c r="Y916" s="191"/>
      <c r="Z916" s="191"/>
      <c r="AA916" s="191"/>
      <c r="AB916" s="191"/>
      <c r="AC916" s="191"/>
      <c r="AD916" s="16"/>
      <c r="AE916" s="16"/>
      <c r="AF916" s="16"/>
      <c r="AG916" s="16"/>
      <c r="AH916" s="16"/>
      <c r="AI916" s="16"/>
      <c r="AJ916" s="16"/>
      <c r="AK916" s="16"/>
      <c r="AL916" s="16"/>
      <c r="AM916" s="16"/>
      <c r="AN916" s="16"/>
      <c r="AO916" s="16"/>
      <c r="AP916" s="16"/>
      <c r="AQ916" s="16"/>
      <c r="AR916" s="16"/>
      <c r="AS916" s="16"/>
    </row>
    <row r="917" spans="18:45" x14ac:dyDescent="0.35">
      <c r="R917" s="191"/>
      <c r="S917" s="191"/>
      <c r="T917" s="193"/>
      <c r="U917" s="191"/>
      <c r="V917" s="194"/>
      <c r="W917" s="191"/>
      <c r="Y917" s="191"/>
      <c r="Z917" s="191"/>
      <c r="AA917" s="191"/>
      <c r="AB917" s="191"/>
      <c r="AC917" s="191"/>
      <c r="AD917" s="16"/>
      <c r="AE917" s="16"/>
      <c r="AF917" s="16"/>
      <c r="AG917" s="16"/>
      <c r="AH917" s="16"/>
      <c r="AI917" s="16"/>
      <c r="AJ917" s="16"/>
      <c r="AK917" s="16"/>
      <c r="AL917" s="16"/>
      <c r="AM917" s="16"/>
      <c r="AN917" s="16"/>
      <c r="AO917" s="16"/>
      <c r="AP917" s="16"/>
      <c r="AQ917" s="16"/>
      <c r="AR917" s="16"/>
      <c r="AS917" s="16"/>
    </row>
    <row r="918" spans="18:45" x14ac:dyDescent="0.35">
      <c r="R918" s="191"/>
      <c r="S918" s="191"/>
      <c r="T918" s="193"/>
      <c r="U918" s="191"/>
      <c r="V918" s="194"/>
      <c r="W918" s="191"/>
      <c r="Y918" s="191"/>
      <c r="Z918" s="191"/>
      <c r="AA918" s="191"/>
      <c r="AB918" s="191"/>
      <c r="AC918" s="191"/>
      <c r="AD918" s="16"/>
      <c r="AE918" s="16"/>
      <c r="AF918" s="16"/>
      <c r="AG918" s="16"/>
      <c r="AH918" s="16"/>
      <c r="AI918" s="16"/>
      <c r="AJ918" s="16"/>
      <c r="AK918" s="16"/>
      <c r="AL918" s="16"/>
      <c r="AM918" s="16"/>
      <c r="AN918" s="16"/>
      <c r="AO918" s="16"/>
      <c r="AP918" s="16"/>
      <c r="AQ918" s="16"/>
      <c r="AR918" s="16"/>
      <c r="AS918" s="16"/>
    </row>
    <row r="919" spans="18:45" x14ac:dyDescent="0.35">
      <c r="R919" s="191"/>
      <c r="S919" s="191"/>
      <c r="T919" s="193"/>
      <c r="U919" s="191"/>
      <c r="V919" s="194"/>
      <c r="W919" s="191"/>
      <c r="Y919" s="191"/>
      <c r="Z919" s="191"/>
      <c r="AA919" s="191"/>
      <c r="AB919" s="191"/>
      <c r="AC919" s="191"/>
      <c r="AD919" s="16"/>
      <c r="AE919" s="16"/>
      <c r="AF919" s="16"/>
      <c r="AG919" s="16"/>
      <c r="AH919" s="16"/>
      <c r="AI919" s="16"/>
      <c r="AJ919" s="16"/>
      <c r="AK919" s="16"/>
      <c r="AL919" s="16"/>
      <c r="AM919" s="16"/>
      <c r="AN919" s="16"/>
      <c r="AO919" s="16"/>
      <c r="AP919" s="16"/>
      <c r="AQ919" s="16"/>
      <c r="AR919" s="16"/>
      <c r="AS919" s="16"/>
    </row>
    <row r="920" spans="18:45" x14ac:dyDescent="0.35">
      <c r="R920" s="191"/>
      <c r="S920" s="191"/>
      <c r="T920" s="193"/>
      <c r="U920" s="191"/>
      <c r="V920" s="194"/>
      <c r="W920" s="191"/>
      <c r="Y920" s="191"/>
      <c r="Z920" s="191"/>
      <c r="AA920" s="191"/>
      <c r="AB920" s="191"/>
      <c r="AC920" s="191"/>
      <c r="AD920" s="16"/>
      <c r="AE920" s="16"/>
      <c r="AF920" s="16"/>
      <c r="AG920" s="16"/>
      <c r="AH920" s="16"/>
      <c r="AI920" s="16"/>
      <c r="AJ920" s="16"/>
      <c r="AK920" s="16"/>
      <c r="AL920" s="16"/>
      <c r="AM920" s="16"/>
      <c r="AN920" s="16"/>
      <c r="AO920" s="16"/>
      <c r="AP920" s="16"/>
      <c r="AQ920" s="16"/>
      <c r="AR920" s="16"/>
      <c r="AS920" s="16"/>
    </row>
    <row r="921" spans="18:45" x14ac:dyDescent="0.35">
      <c r="R921" s="191"/>
      <c r="S921" s="191"/>
      <c r="T921" s="193"/>
      <c r="U921" s="191"/>
      <c r="V921" s="194"/>
      <c r="W921" s="191"/>
      <c r="Y921" s="191"/>
      <c r="Z921" s="191"/>
      <c r="AA921" s="191"/>
      <c r="AB921" s="191"/>
      <c r="AC921" s="191"/>
      <c r="AD921" s="16"/>
      <c r="AE921" s="16"/>
      <c r="AF921" s="16"/>
      <c r="AG921" s="16"/>
      <c r="AH921" s="16"/>
      <c r="AI921" s="16"/>
      <c r="AJ921" s="16"/>
      <c r="AK921" s="16"/>
      <c r="AL921" s="16"/>
      <c r="AM921" s="16"/>
      <c r="AN921" s="16"/>
      <c r="AO921" s="16"/>
      <c r="AP921" s="16"/>
      <c r="AQ921" s="16"/>
      <c r="AR921" s="16"/>
      <c r="AS921" s="16"/>
    </row>
    <row r="922" spans="18:45" x14ac:dyDescent="0.35">
      <c r="R922" s="191"/>
      <c r="S922" s="191"/>
      <c r="T922" s="193"/>
      <c r="U922" s="191"/>
      <c r="V922" s="194"/>
      <c r="W922" s="191"/>
      <c r="Y922" s="191"/>
      <c r="Z922" s="191"/>
      <c r="AA922" s="191"/>
      <c r="AB922" s="191"/>
      <c r="AC922" s="191"/>
      <c r="AD922" s="16"/>
      <c r="AE922" s="16"/>
      <c r="AF922" s="16"/>
      <c r="AG922" s="16"/>
      <c r="AH922" s="16"/>
      <c r="AI922" s="16"/>
      <c r="AJ922" s="16"/>
      <c r="AK922" s="16"/>
      <c r="AL922" s="16"/>
      <c r="AM922" s="16"/>
      <c r="AN922" s="16"/>
      <c r="AO922" s="16"/>
      <c r="AP922" s="16"/>
      <c r="AQ922" s="16"/>
      <c r="AR922" s="16"/>
      <c r="AS922" s="16"/>
    </row>
    <row r="923" spans="18:45" x14ac:dyDescent="0.35">
      <c r="R923" s="191"/>
      <c r="S923" s="191"/>
      <c r="T923" s="193"/>
      <c r="U923" s="191"/>
      <c r="V923" s="194"/>
      <c r="W923" s="191"/>
      <c r="Y923" s="191"/>
      <c r="Z923" s="191"/>
      <c r="AA923" s="191"/>
      <c r="AB923" s="191"/>
      <c r="AC923" s="191"/>
      <c r="AD923" s="16"/>
      <c r="AE923" s="16"/>
      <c r="AF923" s="16"/>
      <c r="AG923" s="16"/>
      <c r="AH923" s="16"/>
      <c r="AI923" s="16"/>
      <c r="AJ923" s="16"/>
      <c r="AK923" s="16"/>
      <c r="AL923" s="16"/>
      <c r="AM923" s="16"/>
      <c r="AN923" s="16"/>
      <c r="AO923" s="16"/>
      <c r="AP923" s="16"/>
      <c r="AQ923" s="16"/>
      <c r="AR923" s="16"/>
      <c r="AS923" s="16"/>
    </row>
    <row r="924" spans="18:45" x14ac:dyDescent="0.35">
      <c r="R924" s="191"/>
      <c r="S924" s="191"/>
      <c r="T924" s="193"/>
      <c r="U924" s="191"/>
      <c r="V924" s="194"/>
      <c r="W924" s="191"/>
      <c r="Y924" s="191"/>
      <c r="Z924" s="191"/>
      <c r="AA924" s="191"/>
      <c r="AB924" s="191"/>
      <c r="AC924" s="191"/>
      <c r="AD924" s="16"/>
      <c r="AE924" s="16"/>
      <c r="AF924" s="16"/>
      <c r="AG924" s="16"/>
      <c r="AH924" s="16"/>
      <c r="AI924" s="16"/>
      <c r="AJ924" s="16"/>
      <c r="AK924" s="16"/>
      <c r="AL924" s="16"/>
      <c r="AM924" s="16"/>
      <c r="AN924" s="16"/>
      <c r="AO924" s="16"/>
      <c r="AP924" s="16"/>
      <c r="AQ924" s="16"/>
      <c r="AR924" s="16"/>
      <c r="AS924" s="16"/>
    </row>
    <row r="925" spans="18:45" x14ac:dyDescent="0.35">
      <c r="R925" s="191"/>
      <c r="S925" s="191"/>
      <c r="T925" s="193"/>
      <c r="U925" s="191"/>
      <c r="V925" s="194"/>
      <c r="W925" s="191"/>
      <c r="Y925" s="191"/>
      <c r="Z925" s="191"/>
      <c r="AA925" s="191"/>
      <c r="AB925" s="191"/>
      <c r="AC925" s="191"/>
      <c r="AD925" s="16"/>
      <c r="AE925" s="16"/>
      <c r="AF925" s="16"/>
      <c r="AG925" s="16"/>
      <c r="AH925" s="16"/>
      <c r="AI925" s="16"/>
      <c r="AJ925" s="16"/>
      <c r="AK925" s="16"/>
      <c r="AL925" s="16"/>
      <c r="AM925" s="16"/>
      <c r="AN925" s="16"/>
      <c r="AO925" s="16"/>
      <c r="AP925" s="16"/>
      <c r="AQ925" s="16"/>
      <c r="AR925" s="16"/>
      <c r="AS925" s="16"/>
    </row>
    <row r="926" spans="18:45" x14ac:dyDescent="0.35">
      <c r="R926" s="191"/>
      <c r="S926" s="191"/>
      <c r="T926" s="193"/>
      <c r="U926" s="191"/>
      <c r="V926" s="194"/>
      <c r="W926" s="191"/>
      <c r="Y926" s="191"/>
      <c r="Z926" s="191"/>
      <c r="AA926" s="191"/>
      <c r="AB926" s="191"/>
      <c r="AC926" s="191"/>
      <c r="AD926" s="16"/>
      <c r="AE926" s="16"/>
      <c r="AF926" s="16"/>
      <c r="AG926" s="16"/>
      <c r="AH926" s="16"/>
      <c r="AI926" s="16"/>
      <c r="AJ926" s="16"/>
      <c r="AK926" s="16"/>
      <c r="AL926" s="16"/>
      <c r="AM926" s="16"/>
      <c r="AN926" s="16"/>
      <c r="AO926" s="16"/>
      <c r="AP926" s="16"/>
      <c r="AQ926" s="16"/>
      <c r="AR926" s="16"/>
      <c r="AS926" s="16"/>
    </row>
    <row r="927" spans="18:45" x14ac:dyDescent="0.35">
      <c r="R927" s="191"/>
      <c r="S927" s="191"/>
      <c r="T927" s="193"/>
      <c r="U927" s="191"/>
      <c r="V927" s="194"/>
      <c r="W927" s="191"/>
      <c r="Y927" s="191"/>
      <c r="Z927" s="191"/>
      <c r="AA927" s="191"/>
      <c r="AB927" s="191"/>
      <c r="AC927" s="191"/>
      <c r="AD927" s="16"/>
      <c r="AE927" s="16"/>
      <c r="AF927" s="16"/>
      <c r="AG927" s="16"/>
      <c r="AH927" s="16"/>
      <c r="AI927" s="16"/>
      <c r="AJ927" s="16"/>
      <c r="AK927" s="16"/>
      <c r="AL927" s="16"/>
      <c r="AM927" s="16"/>
      <c r="AN927" s="16"/>
      <c r="AO927" s="16"/>
      <c r="AP927" s="16"/>
      <c r="AQ927" s="16"/>
      <c r="AR927" s="16"/>
      <c r="AS927" s="16"/>
    </row>
    <row r="928" spans="18:45" x14ac:dyDescent="0.35">
      <c r="R928" s="191"/>
      <c r="S928" s="191"/>
      <c r="T928" s="193"/>
      <c r="U928" s="191"/>
      <c r="V928" s="194"/>
      <c r="W928" s="191"/>
      <c r="Y928" s="191"/>
      <c r="Z928" s="191"/>
      <c r="AA928" s="191"/>
      <c r="AB928" s="191"/>
      <c r="AC928" s="191"/>
      <c r="AD928" s="16"/>
      <c r="AE928" s="16"/>
      <c r="AF928" s="16"/>
      <c r="AG928" s="16"/>
      <c r="AH928" s="16"/>
      <c r="AI928" s="16"/>
      <c r="AJ928" s="16"/>
      <c r="AK928" s="16"/>
      <c r="AL928" s="16"/>
      <c r="AM928" s="16"/>
      <c r="AN928" s="16"/>
      <c r="AO928" s="16"/>
      <c r="AP928" s="16"/>
      <c r="AQ928" s="16"/>
      <c r="AR928" s="16"/>
      <c r="AS928" s="16"/>
    </row>
    <row r="929" spans="18:45" x14ac:dyDescent="0.35">
      <c r="R929" s="191"/>
      <c r="S929" s="191"/>
      <c r="T929" s="193"/>
      <c r="U929" s="191"/>
      <c r="V929" s="194"/>
      <c r="W929" s="191"/>
      <c r="Y929" s="191"/>
      <c r="Z929" s="191"/>
      <c r="AA929" s="191"/>
      <c r="AB929" s="191"/>
      <c r="AC929" s="191"/>
      <c r="AD929" s="16"/>
      <c r="AE929" s="16"/>
      <c r="AF929" s="16"/>
      <c r="AG929" s="16"/>
      <c r="AH929" s="16"/>
      <c r="AI929" s="16"/>
      <c r="AJ929" s="16"/>
      <c r="AK929" s="16"/>
      <c r="AL929" s="16"/>
      <c r="AM929" s="16"/>
      <c r="AN929" s="16"/>
      <c r="AO929" s="16"/>
      <c r="AP929" s="16"/>
      <c r="AQ929" s="16"/>
      <c r="AR929" s="16"/>
      <c r="AS929" s="16"/>
    </row>
    <row r="930" spans="18:45" x14ac:dyDescent="0.35">
      <c r="R930" s="191"/>
      <c r="S930" s="191"/>
      <c r="T930" s="193"/>
      <c r="U930" s="191"/>
      <c r="V930" s="194"/>
      <c r="W930" s="191"/>
      <c r="Y930" s="191"/>
      <c r="Z930" s="191"/>
      <c r="AA930" s="191"/>
      <c r="AB930" s="191"/>
      <c r="AC930" s="191"/>
      <c r="AD930" s="16"/>
      <c r="AE930" s="16"/>
      <c r="AF930" s="16"/>
      <c r="AG930" s="16"/>
      <c r="AH930" s="16"/>
      <c r="AI930" s="16"/>
      <c r="AJ930" s="16"/>
      <c r="AK930" s="16"/>
      <c r="AL930" s="16"/>
      <c r="AM930" s="16"/>
      <c r="AN930" s="16"/>
      <c r="AO930" s="16"/>
      <c r="AP930" s="16"/>
      <c r="AQ930" s="16"/>
      <c r="AR930" s="16"/>
      <c r="AS930" s="16"/>
    </row>
    <row r="931" spans="18:45" x14ac:dyDescent="0.35">
      <c r="R931" s="191"/>
      <c r="S931" s="191"/>
      <c r="T931" s="193"/>
      <c r="U931" s="191"/>
      <c r="V931" s="194"/>
      <c r="W931" s="191"/>
      <c r="Y931" s="191"/>
      <c r="Z931" s="191"/>
      <c r="AA931" s="191"/>
      <c r="AB931" s="191"/>
      <c r="AC931" s="191"/>
      <c r="AD931" s="16"/>
      <c r="AE931" s="16"/>
      <c r="AF931" s="16"/>
      <c r="AG931" s="16"/>
      <c r="AH931" s="16"/>
      <c r="AI931" s="16"/>
      <c r="AJ931" s="16"/>
      <c r="AK931" s="16"/>
      <c r="AL931" s="16"/>
      <c r="AM931" s="16"/>
      <c r="AN931" s="16"/>
      <c r="AO931" s="16"/>
      <c r="AP931" s="16"/>
      <c r="AQ931" s="16"/>
      <c r="AR931" s="16"/>
      <c r="AS931" s="16"/>
    </row>
    <row r="932" spans="18:45" x14ac:dyDescent="0.35">
      <c r="R932" s="191"/>
      <c r="S932" s="191"/>
      <c r="T932" s="193"/>
      <c r="U932" s="191"/>
      <c r="V932" s="194"/>
      <c r="W932" s="191"/>
      <c r="Y932" s="191"/>
      <c r="Z932" s="191"/>
      <c r="AA932" s="191"/>
      <c r="AB932" s="191"/>
      <c r="AC932" s="191"/>
      <c r="AD932" s="16"/>
      <c r="AE932" s="16"/>
      <c r="AF932" s="16"/>
      <c r="AG932" s="16"/>
      <c r="AH932" s="16"/>
      <c r="AI932" s="16"/>
      <c r="AJ932" s="16"/>
      <c r="AK932" s="16"/>
      <c r="AL932" s="16"/>
      <c r="AM932" s="16"/>
      <c r="AN932" s="16"/>
      <c r="AO932" s="16"/>
      <c r="AP932" s="16"/>
      <c r="AQ932" s="16"/>
      <c r="AR932" s="16"/>
      <c r="AS932" s="16"/>
    </row>
    <row r="933" spans="18:45" x14ac:dyDescent="0.35">
      <c r="R933" s="191"/>
      <c r="S933" s="191"/>
      <c r="T933" s="193"/>
      <c r="U933" s="191"/>
      <c r="V933" s="194"/>
      <c r="W933" s="191"/>
      <c r="Y933" s="191"/>
      <c r="Z933" s="191"/>
      <c r="AA933" s="191"/>
      <c r="AB933" s="191"/>
      <c r="AC933" s="191"/>
      <c r="AD933" s="16"/>
      <c r="AE933" s="16"/>
      <c r="AF933" s="16"/>
      <c r="AG933" s="16"/>
      <c r="AH933" s="16"/>
      <c r="AI933" s="16"/>
      <c r="AJ933" s="16"/>
      <c r="AK933" s="16"/>
      <c r="AL933" s="16"/>
      <c r="AM933" s="16"/>
      <c r="AN933" s="16"/>
      <c r="AO933" s="16"/>
      <c r="AP933" s="16"/>
      <c r="AQ933" s="16"/>
      <c r="AR933" s="16"/>
      <c r="AS933" s="16"/>
    </row>
    <row r="934" spans="18:45" x14ac:dyDescent="0.35">
      <c r="R934" s="191"/>
      <c r="S934" s="191"/>
      <c r="T934" s="193"/>
      <c r="U934" s="191"/>
      <c r="V934" s="194"/>
      <c r="W934" s="191"/>
      <c r="Y934" s="191"/>
      <c r="Z934" s="191"/>
      <c r="AA934" s="191"/>
      <c r="AB934" s="191"/>
      <c r="AC934" s="191"/>
      <c r="AD934" s="16"/>
      <c r="AE934" s="16"/>
      <c r="AF934" s="16"/>
      <c r="AG934" s="16"/>
      <c r="AH934" s="16"/>
      <c r="AI934" s="16"/>
      <c r="AJ934" s="16"/>
      <c r="AK934" s="16"/>
      <c r="AL934" s="16"/>
      <c r="AM934" s="16"/>
      <c r="AN934" s="16"/>
      <c r="AO934" s="16"/>
      <c r="AP934" s="16"/>
      <c r="AQ934" s="16"/>
      <c r="AR934" s="16"/>
      <c r="AS934" s="16"/>
    </row>
    <row r="935" spans="18:45" x14ac:dyDescent="0.35">
      <c r="R935" s="191"/>
      <c r="S935" s="191"/>
      <c r="T935" s="193"/>
      <c r="U935" s="191"/>
      <c r="V935" s="194"/>
      <c r="W935" s="191"/>
      <c r="Y935" s="191"/>
      <c r="Z935" s="191"/>
      <c r="AA935" s="191"/>
      <c r="AB935" s="191"/>
      <c r="AC935" s="191"/>
      <c r="AD935" s="16"/>
      <c r="AE935" s="16"/>
      <c r="AF935" s="16"/>
      <c r="AG935" s="16"/>
      <c r="AH935" s="16"/>
      <c r="AI935" s="16"/>
      <c r="AJ935" s="16"/>
      <c r="AK935" s="16"/>
      <c r="AL935" s="16"/>
      <c r="AM935" s="16"/>
      <c r="AN935" s="16"/>
      <c r="AO935" s="16"/>
      <c r="AP935" s="16"/>
      <c r="AQ935" s="16"/>
      <c r="AR935" s="16"/>
      <c r="AS935" s="16"/>
    </row>
    <row r="936" spans="18:45" x14ac:dyDescent="0.35">
      <c r="R936" s="191"/>
      <c r="S936" s="191"/>
      <c r="T936" s="193"/>
      <c r="U936" s="191"/>
      <c r="V936" s="194"/>
      <c r="W936" s="191"/>
      <c r="Y936" s="191"/>
      <c r="Z936" s="191"/>
      <c r="AA936" s="191"/>
      <c r="AB936" s="191"/>
      <c r="AC936" s="191"/>
      <c r="AD936" s="16"/>
      <c r="AE936" s="16"/>
      <c r="AF936" s="16"/>
      <c r="AG936" s="16"/>
      <c r="AH936" s="16"/>
      <c r="AI936" s="16"/>
      <c r="AJ936" s="16"/>
      <c r="AK936" s="16"/>
      <c r="AL936" s="16"/>
      <c r="AM936" s="16"/>
      <c r="AN936" s="16"/>
      <c r="AO936" s="16"/>
      <c r="AP936" s="16"/>
      <c r="AQ936" s="16"/>
      <c r="AR936" s="16"/>
      <c r="AS936" s="16"/>
    </row>
    <row r="937" spans="18:45" x14ac:dyDescent="0.35">
      <c r="R937" s="191"/>
      <c r="S937" s="191"/>
      <c r="T937" s="193"/>
      <c r="U937" s="191"/>
      <c r="V937" s="194"/>
      <c r="W937" s="191"/>
      <c r="Y937" s="191"/>
      <c r="Z937" s="191"/>
      <c r="AA937" s="191"/>
      <c r="AB937" s="191"/>
      <c r="AC937" s="191"/>
      <c r="AD937" s="16"/>
      <c r="AE937" s="16"/>
      <c r="AF937" s="16"/>
      <c r="AG937" s="16"/>
      <c r="AH937" s="16"/>
      <c r="AI937" s="16"/>
      <c r="AJ937" s="16"/>
      <c r="AK937" s="16"/>
      <c r="AL937" s="16"/>
      <c r="AM937" s="16"/>
      <c r="AN937" s="16"/>
      <c r="AO937" s="16"/>
      <c r="AP937" s="16"/>
      <c r="AQ937" s="16"/>
      <c r="AR937" s="16"/>
      <c r="AS937" s="16"/>
    </row>
    <row r="938" spans="18:45" x14ac:dyDescent="0.35">
      <c r="R938" s="191"/>
      <c r="S938" s="191"/>
      <c r="T938" s="193"/>
      <c r="U938" s="191"/>
      <c r="V938" s="194"/>
      <c r="W938" s="191"/>
      <c r="Y938" s="191"/>
      <c r="Z938" s="191"/>
      <c r="AA938" s="191"/>
      <c r="AB938" s="191"/>
      <c r="AC938" s="191"/>
      <c r="AD938" s="16"/>
      <c r="AE938" s="16"/>
      <c r="AF938" s="16"/>
      <c r="AG938" s="16"/>
      <c r="AH938" s="16"/>
      <c r="AI938" s="16"/>
      <c r="AJ938" s="16"/>
      <c r="AK938" s="16"/>
      <c r="AL938" s="16"/>
      <c r="AM938" s="16"/>
      <c r="AN938" s="16"/>
      <c r="AO938" s="16"/>
      <c r="AP938" s="16"/>
      <c r="AQ938" s="16"/>
      <c r="AR938" s="16"/>
      <c r="AS938" s="16"/>
    </row>
    <row r="939" spans="18:45" x14ac:dyDescent="0.35">
      <c r="R939" s="191"/>
      <c r="S939" s="191"/>
      <c r="T939" s="193"/>
      <c r="U939" s="191"/>
      <c r="V939" s="194"/>
      <c r="W939" s="191"/>
      <c r="Y939" s="191"/>
      <c r="Z939" s="191"/>
      <c r="AA939" s="191"/>
      <c r="AB939" s="191"/>
      <c r="AC939" s="191"/>
      <c r="AD939" s="16"/>
      <c r="AE939" s="16"/>
      <c r="AF939" s="16"/>
      <c r="AG939" s="16"/>
      <c r="AH939" s="16"/>
      <c r="AI939" s="16"/>
      <c r="AJ939" s="16"/>
      <c r="AK939" s="16"/>
      <c r="AL939" s="16"/>
      <c r="AM939" s="16"/>
      <c r="AN939" s="16"/>
      <c r="AO939" s="16"/>
      <c r="AP939" s="16"/>
      <c r="AQ939" s="16"/>
      <c r="AR939" s="16"/>
      <c r="AS939" s="16"/>
    </row>
    <row r="940" spans="18:45" x14ac:dyDescent="0.35">
      <c r="R940" s="191"/>
      <c r="S940" s="191"/>
      <c r="T940" s="193"/>
      <c r="U940" s="191"/>
      <c r="V940" s="194"/>
      <c r="W940" s="191"/>
      <c r="Y940" s="191"/>
      <c r="Z940" s="191"/>
      <c r="AA940" s="191"/>
      <c r="AB940" s="191"/>
      <c r="AC940" s="191"/>
      <c r="AD940" s="16"/>
      <c r="AE940" s="16"/>
      <c r="AF940" s="16"/>
      <c r="AG940" s="16"/>
      <c r="AH940" s="16"/>
      <c r="AI940" s="16"/>
      <c r="AJ940" s="16"/>
      <c r="AK940" s="16"/>
      <c r="AL940" s="16"/>
      <c r="AM940" s="16"/>
      <c r="AN940" s="16"/>
      <c r="AO940" s="16"/>
      <c r="AP940" s="16"/>
      <c r="AQ940" s="16"/>
      <c r="AR940" s="16"/>
      <c r="AS940" s="16"/>
    </row>
    <row r="941" spans="18:45" x14ac:dyDescent="0.35">
      <c r="R941" s="191"/>
      <c r="S941" s="191"/>
      <c r="T941" s="193"/>
      <c r="U941" s="191"/>
      <c r="V941" s="194"/>
      <c r="W941" s="191"/>
      <c r="Y941" s="191"/>
      <c r="Z941" s="191"/>
      <c r="AA941" s="191"/>
      <c r="AB941" s="191"/>
      <c r="AC941" s="191"/>
      <c r="AD941" s="16"/>
      <c r="AE941" s="16"/>
      <c r="AF941" s="16"/>
      <c r="AG941" s="16"/>
      <c r="AH941" s="16"/>
      <c r="AI941" s="16"/>
      <c r="AJ941" s="16"/>
      <c r="AK941" s="16"/>
      <c r="AL941" s="16"/>
      <c r="AM941" s="16"/>
      <c r="AN941" s="16"/>
      <c r="AO941" s="16"/>
      <c r="AP941" s="16"/>
      <c r="AQ941" s="16"/>
      <c r="AR941" s="16"/>
      <c r="AS941" s="16"/>
    </row>
    <row r="942" spans="18:45" x14ac:dyDescent="0.35">
      <c r="R942" s="191"/>
      <c r="S942" s="191"/>
      <c r="T942" s="193"/>
      <c r="U942" s="191"/>
      <c r="V942" s="194"/>
      <c r="W942" s="191"/>
      <c r="Y942" s="191"/>
      <c r="Z942" s="191"/>
      <c r="AA942" s="191"/>
      <c r="AB942" s="191"/>
      <c r="AC942" s="191"/>
      <c r="AD942" s="16"/>
      <c r="AE942" s="16"/>
      <c r="AF942" s="16"/>
      <c r="AG942" s="16"/>
      <c r="AH942" s="16"/>
      <c r="AI942" s="16"/>
      <c r="AJ942" s="16"/>
      <c r="AK942" s="16"/>
      <c r="AL942" s="16"/>
      <c r="AM942" s="16"/>
      <c r="AN942" s="16"/>
      <c r="AO942" s="16"/>
      <c r="AP942" s="16"/>
      <c r="AQ942" s="16"/>
      <c r="AR942" s="16"/>
      <c r="AS942" s="16"/>
    </row>
    <row r="943" spans="18:45" x14ac:dyDescent="0.35">
      <c r="R943" s="191"/>
      <c r="S943" s="191"/>
      <c r="T943" s="193"/>
      <c r="U943" s="191"/>
      <c r="V943" s="194"/>
      <c r="W943" s="191"/>
      <c r="Y943" s="191"/>
      <c r="Z943" s="191"/>
      <c r="AA943" s="191"/>
      <c r="AB943" s="191"/>
      <c r="AC943" s="191"/>
      <c r="AD943" s="16"/>
      <c r="AE943" s="16"/>
      <c r="AF943" s="16"/>
      <c r="AG943" s="16"/>
      <c r="AH943" s="16"/>
      <c r="AI943" s="16"/>
      <c r="AJ943" s="16"/>
      <c r="AK943" s="16"/>
      <c r="AL943" s="16"/>
      <c r="AM943" s="16"/>
      <c r="AN943" s="16"/>
      <c r="AO943" s="16"/>
      <c r="AP943" s="16"/>
      <c r="AQ943" s="16"/>
      <c r="AR943" s="16"/>
      <c r="AS943" s="16"/>
    </row>
    <row r="944" spans="18:45" x14ac:dyDescent="0.35">
      <c r="R944" s="191"/>
      <c r="S944" s="191"/>
      <c r="T944" s="193"/>
      <c r="U944" s="191"/>
      <c r="V944" s="194"/>
      <c r="W944" s="191"/>
      <c r="Y944" s="191"/>
      <c r="Z944" s="191"/>
      <c r="AA944" s="191"/>
      <c r="AB944" s="191"/>
      <c r="AC944" s="191"/>
      <c r="AD944" s="16"/>
      <c r="AE944" s="16"/>
      <c r="AF944" s="16"/>
      <c r="AG944" s="16"/>
      <c r="AH944" s="16"/>
      <c r="AI944" s="16"/>
      <c r="AJ944" s="16"/>
      <c r="AK944" s="16"/>
      <c r="AL944" s="16"/>
      <c r="AM944" s="16"/>
      <c r="AN944" s="16"/>
      <c r="AO944" s="16"/>
      <c r="AP944" s="16"/>
      <c r="AQ944" s="16"/>
      <c r="AR944" s="16"/>
      <c r="AS944" s="16"/>
    </row>
    <row r="945" spans="18:45" x14ac:dyDescent="0.35">
      <c r="R945" s="191"/>
      <c r="S945" s="191"/>
      <c r="T945" s="193"/>
      <c r="U945" s="191"/>
      <c r="V945" s="194"/>
      <c r="W945" s="191"/>
      <c r="Y945" s="191"/>
      <c r="Z945" s="191"/>
      <c r="AA945" s="191"/>
      <c r="AB945" s="191"/>
      <c r="AC945" s="191"/>
      <c r="AD945" s="16"/>
      <c r="AE945" s="16"/>
      <c r="AF945" s="16"/>
      <c r="AG945" s="16"/>
      <c r="AH945" s="16"/>
      <c r="AI945" s="16"/>
      <c r="AJ945" s="16"/>
      <c r="AK945" s="16"/>
      <c r="AL945" s="16"/>
      <c r="AM945" s="16"/>
      <c r="AN945" s="16"/>
      <c r="AO945" s="16"/>
      <c r="AP945" s="16"/>
      <c r="AQ945" s="16"/>
      <c r="AR945" s="16"/>
      <c r="AS945" s="16"/>
    </row>
    <row r="946" spans="18:45" x14ac:dyDescent="0.35">
      <c r="R946" s="191"/>
      <c r="S946" s="191"/>
      <c r="T946" s="193"/>
      <c r="U946" s="191"/>
      <c r="V946" s="194"/>
      <c r="W946" s="191"/>
      <c r="Y946" s="191"/>
      <c r="Z946" s="191"/>
      <c r="AA946" s="191"/>
      <c r="AB946" s="191"/>
      <c r="AC946" s="191"/>
      <c r="AD946" s="16"/>
      <c r="AE946" s="16"/>
      <c r="AF946" s="16"/>
      <c r="AG946" s="16"/>
      <c r="AH946" s="16"/>
      <c r="AI946" s="16"/>
      <c r="AJ946" s="16"/>
      <c r="AK946" s="16"/>
      <c r="AL946" s="16"/>
      <c r="AM946" s="16"/>
      <c r="AN946" s="16"/>
      <c r="AO946" s="16"/>
      <c r="AP946" s="16"/>
      <c r="AQ946" s="16"/>
      <c r="AR946" s="16"/>
      <c r="AS946" s="16"/>
    </row>
    <row r="947" spans="18:45" x14ac:dyDescent="0.35">
      <c r="R947" s="191"/>
      <c r="S947" s="191"/>
      <c r="T947" s="193"/>
      <c r="U947" s="191"/>
      <c r="V947" s="194"/>
      <c r="W947" s="191"/>
      <c r="Y947" s="191"/>
      <c r="Z947" s="191"/>
      <c r="AA947" s="191"/>
      <c r="AB947" s="191"/>
      <c r="AC947" s="191"/>
      <c r="AD947" s="16"/>
      <c r="AE947" s="16"/>
      <c r="AF947" s="16"/>
      <c r="AG947" s="16"/>
      <c r="AH947" s="16"/>
      <c r="AI947" s="16"/>
      <c r="AJ947" s="16"/>
      <c r="AK947" s="16"/>
      <c r="AL947" s="16"/>
      <c r="AM947" s="16"/>
      <c r="AN947" s="16"/>
      <c r="AO947" s="16"/>
      <c r="AP947" s="16"/>
      <c r="AQ947" s="16"/>
      <c r="AR947" s="16"/>
      <c r="AS947" s="16"/>
    </row>
    <row r="948" spans="18:45" x14ac:dyDescent="0.35">
      <c r="R948" s="191"/>
      <c r="S948" s="191"/>
      <c r="T948" s="193"/>
      <c r="U948" s="191"/>
      <c r="V948" s="194"/>
      <c r="W948" s="191"/>
      <c r="Y948" s="191"/>
      <c r="Z948" s="191"/>
      <c r="AA948" s="191"/>
      <c r="AB948" s="191"/>
      <c r="AC948" s="191"/>
      <c r="AD948" s="16"/>
      <c r="AE948" s="16"/>
      <c r="AF948" s="16"/>
      <c r="AG948" s="16"/>
      <c r="AH948" s="16"/>
      <c r="AI948" s="16"/>
      <c r="AJ948" s="16"/>
      <c r="AK948" s="16"/>
      <c r="AL948" s="16"/>
      <c r="AM948" s="16"/>
      <c r="AN948" s="16"/>
      <c r="AO948" s="16"/>
      <c r="AP948" s="16"/>
      <c r="AQ948" s="16"/>
      <c r="AR948" s="16"/>
      <c r="AS948" s="16"/>
    </row>
    <row r="949" spans="18:45" x14ac:dyDescent="0.35">
      <c r="R949" s="191"/>
      <c r="S949" s="191"/>
      <c r="T949" s="193"/>
      <c r="U949" s="191"/>
      <c r="V949" s="194"/>
      <c r="W949" s="191"/>
      <c r="Y949" s="191"/>
      <c r="Z949" s="191"/>
      <c r="AA949" s="191"/>
      <c r="AB949" s="191"/>
      <c r="AC949" s="191"/>
      <c r="AD949" s="16"/>
      <c r="AE949" s="16"/>
      <c r="AF949" s="16"/>
      <c r="AG949" s="16"/>
      <c r="AH949" s="16"/>
      <c r="AI949" s="16"/>
      <c r="AJ949" s="16"/>
      <c r="AK949" s="16"/>
      <c r="AL949" s="16"/>
      <c r="AM949" s="16"/>
      <c r="AN949" s="16"/>
      <c r="AO949" s="16"/>
      <c r="AP949" s="16"/>
      <c r="AQ949" s="16"/>
      <c r="AR949" s="16"/>
      <c r="AS949" s="16"/>
    </row>
    <row r="950" spans="18:45" x14ac:dyDescent="0.35">
      <c r="R950" s="191"/>
      <c r="S950" s="191"/>
      <c r="T950" s="193"/>
      <c r="U950" s="191"/>
      <c r="V950" s="194"/>
      <c r="W950" s="191"/>
      <c r="Y950" s="191"/>
      <c r="Z950" s="191"/>
      <c r="AA950" s="191"/>
      <c r="AB950" s="191"/>
      <c r="AC950" s="191"/>
      <c r="AD950" s="16"/>
      <c r="AE950" s="16"/>
      <c r="AF950" s="16"/>
      <c r="AG950" s="16"/>
      <c r="AH950" s="16"/>
      <c r="AI950" s="16"/>
      <c r="AJ950" s="16"/>
      <c r="AK950" s="16"/>
      <c r="AL950" s="16"/>
      <c r="AM950" s="16"/>
      <c r="AN950" s="16"/>
      <c r="AO950" s="16"/>
      <c r="AP950" s="16"/>
      <c r="AQ950" s="16"/>
      <c r="AR950" s="16"/>
      <c r="AS950" s="16"/>
    </row>
    <row r="951" spans="18:45" x14ac:dyDescent="0.35">
      <c r="R951" s="191"/>
      <c r="S951" s="191"/>
      <c r="T951" s="193"/>
      <c r="U951" s="191"/>
      <c r="V951" s="194"/>
      <c r="W951" s="191"/>
      <c r="Y951" s="191"/>
      <c r="Z951" s="191"/>
      <c r="AA951" s="191"/>
      <c r="AB951" s="191"/>
      <c r="AC951" s="191"/>
      <c r="AD951" s="16"/>
      <c r="AE951" s="16"/>
      <c r="AF951" s="16"/>
      <c r="AG951" s="16"/>
      <c r="AH951" s="16"/>
      <c r="AI951" s="16"/>
      <c r="AJ951" s="16"/>
      <c r="AK951" s="16"/>
      <c r="AL951" s="16"/>
      <c r="AM951" s="16"/>
      <c r="AN951" s="16"/>
      <c r="AO951" s="16"/>
      <c r="AP951" s="16"/>
      <c r="AQ951" s="16"/>
      <c r="AR951" s="16"/>
      <c r="AS951" s="16"/>
    </row>
    <row r="952" spans="18:45" x14ac:dyDescent="0.35">
      <c r="R952" s="191"/>
      <c r="S952" s="191"/>
      <c r="T952" s="193"/>
      <c r="U952" s="191"/>
      <c r="V952" s="194"/>
      <c r="W952" s="191"/>
      <c r="Y952" s="191"/>
      <c r="Z952" s="191"/>
      <c r="AA952" s="191"/>
      <c r="AB952" s="191"/>
      <c r="AC952" s="191"/>
      <c r="AD952" s="16"/>
      <c r="AE952" s="16"/>
      <c r="AF952" s="16"/>
      <c r="AG952" s="16"/>
      <c r="AH952" s="16"/>
      <c r="AI952" s="16"/>
      <c r="AJ952" s="16"/>
      <c r="AK952" s="16"/>
      <c r="AL952" s="16"/>
      <c r="AM952" s="16"/>
      <c r="AN952" s="16"/>
      <c r="AO952" s="16"/>
      <c r="AP952" s="16"/>
      <c r="AQ952" s="16"/>
      <c r="AR952" s="16"/>
      <c r="AS952" s="16"/>
    </row>
    <row r="953" spans="18:45" x14ac:dyDescent="0.35">
      <c r="R953" s="191"/>
      <c r="S953" s="191"/>
      <c r="T953" s="193"/>
      <c r="U953" s="191"/>
      <c r="V953" s="194"/>
      <c r="W953" s="191"/>
      <c r="Y953" s="191"/>
      <c r="Z953" s="191"/>
      <c r="AA953" s="191"/>
      <c r="AB953" s="191"/>
      <c r="AC953" s="191"/>
      <c r="AD953" s="16"/>
      <c r="AE953" s="16"/>
      <c r="AF953" s="16"/>
      <c r="AG953" s="16"/>
      <c r="AH953" s="16"/>
      <c r="AI953" s="16"/>
      <c r="AJ953" s="16"/>
      <c r="AK953" s="16"/>
      <c r="AL953" s="16"/>
      <c r="AM953" s="16"/>
      <c r="AN953" s="16"/>
      <c r="AO953" s="16"/>
      <c r="AP953" s="16"/>
      <c r="AQ953" s="16"/>
      <c r="AR953" s="16"/>
      <c r="AS953" s="16"/>
    </row>
    <row r="954" spans="18:45" x14ac:dyDescent="0.35">
      <c r="R954" s="191"/>
      <c r="S954" s="191"/>
      <c r="T954" s="193"/>
      <c r="U954" s="191"/>
      <c r="V954" s="194"/>
      <c r="W954" s="191"/>
      <c r="Y954" s="191"/>
      <c r="Z954" s="191"/>
      <c r="AA954" s="191"/>
      <c r="AB954" s="191"/>
      <c r="AC954" s="191"/>
      <c r="AD954" s="16"/>
      <c r="AE954" s="16"/>
      <c r="AF954" s="16"/>
      <c r="AG954" s="16"/>
      <c r="AH954" s="16"/>
      <c r="AI954" s="16"/>
      <c r="AJ954" s="16"/>
      <c r="AK954" s="16"/>
      <c r="AL954" s="16"/>
      <c r="AM954" s="16"/>
      <c r="AN954" s="16"/>
      <c r="AO954" s="16"/>
      <c r="AP954" s="16"/>
      <c r="AQ954" s="16"/>
      <c r="AR954" s="16"/>
      <c r="AS954" s="16"/>
    </row>
    <row r="955" spans="18:45" x14ac:dyDescent="0.35">
      <c r="R955" s="191"/>
      <c r="S955" s="191"/>
      <c r="T955" s="193"/>
      <c r="U955" s="191"/>
      <c r="V955" s="194"/>
      <c r="W955" s="191"/>
      <c r="Y955" s="191"/>
      <c r="Z955" s="191"/>
      <c r="AA955" s="191"/>
      <c r="AB955" s="191"/>
      <c r="AC955" s="191"/>
      <c r="AD955" s="16"/>
      <c r="AE955" s="16"/>
      <c r="AF955" s="16"/>
      <c r="AG955" s="16"/>
      <c r="AH955" s="16"/>
      <c r="AI955" s="16"/>
      <c r="AJ955" s="16"/>
      <c r="AK955" s="16"/>
      <c r="AL955" s="16"/>
      <c r="AM955" s="16"/>
      <c r="AN955" s="16"/>
      <c r="AO955" s="16"/>
      <c r="AP955" s="16"/>
      <c r="AQ955" s="16"/>
      <c r="AR955" s="16"/>
      <c r="AS955" s="16"/>
    </row>
    <row r="956" spans="18:45" x14ac:dyDescent="0.35">
      <c r="R956" s="191"/>
      <c r="S956" s="191"/>
      <c r="T956" s="193"/>
      <c r="U956" s="191"/>
      <c r="V956" s="194"/>
      <c r="W956" s="191"/>
      <c r="Y956" s="191"/>
      <c r="Z956" s="191"/>
      <c r="AA956" s="191"/>
      <c r="AB956" s="191"/>
      <c r="AC956" s="191"/>
      <c r="AD956" s="16"/>
      <c r="AE956" s="16"/>
      <c r="AF956" s="16"/>
      <c r="AG956" s="16"/>
      <c r="AH956" s="16"/>
      <c r="AI956" s="16"/>
      <c r="AJ956" s="16"/>
      <c r="AK956" s="16"/>
      <c r="AL956" s="16"/>
      <c r="AM956" s="16"/>
      <c r="AN956" s="16"/>
      <c r="AO956" s="16"/>
      <c r="AP956" s="16"/>
      <c r="AQ956" s="16"/>
      <c r="AR956" s="16"/>
      <c r="AS956" s="16"/>
    </row>
    <row r="957" spans="18:45" x14ac:dyDescent="0.35">
      <c r="R957" s="191"/>
      <c r="S957" s="191"/>
      <c r="T957" s="193"/>
      <c r="U957" s="191"/>
      <c r="V957" s="194"/>
      <c r="W957" s="191"/>
      <c r="Y957" s="191"/>
      <c r="Z957" s="191"/>
      <c r="AA957" s="191"/>
      <c r="AB957" s="191"/>
      <c r="AC957" s="191"/>
      <c r="AD957" s="16"/>
      <c r="AE957" s="16"/>
      <c r="AF957" s="16"/>
      <c r="AG957" s="16"/>
      <c r="AH957" s="16"/>
      <c r="AI957" s="16"/>
      <c r="AJ957" s="16"/>
      <c r="AK957" s="16"/>
      <c r="AL957" s="16"/>
      <c r="AM957" s="16"/>
      <c r="AN957" s="16"/>
      <c r="AO957" s="16"/>
      <c r="AP957" s="16"/>
      <c r="AQ957" s="16"/>
      <c r="AR957" s="16"/>
      <c r="AS957" s="16"/>
    </row>
    <row r="958" spans="18:45" x14ac:dyDescent="0.35">
      <c r="R958" s="191"/>
      <c r="S958" s="191"/>
      <c r="T958" s="193"/>
      <c r="U958" s="191"/>
      <c r="V958" s="194"/>
      <c r="W958" s="191"/>
      <c r="Y958" s="191"/>
      <c r="Z958" s="191"/>
      <c r="AA958" s="191"/>
      <c r="AB958" s="191"/>
      <c r="AC958" s="191"/>
      <c r="AD958" s="16"/>
      <c r="AE958" s="16"/>
      <c r="AF958" s="16"/>
      <c r="AG958" s="16"/>
      <c r="AH958" s="16"/>
      <c r="AI958" s="16"/>
      <c r="AJ958" s="16"/>
      <c r="AK958" s="16"/>
      <c r="AL958" s="16"/>
      <c r="AM958" s="16"/>
      <c r="AN958" s="16"/>
      <c r="AO958" s="16"/>
      <c r="AP958" s="16"/>
      <c r="AQ958" s="16"/>
      <c r="AR958" s="16"/>
      <c r="AS958" s="16"/>
    </row>
    <row r="959" spans="18:45" x14ac:dyDescent="0.35">
      <c r="R959" s="191"/>
      <c r="S959" s="191"/>
      <c r="T959" s="193"/>
      <c r="U959" s="191"/>
      <c r="V959" s="194"/>
      <c r="W959" s="191"/>
      <c r="Y959" s="191"/>
      <c r="Z959" s="191"/>
      <c r="AA959" s="191"/>
      <c r="AB959" s="191"/>
      <c r="AC959" s="191"/>
      <c r="AD959" s="16"/>
      <c r="AE959" s="16"/>
      <c r="AF959" s="16"/>
      <c r="AG959" s="16"/>
      <c r="AH959" s="16"/>
      <c r="AI959" s="16"/>
      <c r="AJ959" s="16"/>
      <c r="AK959" s="16"/>
      <c r="AL959" s="16"/>
      <c r="AM959" s="16"/>
      <c r="AN959" s="16"/>
      <c r="AO959" s="16"/>
      <c r="AP959" s="16"/>
      <c r="AQ959" s="16"/>
      <c r="AR959" s="16"/>
      <c r="AS959" s="16"/>
    </row>
    <row r="960" spans="18:45" x14ac:dyDescent="0.35">
      <c r="R960" s="191"/>
      <c r="S960" s="191"/>
      <c r="T960" s="193"/>
      <c r="U960" s="191"/>
      <c r="V960" s="194"/>
      <c r="W960" s="191"/>
      <c r="Y960" s="191"/>
      <c r="Z960" s="191"/>
      <c r="AA960" s="191"/>
      <c r="AB960" s="191"/>
      <c r="AC960" s="191"/>
      <c r="AD960" s="16"/>
      <c r="AE960" s="16"/>
      <c r="AF960" s="16"/>
      <c r="AG960" s="16"/>
      <c r="AH960" s="16"/>
      <c r="AI960" s="16"/>
      <c r="AJ960" s="16"/>
      <c r="AK960" s="16"/>
      <c r="AL960" s="16"/>
      <c r="AM960" s="16"/>
      <c r="AN960" s="16"/>
      <c r="AO960" s="16"/>
      <c r="AP960" s="16"/>
      <c r="AQ960" s="16"/>
      <c r="AR960" s="16"/>
      <c r="AS960" s="16"/>
    </row>
    <row r="961" spans="18:45" x14ac:dyDescent="0.35">
      <c r="R961" s="191"/>
      <c r="S961" s="191"/>
      <c r="T961" s="193"/>
      <c r="U961" s="191"/>
      <c r="V961" s="194"/>
      <c r="W961" s="191"/>
      <c r="Y961" s="191"/>
      <c r="Z961" s="191"/>
      <c r="AA961" s="191"/>
      <c r="AB961" s="191"/>
      <c r="AC961" s="191"/>
      <c r="AD961" s="16"/>
      <c r="AE961" s="16"/>
      <c r="AF961" s="16"/>
      <c r="AG961" s="16"/>
      <c r="AH961" s="16"/>
      <c r="AI961" s="16"/>
      <c r="AJ961" s="16"/>
      <c r="AK961" s="16"/>
      <c r="AL961" s="16"/>
      <c r="AM961" s="16"/>
      <c r="AN961" s="16"/>
      <c r="AO961" s="16"/>
      <c r="AP961" s="16"/>
      <c r="AQ961" s="16"/>
      <c r="AR961" s="16"/>
      <c r="AS961" s="16"/>
    </row>
    <row r="962" spans="18:45" x14ac:dyDescent="0.35">
      <c r="R962" s="191"/>
      <c r="S962" s="191"/>
      <c r="T962" s="193"/>
      <c r="U962" s="191"/>
      <c r="V962" s="194"/>
      <c r="W962" s="191"/>
      <c r="Y962" s="191"/>
      <c r="Z962" s="191"/>
      <c r="AA962" s="191"/>
      <c r="AB962" s="191"/>
      <c r="AC962" s="191"/>
      <c r="AD962" s="16"/>
      <c r="AE962" s="16"/>
      <c r="AF962" s="16"/>
      <c r="AG962" s="16"/>
      <c r="AH962" s="16"/>
      <c r="AI962" s="16"/>
      <c r="AJ962" s="16"/>
      <c r="AK962" s="16"/>
      <c r="AL962" s="16"/>
      <c r="AM962" s="16"/>
      <c r="AN962" s="16"/>
      <c r="AO962" s="16"/>
      <c r="AP962" s="16"/>
      <c r="AQ962" s="16"/>
      <c r="AR962" s="16"/>
      <c r="AS962" s="16"/>
    </row>
    <row r="963" spans="18:45" x14ac:dyDescent="0.35">
      <c r="R963" s="191"/>
      <c r="S963" s="191"/>
      <c r="T963" s="193"/>
      <c r="U963" s="191"/>
      <c r="V963" s="194"/>
      <c r="W963" s="191"/>
      <c r="Y963" s="191"/>
      <c r="Z963" s="191"/>
      <c r="AA963" s="191"/>
      <c r="AB963" s="191"/>
      <c r="AC963" s="191"/>
      <c r="AD963" s="16"/>
      <c r="AE963" s="16"/>
      <c r="AF963" s="16"/>
      <c r="AG963" s="16"/>
      <c r="AH963" s="16"/>
      <c r="AI963" s="16"/>
      <c r="AJ963" s="16"/>
      <c r="AK963" s="16"/>
      <c r="AL963" s="16"/>
      <c r="AM963" s="16"/>
      <c r="AN963" s="16"/>
      <c r="AO963" s="16"/>
      <c r="AP963" s="16"/>
      <c r="AQ963" s="16"/>
      <c r="AR963" s="16"/>
      <c r="AS963" s="16"/>
    </row>
    <row r="964" spans="18:45" x14ac:dyDescent="0.35">
      <c r="R964" s="191"/>
      <c r="S964" s="191"/>
      <c r="T964" s="193"/>
      <c r="U964" s="191"/>
      <c r="V964" s="194"/>
      <c r="W964" s="191"/>
      <c r="Y964" s="191"/>
      <c r="Z964" s="191"/>
      <c r="AA964" s="191"/>
      <c r="AB964" s="191"/>
      <c r="AC964" s="191"/>
      <c r="AD964" s="16"/>
      <c r="AE964" s="16"/>
      <c r="AF964" s="16"/>
      <c r="AG964" s="16"/>
      <c r="AH964" s="16"/>
      <c r="AI964" s="16"/>
      <c r="AJ964" s="16"/>
      <c r="AK964" s="16"/>
      <c r="AL964" s="16"/>
      <c r="AM964" s="16"/>
      <c r="AN964" s="16"/>
      <c r="AO964" s="16"/>
      <c r="AP964" s="16"/>
      <c r="AQ964" s="16"/>
      <c r="AR964" s="16"/>
      <c r="AS964" s="16"/>
    </row>
    <row r="965" spans="18:45" x14ac:dyDescent="0.35">
      <c r="R965" s="191"/>
      <c r="S965" s="191"/>
      <c r="T965" s="193"/>
      <c r="U965" s="191"/>
      <c r="V965" s="194"/>
      <c r="W965" s="191"/>
      <c r="Y965" s="191"/>
      <c r="Z965" s="191"/>
      <c r="AA965" s="191"/>
      <c r="AB965" s="191"/>
      <c r="AC965" s="191"/>
      <c r="AD965" s="16"/>
      <c r="AE965" s="16"/>
      <c r="AF965" s="16"/>
      <c r="AG965" s="16"/>
      <c r="AH965" s="16"/>
      <c r="AI965" s="16"/>
      <c r="AJ965" s="16"/>
      <c r="AK965" s="16"/>
      <c r="AL965" s="16"/>
      <c r="AM965" s="16"/>
      <c r="AN965" s="16"/>
      <c r="AO965" s="16"/>
      <c r="AP965" s="16"/>
      <c r="AQ965" s="16"/>
      <c r="AR965" s="16"/>
      <c r="AS965" s="16"/>
    </row>
    <row r="966" spans="18:45" x14ac:dyDescent="0.35">
      <c r="R966" s="191"/>
      <c r="S966" s="191"/>
      <c r="T966" s="193"/>
      <c r="U966" s="191"/>
      <c r="V966" s="194"/>
      <c r="W966" s="191"/>
      <c r="Y966" s="191"/>
      <c r="Z966" s="191"/>
      <c r="AA966" s="191"/>
      <c r="AB966" s="191"/>
      <c r="AC966" s="191"/>
      <c r="AD966" s="16"/>
      <c r="AE966" s="16"/>
      <c r="AF966" s="16"/>
      <c r="AG966" s="16"/>
      <c r="AH966" s="16"/>
      <c r="AI966" s="16"/>
      <c r="AJ966" s="16"/>
      <c r="AK966" s="16"/>
      <c r="AL966" s="16"/>
      <c r="AM966" s="16"/>
      <c r="AN966" s="16"/>
      <c r="AO966" s="16"/>
      <c r="AP966" s="16"/>
      <c r="AQ966" s="16"/>
      <c r="AR966" s="16"/>
      <c r="AS966" s="16"/>
    </row>
    <row r="967" spans="18:45" x14ac:dyDescent="0.35">
      <c r="R967" s="191"/>
      <c r="S967" s="191"/>
      <c r="T967" s="193"/>
      <c r="U967" s="191"/>
      <c r="V967" s="194"/>
      <c r="W967" s="191"/>
      <c r="Y967" s="191"/>
      <c r="Z967" s="191"/>
      <c r="AA967" s="191"/>
      <c r="AB967" s="191"/>
      <c r="AC967" s="191"/>
      <c r="AD967" s="16"/>
      <c r="AE967" s="16"/>
      <c r="AF967" s="16"/>
      <c r="AG967" s="16"/>
      <c r="AH967" s="16"/>
      <c r="AI967" s="16"/>
      <c r="AJ967" s="16"/>
      <c r="AK967" s="16"/>
      <c r="AL967" s="16"/>
      <c r="AM967" s="16"/>
      <c r="AN967" s="16"/>
      <c r="AO967" s="16"/>
      <c r="AP967" s="16"/>
      <c r="AQ967" s="16"/>
      <c r="AR967" s="16"/>
      <c r="AS967" s="16"/>
    </row>
    <row r="968" spans="18:45" x14ac:dyDescent="0.35">
      <c r="R968" s="191"/>
      <c r="S968" s="191"/>
      <c r="T968" s="193"/>
      <c r="U968" s="191"/>
      <c r="V968" s="194"/>
      <c r="W968" s="191"/>
      <c r="Y968" s="191"/>
      <c r="Z968" s="191"/>
      <c r="AA968" s="191"/>
      <c r="AB968" s="191"/>
      <c r="AC968" s="191"/>
      <c r="AD968" s="16"/>
      <c r="AE968" s="16"/>
      <c r="AF968" s="16"/>
      <c r="AG968" s="16"/>
      <c r="AH968" s="16"/>
      <c r="AI968" s="16"/>
      <c r="AJ968" s="16"/>
      <c r="AK968" s="16"/>
      <c r="AL968" s="16"/>
      <c r="AM968" s="16"/>
      <c r="AN968" s="16"/>
      <c r="AO968" s="16"/>
      <c r="AP968" s="16"/>
      <c r="AQ968" s="16"/>
      <c r="AR968" s="16"/>
      <c r="AS968" s="16"/>
    </row>
    <row r="969" spans="18:45" x14ac:dyDescent="0.35">
      <c r="R969" s="191"/>
      <c r="S969" s="191"/>
      <c r="T969" s="193"/>
      <c r="U969" s="191"/>
      <c r="V969" s="194"/>
      <c r="W969" s="191"/>
      <c r="Y969" s="191"/>
      <c r="Z969" s="191"/>
      <c r="AA969" s="191"/>
      <c r="AB969" s="191"/>
      <c r="AC969" s="191"/>
      <c r="AD969" s="16"/>
      <c r="AE969" s="16"/>
      <c r="AF969" s="16"/>
      <c r="AG969" s="16"/>
      <c r="AH969" s="16"/>
      <c r="AI969" s="16"/>
      <c r="AJ969" s="16"/>
      <c r="AK969" s="16"/>
      <c r="AL969" s="16"/>
      <c r="AM969" s="16"/>
      <c r="AN969" s="16"/>
      <c r="AO969" s="16"/>
      <c r="AP969" s="16"/>
      <c r="AQ969" s="16"/>
      <c r="AR969" s="16"/>
      <c r="AS969" s="16"/>
    </row>
    <row r="970" spans="18:45" x14ac:dyDescent="0.35">
      <c r="R970" s="191"/>
      <c r="S970" s="191"/>
      <c r="T970" s="193"/>
      <c r="U970" s="191"/>
      <c r="V970" s="194"/>
      <c r="W970" s="191"/>
      <c r="Y970" s="191"/>
      <c r="Z970" s="191"/>
      <c r="AA970" s="191"/>
      <c r="AB970" s="191"/>
      <c r="AC970" s="191"/>
      <c r="AD970" s="16"/>
      <c r="AE970" s="16"/>
      <c r="AF970" s="16"/>
      <c r="AG970" s="16"/>
      <c r="AH970" s="16"/>
      <c r="AI970" s="16"/>
      <c r="AJ970" s="16"/>
      <c r="AK970" s="16"/>
      <c r="AL970" s="16"/>
      <c r="AM970" s="16"/>
      <c r="AN970" s="16"/>
      <c r="AO970" s="16"/>
      <c r="AP970" s="16"/>
      <c r="AQ970" s="16"/>
      <c r="AR970" s="16"/>
      <c r="AS970" s="16"/>
    </row>
    <row r="971" spans="18:45" x14ac:dyDescent="0.35">
      <c r="R971" s="191"/>
      <c r="S971" s="191"/>
      <c r="T971" s="193"/>
      <c r="U971" s="191"/>
      <c r="V971" s="194"/>
      <c r="W971" s="191"/>
      <c r="Y971" s="191"/>
      <c r="Z971" s="191"/>
      <c r="AA971" s="191"/>
      <c r="AB971" s="191"/>
      <c r="AC971" s="191"/>
      <c r="AD971" s="16"/>
      <c r="AE971" s="16"/>
      <c r="AF971" s="16"/>
      <c r="AG971" s="16"/>
      <c r="AH971" s="16"/>
      <c r="AI971" s="16"/>
      <c r="AJ971" s="16"/>
      <c r="AK971" s="16"/>
      <c r="AL971" s="16"/>
      <c r="AM971" s="16"/>
      <c r="AN971" s="16"/>
      <c r="AO971" s="16"/>
      <c r="AP971" s="16"/>
      <c r="AQ971" s="16"/>
      <c r="AR971" s="16"/>
      <c r="AS971" s="16"/>
    </row>
    <row r="972" spans="18:45" x14ac:dyDescent="0.35">
      <c r="R972" s="191"/>
      <c r="S972" s="191"/>
      <c r="T972" s="193"/>
      <c r="U972" s="191"/>
      <c r="V972" s="194"/>
      <c r="W972" s="191"/>
      <c r="Y972" s="191"/>
      <c r="Z972" s="191"/>
      <c r="AA972" s="191"/>
      <c r="AB972" s="191"/>
      <c r="AC972" s="191"/>
      <c r="AD972" s="16"/>
      <c r="AE972" s="16"/>
      <c r="AF972" s="16"/>
      <c r="AG972" s="16"/>
      <c r="AH972" s="16"/>
      <c r="AI972" s="16"/>
      <c r="AJ972" s="16"/>
      <c r="AK972" s="16"/>
      <c r="AL972" s="16"/>
      <c r="AM972" s="16"/>
      <c r="AN972" s="16"/>
      <c r="AO972" s="16"/>
      <c r="AP972" s="16"/>
      <c r="AQ972" s="16"/>
      <c r="AR972" s="16"/>
      <c r="AS972" s="16"/>
    </row>
    <row r="973" spans="18:45" x14ac:dyDescent="0.35">
      <c r="R973" s="191"/>
      <c r="S973" s="191"/>
      <c r="T973" s="193"/>
      <c r="U973" s="191"/>
      <c r="V973" s="194"/>
      <c r="W973" s="191"/>
      <c r="Y973" s="191"/>
      <c r="Z973" s="191"/>
      <c r="AA973" s="191"/>
      <c r="AB973" s="191"/>
      <c r="AC973" s="191"/>
      <c r="AD973" s="16"/>
      <c r="AE973" s="16"/>
      <c r="AF973" s="16"/>
      <c r="AG973" s="16"/>
      <c r="AH973" s="16"/>
      <c r="AI973" s="16"/>
      <c r="AJ973" s="16"/>
      <c r="AK973" s="16"/>
      <c r="AL973" s="16"/>
      <c r="AM973" s="16"/>
      <c r="AN973" s="16"/>
      <c r="AO973" s="16"/>
      <c r="AP973" s="16"/>
      <c r="AQ973" s="16"/>
      <c r="AR973" s="16"/>
      <c r="AS973" s="16"/>
    </row>
    <row r="974" spans="18:45" x14ac:dyDescent="0.35">
      <c r="R974" s="191"/>
      <c r="S974" s="191"/>
      <c r="T974" s="193"/>
      <c r="U974" s="191"/>
      <c r="V974" s="194"/>
      <c r="W974" s="191"/>
      <c r="Y974" s="191"/>
      <c r="Z974" s="191"/>
      <c r="AA974" s="191"/>
      <c r="AB974" s="191"/>
      <c r="AC974" s="191"/>
      <c r="AD974" s="16"/>
      <c r="AE974" s="16"/>
      <c r="AF974" s="16"/>
      <c r="AG974" s="16"/>
      <c r="AH974" s="16"/>
      <c r="AI974" s="16"/>
      <c r="AJ974" s="16"/>
      <c r="AK974" s="16"/>
      <c r="AL974" s="16"/>
      <c r="AM974" s="16"/>
      <c r="AN974" s="16"/>
      <c r="AO974" s="16"/>
      <c r="AP974" s="16"/>
      <c r="AQ974" s="16"/>
      <c r="AR974" s="16"/>
      <c r="AS974" s="16"/>
    </row>
    <row r="975" spans="18:45" x14ac:dyDescent="0.35">
      <c r="R975" s="191"/>
      <c r="S975" s="191"/>
      <c r="T975" s="193"/>
      <c r="U975" s="191"/>
      <c r="V975" s="194"/>
      <c r="W975" s="191"/>
      <c r="Y975" s="191"/>
      <c r="Z975" s="191"/>
      <c r="AA975" s="191"/>
      <c r="AB975" s="191"/>
      <c r="AC975" s="191"/>
      <c r="AD975" s="16"/>
      <c r="AE975" s="16"/>
      <c r="AF975" s="16"/>
      <c r="AG975" s="16"/>
      <c r="AH975" s="16"/>
      <c r="AI975" s="16"/>
      <c r="AJ975" s="16"/>
      <c r="AK975" s="16"/>
      <c r="AL975" s="16"/>
      <c r="AM975" s="16"/>
      <c r="AN975" s="16"/>
      <c r="AO975" s="16"/>
      <c r="AP975" s="16"/>
      <c r="AQ975" s="16"/>
      <c r="AR975" s="16"/>
      <c r="AS975" s="16"/>
    </row>
    <row r="976" spans="18:45" x14ac:dyDescent="0.35">
      <c r="R976" s="191"/>
      <c r="S976" s="191"/>
      <c r="T976" s="193"/>
      <c r="U976" s="191"/>
      <c r="V976" s="194"/>
      <c r="W976" s="191"/>
      <c r="Y976" s="191"/>
      <c r="Z976" s="191"/>
      <c r="AA976" s="191"/>
      <c r="AB976" s="191"/>
      <c r="AC976" s="191"/>
      <c r="AD976" s="16"/>
      <c r="AE976" s="16"/>
      <c r="AF976" s="16"/>
      <c r="AG976" s="16"/>
      <c r="AH976" s="16"/>
      <c r="AI976" s="16"/>
      <c r="AJ976" s="16"/>
      <c r="AK976" s="16"/>
      <c r="AL976" s="16"/>
      <c r="AM976" s="16"/>
      <c r="AN976" s="16"/>
      <c r="AO976" s="16"/>
      <c r="AP976" s="16"/>
      <c r="AQ976" s="16"/>
      <c r="AR976" s="16"/>
      <c r="AS976" s="16"/>
    </row>
    <row r="977" spans="18:45" x14ac:dyDescent="0.35">
      <c r="R977" s="191"/>
      <c r="S977" s="191"/>
      <c r="T977" s="193"/>
      <c r="U977" s="191"/>
      <c r="V977" s="194"/>
      <c r="W977" s="191"/>
      <c r="Y977" s="191"/>
      <c r="Z977" s="191"/>
      <c r="AA977" s="191"/>
      <c r="AB977" s="191"/>
      <c r="AC977" s="191"/>
      <c r="AD977" s="16"/>
      <c r="AE977" s="16"/>
      <c r="AF977" s="16"/>
      <c r="AG977" s="16"/>
      <c r="AH977" s="16"/>
      <c r="AI977" s="16"/>
      <c r="AJ977" s="16"/>
      <c r="AK977" s="16"/>
      <c r="AL977" s="16"/>
      <c r="AM977" s="16"/>
      <c r="AN977" s="16"/>
      <c r="AO977" s="16"/>
      <c r="AP977" s="16"/>
      <c r="AQ977" s="16"/>
      <c r="AR977" s="16"/>
      <c r="AS977" s="16"/>
    </row>
    <row r="978" spans="18:45" x14ac:dyDescent="0.35">
      <c r="R978" s="191"/>
      <c r="S978" s="191"/>
      <c r="T978" s="193"/>
      <c r="U978" s="191"/>
      <c r="V978" s="194"/>
      <c r="W978" s="191"/>
      <c r="Y978" s="191"/>
      <c r="Z978" s="191"/>
      <c r="AA978" s="191"/>
      <c r="AB978" s="191"/>
      <c r="AC978" s="191"/>
      <c r="AD978" s="16"/>
      <c r="AE978" s="16"/>
      <c r="AF978" s="16"/>
      <c r="AG978" s="16"/>
      <c r="AH978" s="16"/>
      <c r="AI978" s="16"/>
      <c r="AJ978" s="16"/>
      <c r="AK978" s="16"/>
      <c r="AL978" s="16"/>
      <c r="AM978" s="16"/>
      <c r="AN978" s="16"/>
      <c r="AO978" s="16"/>
      <c r="AP978" s="16"/>
      <c r="AQ978" s="16"/>
      <c r="AR978" s="16"/>
      <c r="AS978" s="16"/>
    </row>
    <row r="979" spans="18:45" x14ac:dyDescent="0.35">
      <c r="R979" s="191"/>
      <c r="S979" s="191"/>
      <c r="T979" s="193"/>
      <c r="U979" s="191"/>
      <c r="V979" s="194"/>
      <c r="W979" s="191"/>
      <c r="Y979" s="191"/>
      <c r="Z979" s="191"/>
      <c r="AA979" s="191"/>
      <c r="AB979" s="191"/>
      <c r="AC979" s="191"/>
      <c r="AD979" s="16"/>
      <c r="AE979" s="16"/>
      <c r="AF979" s="16"/>
      <c r="AG979" s="16"/>
      <c r="AH979" s="16"/>
      <c r="AI979" s="16"/>
      <c r="AJ979" s="16"/>
      <c r="AK979" s="16"/>
      <c r="AL979" s="16"/>
      <c r="AM979" s="16"/>
      <c r="AN979" s="16"/>
      <c r="AO979" s="16"/>
      <c r="AP979" s="16"/>
      <c r="AQ979" s="16"/>
      <c r="AR979" s="16"/>
      <c r="AS979" s="16"/>
    </row>
    <row r="980" spans="18:45" x14ac:dyDescent="0.35">
      <c r="R980" s="191"/>
      <c r="S980" s="191"/>
      <c r="T980" s="193"/>
      <c r="U980" s="191"/>
      <c r="V980" s="194"/>
      <c r="W980" s="191"/>
      <c r="Y980" s="191"/>
      <c r="Z980" s="191"/>
      <c r="AA980" s="191"/>
      <c r="AB980" s="191"/>
      <c r="AC980" s="191"/>
      <c r="AD980" s="16"/>
      <c r="AE980" s="16"/>
      <c r="AF980" s="16"/>
      <c r="AG980" s="16"/>
      <c r="AH980" s="16"/>
      <c r="AI980" s="16"/>
      <c r="AJ980" s="16"/>
      <c r="AK980" s="16"/>
      <c r="AL980" s="16"/>
      <c r="AM980" s="16"/>
      <c r="AN980" s="16"/>
      <c r="AO980" s="16"/>
      <c r="AP980" s="16"/>
      <c r="AQ980" s="16"/>
      <c r="AR980" s="16"/>
      <c r="AS980" s="16"/>
    </row>
    <row r="981" spans="18:45" x14ac:dyDescent="0.35">
      <c r="R981" s="191"/>
      <c r="S981" s="191"/>
      <c r="T981" s="193"/>
      <c r="U981" s="191"/>
      <c r="V981" s="194"/>
      <c r="W981" s="191"/>
      <c r="Y981" s="191"/>
      <c r="Z981" s="191"/>
      <c r="AA981" s="191"/>
      <c r="AB981" s="191"/>
      <c r="AC981" s="191"/>
      <c r="AD981" s="16"/>
      <c r="AE981" s="16"/>
      <c r="AF981" s="16"/>
      <c r="AG981" s="16"/>
      <c r="AH981" s="16"/>
      <c r="AI981" s="16"/>
      <c r="AJ981" s="16"/>
      <c r="AK981" s="16"/>
      <c r="AL981" s="16"/>
      <c r="AM981" s="16"/>
      <c r="AN981" s="16"/>
      <c r="AO981" s="16"/>
      <c r="AP981" s="16"/>
      <c r="AQ981" s="16"/>
      <c r="AR981" s="16"/>
      <c r="AS981" s="16"/>
    </row>
    <row r="982" spans="18:45" x14ac:dyDescent="0.35">
      <c r="R982" s="191"/>
      <c r="S982" s="191"/>
      <c r="T982" s="193"/>
      <c r="U982" s="191"/>
      <c r="V982" s="194"/>
      <c r="W982" s="191"/>
      <c r="Y982" s="191"/>
      <c r="Z982" s="191"/>
      <c r="AA982" s="191"/>
      <c r="AB982" s="191"/>
      <c r="AC982" s="191"/>
      <c r="AD982" s="16"/>
      <c r="AE982" s="16"/>
      <c r="AF982" s="16"/>
      <c r="AG982" s="16"/>
      <c r="AH982" s="16"/>
      <c r="AI982" s="16"/>
      <c r="AJ982" s="16"/>
      <c r="AK982" s="16"/>
      <c r="AL982" s="16"/>
      <c r="AM982" s="16"/>
      <c r="AN982" s="16"/>
      <c r="AO982" s="16"/>
      <c r="AP982" s="16"/>
      <c r="AQ982" s="16"/>
      <c r="AR982" s="16"/>
      <c r="AS982" s="16"/>
    </row>
    <row r="983" spans="18:45" x14ac:dyDescent="0.35">
      <c r="R983" s="191"/>
      <c r="S983" s="191"/>
      <c r="T983" s="193"/>
      <c r="U983" s="191"/>
      <c r="V983" s="194"/>
      <c r="W983" s="191"/>
      <c r="Y983" s="191"/>
      <c r="Z983" s="191"/>
      <c r="AA983" s="191"/>
      <c r="AB983" s="191"/>
      <c r="AC983" s="191"/>
      <c r="AD983" s="16"/>
      <c r="AE983" s="16"/>
      <c r="AF983" s="16"/>
      <c r="AG983" s="16"/>
      <c r="AH983" s="16"/>
      <c r="AI983" s="16"/>
      <c r="AJ983" s="16"/>
      <c r="AK983" s="16"/>
      <c r="AL983" s="16"/>
      <c r="AM983" s="16"/>
      <c r="AN983" s="16"/>
      <c r="AO983" s="16"/>
      <c r="AP983" s="16"/>
      <c r="AQ983" s="16"/>
      <c r="AR983" s="16"/>
      <c r="AS983" s="16"/>
    </row>
    <row r="984" spans="18:45" x14ac:dyDescent="0.35">
      <c r="R984" s="191"/>
      <c r="S984" s="191"/>
      <c r="T984" s="193"/>
      <c r="U984" s="191"/>
      <c r="V984" s="194"/>
      <c r="W984" s="191"/>
      <c r="Y984" s="191"/>
      <c r="Z984" s="191"/>
      <c r="AA984" s="191"/>
      <c r="AB984" s="191"/>
      <c r="AC984" s="191"/>
      <c r="AD984" s="16"/>
      <c r="AE984" s="16"/>
      <c r="AF984" s="16"/>
      <c r="AG984" s="16"/>
      <c r="AH984" s="16"/>
      <c r="AI984" s="16"/>
      <c r="AJ984" s="16"/>
      <c r="AK984" s="16"/>
      <c r="AL984" s="16"/>
      <c r="AM984" s="16"/>
      <c r="AN984" s="16"/>
      <c r="AO984" s="16"/>
      <c r="AP984" s="16"/>
      <c r="AQ984" s="16"/>
      <c r="AR984" s="16"/>
      <c r="AS984" s="16"/>
    </row>
    <row r="985" spans="18:45" x14ac:dyDescent="0.35">
      <c r="R985" s="191"/>
      <c r="S985" s="191"/>
      <c r="T985" s="193"/>
      <c r="U985" s="191"/>
      <c r="V985" s="194"/>
      <c r="W985" s="191"/>
      <c r="Y985" s="191"/>
      <c r="Z985" s="191"/>
      <c r="AA985" s="191"/>
      <c r="AB985" s="191"/>
      <c r="AC985" s="191"/>
      <c r="AD985" s="16"/>
      <c r="AE985" s="16"/>
      <c r="AF985" s="16"/>
      <c r="AG985" s="16"/>
      <c r="AH985" s="16"/>
      <c r="AI985" s="16"/>
      <c r="AJ985" s="16"/>
      <c r="AK985" s="16"/>
      <c r="AL985" s="16"/>
      <c r="AM985" s="16"/>
      <c r="AN985" s="16"/>
      <c r="AO985" s="16"/>
      <c r="AP985" s="16"/>
      <c r="AQ985" s="16"/>
      <c r="AR985" s="16"/>
      <c r="AS985" s="16"/>
    </row>
    <row r="986" spans="18:45" x14ac:dyDescent="0.35">
      <c r="R986" s="191"/>
      <c r="S986" s="191"/>
      <c r="T986" s="193"/>
      <c r="U986" s="191"/>
      <c r="V986" s="194"/>
      <c r="W986" s="191"/>
      <c r="Y986" s="191"/>
      <c r="Z986" s="191"/>
      <c r="AA986" s="191"/>
      <c r="AB986" s="191"/>
      <c r="AC986" s="191"/>
      <c r="AD986" s="16"/>
      <c r="AE986" s="16"/>
      <c r="AF986" s="16"/>
      <c r="AG986" s="16"/>
      <c r="AH986" s="16"/>
      <c r="AI986" s="16"/>
      <c r="AJ986" s="16"/>
      <c r="AK986" s="16"/>
      <c r="AL986" s="16"/>
      <c r="AM986" s="16"/>
      <c r="AN986" s="16"/>
      <c r="AO986" s="16"/>
      <c r="AP986" s="16"/>
      <c r="AQ986" s="16"/>
      <c r="AR986" s="16"/>
      <c r="AS986" s="16"/>
    </row>
    <row r="987" spans="18:45" x14ac:dyDescent="0.35">
      <c r="R987" s="191"/>
      <c r="S987" s="191"/>
      <c r="T987" s="193"/>
      <c r="U987" s="191"/>
      <c r="V987" s="194"/>
      <c r="W987" s="191"/>
      <c r="Y987" s="191"/>
      <c r="Z987" s="191"/>
      <c r="AA987" s="191"/>
      <c r="AB987" s="191"/>
      <c r="AC987" s="191"/>
      <c r="AD987" s="16"/>
      <c r="AE987" s="16"/>
      <c r="AF987" s="16"/>
      <c r="AG987" s="16"/>
      <c r="AH987" s="16"/>
      <c r="AI987" s="16"/>
      <c r="AJ987" s="16"/>
      <c r="AK987" s="16"/>
      <c r="AL987" s="16"/>
      <c r="AM987" s="16"/>
      <c r="AN987" s="16"/>
      <c r="AO987" s="16"/>
      <c r="AP987" s="16"/>
      <c r="AQ987" s="16"/>
      <c r="AR987" s="16"/>
      <c r="AS987" s="16"/>
    </row>
    <row r="988" spans="18:45" x14ac:dyDescent="0.35">
      <c r="R988" s="191"/>
      <c r="S988" s="191"/>
      <c r="T988" s="193"/>
      <c r="U988" s="191"/>
      <c r="V988" s="194"/>
      <c r="W988" s="191"/>
      <c r="Y988" s="191"/>
      <c r="Z988" s="191"/>
      <c r="AA988" s="191"/>
      <c r="AB988" s="191"/>
      <c r="AC988" s="191"/>
      <c r="AD988" s="16"/>
      <c r="AE988" s="16"/>
      <c r="AF988" s="16"/>
      <c r="AG988" s="16"/>
      <c r="AH988" s="16"/>
      <c r="AI988" s="16"/>
      <c r="AJ988" s="16"/>
      <c r="AK988" s="16"/>
      <c r="AL988" s="16"/>
      <c r="AM988" s="16"/>
      <c r="AN988" s="16"/>
      <c r="AO988" s="16"/>
      <c r="AP988" s="16"/>
      <c r="AQ988" s="16"/>
      <c r="AR988" s="16"/>
      <c r="AS988" s="16"/>
    </row>
    <row r="989" spans="18:45" x14ac:dyDescent="0.35">
      <c r="R989" s="191"/>
      <c r="S989" s="191"/>
      <c r="T989" s="193"/>
      <c r="U989" s="191"/>
      <c r="V989" s="194"/>
      <c r="W989" s="191"/>
      <c r="Y989" s="191"/>
      <c r="Z989" s="191"/>
      <c r="AA989" s="191"/>
      <c r="AB989" s="191"/>
      <c r="AC989" s="191"/>
      <c r="AD989" s="16"/>
      <c r="AE989" s="16"/>
      <c r="AF989" s="16"/>
      <c r="AG989" s="16"/>
      <c r="AH989" s="16"/>
      <c r="AI989" s="16"/>
      <c r="AJ989" s="16"/>
      <c r="AK989" s="16"/>
      <c r="AL989" s="16"/>
      <c r="AM989" s="16"/>
      <c r="AN989" s="16"/>
      <c r="AO989" s="16"/>
      <c r="AP989" s="16"/>
      <c r="AQ989" s="16"/>
      <c r="AR989" s="16"/>
      <c r="AS989" s="16"/>
    </row>
    <row r="990" spans="18:45" x14ac:dyDescent="0.35">
      <c r="R990" s="191"/>
      <c r="S990" s="191"/>
      <c r="T990" s="193"/>
      <c r="U990" s="191"/>
      <c r="V990" s="194"/>
      <c r="W990" s="191"/>
      <c r="Y990" s="191"/>
      <c r="Z990" s="191"/>
      <c r="AA990" s="191"/>
      <c r="AB990" s="191"/>
      <c r="AC990" s="191"/>
      <c r="AD990" s="16"/>
      <c r="AE990" s="16"/>
      <c r="AF990" s="16"/>
      <c r="AG990" s="16"/>
      <c r="AH990" s="16"/>
      <c r="AI990" s="16"/>
      <c r="AJ990" s="16"/>
      <c r="AK990" s="16"/>
      <c r="AL990" s="16"/>
      <c r="AM990" s="16"/>
      <c r="AN990" s="16"/>
      <c r="AO990" s="16"/>
      <c r="AP990" s="16"/>
      <c r="AQ990" s="16"/>
      <c r="AR990" s="16"/>
      <c r="AS990" s="16"/>
    </row>
    <row r="991" spans="18:45" x14ac:dyDescent="0.35">
      <c r="R991" s="191"/>
      <c r="S991" s="191"/>
      <c r="T991" s="193"/>
      <c r="U991" s="191"/>
      <c r="V991" s="194"/>
      <c r="W991" s="191"/>
      <c r="Y991" s="191"/>
      <c r="Z991" s="191"/>
      <c r="AA991" s="191"/>
      <c r="AB991" s="191"/>
      <c r="AC991" s="191"/>
      <c r="AD991" s="16"/>
      <c r="AE991" s="16"/>
      <c r="AF991" s="16"/>
      <c r="AG991" s="16"/>
      <c r="AH991" s="16"/>
      <c r="AI991" s="16"/>
      <c r="AJ991" s="16"/>
      <c r="AK991" s="16"/>
      <c r="AL991" s="16"/>
      <c r="AM991" s="16"/>
      <c r="AN991" s="16"/>
      <c r="AO991" s="16"/>
      <c r="AP991" s="16"/>
      <c r="AQ991" s="16"/>
      <c r="AR991" s="16"/>
      <c r="AS991" s="16"/>
    </row>
    <row r="992" spans="18:45" x14ac:dyDescent="0.35">
      <c r="R992" s="191"/>
      <c r="S992" s="191"/>
      <c r="T992" s="193"/>
      <c r="U992" s="191"/>
      <c r="V992" s="194"/>
      <c r="W992" s="191"/>
      <c r="Y992" s="191"/>
      <c r="Z992" s="191"/>
      <c r="AA992" s="191"/>
      <c r="AB992" s="191"/>
      <c r="AC992" s="191"/>
      <c r="AD992" s="16"/>
      <c r="AE992" s="16"/>
      <c r="AF992" s="16"/>
      <c r="AG992" s="16"/>
      <c r="AH992" s="16"/>
      <c r="AI992" s="16"/>
      <c r="AJ992" s="16"/>
      <c r="AK992" s="16"/>
      <c r="AL992" s="16"/>
      <c r="AM992" s="16"/>
      <c r="AN992" s="16"/>
      <c r="AO992" s="16"/>
      <c r="AP992" s="16"/>
      <c r="AQ992" s="16"/>
      <c r="AR992" s="16"/>
      <c r="AS992" s="16"/>
    </row>
    <row r="993" spans="18:45" x14ac:dyDescent="0.35">
      <c r="R993" s="191"/>
      <c r="S993" s="191"/>
      <c r="T993" s="193"/>
      <c r="U993" s="191"/>
      <c r="V993" s="194"/>
      <c r="W993" s="191"/>
      <c r="Y993" s="191"/>
      <c r="Z993" s="191"/>
      <c r="AA993" s="191"/>
      <c r="AB993" s="191"/>
      <c r="AC993" s="191"/>
      <c r="AD993" s="16"/>
      <c r="AE993" s="16"/>
      <c r="AF993" s="16"/>
      <c r="AG993" s="16"/>
      <c r="AH993" s="16"/>
      <c r="AI993" s="16"/>
      <c r="AJ993" s="16"/>
      <c r="AK993" s="16"/>
      <c r="AL993" s="16"/>
      <c r="AM993" s="16"/>
      <c r="AN993" s="16"/>
      <c r="AO993" s="16"/>
      <c r="AP993" s="16"/>
      <c r="AQ993" s="16"/>
      <c r="AR993" s="16"/>
      <c r="AS993" s="16"/>
    </row>
    <row r="994" spans="18:45" x14ac:dyDescent="0.35">
      <c r="R994" s="191"/>
      <c r="S994" s="191"/>
      <c r="T994" s="193"/>
      <c r="U994" s="191"/>
      <c r="V994" s="194"/>
      <c r="W994" s="191"/>
      <c r="Y994" s="191"/>
      <c r="Z994" s="191"/>
      <c r="AA994" s="191"/>
      <c r="AB994" s="191"/>
      <c r="AC994" s="191"/>
      <c r="AD994" s="16"/>
      <c r="AE994" s="16"/>
      <c r="AF994" s="16"/>
      <c r="AG994" s="16"/>
      <c r="AH994" s="16"/>
      <c r="AI994" s="16"/>
      <c r="AJ994" s="16"/>
      <c r="AK994" s="16"/>
      <c r="AL994" s="16"/>
      <c r="AM994" s="16"/>
      <c r="AN994" s="16"/>
      <c r="AO994" s="16"/>
      <c r="AP994" s="16"/>
      <c r="AQ994" s="16"/>
      <c r="AR994" s="16"/>
      <c r="AS994" s="16"/>
    </row>
    <row r="995" spans="18:45" x14ac:dyDescent="0.35">
      <c r="R995" s="191"/>
      <c r="S995" s="191"/>
      <c r="T995" s="193"/>
      <c r="U995" s="191"/>
      <c r="V995" s="194"/>
      <c r="W995" s="191"/>
      <c r="Y995" s="191"/>
      <c r="Z995" s="191"/>
      <c r="AA995" s="191"/>
      <c r="AB995" s="191"/>
      <c r="AC995" s="191"/>
      <c r="AD995" s="16"/>
      <c r="AE995" s="16"/>
      <c r="AF995" s="16"/>
      <c r="AG995" s="16"/>
      <c r="AH995" s="16"/>
      <c r="AI995" s="16"/>
      <c r="AJ995" s="16"/>
      <c r="AK995" s="16"/>
      <c r="AL995" s="16"/>
      <c r="AM995" s="16"/>
      <c r="AN995" s="16"/>
      <c r="AO995" s="16"/>
      <c r="AP995" s="16"/>
      <c r="AQ995" s="16"/>
      <c r="AR995" s="16"/>
      <c r="AS995" s="16"/>
    </row>
    <row r="996" spans="18:45" x14ac:dyDescent="0.35">
      <c r="R996" s="191"/>
      <c r="S996" s="191"/>
      <c r="T996" s="193"/>
      <c r="U996" s="191"/>
      <c r="V996" s="194"/>
      <c r="W996" s="191"/>
      <c r="Y996" s="191"/>
      <c r="Z996" s="191"/>
      <c r="AA996" s="191"/>
      <c r="AB996" s="191"/>
      <c r="AC996" s="191"/>
      <c r="AD996" s="16"/>
      <c r="AE996" s="16"/>
      <c r="AF996" s="16"/>
      <c r="AG996" s="16"/>
      <c r="AH996" s="16"/>
      <c r="AI996" s="16"/>
      <c r="AJ996" s="16"/>
      <c r="AK996" s="16"/>
      <c r="AL996" s="16"/>
      <c r="AM996" s="16"/>
      <c r="AN996" s="16"/>
      <c r="AO996" s="16"/>
      <c r="AP996" s="16"/>
      <c r="AQ996" s="16"/>
      <c r="AR996" s="16"/>
      <c r="AS996" s="16"/>
    </row>
    <row r="997" spans="18:45" x14ac:dyDescent="0.35">
      <c r="R997" s="191"/>
      <c r="S997" s="191"/>
      <c r="T997" s="193"/>
      <c r="U997" s="191"/>
      <c r="V997" s="194"/>
      <c r="W997" s="191"/>
      <c r="Y997" s="191"/>
      <c r="Z997" s="191"/>
      <c r="AA997" s="191"/>
      <c r="AB997" s="191"/>
      <c r="AC997" s="191"/>
      <c r="AD997" s="16"/>
      <c r="AE997" s="16"/>
      <c r="AF997" s="16"/>
      <c r="AG997" s="16"/>
      <c r="AH997" s="16"/>
      <c r="AI997" s="16"/>
      <c r="AJ997" s="16"/>
      <c r="AK997" s="16"/>
      <c r="AL997" s="16"/>
      <c r="AM997" s="16"/>
      <c r="AN997" s="16"/>
      <c r="AO997" s="16"/>
      <c r="AP997" s="16"/>
      <c r="AQ997" s="16"/>
      <c r="AR997" s="16"/>
      <c r="AS997" s="16"/>
    </row>
    <row r="998" spans="18:45" x14ac:dyDescent="0.35">
      <c r="R998" s="191"/>
      <c r="S998" s="191"/>
      <c r="T998" s="193"/>
      <c r="U998" s="191"/>
      <c r="V998" s="194"/>
      <c r="W998" s="191"/>
      <c r="Y998" s="191"/>
      <c r="Z998" s="191"/>
      <c r="AA998" s="191"/>
      <c r="AB998" s="191"/>
      <c r="AC998" s="191"/>
      <c r="AD998" s="16"/>
      <c r="AE998" s="16"/>
      <c r="AF998" s="16"/>
      <c r="AG998" s="16"/>
      <c r="AH998" s="16"/>
      <c r="AI998" s="16"/>
      <c r="AJ998" s="16"/>
      <c r="AK998" s="16"/>
      <c r="AL998" s="16"/>
      <c r="AM998" s="16"/>
      <c r="AN998" s="16"/>
      <c r="AO998" s="16"/>
      <c r="AP998" s="16"/>
      <c r="AQ998" s="16"/>
      <c r="AR998" s="16"/>
      <c r="AS998" s="16"/>
    </row>
    <row r="999" spans="18:45" x14ac:dyDescent="0.35">
      <c r="R999" s="191"/>
      <c r="S999" s="191"/>
      <c r="T999" s="193"/>
      <c r="U999" s="191"/>
      <c r="V999" s="194"/>
      <c r="W999" s="191"/>
      <c r="Y999" s="191"/>
      <c r="Z999" s="191"/>
      <c r="AA999" s="191"/>
      <c r="AB999" s="191"/>
      <c r="AC999" s="191"/>
      <c r="AD999" s="16"/>
      <c r="AE999" s="16"/>
      <c r="AF999" s="16"/>
      <c r="AG999" s="16"/>
      <c r="AH999" s="16"/>
      <c r="AI999" s="16"/>
      <c r="AJ999" s="16"/>
      <c r="AK999" s="16"/>
      <c r="AL999" s="16"/>
      <c r="AM999" s="16"/>
      <c r="AN999" s="16"/>
      <c r="AO999" s="16"/>
      <c r="AP999" s="16"/>
      <c r="AQ999" s="16"/>
      <c r="AR999" s="16"/>
      <c r="AS999" s="16"/>
    </row>
    <row r="1000" spans="18:45" x14ac:dyDescent="0.35">
      <c r="R1000" s="191"/>
      <c r="S1000" s="191"/>
      <c r="T1000" s="193"/>
      <c r="U1000" s="191"/>
      <c r="V1000" s="194"/>
      <c r="W1000" s="191"/>
      <c r="Y1000" s="191"/>
      <c r="Z1000" s="191"/>
      <c r="AA1000" s="191"/>
      <c r="AB1000" s="191"/>
      <c r="AC1000" s="191"/>
      <c r="AD1000" s="16"/>
      <c r="AE1000" s="16"/>
      <c r="AF1000" s="16"/>
      <c r="AG1000" s="16"/>
      <c r="AH1000" s="16"/>
      <c r="AI1000" s="16"/>
      <c r="AJ1000" s="16"/>
      <c r="AK1000" s="16"/>
      <c r="AL1000" s="16"/>
      <c r="AM1000" s="16"/>
      <c r="AN1000" s="16"/>
      <c r="AO1000" s="16"/>
      <c r="AP1000" s="16"/>
      <c r="AQ1000" s="16"/>
      <c r="AR1000" s="16"/>
      <c r="AS1000" s="16"/>
    </row>
    <row r="1001" spans="18:45" x14ac:dyDescent="0.35">
      <c r="R1001" s="191"/>
      <c r="S1001" s="191"/>
      <c r="T1001" s="193"/>
      <c r="U1001" s="191"/>
      <c r="V1001" s="194"/>
      <c r="W1001" s="191"/>
      <c r="Y1001" s="191"/>
      <c r="Z1001" s="191"/>
      <c r="AA1001" s="191"/>
      <c r="AB1001" s="191"/>
      <c r="AC1001" s="191"/>
      <c r="AD1001" s="16"/>
      <c r="AE1001" s="16"/>
      <c r="AF1001" s="16"/>
      <c r="AG1001" s="16"/>
      <c r="AH1001" s="16"/>
      <c r="AI1001" s="16"/>
      <c r="AJ1001" s="16"/>
      <c r="AK1001" s="16"/>
      <c r="AL1001" s="16"/>
      <c r="AM1001" s="16"/>
      <c r="AN1001" s="16"/>
      <c r="AO1001" s="16"/>
      <c r="AP1001" s="16"/>
      <c r="AQ1001" s="16"/>
      <c r="AR1001" s="16"/>
      <c r="AS1001" s="16"/>
    </row>
    <row r="1002" spans="18:45" x14ac:dyDescent="0.35">
      <c r="R1002" s="191"/>
      <c r="S1002" s="191"/>
      <c r="T1002" s="193"/>
      <c r="U1002" s="191"/>
      <c r="V1002" s="194"/>
      <c r="W1002" s="191"/>
      <c r="Y1002" s="191"/>
      <c r="Z1002" s="191"/>
      <c r="AA1002" s="191"/>
      <c r="AB1002" s="191"/>
      <c r="AC1002" s="191"/>
      <c r="AD1002" s="16"/>
      <c r="AE1002" s="16"/>
      <c r="AF1002" s="16"/>
      <c r="AG1002" s="16"/>
      <c r="AH1002" s="16"/>
      <c r="AI1002" s="16"/>
      <c r="AJ1002" s="16"/>
      <c r="AK1002" s="16"/>
      <c r="AL1002" s="16"/>
      <c r="AM1002" s="16"/>
      <c r="AN1002" s="16"/>
      <c r="AO1002" s="16"/>
      <c r="AP1002" s="16"/>
      <c r="AQ1002" s="16"/>
      <c r="AR1002" s="16"/>
      <c r="AS1002" s="16"/>
    </row>
    <row r="1003" spans="18:45" x14ac:dyDescent="0.35">
      <c r="R1003" s="191"/>
      <c r="S1003" s="191"/>
      <c r="T1003" s="193"/>
      <c r="U1003" s="191"/>
      <c r="V1003" s="194"/>
      <c r="W1003" s="191"/>
      <c r="Y1003" s="191"/>
      <c r="Z1003" s="191"/>
      <c r="AA1003" s="191"/>
      <c r="AB1003" s="191"/>
      <c r="AC1003" s="191"/>
      <c r="AD1003" s="16"/>
      <c r="AE1003" s="16"/>
      <c r="AF1003" s="16"/>
      <c r="AG1003" s="16"/>
      <c r="AH1003" s="16"/>
      <c r="AI1003" s="16"/>
      <c r="AJ1003" s="16"/>
      <c r="AK1003" s="16"/>
      <c r="AL1003" s="16"/>
      <c r="AM1003" s="16"/>
      <c r="AN1003" s="16"/>
      <c r="AO1003" s="16"/>
      <c r="AP1003" s="16"/>
      <c r="AQ1003" s="16"/>
      <c r="AR1003" s="16"/>
      <c r="AS1003" s="16"/>
    </row>
    <row r="1004" spans="18:45" x14ac:dyDescent="0.35">
      <c r="R1004" s="191"/>
      <c r="S1004" s="191"/>
      <c r="T1004" s="193"/>
      <c r="U1004" s="191"/>
      <c r="V1004" s="194"/>
      <c r="W1004" s="191"/>
      <c r="Y1004" s="191"/>
      <c r="Z1004" s="191"/>
      <c r="AA1004" s="191"/>
      <c r="AB1004" s="191"/>
      <c r="AC1004" s="191"/>
      <c r="AD1004" s="16"/>
      <c r="AE1004" s="16"/>
      <c r="AF1004" s="16"/>
      <c r="AG1004" s="16"/>
      <c r="AH1004" s="16"/>
      <c r="AI1004" s="16"/>
      <c r="AJ1004" s="16"/>
      <c r="AK1004" s="16"/>
      <c r="AL1004" s="16"/>
      <c r="AM1004" s="16"/>
      <c r="AN1004" s="16"/>
      <c r="AO1004" s="16"/>
      <c r="AP1004" s="16"/>
      <c r="AQ1004" s="16"/>
      <c r="AR1004" s="16"/>
      <c r="AS1004" s="16"/>
    </row>
    <row r="1005" spans="18:45" x14ac:dyDescent="0.35">
      <c r="R1005" s="191"/>
      <c r="S1005" s="191"/>
      <c r="T1005" s="193"/>
      <c r="U1005" s="191"/>
      <c r="V1005" s="194"/>
      <c r="W1005" s="191"/>
      <c r="Y1005" s="191"/>
      <c r="Z1005" s="191"/>
      <c r="AA1005" s="191"/>
      <c r="AB1005" s="191"/>
      <c r="AC1005" s="191"/>
      <c r="AD1005" s="16"/>
      <c r="AE1005" s="16"/>
      <c r="AF1005" s="16"/>
      <c r="AG1005" s="16"/>
      <c r="AH1005" s="16"/>
      <c r="AI1005" s="16"/>
      <c r="AJ1005" s="16"/>
      <c r="AK1005" s="16"/>
      <c r="AL1005" s="16"/>
      <c r="AM1005" s="16"/>
      <c r="AN1005" s="16"/>
      <c r="AO1005" s="16"/>
      <c r="AP1005" s="16"/>
      <c r="AQ1005" s="16"/>
      <c r="AR1005" s="16"/>
      <c r="AS1005" s="16"/>
    </row>
    <row r="1006" spans="18:45" x14ac:dyDescent="0.35">
      <c r="R1006" s="191"/>
      <c r="S1006" s="191"/>
      <c r="T1006" s="193"/>
      <c r="U1006" s="191"/>
      <c r="V1006" s="194"/>
      <c r="W1006" s="191"/>
      <c r="Y1006" s="191"/>
      <c r="Z1006" s="191"/>
      <c r="AA1006" s="191"/>
      <c r="AB1006" s="191"/>
      <c r="AC1006" s="191"/>
      <c r="AD1006" s="16"/>
      <c r="AE1006" s="16"/>
      <c r="AF1006" s="16"/>
      <c r="AG1006" s="16"/>
      <c r="AH1006" s="16"/>
      <c r="AI1006" s="16"/>
      <c r="AJ1006" s="16"/>
      <c r="AK1006" s="16"/>
      <c r="AL1006" s="16"/>
      <c r="AM1006" s="16"/>
      <c r="AN1006" s="16"/>
      <c r="AO1006" s="16"/>
      <c r="AP1006" s="16"/>
      <c r="AQ1006" s="16"/>
      <c r="AR1006" s="16"/>
      <c r="AS1006" s="16"/>
    </row>
    <row r="1007" spans="18:45" x14ac:dyDescent="0.35">
      <c r="R1007" s="191"/>
      <c r="S1007" s="191"/>
      <c r="T1007" s="193"/>
      <c r="U1007" s="191"/>
      <c r="V1007" s="194"/>
      <c r="W1007" s="191"/>
      <c r="Y1007" s="191"/>
      <c r="Z1007" s="191"/>
      <c r="AA1007" s="191"/>
      <c r="AB1007" s="191"/>
      <c r="AC1007" s="191"/>
      <c r="AD1007" s="16"/>
      <c r="AE1007" s="16"/>
      <c r="AF1007" s="16"/>
      <c r="AG1007" s="16"/>
      <c r="AH1007" s="16"/>
      <c r="AI1007" s="16"/>
      <c r="AJ1007" s="16"/>
      <c r="AK1007" s="16"/>
      <c r="AL1007" s="16"/>
      <c r="AM1007" s="16"/>
      <c r="AN1007" s="16"/>
      <c r="AO1007" s="16"/>
      <c r="AP1007" s="16"/>
      <c r="AQ1007" s="16"/>
      <c r="AR1007" s="16"/>
      <c r="AS1007" s="16"/>
    </row>
    <row r="1008" spans="18:45" x14ac:dyDescent="0.35">
      <c r="R1008" s="191"/>
      <c r="S1008" s="191"/>
      <c r="T1008" s="193"/>
      <c r="U1008" s="191"/>
      <c r="V1008" s="194"/>
      <c r="W1008" s="191"/>
      <c r="Y1008" s="191"/>
      <c r="Z1008" s="191"/>
      <c r="AA1008" s="191"/>
      <c r="AB1008" s="191"/>
      <c r="AC1008" s="191"/>
      <c r="AD1008" s="16"/>
      <c r="AE1008" s="16"/>
      <c r="AF1008" s="16"/>
      <c r="AG1008" s="16"/>
      <c r="AH1008" s="16"/>
      <c r="AI1008" s="16"/>
      <c r="AJ1008" s="16"/>
      <c r="AK1008" s="16"/>
      <c r="AL1008" s="16"/>
      <c r="AM1008" s="16"/>
      <c r="AN1008" s="16"/>
      <c r="AO1008" s="16"/>
      <c r="AP1008" s="16"/>
      <c r="AQ1008" s="16"/>
      <c r="AR1008" s="16"/>
      <c r="AS1008" s="16"/>
    </row>
    <row r="1009" spans="18:45" x14ac:dyDescent="0.35">
      <c r="R1009" s="191"/>
      <c r="S1009" s="191"/>
      <c r="T1009" s="193"/>
      <c r="U1009" s="191"/>
      <c r="V1009" s="194"/>
      <c r="W1009" s="191"/>
      <c r="Y1009" s="191"/>
      <c r="Z1009" s="191"/>
      <c r="AA1009" s="191"/>
      <c r="AB1009" s="191"/>
      <c r="AC1009" s="191"/>
      <c r="AD1009" s="16"/>
      <c r="AE1009" s="16"/>
      <c r="AF1009" s="16"/>
      <c r="AG1009" s="16"/>
      <c r="AH1009" s="16"/>
      <c r="AI1009" s="16"/>
      <c r="AJ1009" s="16"/>
      <c r="AK1009" s="16"/>
      <c r="AL1009" s="16"/>
      <c r="AM1009" s="16"/>
      <c r="AN1009" s="16"/>
      <c r="AO1009" s="16"/>
      <c r="AP1009" s="16"/>
      <c r="AQ1009" s="16"/>
      <c r="AR1009" s="16"/>
      <c r="AS1009" s="16"/>
    </row>
    <row r="1010" spans="18:45" x14ac:dyDescent="0.35">
      <c r="R1010" s="191"/>
      <c r="S1010" s="191"/>
      <c r="T1010" s="193"/>
      <c r="U1010" s="191"/>
      <c r="V1010" s="194"/>
      <c r="W1010" s="191"/>
      <c r="Y1010" s="191"/>
      <c r="Z1010" s="191"/>
      <c r="AA1010" s="191"/>
      <c r="AB1010" s="191"/>
      <c r="AC1010" s="191"/>
      <c r="AD1010" s="16"/>
      <c r="AE1010" s="16"/>
      <c r="AF1010" s="16"/>
      <c r="AG1010" s="16"/>
      <c r="AH1010" s="16"/>
      <c r="AI1010" s="16"/>
      <c r="AJ1010" s="16"/>
      <c r="AK1010" s="16"/>
      <c r="AL1010" s="16"/>
      <c r="AM1010" s="16"/>
      <c r="AN1010" s="16"/>
      <c r="AO1010" s="16"/>
      <c r="AP1010" s="16"/>
      <c r="AQ1010" s="16"/>
      <c r="AR1010" s="16"/>
      <c r="AS1010" s="16"/>
    </row>
    <row r="1011" spans="18:45" x14ac:dyDescent="0.35">
      <c r="R1011" s="191"/>
      <c r="S1011" s="191"/>
      <c r="T1011" s="193"/>
      <c r="U1011" s="191"/>
      <c r="V1011" s="194"/>
      <c r="W1011" s="191"/>
      <c r="Y1011" s="191"/>
      <c r="Z1011" s="191"/>
      <c r="AA1011" s="191"/>
      <c r="AB1011" s="191"/>
      <c r="AC1011" s="191"/>
      <c r="AD1011" s="16"/>
      <c r="AE1011" s="16"/>
      <c r="AF1011" s="16"/>
      <c r="AG1011" s="16"/>
      <c r="AH1011" s="16"/>
      <c r="AI1011" s="16"/>
      <c r="AJ1011" s="16"/>
      <c r="AK1011" s="16"/>
      <c r="AL1011" s="16"/>
      <c r="AM1011" s="16"/>
      <c r="AN1011" s="16"/>
      <c r="AO1011" s="16"/>
      <c r="AP1011" s="16"/>
      <c r="AQ1011" s="16"/>
      <c r="AR1011" s="16"/>
      <c r="AS1011" s="16"/>
    </row>
    <row r="1012" spans="18:45" x14ac:dyDescent="0.35">
      <c r="R1012" s="191"/>
      <c r="S1012" s="191"/>
      <c r="T1012" s="193"/>
      <c r="U1012" s="191"/>
      <c r="V1012" s="194"/>
      <c r="W1012" s="191"/>
      <c r="Y1012" s="191"/>
      <c r="Z1012" s="191"/>
      <c r="AA1012" s="191"/>
      <c r="AB1012" s="191"/>
      <c r="AC1012" s="191"/>
      <c r="AD1012" s="16"/>
      <c r="AE1012" s="16"/>
      <c r="AF1012" s="16"/>
      <c r="AG1012" s="16"/>
      <c r="AH1012" s="16"/>
      <c r="AI1012" s="16"/>
      <c r="AJ1012" s="16"/>
      <c r="AK1012" s="16"/>
      <c r="AL1012" s="16"/>
      <c r="AM1012" s="16"/>
      <c r="AN1012" s="16"/>
      <c r="AO1012" s="16"/>
      <c r="AP1012" s="16"/>
      <c r="AQ1012" s="16"/>
      <c r="AR1012" s="16"/>
      <c r="AS1012" s="16"/>
    </row>
    <row r="1013" spans="18:45" x14ac:dyDescent="0.35">
      <c r="R1013" s="191"/>
      <c r="S1013" s="191"/>
      <c r="T1013" s="193"/>
      <c r="U1013" s="191"/>
      <c r="V1013" s="194"/>
      <c r="W1013" s="191"/>
      <c r="Y1013" s="191"/>
      <c r="Z1013" s="191"/>
      <c r="AA1013" s="191"/>
      <c r="AB1013" s="191"/>
      <c r="AC1013" s="191"/>
      <c r="AD1013" s="16"/>
      <c r="AE1013" s="16"/>
      <c r="AF1013" s="16"/>
      <c r="AG1013" s="16"/>
      <c r="AH1013" s="16"/>
      <c r="AI1013" s="16"/>
      <c r="AJ1013" s="16"/>
      <c r="AK1013" s="16"/>
      <c r="AL1013" s="16"/>
      <c r="AM1013" s="16"/>
      <c r="AN1013" s="16"/>
      <c r="AO1013" s="16"/>
      <c r="AP1013" s="16"/>
      <c r="AQ1013" s="16"/>
      <c r="AR1013" s="16"/>
      <c r="AS1013" s="16"/>
    </row>
    <row r="1014" spans="18:45" x14ac:dyDescent="0.35">
      <c r="R1014" s="191"/>
      <c r="S1014" s="191"/>
      <c r="T1014" s="193"/>
      <c r="U1014" s="191"/>
      <c r="V1014" s="194"/>
      <c r="W1014" s="191"/>
      <c r="Y1014" s="191"/>
      <c r="Z1014" s="191"/>
      <c r="AA1014" s="191"/>
      <c r="AB1014" s="191"/>
      <c r="AC1014" s="191"/>
      <c r="AD1014" s="16"/>
      <c r="AE1014" s="16"/>
      <c r="AF1014" s="16"/>
      <c r="AG1014" s="16"/>
      <c r="AH1014" s="16"/>
      <c r="AI1014" s="16"/>
      <c r="AJ1014" s="16"/>
      <c r="AK1014" s="16"/>
      <c r="AL1014" s="16"/>
      <c r="AM1014" s="16"/>
      <c r="AN1014" s="16"/>
      <c r="AO1014" s="16"/>
      <c r="AP1014" s="16"/>
      <c r="AQ1014" s="16"/>
      <c r="AR1014" s="16"/>
      <c r="AS1014" s="16"/>
    </row>
    <row r="1015" spans="18:45" x14ac:dyDescent="0.35">
      <c r="R1015" s="191"/>
      <c r="S1015" s="191"/>
      <c r="T1015" s="193"/>
      <c r="U1015" s="191"/>
      <c r="V1015" s="194"/>
      <c r="W1015" s="191"/>
      <c r="Y1015" s="191"/>
      <c r="Z1015" s="191"/>
      <c r="AA1015" s="191"/>
      <c r="AB1015" s="191"/>
      <c r="AC1015" s="191"/>
      <c r="AD1015" s="16"/>
      <c r="AE1015" s="16"/>
      <c r="AF1015" s="16"/>
      <c r="AG1015" s="16"/>
      <c r="AH1015" s="16"/>
      <c r="AI1015" s="16"/>
      <c r="AJ1015" s="16"/>
      <c r="AK1015" s="16"/>
      <c r="AL1015" s="16"/>
      <c r="AM1015" s="16"/>
      <c r="AN1015" s="16"/>
      <c r="AO1015" s="16"/>
      <c r="AP1015" s="16"/>
      <c r="AQ1015" s="16"/>
      <c r="AR1015" s="16"/>
      <c r="AS1015" s="16"/>
    </row>
    <row r="1016" spans="18:45" x14ac:dyDescent="0.35">
      <c r="R1016" s="191"/>
      <c r="S1016" s="191"/>
      <c r="T1016" s="193"/>
      <c r="U1016" s="191"/>
      <c r="V1016" s="194"/>
      <c r="W1016" s="191"/>
      <c r="Y1016" s="191"/>
      <c r="Z1016" s="191"/>
      <c r="AA1016" s="191"/>
      <c r="AB1016" s="191"/>
      <c r="AC1016" s="191"/>
      <c r="AD1016" s="16"/>
      <c r="AE1016" s="16"/>
      <c r="AF1016" s="16"/>
      <c r="AG1016" s="16"/>
      <c r="AH1016" s="16"/>
      <c r="AI1016" s="16"/>
      <c r="AJ1016" s="16"/>
      <c r="AK1016" s="16"/>
      <c r="AL1016" s="16"/>
      <c r="AM1016" s="16"/>
      <c r="AN1016" s="16"/>
      <c r="AO1016" s="16"/>
      <c r="AP1016" s="16"/>
      <c r="AQ1016" s="16"/>
      <c r="AR1016" s="16"/>
      <c r="AS1016" s="16"/>
    </row>
    <row r="1017" spans="18:45" x14ac:dyDescent="0.35">
      <c r="R1017" s="191"/>
      <c r="S1017" s="191"/>
      <c r="T1017" s="193"/>
      <c r="U1017" s="191"/>
      <c r="V1017" s="194"/>
      <c r="W1017" s="191"/>
      <c r="Y1017" s="191"/>
      <c r="Z1017" s="191"/>
      <c r="AA1017" s="191"/>
      <c r="AB1017" s="191"/>
      <c r="AC1017" s="191"/>
      <c r="AD1017" s="16"/>
      <c r="AE1017" s="16"/>
      <c r="AF1017" s="16"/>
      <c r="AG1017" s="16"/>
      <c r="AH1017" s="16"/>
      <c r="AI1017" s="16"/>
      <c r="AJ1017" s="16"/>
      <c r="AK1017" s="16"/>
      <c r="AL1017" s="16"/>
      <c r="AM1017" s="16"/>
      <c r="AN1017" s="16"/>
      <c r="AO1017" s="16"/>
      <c r="AP1017" s="16"/>
      <c r="AQ1017" s="16"/>
      <c r="AR1017" s="16"/>
      <c r="AS1017" s="16"/>
    </row>
    <row r="1018" spans="18:45" x14ac:dyDescent="0.35">
      <c r="R1018" s="191"/>
      <c r="S1018" s="191"/>
      <c r="T1018" s="193"/>
      <c r="U1018" s="191"/>
      <c r="V1018" s="194"/>
      <c r="W1018" s="191"/>
      <c r="Y1018" s="191"/>
      <c r="Z1018" s="191"/>
      <c r="AA1018" s="191"/>
      <c r="AB1018" s="191"/>
      <c r="AC1018" s="191"/>
      <c r="AD1018" s="16"/>
      <c r="AE1018" s="16"/>
      <c r="AF1018" s="16"/>
      <c r="AG1018" s="16"/>
      <c r="AH1018" s="16"/>
      <c r="AI1018" s="16"/>
      <c r="AJ1018" s="16"/>
      <c r="AK1018" s="16"/>
      <c r="AL1018" s="16"/>
      <c r="AM1018" s="16"/>
      <c r="AN1018" s="16"/>
      <c r="AO1018" s="16"/>
      <c r="AP1018" s="16"/>
      <c r="AQ1018" s="16"/>
      <c r="AR1018" s="16"/>
      <c r="AS1018" s="16"/>
    </row>
    <row r="1019" spans="18:45" x14ac:dyDescent="0.35">
      <c r="R1019" s="191"/>
      <c r="S1019" s="191"/>
      <c r="T1019" s="193"/>
      <c r="U1019" s="191"/>
      <c r="V1019" s="194"/>
      <c r="W1019" s="191"/>
      <c r="Y1019" s="191"/>
      <c r="Z1019" s="191"/>
      <c r="AA1019" s="191"/>
      <c r="AB1019" s="191"/>
      <c r="AC1019" s="191"/>
      <c r="AD1019" s="16"/>
      <c r="AE1019" s="16"/>
      <c r="AF1019" s="16"/>
      <c r="AG1019" s="16"/>
      <c r="AH1019" s="16"/>
      <c r="AI1019" s="16"/>
      <c r="AJ1019" s="16"/>
      <c r="AK1019" s="16"/>
      <c r="AL1019" s="16"/>
      <c r="AM1019" s="16"/>
      <c r="AN1019" s="16"/>
      <c r="AO1019" s="16"/>
      <c r="AP1019" s="16"/>
      <c r="AQ1019" s="16"/>
      <c r="AR1019" s="16"/>
      <c r="AS1019" s="16"/>
    </row>
    <row r="1020" spans="18:45" x14ac:dyDescent="0.35">
      <c r="R1020" s="191"/>
      <c r="S1020" s="191"/>
      <c r="T1020" s="193"/>
      <c r="U1020" s="191"/>
      <c r="V1020" s="194"/>
      <c r="W1020" s="191"/>
      <c r="Y1020" s="191"/>
      <c r="Z1020" s="191"/>
      <c r="AA1020" s="191"/>
      <c r="AB1020" s="191"/>
      <c r="AC1020" s="191"/>
      <c r="AD1020" s="16"/>
      <c r="AE1020" s="16"/>
      <c r="AF1020" s="16"/>
      <c r="AG1020" s="16"/>
      <c r="AH1020" s="16"/>
      <c r="AI1020" s="16"/>
      <c r="AJ1020" s="16"/>
      <c r="AK1020" s="16"/>
      <c r="AL1020" s="16"/>
      <c r="AM1020" s="16"/>
      <c r="AN1020" s="16"/>
      <c r="AO1020" s="16"/>
      <c r="AP1020" s="16"/>
      <c r="AQ1020" s="16"/>
      <c r="AR1020" s="16"/>
      <c r="AS1020" s="16"/>
    </row>
    <row r="1021" spans="18:45" x14ac:dyDescent="0.35">
      <c r="R1021" s="191"/>
      <c r="S1021" s="191"/>
      <c r="T1021" s="193"/>
      <c r="U1021" s="191"/>
      <c r="V1021" s="194"/>
      <c r="W1021" s="191"/>
      <c r="Y1021" s="191"/>
      <c r="Z1021" s="191"/>
      <c r="AA1021" s="191"/>
      <c r="AB1021" s="191"/>
      <c r="AC1021" s="191"/>
      <c r="AD1021" s="16"/>
      <c r="AE1021" s="16"/>
      <c r="AF1021" s="16"/>
      <c r="AG1021" s="16"/>
      <c r="AH1021" s="16"/>
      <c r="AI1021" s="16"/>
      <c r="AJ1021" s="16"/>
      <c r="AK1021" s="16"/>
      <c r="AL1021" s="16"/>
      <c r="AM1021" s="16"/>
      <c r="AN1021" s="16"/>
      <c r="AO1021" s="16"/>
      <c r="AP1021" s="16"/>
      <c r="AQ1021" s="16"/>
      <c r="AR1021" s="16"/>
      <c r="AS1021" s="16"/>
    </row>
    <row r="1022" spans="18:45" x14ac:dyDescent="0.35">
      <c r="R1022" s="191"/>
      <c r="S1022" s="191"/>
      <c r="T1022" s="193"/>
      <c r="U1022" s="191"/>
      <c r="V1022" s="194"/>
      <c r="W1022" s="191"/>
      <c r="Y1022" s="191"/>
      <c r="Z1022" s="191"/>
      <c r="AA1022" s="191"/>
      <c r="AB1022" s="191"/>
      <c r="AC1022" s="191"/>
      <c r="AD1022" s="16"/>
      <c r="AE1022" s="16"/>
      <c r="AF1022" s="16"/>
      <c r="AG1022" s="16"/>
      <c r="AH1022" s="16"/>
      <c r="AI1022" s="16"/>
      <c r="AJ1022" s="16"/>
      <c r="AK1022" s="16"/>
      <c r="AL1022" s="16"/>
      <c r="AM1022" s="16"/>
      <c r="AN1022" s="16"/>
      <c r="AO1022" s="16"/>
      <c r="AP1022" s="16"/>
      <c r="AQ1022" s="16"/>
      <c r="AR1022" s="16"/>
      <c r="AS1022" s="16"/>
    </row>
    <row r="1023" spans="18:45" x14ac:dyDescent="0.35">
      <c r="R1023" s="191"/>
      <c r="S1023" s="191"/>
      <c r="T1023" s="193"/>
      <c r="U1023" s="191"/>
      <c r="V1023" s="194"/>
      <c r="W1023" s="191"/>
      <c r="Y1023" s="191"/>
      <c r="Z1023" s="191"/>
      <c r="AA1023" s="191"/>
      <c r="AB1023" s="191"/>
      <c r="AC1023" s="191"/>
      <c r="AD1023" s="16"/>
      <c r="AE1023" s="16"/>
      <c r="AF1023" s="16"/>
      <c r="AG1023" s="16"/>
      <c r="AH1023" s="16"/>
      <c r="AI1023" s="16"/>
      <c r="AJ1023" s="16"/>
      <c r="AK1023" s="16"/>
      <c r="AL1023" s="16"/>
      <c r="AM1023" s="16"/>
      <c r="AN1023" s="16"/>
      <c r="AO1023" s="16"/>
      <c r="AP1023" s="16"/>
      <c r="AQ1023" s="16"/>
      <c r="AR1023" s="16"/>
      <c r="AS1023" s="16"/>
    </row>
    <row r="1024" spans="18:45" x14ac:dyDescent="0.35">
      <c r="R1024" s="191"/>
      <c r="S1024" s="191"/>
      <c r="T1024" s="193"/>
      <c r="U1024" s="191"/>
      <c r="V1024" s="194"/>
      <c r="W1024" s="191"/>
      <c r="Y1024" s="191"/>
      <c r="Z1024" s="191"/>
      <c r="AA1024" s="191"/>
      <c r="AB1024" s="191"/>
      <c r="AC1024" s="191"/>
      <c r="AD1024" s="16"/>
      <c r="AE1024" s="16"/>
      <c r="AF1024" s="16"/>
      <c r="AG1024" s="16"/>
      <c r="AH1024" s="16"/>
      <c r="AI1024" s="16"/>
      <c r="AJ1024" s="16"/>
      <c r="AK1024" s="16"/>
      <c r="AL1024" s="16"/>
      <c r="AM1024" s="16"/>
      <c r="AN1024" s="16"/>
      <c r="AO1024" s="16"/>
      <c r="AP1024" s="16"/>
      <c r="AQ1024" s="16"/>
      <c r="AR1024" s="16"/>
      <c r="AS1024" s="16"/>
    </row>
    <row r="1025" spans="18:45" x14ac:dyDescent="0.35">
      <c r="R1025" s="191"/>
      <c r="S1025" s="191"/>
      <c r="T1025" s="193"/>
      <c r="U1025" s="191"/>
      <c r="V1025" s="194"/>
      <c r="W1025" s="191"/>
      <c r="Y1025" s="191"/>
      <c r="Z1025" s="191"/>
      <c r="AA1025" s="191"/>
      <c r="AB1025" s="191"/>
      <c r="AC1025" s="191"/>
      <c r="AD1025" s="16"/>
      <c r="AE1025" s="16"/>
      <c r="AF1025" s="16"/>
      <c r="AG1025" s="16"/>
      <c r="AH1025" s="16"/>
      <c r="AI1025" s="16"/>
      <c r="AJ1025" s="16"/>
      <c r="AK1025" s="16"/>
      <c r="AL1025" s="16"/>
      <c r="AM1025" s="16"/>
      <c r="AN1025" s="16"/>
      <c r="AO1025" s="16"/>
      <c r="AP1025" s="16"/>
      <c r="AQ1025" s="16"/>
      <c r="AR1025" s="16"/>
      <c r="AS1025" s="16"/>
    </row>
    <row r="1026" spans="18:45" x14ac:dyDescent="0.35">
      <c r="R1026" s="191"/>
      <c r="S1026" s="191"/>
      <c r="T1026" s="193"/>
      <c r="U1026" s="191"/>
      <c r="V1026" s="194"/>
      <c r="W1026" s="191"/>
      <c r="Y1026" s="191"/>
      <c r="Z1026" s="191"/>
      <c r="AA1026" s="191"/>
      <c r="AB1026" s="191"/>
      <c r="AC1026" s="191"/>
      <c r="AD1026" s="16"/>
      <c r="AE1026" s="16"/>
      <c r="AF1026" s="16"/>
      <c r="AG1026" s="16"/>
      <c r="AH1026" s="16"/>
      <c r="AI1026" s="16"/>
      <c r="AJ1026" s="16"/>
      <c r="AK1026" s="16"/>
      <c r="AL1026" s="16"/>
      <c r="AM1026" s="16"/>
      <c r="AN1026" s="16"/>
      <c r="AO1026" s="16"/>
      <c r="AP1026" s="16"/>
      <c r="AQ1026" s="16"/>
      <c r="AR1026" s="16"/>
      <c r="AS1026" s="16"/>
    </row>
    <row r="1027" spans="18:45" x14ac:dyDescent="0.35">
      <c r="R1027" s="191"/>
      <c r="S1027" s="191"/>
      <c r="T1027" s="193"/>
      <c r="U1027" s="191"/>
      <c r="V1027" s="194"/>
      <c r="W1027" s="191"/>
      <c r="Y1027" s="191"/>
      <c r="Z1027" s="191"/>
      <c r="AA1027" s="191"/>
      <c r="AB1027" s="191"/>
      <c r="AC1027" s="191"/>
      <c r="AD1027" s="16"/>
      <c r="AE1027" s="16"/>
      <c r="AF1027" s="16"/>
      <c r="AG1027" s="16"/>
      <c r="AH1027" s="16"/>
      <c r="AI1027" s="16"/>
      <c r="AJ1027" s="16"/>
      <c r="AK1027" s="16"/>
      <c r="AL1027" s="16"/>
      <c r="AM1027" s="16"/>
      <c r="AN1027" s="16"/>
      <c r="AO1027" s="16"/>
      <c r="AP1027" s="16"/>
      <c r="AQ1027" s="16"/>
      <c r="AR1027" s="16"/>
      <c r="AS1027" s="16"/>
    </row>
    <row r="1028" spans="18:45" x14ac:dyDescent="0.35">
      <c r="R1028" s="191"/>
      <c r="S1028" s="191"/>
      <c r="T1028" s="193"/>
      <c r="U1028" s="191"/>
      <c r="V1028" s="194"/>
      <c r="W1028" s="191"/>
      <c r="Y1028" s="191"/>
      <c r="Z1028" s="191"/>
      <c r="AA1028" s="191"/>
      <c r="AB1028" s="191"/>
      <c r="AC1028" s="191"/>
      <c r="AD1028" s="16"/>
      <c r="AE1028" s="16"/>
      <c r="AF1028" s="16"/>
      <c r="AG1028" s="16"/>
      <c r="AH1028" s="16"/>
      <c r="AI1028" s="16"/>
      <c r="AJ1028" s="16"/>
      <c r="AK1028" s="16"/>
      <c r="AL1028" s="16"/>
      <c r="AM1028" s="16"/>
      <c r="AN1028" s="16"/>
      <c r="AO1028" s="16"/>
      <c r="AP1028" s="16"/>
      <c r="AQ1028" s="16"/>
      <c r="AR1028" s="16"/>
      <c r="AS1028" s="16"/>
    </row>
    <row r="1029" spans="18:45" x14ac:dyDescent="0.35">
      <c r="R1029" s="191"/>
      <c r="S1029" s="191"/>
      <c r="T1029" s="193"/>
      <c r="U1029" s="191"/>
      <c r="V1029" s="194"/>
      <c r="W1029" s="191"/>
      <c r="Y1029" s="191"/>
      <c r="Z1029" s="191"/>
      <c r="AA1029" s="191"/>
      <c r="AB1029" s="191"/>
      <c r="AC1029" s="191"/>
      <c r="AD1029" s="16"/>
      <c r="AE1029" s="16"/>
      <c r="AF1029" s="16"/>
      <c r="AG1029" s="16"/>
      <c r="AH1029" s="16"/>
      <c r="AI1029" s="16"/>
      <c r="AJ1029" s="16"/>
      <c r="AK1029" s="16"/>
      <c r="AL1029" s="16"/>
      <c r="AM1029" s="16"/>
      <c r="AN1029" s="16"/>
      <c r="AO1029" s="16"/>
      <c r="AP1029" s="16"/>
      <c r="AQ1029" s="16"/>
      <c r="AR1029" s="16"/>
      <c r="AS1029" s="16"/>
    </row>
    <row r="1030" spans="18:45" x14ac:dyDescent="0.35">
      <c r="R1030" s="191"/>
      <c r="S1030" s="191"/>
      <c r="T1030" s="193"/>
      <c r="U1030" s="191"/>
      <c r="V1030" s="194"/>
      <c r="W1030" s="191"/>
      <c r="Y1030" s="191"/>
      <c r="Z1030" s="191"/>
      <c r="AA1030" s="191"/>
      <c r="AB1030" s="191"/>
      <c r="AC1030" s="191"/>
      <c r="AD1030" s="16"/>
      <c r="AE1030" s="16"/>
      <c r="AF1030" s="16"/>
      <c r="AG1030" s="16"/>
      <c r="AH1030" s="16"/>
      <c r="AI1030" s="16"/>
      <c r="AJ1030" s="16"/>
      <c r="AK1030" s="16"/>
      <c r="AL1030" s="16"/>
      <c r="AM1030" s="16"/>
      <c r="AN1030" s="16"/>
      <c r="AO1030" s="16"/>
      <c r="AP1030" s="16"/>
      <c r="AQ1030" s="16"/>
      <c r="AR1030" s="16"/>
      <c r="AS1030" s="16"/>
    </row>
    <row r="1031" spans="18:45" x14ac:dyDescent="0.35">
      <c r="R1031" s="191"/>
      <c r="S1031" s="191"/>
      <c r="T1031" s="193"/>
      <c r="U1031" s="191"/>
      <c r="V1031" s="194"/>
      <c r="W1031" s="191"/>
      <c r="Y1031" s="191"/>
      <c r="Z1031" s="191"/>
      <c r="AA1031" s="191"/>
      <c r="AB1031" s="191"/>
      <c r="AC1031" s="191"/>
      <c r="AD1031" s="16"/>
      <c r="AE1031" s="16"/>
      <c r="AF1031" s="16"/>
      <c r="AG1031" s="16"/>
      <c r="AH1031" s="16"/>
      <c r="AI1031" s="16"/>
      <c r="AJ1031" s="16"/>
      <c r="AK1031" s="16"/>
      <c r="AL1031" s="16"/>
      <c r="AM1031" s="16"/>
      <c r="AN1031" s="16"/>
      <c r="AO1031" s="16"/>
      <c r="AP1031" s="16"/>
      <c r="AQ1031" s="16"/>
      <c r="AR1031" s="16"/>
      <c r="AS1031" s="16"/>
    </row>
    <row r="1032" spans="18:45" x14ac:dyDescent="0.35">
      <c r="R1032" s="191"/>
      <c r="S1032" s="191"/>
      <c r="T1032" s="193"/>
      <c r="U1032" s="191"/>
      <c r="V1032" s="194"/>
      <c r="W1032" s="191"/>
      <c r="Y1032" s="191"/>
      <c r="Z1032" s="191"/>
      <c r="AA1032" s="191"/>
      <c r="AB1032" s="191"/>
      <c r="AC1032" s="191"/>
      <c r="AD1032" s="16"/>
      <c r="AE1032" s="16"/>
      <c r="AF1032" s="16"/>
      <c r="AG1032" s="16"/>
      <c r="AH1032" s="16"/>
      <c r="AI1032" s="16"/>
      <c r="AJ1032" s="16"/>
      <c r="AK1032" s="16"/>
      <c r="AL1032" s="16"/>
      <c r="AM1032" s="16"/>
      <c r="AN1032" s="16"/>
      <c r="AO1032" s="16"/>
      <c r="AP1032" s="16"/>
      <c r="AQ1032" s="16"/>
      <c r="AR1032" s="16"/>
      <c r="AS1032" s="16"/>
    </row>
    <row r="1033" spans="18:45" x14ac:dyDescent="0.35">
      <c r="R1033" s="191"/>
      <c r="S1033" s="191"/>
      <c r="T1033" s="193"/>
      <c r="U1033" s="191"/>
      <c r="V1033" s="194"/>
      <c r="W1033" s="191"/>
      <c r="Y1033" s="191"/>
      <c r="Z1033" s="191"/>
      <c r="AA1033" s="191"/>
      <c r="AB1033" s="191"/>
      <c r="AC1033" s="191"/>
      <c r="AD1033" s="16"/>
      <c r="AE1033" s="16"/>
      <c r="AF1033" s="16"/>
      <c r="AG1033" s="16"/>
      <c r="AH1033" s="16"/>
      <c r="AI1033" s="16"/>
      <c r="AJ1033" s="16"/>
      <c r="AK1033" s="16"/>
      <c r="AL1033" s="16"/>
      <c r="AM1033" s="16"/>
      <c r="AN1033" s="16"/>
      <c r="AO1033" s="16"/>
      <c r="AP1033" s="16"/>
      <c r="AQ1033" s="16"/>
      <c r="AR1033" s="16"/>
      <c r="AS1033" s="16"/>
    </row>
    <row r="1034" spans="18:45" x14ac:dyDescent="0.35">
      <c r="R1034" s="191"/>
      <c r="S1034" s="191"/>
      <c r="T1034" s="193"/>
      <c r="U1034" s="191"/>
      <c r="V1034" s="194"/>
      <c r="W1034" s="191"/>
      <c r="Y1034" s="191"/>
      <c r="Z1034" s="191"/>
      <c r="AA1034" s="191"/>
      <c r="AB1034" s="191"/>
      <c r="AC1034" s="191"/>
      <c r="AD1034" s="16"/>
      <c r="AE1034" s="16"/>
      <c r="AF1034" s="16"/>
      <c r="AG1034" s="16"/>
      <c r="AH1034" s="16"/>
      <c r="AI1034" s="16"/>
      <c r="AJ1034" s="16"/>
      <c r="AK1034" s="16"/>
      <c r="AL1034" s="16"/>
      <c r="AM1034" s="16"/>
      <c r="AN1034" s="16"/>
      <c r="AO1034" s="16"/>
      <c r="AP1034" s="16"/>
      <c r="AQ1034" s="16"/>
      <c r="AR1034" s="16"/>
      <c r="AS1034" s="16"/>
    </row>
    <row r="1035" spans="18:45" x14ac:dyDescent="0.35">
      <c r="R1035" s="191"/>
      <c r="S1035" s="191"/>
      <c r="T1035" s="193"/>
      <c r="U1035" s="191"/>
      <c r="V1035" s="194"/>
      <c r="W1035" s="191"/>
      <c r="Y1035" s="191"/>
      <c r="Z1035" s="191"/>
      <c r="AA1035" s="191"/>
      <c r="AB1035" s="191"/>
      <c r="AC1035" s="191"/>
      <c r="AD1035" s="16"/>
      <c r="AE1035" s="16"/>
      <c r="AF1035" s="16"/>
      <c r="AG1035" s="16"/>
      <c r="AH1035" s="16"/>
      <c r="AI1035" s="16"/>
      <c r="AJ1035" s="16"/>
      <c r="AK1035" s="16"/>
      <c r="AL1035" s="16"/>
      <c r="AM1035" s="16"/>
      <c r="AN1035" s="16"/>
      <c r="AO1035" s="16"/>
      <c r="AP1035" s="16"/>
      <c r="AQ1035" s="16"/>
      <c r="AR1035" s="16"/>
      <c r="AS1035" s="16"/>
    </row>
    <row r="1036" spans="18:45" x14ac:dyDescent="0.35">
      <c r="R1036" s="191"/>
      <c r="S1036" s="191"/>
      <c r="T1036" s="193"/>
      <c r="U1036" s="191"/>
      <c r="V1036" s="194"/>
      <c r="W1036" s="191"/>
      <c r="Y1036" s="191"/>
      <c r="Z1036" s="191"/>
      <c r="AA1036" s="191"/>
      <c r="AB1036" s="191"/>
      <c r="AC1036" s="191"/>
      <c r="AD1036" s="16"/>
      <c r="AE1036" s="16"/>
      <c r="AF1036" s="16"/>
      <c r="AG1036" s="16"/>
      <c r="AH1036" s="16"/>
      <c r="AI1036" s="16"/>
      <c r="AJ1036" s="16"/>
      <c r="AK1036" s="16"/>
      <c r="AL1036" s="16"/>
      <c r="AM1036" s="16"/>
      <c r="AN1036" s="16"/>
      <c r="AO1036" s="16"/>
      <c r="AP1036" s="16"/>
      <c r="AQ1036" s="16"/>
      <c r="AR1036" s="16"/>
      <c r="AS1036" s="16"/>
    </row>
    <row r="1037" spans="18:45" x14ac:dyDescent="0.35">
      <c r="R1037" s="191"/>
      <c r="S1037" s="191"/>
      <c r="T1037" s="193"/>
      <c r="U1037" s="191"/>
      <c r="V1037" s="194"/>
      <c r="W1037" s="191"/>
      <c r="Y1037" s="191"/>
      <c r="Z1037" s="191"/>
      <c r="AA1037" s="191"/>
      <c r="AB1037" s="191"/>
      <c r="AC1037" s="191"/>
      <c r="AD1037" s="16"/>
      <c r="AE1037" s="16"/>
      <c r="AF1037" s="16"/>
      <c r="AG1037" s="16"/>
      <c r="AH1037" s="16"/>
      <c r="AI1037" s="16"/>
      <c r="AJ1037" s="16"/>
      <c r="AK1037" s="16"/>
      <c r="AL1037" s="16"/>
      <c r="AM1037" s="16"/>
      <c r="AN1037" s="16"/>
      <c r="AO1037" s="16"/>
      <c r="AP1037" s="16"/>
      <c r="AQ1037" s="16"/>
      <c r="AR1037" s="16"/>
      <c r="AS1037" s="16"/>
    </row>
    <row r="1038" spans="18:45" x14ac:dyDescent="0.35">
      <c r="R1038" s="191"/>
      <c r="S1038" s="191"/>
      <c r="T1038" s="193"/>
      <c r="U1038" s="191"/>
      <c r="V1038" s="194"/>
      <c r="W1038" s="191"/>
      <c r="Y1038" s="191"/>
      <c r="Z1038" s="191"/>
      <c r="AA1038" s="191"/>
      <c r="AB1038" s="191"/>
      <c r="AC1038" s="191"/>
      <c r="AD1038" s="16"/>
      <c r="AE1038" s="16"/>
      <c r="AF1038" s="16"/>
      <c r="AG1038" s="16"/>
      <c r="AH1038" s="16"/>
      <c r="AI1038" s="16"/>
      <c r="AJ1038" s="16"/>
      <c r="AK1038" s="16"/>
      <c r="AL1038" s="16"/>
      <c r="AM1038" s="16"/>
      <c r="AN1038" s="16"/>
      <c r="AO1038" s="16"/>
      <c r="AP1038" s="16"/>
      <c r="AQ1038" s="16"/>
      <c r="AR1038" s="16"/>
      <c r="AS1038" s="16"/>
    </row>
    <row r="1039" spans="18:45" x14ac:dyDescent="0.35">
      <c r="R1039" s="191"/>
      <c r="S1039" s="191"/>
      <c r="T1039" s="193"/>
      <c r="U1039" s="191"/>
      <c r="V1039" s="194"/>
      <c r="W1039" s="191"/>
      <c r="Y1039" s="191"/>
      <c r="Z1039" s="191"/>
      <c r="AA1039" s="191"/>
      <c r="AB1039" s="191"/>
      <c r="AC1039" s="191"/>
      <c r="AD1039" s="16"/>
      <c r="AE1039" s="16"/>
      <c r="AF1039" s="16"/>
      <c r="AG1039" s="16"/>
      <c r="AH1039" s="16"/>
      <c r="AI1039" s="16"/>
      <c r="AJ1039" s="16"/>
      <c r="AK1039" s="16"/>
      <c r="AL1039" s="16"/>
      <c r="AM1039" s="16"/>
      <c r="AN1039" s="16"/>
      <c r="AO1039" s="16"/>
      <c r="AP1039" s="16"/>
      <c r="AQ1039" s="16"/>
      <c r="AR1039" s="16"/>
      <c r="AS1039" s="16"/>
    </row>
    <row r="1040" spans="18:45" x14ac:dyDescent="0.35">
      <c r="R1040" s="191"/>
      <c r="S1040" s="191"/>
      <c r="T1040" s="193"/>
      <c r="U1040" s="191"/>
      <c r="V1040" s="194"/>
      <c r="W1040" s="191"/>
      <c r="Y1040" s="191"/>
      <c r="Z1040" s="191"/>
      <c r="AA1040" s="191"/>
      <c r="AB1040" s="191"/>
      <c r="AC1040" s="191"/>
      <c r="AD1040" s="16"/>
      <c r="AE1040" s="16"/>
      <c r="AF1040" s="16"/>
      <c r="AG1040" s="16"/>
      <c r="AH1040" s="16"/>
      <c r="AI1040" s="16"/>
      <c r="AJ1040" s="16"/>
      <c r="AK1040" s="16"/>
      <c r="AL1040" s="16"/>
      <c r="AM1040" s="16"/>
      <c r="AN1040" s="16"/>
      <c r="AO1040" s="16"/>
      <c r="AP1040" s="16"/>
      <c r="AQ1040" s="16"/>
      <c r="AR1040" s="16"/>
      <c r="AS1040" s="16"/>
    </row>
    <row r="1041" spans="18:45" x14ac:dyDescent="0.35">
      <c r="R1041" s="191"/>
      <c r="S1041" s="191"/>
      <c r="T1041" s="193"/>
      <c r="U1041" s="191"/>
      <c r="V1041" s="194"/>
      <c r="W1041" s="191"/>
      <c r="Y1041" s="191"/>
      <c r="Z1041" s="191"/>
      <c r="AA1041" s="191"/>
      <c r="AB1041" s="191"/>
      <c r="AC1041" s="191"/>
      <c r="AD1041" s="16"/>
      <c r="AE1041" s="16"/>
      <c r="AF1041" s="16"/>
      <c r="AG1041" s="16"/>
      <c r="AH1041" s="16"/>
      <c r="AI1041" s="16"/>
      <c r="AJ1041" s="16"/>
      <c r="AK1041" s="16"/>
      <c r="AL1041" s="16"/>
      <c r="AM1041" s="16"/>
      <c r="AN1041" s="16"/>
      <c r="AO1041" s="16"/>
      <c r="AP1041" s="16"/>
      <c r="AQ1041" s="16"/>
      <c r="AR1041" s="16"/>
      <c r="AS1041" s="16"/>
    </row>
    <row r="1042" spans="18:45" x14ac:dyDescent="0.35">
      <c r="R1042" s="191"/>
      <c r="S1042" s="191"/>
      <c r="T1042" s="193"/>
      <c r="U1042" s="191"/>
      <c r="V1042" s="194"/>
      <c r="W1042" s="191"/>
      <c r="Y1042" s="191"/>
      <c r="Z1042" s="191"/>
      <c r="AA1042" s="191"/>
      <c r="AB1042" s="191"/>
      <c r="AC1042" s="191"/>
      <c r="AD1042" s="16"/>
      <c r="AE1042" s="16"/>
      <c r="AF1042" s="16"/>
      <c r="AG1042" s="16"/>
      <c r="AH1042" s="16"/>
      <c r="AI1042" s="16"/>
      <c r="AJ1042" s="16"/>
      <c r="AK1042" s="16"/>
      <c r="AL1042" s="16"/>
      <c r="AM1042" s="16"/>
      <c r="AN1042" s="16"/>
      <c r="AO1042" s="16"/>
      <c r="AP1042" s="16"/>
      <c r="AQ1042" s="16"/>
      <c r="AR1042" s="16"/>
      <c r="AS1042" s="16"/>
    </row>
    <row r="1043" spans="18:45" x14ac:dyDescent="0.35">
      <c r="R1043" s="191"/>
      <c r="S1043" s="191"/>
      <c r="T1043" s="193"/>
      <c r="U1043" s="191"/>
      <c r="V1043" s="194"/>
      <c r="W1043" s="191"/>
      <c r="Y1043" s="191"/>
      <c r="Z1043" s="191"/>
      <c r="AA1043" s="191"/>
      <c r="AB1043" s="191"/>
      <c r="AC1043" s="191"/>
      <c r="AD1043" s="16"/>
      <c r="AE1043" s="16"/>
      <c r="AF1043" s="16"/>
      <c r="AG1043" s="16"/>
      <c r="AH1043" s="16"/>
      <c r="AI1043" s="16"/>
      <c r="AJ1043" s="16"/>
      <c r="AK1043" s="16"/>
      <c r="AL1043" s="16"/>
      <c r="AM1043" s="16"/>
      <c r="AN1043" s="16"/>
      <c r="AO1043" s="16"/>
      <c r="AP1043" s="16"/>
      <c r="AQ1043" s="16"/>
      <c r="AR1043" s="16"/>
      <c r="AS1043" s="16"/>
    </row>
    <row r="1044" spans="18:45" x14ac:dyDescent="0.35">
      <c r="R1044" s="191"/>
      <c r="S1044" s="191"/>
      <c r="T1044" s="193"/>
      <c r="U1044" s="191"/>
      <c r="V1044" s="194"/>
      <c r="W1044" s="191"/>
      <c r="Y1044" s="191"/>
      <c r="Z1044" s="191"/>
      <c r="AA1044" s="191"/>
      <c r="AB1044" s="191"/>
      <c r="AC1044" s="191"/>
      <c r="AD1044" s="16"/>
      <c r="AE1044" s="16"/>
      <c r="AF1044" s="16"/>
      <c r="AG1044" s="16"/>
      <c r="AH1044" s="16"/>
      <c r="AI1044" s="16"/>
      <c r="AJ1044" s="16"/>
      <c r="AK1044" s="16"/>
      <c r="AL1044" s="16"/>
      <c r="AM1044" s="16"/>
      <c r="AN1044" s="16"/>
      <c r="AO1044" s="16"/>
      <c r="AP1044" s="16"/>
      <c r="AQ1044" s="16"/>
      <c r="AR1044" s="16"/>
      <c r="AS1044" s="16"/>
    </row>
    <row r="1045" spans="18:45" x14ac:dyDescent="0.35">
      <c r="R1045" s="191"/>
      <c r="S1045" s="191"/>
      <c r="T1045" s="193"/>
      <c r="U1045" s="191"/>
      <c r="V1045" s="194"/>
      <c r="W1045" s="191"/>
      <c r="Y1045" s="191"/>
      <c r="Z1045" s="191"/>
      <c r="AA1045" s="191"/>
      <c r="AB1045" s="191"/>
      <c r="AC1045" s="191"/>
      <c r="AD1045" s="16"/>
      <c r="AE1045" s="16"/>
      <c r="AF1045" s="16"/>
      <c r="AG1045" s="16"/>
      <c r="AH1045" s="16"/>
      <c r="AI1045" s="16"/>
      <c r="AJ1045" s="16"/>
      <c r="AK1045" s="16"/>
      <c r="AL1045" s="16"/>
      <c r="AM1045" s="16"/>
      <c r="AN1045" s="16"/>
      <c r="AO1045" s="16"/>
      <c r="AP1045" s="16"/>
      <c r="AQ1045" s="16"/>
      <c r="AR1045" s="16"/>
      <c r="AS1045" s="16"/>
    </row>
    <row r="1046" spans="18:45" x14ac:dyDescent="0.35">
      <c r="R1046" s="191"/>
      <c r="S1046" s="191"/>
      <c r="T1046" s="193"/>
      <c r="U1046" s="191"/>
      <c r="V1046" s="194"/>
      <c r="W1046" s="191"/>
      <c r="Y1046" s="191"/>
      <c r="Z1046" s="191"/>
      <c r="AA1046" s="191"/>
      <c r="AB1046" s="191"/>
      <c r="AC1046" s="191"/>
      <c r="AD1046" s="16"/>
      <c r="AE1046" s="16"/>
      <c r="AF1046" s="16"/>
      <c r="AG1046" s="16"/>
      <c r="AH1046" s="16"/>
      <c r="AI1046" s="16"/>
      <c r="AJ1046" s="16"/>
      <c r="AK1046" s="16"/>
      <c r="AL1046" s="16"/>
      <c r="AM1046" s="16"/>
      <c r="AN1046" s="16"/>
      <c r="AO1046" s="16"/>
      <c r="AP1046" s="16"/>
      <c r="AQ1046" s="16"/>
      <c r="AR1046" s="16"/>
      <c r="AS1046" s="16"/>
    </row>
    <row r="1047" spans="18:45" x14ac:dyDescent="0.35">
      <c r="R1047" s="191"/>
      <c r="S1047" s="191"/>
      <c r="T1047" s="193"/>
      <c r="U1047" s="191"/>
      <c r="V1047" s="194"/>
      <c r="W1047" s="191"/>
      <c r="Y1047" s="191"/>
      <c r="Z1047" s="191"/>
      <c r="AA1047" s="191"/>
      <c r="AB1047" s="191"/>
      <c r="AC1047" s="191"/>
      <c r="AD1047" s="16"/>
      <c r="AE1047" s="16"/>
      <c r="AF1047" s="16"/>
      <c r="AG1047" s="16"/>
      <c r="AH1047" s="16"/>
      <c r="AI1047" s="16"/>
      <c r="AJ1047" s="16"/>
      <c r="AK1047" s="16"/>
      <c r="AL1047" s="16"/>
      <c r="AM1047" s="16"/>
      <c r="AN1047" s="16"/>
      <c r="AO1047" s="16"/>
      <c r="AP1047" s="16"/>
      <c r="AQ1047" s="16"/>
      <c r="AR1047" s="16"/>
      <c r="AS1047" s="16"/>
    </row>
    <row r="1048" spans="18:45" x14ac:dyDescent="0.35">
      <c r="R1048" s="191"/>
      <c r="S1048" s="191"/>
      <c r="T1048" s="193"/>
      <c r="U1048" s="191"/>
      <c r="V1048" s="194"/>
      <c r="W1048" s="191"/>
      <c r="Y1048" s="191"/>
      <c r="Z1048" s="191"/>
      <c r="AA1048" s="191"/>
      <c r="AB1048" s="191"/>
      <c r="AC1048" s="191"/>
      <c r="AD1048" s="16"/>
      <c r="AE1048" s="16"/>
      <c r="AF1048" s="16"/>
      <c r="AG1048" s="16"/>
      <c r="AH1048" s="16"/>
      <c r="AI1048" s="16"/>
      <c r="AJ1048" s="16"/>
      <c r="AK1048" s="16"/>
      <c r="AL1048" s="16"/>
      <c r="AM1048" s="16"/>
      <c r="AN1048" s="16"/>
      <c r="AO1048" s="16"/>
      <c r="AP1048" s="16"/>
      <c r="AQ1048" s="16"/>
      <c r="AR1048" s="16"/>
      <c r="AS1048" s="16"/>
    </row>
    <row r="1049" spans="18:45" x14ac:dyDescent="0.35">
      <c r="R1049" s="191"/>
      <c r="S1049" s="191"/>
      <c r="T1049" s="193"/>
      <c r="U1049" s="191"/>
      <c r="V1049" s="194"/>
      <c r="W1049" s="191"/>
      <c r="Y1049" s="191"/>
      <c r="Z1049" s="191"/>
      <c r="AA1049" s="191"/>
      <c r="AB1049" s="191"/>
      <c r="AC1049" s="191"/>
      <c r="AD1049" s="16"/>
      <c r="AE1049" s="16"/>
      <c r="AF1049" s="16"/>
      <c r="AG1049" s="16"/>
      <c r="AH1049" s="16"/>
      <c r="AI1049" s="16"/>
      <c r="AJ1049" s="16"/>
      <c r="AK1049" s="16"/>
      <c r="AL1049" s="16"/>
      <c r="AM1049" s="16"/>
      <c r="AN1049" s="16"/>
      <c r="AO1049" s="16"/>
      <c r="AP1049" s="16"/>
      <c r="AQ1049" s="16"/>
      <c r="AR1049" s="16"/>
      <c r="AS1049" s="16"/>
    </row>
    <row r="1050" spans="18:45" x14ac:dyDescent="0.35">
      <c r="R1050" s="191"/>
      <c r="S1050" s="191"/>
      <c r="T1050" s="193"/>
      <c r="U1050" s="191"/>
      <c r="V1050" s="194"/>
      <c r="W1050" s="191"/>
      <c r="Y1050" s="191"/>
      <c r="Z1050" s="191"/>
      <c r="AA1050" s="191"/>
      <c r="AB1050" s="191"/>
      <c r="AC1050" s="191"/>
      <c r="AD1050" s="16"/>
      <c r="AE1050" s="16"/>
      <c r="AF1050" s="16"/>
      <c r="AG1050" s="16"/>
      <c r="AH1050" s="16"/>
      <c r="AI1050" s="16"/>
      <c r="AJ1050" s="16"/>
      <c r="AK1050" s="16"/>
      <c r="AL1050" s="16"/>
      <c r="AM1050" s="16"/>
      <c r="AN1050" s="16"/>
      <c r="AO1050" s="16"/>
      <c r="AP1050" s="16"/>
      <c r="AQ1050" s="16"/>
      <c r="AR1050" s="16"/>
      <c r="AS1050" s="16"/>
    </row>
    <row r="1051" spans="18:45" x14ac:dyDescent="0.35">
      <c r="R1051" s="191"/>
      <c r="S1051" s="191"/>
      <c r="T1051" s="193"/>
      <c r="U1051" s="191"/>
      <c r="V1051" s="194"/>
      <c r="W1051" s="191"/>
      <c r="Y1051" s="191"/>
      <c r="Z1051" s="191"/>
      <c r="AA1051" s="191"/>
      <c r="AB1051" s="191"/>
      <c r="AC1051" s="191"/>
      <c r="AD1051" s="16"/>
      <c r="AE1051" s="16"/>
      <c r="AF1051" s="16"/>
      <c r="AG1051" s="16"/>
      <c r="AH1051" s="16"/>
      <c r="AI1051" s="16"/>
      <c r="AJ1051" s="16"/>
      <c r="AK1051" s="16"/>
      <c r="AL1051" s="16"/>
      <c r="AM1051" s="16"/>
      <c r="AN1051" s="16"/>
      <c r="AO1051" s="16"/>
      <c r="AP1051" s="16"/>
      <c r="AQ1051" s="16"/>
      <c r="AR1051" s="16"/>
      <c r="AS1051" s="16"/>
    </row>
    <row r="1052" spans="18:45" x14ac:dyDescent="0.35">
      <c r="R1052" s="191"/>
      <c r="S1052" s="191"/>
      <c r="T1052" s="193"/>
      <c r="U1052" s="191"/>
      <c r="V1052" s="194"/>
      <c r="W1052" s="191"/>
      <c r="Y1052" s="191"/>
      <c r="Z1052" s="191"/>
      <c r="AA1052" s="191"/>
      <c r="AB1052" s="191"/>
      <c r="AC1052" s="191"/>
      <c r="AD1052" s="16"/>
      <c r="AE1052" s="16"/>
      <c r="AF1052" s="16"/>
      <c r="AG1052" s="16"/>
      <c r="AH1052" s="16"/>
      <c r="AI1052" s="16"/>
      <c r="AJ1052" s="16"/>
      <c r="AK1052" s="16"/>
      <c r="AL1052" s="16"/>
      <c r="AM1052" s="16"/>
      <c r="AN1052" s="16"/>
      <c r="AO1052" s="16"/>
      <c r="AP1052" s="16"/>
      <c r="AQ1052" s="16"/>
      <c r="AR1052" s="16"/>
      <c r="AS1052" s="16"/>
    </row>
    <row r="1053" spans="18:45" x14ac:dyDescent="0.35">
      <c r="R1053" s="191"/>
      <c r="S1053" s="191"/>
      <c r="T1053" s="193"/>
      <c r="U1053" s="191"/>
      <c r="V1053" s="194"/>
      <c r="W1053" s="191"/>
      <c r="Y1053" s="191"/>
      <c r="Z1053" s="191"/>
      <c r="AA1053" s="191"/>
      <c r="AB1053" s="191"/>
      <c r="AC1053" s="191"/>
      <c r="AD1053" s="16"/>
      <c r="AE1053" s="16"/>
      <c r="AF1053" s="16"/>
      <c r="AG1053" s="16"/>
      <c r="AH1053" s="16"/>
      <c r="AI1053" s="16"/>
      <c r="AJ1053" s="16"/>
      <c r="AK1053" s="16"/>
      <c r="AL1053" s="16"/>
      <c r="AM1053" s="16"/>
      <c r="AN1053" s="16"/>
      <c r="AO1053" s="16"/>
      <c r="AP1053" s="16"/>
      <c r="AQ1053" s="16"/>
      <c r="AR1053" s="16"/>
      <c r="AS1053" s="16"/>
    </row>
    <row r="1054" spans="18:45" x14ac:dyDescent="0.35">
      <c r="R1054" s="191"/>
      <c r="S1054" s="191"/>
      <c r="T1054" s="193"/>
      <c r="U1054" s="191"/>
      <c r="V1054" s="194"/>
      <c r="W1054" s="191"/>
      <c r="Y1054" s="191"/>
      <c r="Z1054" s="191"/>
      <c r="AA1054" s="191"/>
      <c r="AB1054" s="191"/>
      <c r="AC1054" s="191"/>
      <c r="AD1054" s="16"/>
      <c r="AE1054" s="16"/>
      <c r="AF1054" s="16"/>
      <c r="AG1054" s="16"/>
      <c r="AH1054" s="16"/>
      <c r="AI1054" s="16"/>
      <c r="AJ1054" s="16"/>
      <c r="AK1054" s="16"/>
      <c r="AL1054" s="16"/>
      <c r="AM1054" s="16"/>
      <c r="AN1054" s="16"/>
      <c r="AO1054" s="16"/>
      <c r="AP1054" s="16"/>
      <c r="AQ1054" s="16"/>
      <c r="AR1054" s="16"/>
      <c r="AS1054" s="16"/>
    </row>
    <row r="1055" spans="18:45" x14ac:dyDescent="0.35">
      <c r="R1055" s="191"/>
      <c r="S1055" s="191"/>
      <c r="T1055" s="193"/>
      <c r="U1055" s="191"/>
      <c r="V1055" s="194"/>
      <c r="W1055" s="191"/>
      <c r="Y1055" s="191"/>
      <c r="Z1055" s="191"/>
      <c r="AA1055" s="191"/>
      <c r="AB1055" s="191"/>
      <c r="AC1055" s="191"/>
      <c r="AD1055" s="16"/>
      <c r="AE1055" s="16"/>
      <c r="AF1055" s="16"/>
      <c r="AG1055" s="16"/>
      <c r="AH1055" s="16"/>
      <c r="AI1055" s="16"/>
      <c r="AJ1055" s="16"/>
      <c r="AK1055" s="16"/>
      <c r="AL1055" s="16"/>
      <c r="AM1055" s="16"/>
      <c r="AN1055" s="16"/>
      <c r="AO1055" s="16"/>
      <c r="AP1055" s="16"/>
      <c r="AQ1055" s="16"/>
      <c r="AR1055" s="16"/>
      <c r="AS1055" s="16"/>
    </row>
    <row r="1056" spans="18:45" x14ac:dyDescent="0.35">
      <c r="R1056" s="191"/>
      <c r="S1056" s="191"/>
      <c r="T1056" s="193"/>
      <c r="U1056" s="191"/>
      <c r="V1056" s="194"/>
      <c r="W1056" s="191"/>
      <c r="Y1056" s="191"/>
      <c r="Z1056" s="191"/>
      <c r="AA1056" s="191"/>
      <c r="AB1056" s="191"/>
      <c r="AC1056" s="191"/>
      <c r="AD1056" s="16"/>
      <c r="AE1056" s="16"/>
      <c r="AF1056" s="16"/>
      <c r="AG1056" s="16"/>
      <c r="AH1056" s="16"/>
      <c r="AI1056" s="16"/>
      <c r="AJ1056" s="16"/>
      <c r="AK1056" s="16"/>
      <c r="AL1056" s="16"/>
      <c r="AM1056" s="16"/>
      <c r="AN1056" s="16"/>
      <c r="AO1056" s="16"/>
      <c r="AP1056" s="16"/>
      <c r="AQ1056" s="16"/>
      <c r="AR1056" s="16"/>
      <c r="AS1056" s="16"/>
    </row>
    <row r="1057" spans="18:45" x14ac:dyDescent="0.35">
      <c r="R1057" s="191"/>
      <c r="S1057" s="191"/>
      <c r="T1057" s="193"/>
      <c r="U1057" s="191"/>
      <c r="V1057" s="194"/>
      <c r="W1057" s="191"/>
      <c r="Y1057" s="191"/>
      <c r="Z1057" s="191"/>
      <c r="AA1057" s="191"/>
      <c r="AB1057" s="191"/>
      <c r="AC1057" s="191"/>
      <c r="AD1057" s="16"/>
      <c r="AE1057" s="16"/>
      <c r="AF1057" s="16"/>
      <c r="AG1057" s="16"/>
      <c r="AH1057" s="16"/>
      <c r="AI1057" s="16"/>
      <c r="AJ1057" s="16"/>
      <c r="AK1057" s="16"/>
      <c r="AL1057" s="16"/>
      <c r="AM1057" s="16"/>
      <c r="AN1057" s="16"/>
      <c r="AO1057" s="16"/>
      <c r="AP1057" s="16"/>
      <c r="AQ1057" s="16"/>
      <c r="AR1057" s="16"/>
      <c r="AS1057" s="16"/>
    </row>
    <row r="1058" spans="18:45" x14ac:dyDescent="0.35">
      <c r="R1058" s="191"/>
      <c r="S1058" s="191"/>
      <c r="T1058" s="193"/>
      <c r="U1058" s="191"/>
      <c r="V1058" s="194"/>
      <c r="W1058" s="191"/>
      <c r="Y1058" s="191"/>
      <c r="Z1058" s="191"/>
      <c r="AA1058" s="191"/>
      <c r="AB1058" s="191"/>
      <c r="AC1058" s="191"/>
      <c r="AD1058" s="16"/>
      <c r="AE1058" s="16"/>
      <c r="AF1058" s="16"/>
      <c r="AG1058" s="16"/>
      <c r="AH1058" s="16"/>
      <c r="AI1058" s="16"/>
      <c r="AJ1058" s="16"/>
      <c r="AK1058" s="16"/>
      <c r="AL1058" s="16"/>
      <c r="AM1058" s="16"/>
      <c r="AN1058" s="16"/>
      <c r="AO1058" s="16"/>
      <c r="AP1058" s="16"/>
      <c r="AQ1058" s="16"/>
      <c r="AR1058" s="16"/>
      <c r="AS1058" s="16"/>
    </row>
    <row r="1059" spans="18:45" x14ac:dyDescent="0.35">
      <c r="R1059" s="191"/>
      <c r="S1059" s="191"/>
      <c r="T1059" s="193"/>
      <c r="U1059" s="191"/>
      <c r="V1059" s="194"/>
      <c r="W1059" s="191"/>
      <c r="Y1059" s="191"/>
      <c r="Z1059" s="191"/>
      <c r="AA1059" s="191"/>
      <c r="AB1059" s="191"/>
      <c r="AC1059" s="191"/>
      <c r="AD1059" s="16"/>
      <c r="AE1059" s="16"/>
      <c r="AF1059" s="16"/>
      <c r="AG1059" s="16"/>
      <c r="AH1059" s="16"/>
      <c r="AI1059" s="16"/>
      <c r="AJ1059" s="16"/>
      <c r="AK1059" s="16"/>
      <c r="AL1059" s="16"/>
      <c r="AM1059" s="16"/>
      <c r="AN1059" s="16"/>
      <c r="AO1059" s="16"/>
      <c r="AP1059" s="16"/>
      <c r="AQ1059" s="16"/>
      <c r="AR1059" s="16"/>
      <c r="AS1059" s="16"/>
    </row>
    <row r="1060" spans="18:45" x14ac:dyDescent="0.35">
      <c r="R1060" s="191"/>
      <c r="S1060" s="191"/>
      <c r="T1060" s="193"/>
      <c r="U1060" s="191"/>
      <c r="V1060" s="194"/>
      <c r="W1060" s="191"/>
      <c r="Y1060" s="191"/>
      <c r="Z1060" s="191"/>
      <c r="AA1060" s="191"/>
      <c r="AB1060" s="191"/>
      <c r="AC1060" s="191"/>
      <c r="AD1060" s="16"/>
      <c r="AE1060" s="16"/>
      <c r="AF1060" s="16"/>
      <c r="AG1060" s="16"/>
      <c r="AH1060" s="16"/>
      <c r="AI1060" s="16"/>
      <c r="AJ1060" s="16"/>
      <c r="AK1060" s="16"/>
      <c r="AL1060" s="16"/>
      <c r="AM1060" s="16"/>
      <c r="AN1060" s="16"/>
      <c r="AO1060" s="16"/>
      <c r="AP1060" s="16"/>
      <c r="AQ1060" s="16"/>
      <c r="AR1060" s="16"/>
      <c r="AS1060" s="16"/>
    </row>
    <row r="1061" spans="18:45" x14ac:dyDescent="0.35">
      <c r="R1061" s="191"/>
      <c r="S1061" s="191"/>
      <c r="T1061" s="193"/>
      <c r="U1061" s="191"/>
      <c r="V1061" s="194"/>
      <c r="W1061" s="191"/>
      <c r="Y1061" s="191"/>
      <c r="Z1061" s="191"/>
      <c r="AA1061" s="191"/>
      <c r="AB1061" s="191"/>
      <c r="AC1061" s="191"/>
      <c r="AD1061" s="16"/>
      <c r="AE1061" s="16"/>
      <c r="AF1061" s="16"/>
      <c r="AG1061" s="16"/>
      <c r="AH1061" s="16"/>
      <c r="AI1061" s="16"/>
      <c r="AJ1061" s="16"/>
      <c r="AK1061" s="16"/>
      <c r="AL1061" s="16"/>
      <c r="AM1061" s="16"/>
      <c r="AN1061" s="16"/>
      <c r="AO1061" s="16"/>
      <c r="AP1061" s="16"/>
      <c r="AQ1061" s="16"/>
      <c r="AR1061" s="16"/>
      <c r="AS1061" s="16"/>
    </row>
    <row r="1062" spans="18:45" x14ac:dyDescent="0.35">
      <c r="R1062" s="191"/>
      <c r="S1062" s="191"/>
      <c r="T1062" s="193"/>
      <c r="U1062" s="191"/>
      <c r="V1062" s="194"/>
      <c r="W1062" s="191"/>
      <c r="Y1062" s="191"/>
      <c r="Z1062" s="191"/>
      <c r="AA1062" s="191"/>
      <c r="AB1062" s="191"/>
      <c r="AC1062" s="191"/>
      <c r="AD1062" s="16"/>
      <c r="AE1062" s="16"/>
      <c r="AF1062" s="16"/>
      <c r="AG1062" s="16"/>
      <c r="AH1062" s="16"/>
      <c r="AI1062" s="16"/>
      <c r="AJ1062" s="16"/>
      <c r="AK1062" s="16"/>
      <c r="AL1062" s="16"/>
      <c r="AM1062" s="16"/>
      <c r="AN1062" s="16"/>
      <c r="AO1062" s="16"/>
      <c r="AP1062" s="16"/>
      <c r="AQ1062" s="16"/>
      <c r="AR1062" s="16"/>
      <c r="AS1062" s="16"/>
    </row>
    <row r="1063" spans="18:45" x14ac:dyDescent="0.35">
      <c r="R1063" s="191"/>
      <c r="S1063" s="191"/>
      <c r="T1063" s="193"/>
      <c r="U1063" s="191"/>
      <c r="V1063" s="194"/>
      <c r="W1063" s="191"/>
      <c r="Y1063" s="191"/>
      <c r="Z1063" s="191"/>
      <c r="AA1063" s="191"/>
      <c r="AB1063" s="191"/>
      <c r="AC1063" s="191"/>
      <c r="AD1063" s="16"/>
      <c r="AE1063" s="16"/>
      <c r="AF1063" s="16"/>
      <c r="AG1063" s="16"/>
      <c r="AH1063" s="16"/>
      <c r="AI1063" s="16"/>
      <c r="AJ1063" s="16"/>
      <c r="AK1063" s="16"/>
      <c r="AL1063" s="16"/>
      <c r="AM1063" s="16"/>
      <c r="AN1063" s="16"/>
      <c r="AO1063" s="16"/>
      <c r="AP1063" s="16"/>
      <c r="AQ1063" s="16"/>
      <c r="AR1063" s="16"/>
      <c r="AS1063" s="16"/>
    </row>
    <row r="1064" spans="18:45" x14ac:dyDescent="0.35">
      <c r="R1064" s="191"/>
      <c r="S1064" s="191"/>
      <c r="T1064" s="193"/>
      <c r="U1064" s="191"/>
      <c r="V1064" s="194"/>
      <c r="W1064" s="191"/>
      <c r="Y1064" s="191"/>
      <c r="Z1064" s="191"/>
      <c r="AA1064" s="191"/>
      <c r="AB1064" s="191"/>
      <c r="AC1064" s="191"/>
      <c r="AD1064" s="16"/>
      <c r="AE1064" s="16"/>
      <c r="AF1064" s="16"/>
      <c r="AG1064" s="16"/>
      <c r="AH1064" s="16"/>
      <c r="AI1064" s="16"/>
      <c r="AJ1064" s="16"/>
      <c r="AK1064" s="16"/>
      <c r="AL1064" s="16"/>
      <c r="AM1064" s="16"/>
      <c r="AN1064" s="16"/>
      <c r="AO1064" s="16"/>
      <c r="AP1064" s="16"/>
      <c r="AQ1064" s="16"/>
      <c r="AR1064" s="16"/>
      <c r="AS1064" s="16"/>
    </row>
    <row r="1065" spans="18:45" x14ac:dyDescent="0.35">
      <c r="R1065" s="191"/>
      <c r="S1065" s="191"/>
      <c r="T1065" s="193"/>
      <c r="U1065" s="191"/>
      <c r="V1065" s="194"/>
      <c r="W1065" s="191"/>
      <c r="Y1065" s="191"/>
      <c r="Z1065" s="191"/>
      <c r="AA1065" s="191"/>
      <c r="AB1065" s="191"/>
      <c r="AC1065" s="191"/>
      <c r="AD1065" s="16"/>
      <c r="AE1065" s="16"/>
      <c r="AF1065" s="16"/>
      <c r="AG1065" s="16"/>
      <c r="AH1065" s="16"/>
      <c r="AI1065" s="16"/>
      <c r="AJ1065" s="16"/>
      <c r="AK1065" s="16"/>
      <c r="AL1065" s="16"/>
      <c r="AM1065" s="16"/>
      <c r="AN1065" s="16"/>
      <c r="AO1065" s="16"/>
      <c r="AP1065" s="16"/>
      <c r="AQ1065" s="16"/>
      <c r="AR1065" s="16"/>
      <c r="AS1065" s="16"/>
    </row>
    <row r="1066" spans="18:45" x14ac:dyDescent="0.35">
      <c r="R1066" s="191"/>
      <c r="S1066" s="191"/>
      <c r="T1066" s="193"/>
      <c r="U1066" s="191"/>
      <c r="V1066" s="194"/>
      <c r="W1066" s="191"/>
      <c r="Y1066" s="191"/>
      <c r="Z1066" s="191"/>
      <c r="AA1066" s="191"/>
      <c r="AB1066" s="191"/>
      <c r="AC1066" s="191"/>
      <c r="AD1066" s="16"/>
      <c r="AE1066" s="16"/>
      <c r="AF1066" s="16"/>
      <c r="AG1066" s="16"/>
      <c r="AH1066" s="16"/>
      <c r="AI1066" s="16"/>
      <c r="AJ1066" s="16"/>
      <c r="AK1066" s="16"/>
      <c r="AL1066" s="16"/>
      <c r="AM1066" s="16"/>
      <c r="AN1066" s="16"/>
      <c r="AO1066" s="16"/>
      <c r="AP1066" s="16"/>
      <c r="AQ1066" s="16"/>
      <c r="AR1066" s="16"/>
      <c r="AS1066" s="16"/>
    </row>
    <row r="1067" spans="18:45" x14ac:dyDescent="0.35">
      <c r="R1067" s="191"/>
      <c r="S1067" s="191"/>
      <c r="T1067" s="193"/>
      <c r="U1067" s="191"/>
      <c r="V1067" s="194"/>
      <c r="W1067" s="191"/>
      <c r="Y1067" s="191"/>
      <c r="Z1067" s="191"/>
      <c r="AA1067" s="191"/>
      <c r="AB1067" s="191"/>
      <c r="AC1067" s="191"/>
      <c r="AD1067" s="16"/>
      <c r="AE1067" s="16"/>
      <c r="AF1067" s="16"/>
      <c r="AG1067" s="16"/>
      <c r="AH1067" s="16"/>
      <c r="AI1067" s="16"/>
      <c r="AJ1067" s="16"/>
      <c r="AK1067" s="16"/>
      <c r="AL1067" s="16"/>
      <c r="AM1067" s="16"/>
      <c r="AN1067" s="16"/>
      <c r="AO1067" s="16"/>
      <c r="AP1067" s="16"/>
      <c r="AQ1067" s="16"/>
      <c r="AR1067" s="16"/>
      <c r="AS1067" s="16"/>
    </row>
    <row r="1068" spans="18:45" x14ac:dyDescent="0.35">
      <c r="R1068" s="191"/>
      <c r="S1068" s="191"/>
      <c r="T1068" s="193"/>
      <c r="U1068" s="191"/>
      <c r="V1068" s="194"/>
      <c r="W1068" s="191"/>
      <c r="Y1068" s="191"/>
      <c r="Z1068" s="191"/>
      <c r="AA1068" s="191"/>
      <c r="AB1068" s="191"/>
      <c r="AC1068" s="191"/>
      <c r="AD1068" s="16"/>
      <c r="AE1068" s="16"/>
      <c r="AF1068" s="16"/>
      <c r="AG1068" s="16"/>
      <c r="AH1068" s="16"/>
      <c r="AI1068" s="16"/>
      <c r="AJ1068" s="16"/>
      <c r="AK1068" s="16"/>
      <c r="AL1068" s="16"/>
      <c r="AM1068" s="16"/>
      <c r="AN1068" s="16"/>
      <c r="AO1068" s="16"/>
      <c r="AP1068" s="16"/>
      <c r="AQ1068" s="16"/>
      <c r="AR1068" s="16"/>
      <c r="AS1068" s="16"/>
    </row>
    <row r="1069" spans="18:45" x14ac:dyDescent="0.35">
      <c r="R1069" s="191"/>
      <c r="S1069" s="191"/>
      <c r="T1069" s="193"/>
      <c r="U1069" s="191"/>
      <c r="V1069" s="194"/>
      <c r="W1069" s="191"/>
      <c r="Y1069" s="191"/>
      <c r="Z1069" s="191"/>
      <c r="AA1069" s="191"/>
      <c r="AB1069" s="191"/>
      <c r="AC1069" s="191"/>
      <c r="AD1069" s="16"/>
      <c r="AE1069" s="16"/>
      <c r="AF1069" s="16"/>
      <c r="AG1069" s="16"/>
      <c r="AH1069" s="16"/>
      <c r="AI1069" s="16"/>
      <c r="AJ1069" s="16"/>
      <c r="AK1069" s="16"/>
      <c r="AL1069" s="16"/>
      <c r="AM1069" s="16"/>
      <c r="AN1069" s="16"/>
      <c r="AO1069" s="16"/>
      <c r="AP1069" s="16"/>
      <c r="AQ1069" s="16"/>
      <c r="AR1069" s="16"/>
      <c r="AS1069" s="16"/>
    </row>
    <row r="1070" spans="18:45" x14ac:dyDescent="0.35">
      <c r="R1070" s="191"/>
      <c r="S1070" s="191"/>
      <c r="T1070" s="193"/>
      <c r="U1070" s="191"/>
      <c r="V1070" s="194"/>
      <c r="W1070" s="191"/>
      <c r="Y1070" s="191"/>
      <c r="Z1070" s="191"/>
      <c r="AA1070" s="191"/>
      <c r="AB1070" s="191"/>
      <c r="AC1070" s="191"/>
      <c r="AD1070" s="16"/>
      <c r="AE1070" s="16"/>
      <c r="AF1070" s="16"/>
      <c r="AG1070" s="16"/>
      <c r="AH1070" s="16"/>
      <c r="AI1070" s="16"/>
      <c r="AJ1070" s="16"/>
      <c r="AK1070" s="16"/>
      <c r="AL1070" s="16"/>
      <c r="AM1070" s="16"/>
      <c r="AN1070" s="16"/>
      <c r="AO1070" s="16"/>
      <c r="AP1070" s="16"/>
      <c r="AQ1070" s="16"/>
      <c r="AR1070" s="16"/>
      <c r="AS1070" s="16"/>
    </row>
    <row r="1071" spans="18:45" x14ac:dyDescent="0.35">
      <c r="R1071" s="191"/>
      <c r="S1071" s="191"/>
      <c r="T1071" s="193"/>
      <c r="U1071" s="191"/>
      <c r="V1071" s="194"/>
      <c r="W1071" s="191"/>
      <c r="Y1071" s="191"/>
      <c r="Z1071" s="191"/>
      <c r="AA1071" s="191"/>
      <c r="AB1071" s="191"/>
      <c r="AC1071" s="191"/>
      <c r="AD1071" s="16"/>
      <c r="AE1071" s="16"/>
      <c r="AF1071" s="16"/>
      <c r="AG1071" s="16"/>
      <c r="AH1071" s="16"/>
      <c r="AI1071" s="16"/>
      <c r="AJ1071" s="16"/>
      <c r="AK1071" s="16"/>
      <c r="AL1071" s="16"/>
      <c r="AM1071" s="16"/>
      <c r="AN1071" s="16"/>
      <c r="AO1071" s="16"/>
      <c r="AP1071" s="16"/>
      <c r="AQ1071" s="16"/>
      <c r="AR1071" s="16"/>
      <c r="AS1071" s="16"/>
    </row>
    <row r="1072" spans="18:45" x14ac:dyDescent="0.35">
      <c r="R1072" s="191"/>
      <c r="S1072" s="191"/>
      <c r="T1072" s="193"/>
      <c r="U1072" s="191"/>
      <c r="V1072" s="194"/>
      <c r="W1072" s="191"/>
      <c r="Y1072" s="191"/>
      <c r="Z1072" s="191"/>
      <c r="AA1072" s="191"/>
      <c r="AB1072" s="191"/>
      <c r="AC1072" s="191"/>
      <c r="AD1072" s="16"/>
      <c r="AE1072" s="16"/>
      <c r="AF1072" s="16"/>
      <c r="AG1072" s="16"/>
      <c r="AH1072" s="16"/>
      <c r="AI1072" s="16"/>
      <c r="AJ1072" s="16"/>
      <c r="AK1072" s="16"/>
      <c r="AL1072" s="16"/>
      <c r="AM1072" s="16"/>
      <c r="AN1072" s="16"/>
      <c r="AO1072" s="16"/>
      <c r="AP1072" s="16"/>
      <c r="AQ1072" s="16"/>
      <c r="AR1072" s="16"/>
      <c r="AS1072" s="16"/>
    </row>
    <row r="1073" spans="18:45" x14ac:dyDescent="0.35">
      <c r="R1073" s="191"/>
      <c r="S1073" s="191"/>
      <c r="T1073" s="193"/>
      <c r="U1073" s="191"/>
      <c r="V1073" s="194"/>
      <c r="W1073" s="191"/>
      <c r="Y1073" s="191"/>
      <c r="Z1073" s="191"/>
      <c r="AA1073" s="191"/>
      <c r="AB1073" s="191"/>
      <c r="AC1073" s="191"/>
      <c r="AD1073" s="16"/>
      <c r="AE1073" s="16"/>
      <c r="AF1073" s="16"/>
      <c r="AG1073" s="16"/>
      <c r="AH1073" s="16"/>
      <c r="AI1073" s="16"/>
      <c r="AJ1073" s="16"/>
      <c r="AK1073" s="16"/>
      <c r="AL1073" s="16"/>
      <c r="AM1073" s="16"/>
      <c r="AN1073" s="16"/>
      <c r="AO1073" s="16"/>
      <c r="AP1073" s="16"/>
      <c r="AQ1073" s="16"/>
      <c r="AR1073" s="16"/>
      <c r="AS1073" s="16"/>
    </row>
    <row r="1074" spans="18:45" x14ac:dyDescent="0.35">
      <c r="R1074" s="191"/>
      <c r="S1074" s="191"/>
      <c r="T1074" s="193"/>
      <c r="U1074" s="191"/>
      <c r="V1074" s="194"/>
      <c r="W1074" s="191"/>
      <c r="Y1074" s="191"/>
      <c r="Z1074" s="191"/>
      <c r="AA1074" s="191"/>
      <c r="AB1074" s="191"/>
      <c r="AC1074" s="191"/>
      <c r="AD1074" s="16"/>
      <c r="AE1074" s="16"/>
      <c r="AF1074" s="16"/>
      <c r="AG1074" s="16"/>
      <c r="AH1074" s="16"/>
      <c r="AI1074" s="16"/>
      <c r="AJ1074" s="16"/>
      <c r="AK1074" s="16"/>
      <c r="AL1074" s="16"/>
      <c r="AM1074" s="16"/>
      <c r="AN1074" s="16"/>
      <c r="AO1074" s="16"/>
      <c r="AP1074" s="16"/>
      <c r="AQ1074" s="16"/>
      <c r="AR1074" s="16"/>
      <c r="AS1074" s="16"/>
    </row>
    <row r="1075" spans="18:45" x14ac:dyDescent="0.35">
      <c r="R1075" s="191"/>
      <c r="S1075" s="191"/>
      <c r="T1075" s="193"/>
      <c r="U1075" s="191"/>
      <c r="V1075" s="194"/>
      <c r="W1075" s="191"/>
      <c r="Y1075" s="191"/>
      <c r="Z1075" s="191"/>
      <c r="AA1075" s="191"/>
      <c r="AB1075" s="191"/>
      <c r="AC1075" s="191"/>
      <c r="AD1075" s="16"/>
      <c r="AE1075" s="16"/>
      <c r="AF1075" s="16"/>
      <c r="AG1075" s="16"/>
      <c r="AH1075" s="16"/>
      <c r="AI1075" s="16"/>
      <c r="AJ1075" s="16"/>
      <c r="AK1075" s="16"/>
      <c r="AL1075" s="16"/>
      <c r="AM1075" s="16"/>
      <c r="AN1075" s="16"/>
      <c r="AO1075" s="16"/>
      <c r="AP1075" s="16"/>
      <c r="AQ1075" s="16"/>
      <c r="AR1075" s="16"/>
      <c r="AS1075" s="16"/>
    </row>
    <row r="1076" spans="18:45" x14ac:dyDescent="0.35">
      <c r="R1076" s="191"/>
      <c r="S1076" s="191"/>
      <c r="T1076" s="193"/>
      <c r="U1076" s="191"/>
      <c r="V1076" s="194"/>
      <c r="W1076" s="191"/>
      <c r="Y1076" s="191"/>
      <c r="Z1076" s="191"/>
      <c r="AA1076" s="191"/>
      <c r="AB1076" s="191"/>
      <c r="AC1076" s="191"/>
      <c r="AD1076" s="16"/>
      <c r="AE1076" s="16"/>
      <c r="AF1076" s="16"/>
      <c r="AG1076" s="16"/>
      <c r="AH1076" s="16"/>
      <c r="AI1076" s="16"/>
      <c r="AJ1076" s="16"/>
      <c r="AK1076" s="16"/>
      <c r="AL1076" s="16"/>
      <c r="AM1076" s="16"/>
      <c r="AN1076" s="16"/>
      <c r="AO1076" s="16"/>
      <c r="AP1076" s="16"/>
      <c r="AQ1076" s="16"/>
      <c r="AR1076" s="16"/>
      <c r="AS1076" s="16"/>
    </row>
    <row r="1077" spans="18:45" x14ac:dyDescent="0.35">
      <c r="R1077" s="191"/>
      <c r="S1077" s="191"/>
      <c r="T1077" s="193"/>
      <c r="U1077" s="191"/>
      <c r="V1077" s="194"/>
      <c r="W1077" s="191"/>
      <c r="Y1077" s="191"/>
      <c r="Z1077" s="191"/>
      <c r="AA1077" s="191"/>
      <c r="AB1077" s="191"/>
      <c r="AC1077" s="191"/>
      <c r="AD1077" s="16"/>
      <c r="AE1077" s="16"/>
      <c r="AF1077" s="16"/>
      <c r="AG1077" s="16"/>
      <c r="AH1077" s="16"/>
      <c r="AI1077" s="16"/>
      <c r="AJ1077" s="16"/>
      <c r="AK1077" s="16"/>
      <c r="AL1077" s="16"/>
      <c r="AM1077" s="16"/>
      <c r="AN1077" s="16"/>
      <c r="AO1077" s="16"/>
      <c r="AP1077" s="16"/>
      <c r="AQ1077" s="16"/>
      <c r="AR1077" s="16"/>
      <c r="AS1077" s="16"/>
    </row>
    <row r="1078" spans="18:45" x14ac:dyDescent="0.35">
      <c r="R1078" s="191"/>
      <c r="S1078" s="191"/>
      <c r="T1078" s="193"/>
      <c r="U1078" s="191"/>
      <c r="V1078" s="194"/>
      <c r="W1078" s="191"/>
      <c r="Y1078" s="191"/>
      <c r="Z1078" s="191"/>
      <c r="AA1078" s="191"/>
      <c r="AB1078" s="191"/>
      <c r="AC1078" s="191"/>
      <c r="AD1078" s="16"/>
      <c r="AE1078" s="16"/>
      <c r="AF1078" s="16"/>
      <c r="AG1078" s="16"/>
      <c r="AH1078" s="16"/>
      <c r="AI1078" s="16"/>
      <c r="AJ1078" s="16"/>
      <c r="AK1078" s="16"/>
      <c r="AL1078" s="16"/>
      <c r="AM1078" s="16"/>
      <c r="AN1078" s="16"/>
      <c r="AO1078" s="16"/>
      <c r="AP1078" s="16"/>
      <c r="AQ1078" s="16"/>
      <c r="AR1078" s="16"/>
      <c r="AS1078" s="16"/>
    </row>
    <row r="1079" spans="18:45" x14ac:dyDescent="0.35">
      <c r="R1079" s="191"/>
      <c r="S1079" s="191"/>
      <c r="T1079" s="193"/>
      <c r="U1079" s="191"/>
      <c r="V1079" s="194"/>
      <c r="W1079" s="191"/>
      <c r="Y1079" s="191"/>
      <c r="Z1079" s="191"/>
      <c r="AA1079" s="191"/>
      <c r="AB1079" s="191"/>
      <c r="AC1079" s="191"/>
      <c r="AD1079" s="16"/>
      <c r="AE1079" s="16"/>
      <c r="AF1079" s="16"/>
      <c r="AG1079" s="16"/>
      <c r="AH1079" s="16"/>
      <c r="AI1079" s="16"/>
      <c r="AJ1079" s="16"/>
      <c r="AK1079" s="16"/>
      <c r="AL1079" s="16"/>
      <c r="AM1079" s="16"/>
      <c r="AN1079" s="16"/>
      <c r="AO1079" s="16"/>
      <c r="AP1079" s="16"/>
      <c r="AQ1079" s="16"/>
      <c r="AR1079" s="16"/>
      <c r="AS1079" s="16"/>
    </row>
    <row r="1080" spans="18:45" x14ac:dyDescent="0.35">
      <c r="R1080" s="191"/>
      <c r="S1080" s="191"/>
      <c r="T1080" s="193"/>
      <c r="U1080" s="191"/>
      <c r="V1080" s="194"/>
      <c r="W1080" s="191"/>
      <c r="Y1080" s="191"/>
      <c r="Z1080" s="191"/>
      <c r="AA1080" s="191"/>
      <c r="AB1080" s="191"/>
      <c r="AC1080" s="191"/>
      <c r="AD1080" s="16"/>
      <c r="AE1080" s="16"/>
      <c r="AF1080" s="16"/>
      <c r="AG1080" s="16"/>
      <c r="AH1080" s="16"/>
      <c r="AI1080" s="16"/>
      <c r="AJ1080" s="16"/>
      <c r="AK1080" s="16"/>
      <c r="AL1080" s="16"/>
      <c r="AM1080" s="16"/>
      <c r="AN1080" s="16"/>
      <c r="AO1080" s="16"/>
      <c r="AP1080" s="16"/>
      <c r="AQ1080" s="16"/>
      <c r="AR1080" s="16"/>
      <c r="AS1080" s="16"/>
    </row>
    <row r="1081" spans="18:45" x14ac:dyDescent="0.35">
      <c r="R1081" s="191"/>
      <c r="S1081" s="191"/>
      <c r="T1081" s="193"/>
      <c r="U1081" s="191"/>
      <c r="V1081" s="194"/>
      <c r="W1081" s="191"/>
      <c r="Y1081" s="191"/>
      <c r="Z1081" s="191"/>
      <c r="AA1081" s="191"/>
      <c r="AB1081" s="191"/>
      <c r="AC1081" s="191"/>
      <c r="AD1081" s="16"/>
      <c r="AE1081" s="16"/>
      <c r="AF1081" s="16"/>
      <c r="AG1081" s="16"/>
      <c r="AH1081" s="16"/>
      <c r="AI1081" s="16"/>
      <c r="AJ1081" s="16"/>
      <c r="AK1081" s="16"/>
      <c r="AL1081" s="16"/>
      <c r="AM1081" s="16"/>
      <c r="AN1081" s="16"/>
      <c r="AO1081" s="16"/>
      <c r="AP1081" s="16"/>
      <c r="AQ1081" s="16"/>
      <c r="AR1081" s="16"/>
      <c r="AS1081" s="16"/>
    </row>
    <row r="1082" spans="18:45" x14ac:dyDescent="0.35">
      <c r="R1082" s="191"/>
      <c r="S1082" s="191"/>
      <c r="T1082" s="193"/>
      <c r="U1082" s="191"/>
      <c r="V1082" s="194"/>
      <c r="W1082" s="191"/>
      <c r="Y1082" s="191"/>
      <c r="Z1082" s="191"/>
      <c r="AA1082" s="191"/>
      <c r="AB1082" s="191"/>
      <c r="AC1082" s="191"/>
      <c r="AD1082" s="16"/>
      <c r="AE1082" s="16"/>
      <c r="AF1082" s="16"/>
      <c r="AG1082" s="16"/>
      <c r="AH1082" s="16"/>
      <c r="AI1082" s="16"/>
      <c r="AJ1082" s="16"/>
      <c r="AK1082" s="16"/>
      <c r="AL1082" s="16"/>
      <c r="AM1082" s="16"/>
      <c r="AN1082" s="16"/>
      <c r="AO1082" s="16"/>
      <c r="AP1082" s="16"/>
      <c r="AQ1082" s="16"/>
      <c r="AR1082" s="16"/>
      <c r="AS1082" s="16"/>
    </row>
    <row r="1083" spans="18:45" x14ac:dyDescent="0.35">
      <c r="R1083" s="191"/>
      <c r="S1083" s="191"/>
      <c r="T1083" s="193"/>
      <c r="U1083" s="191"/>
      <c r="V1083" s="194"/>
      <c r="W1083" s="191"/>
      <c r="Y1083" s="191"/>
      <c r="Z1083" s="191"/>
      <c r="AA1083" s="191"/>
      <c r="AB1083" s="191"/>
      <c r="AC1083" s="191"/>
      <c r="AD1083" s="16"/>
      <c r="AE1083" s="16"/>
      <c r="AF1083" s="16"/>
      <c r="AG1083" s="16"/>
      <c r="AH1083" s="16"/>
      <c r="AI1083" s="16"/>
      <c r="AJ1083" s="16"/>
      <c r="AK1083" s="16"/>
      <c r="AL1083" s="16"/>
      <c r="AM1083" s="16"/>
      <c r="AN1083" s="16"/>
      <c r="AO1083" s="16"/>
      <c r="AP1083" s="16"/>
      <c r="AQ1083" s="16"/>
      <c r="AR1083" s="16"/>
      <c r="AS1083" s="16"/>
    </row>
    <row r="1084" spans="18:45" x14ac:dyDescent="0.35">
      <c r="R1084" s="191"/>
      <c r="S1084" s="191"/>
      <c r="T1084" s="193"/>
      <c r="U1084" s="191"/>
      <c r="V1084" s="194"/>
      <c r="W1084" s="191"/>
      <c r="Y1084" s="191"/>
      <c r="Z1084" s="191"/>
      <c r="AA1084" s="191"/>
      <c r="AB1084" s="191"/>
      <c r="AC1084" s="191"/>
      <c r="AD1084" s="16"/>
      <c r="AE1084" s="16"/>
      <c r="AF1084" s="16"/>
      <c r="AG1084" s="16"/>
      <c r="AH1084" s="16"/>
      <c r="AI1084" s="16"/>
      <c r="AJ1084" s="16"/>
      <c r="AK1084" s="16"/>
      <c r="AL1084" s="16"/>
      <c r="AM1084" s="16"/>
      <c r="AN1084" s="16"/>
      <c r="AO1084" s="16"/>
      <c r="AP1084" s="16"/>
      <c r="AQ1084" s="16"/>
      <c r="AR1084" s="16"/>
      <c r="AS1084" s="16"/>
    </row>
    <row r="1085" spans="18:45" x14ac:dyDescent="0.35">
      <c r="R1085" s="191"/>
      <c r="S1085" s="191"/>
      <c r="T1085" s="193"/>
      <c r="U1085" s="191"/>
      <c r="V1085" s="194"/>
      <c r="W1085" s="191"/>
      <c r="Y1085" s="191"/>
      <c r="Z1085" s="191"/>
      <c r="AA1085" s="191"/>
      <c r="AB1085" s="191"/>
      <c r="AC1085" s="191"/>
      <c r="AD1085" s="16"/>
      <c r="AE1085" s="16"/>
      <c r="AF1085" s="16"/>
      <c r="AG1085" s="16"/>
      <c r="AH1085" s="16"/>
      <c r="AI1085" s="16"/>
      <c r="AJ1085" s="16"/>
      <c r="AK1085" s="16"/>
      <c r="AL1085" s="16"/>
      <c r="AM1085" s="16"/>
      <c r="AN1085" s="16"/>
      <c r="AO1085" s="16"/>
      <c r="AP1085" s="16"/>
      <c r="AQ1085" s="16"/>
      <c r="AR1085" s="16"/>
      <c r="AS1085" s="16"/>
    </row>
    <row r="1086" spans="18:45" x14ac:dyDescent="0.35">
      <c r="R1086" s="191"/>
      <c r="S1086" s="191"/>
      <c r="T1086" s="193"/>
      <c r="U1086" s="191"/>
      <c r="V1086" s="194"/>
      <c r="W1086" s="191"/>
      <c r="Y1086" s="191"/>
      <c r="Z1086" s="191"/>
      <c r="AA1086" s="191"/>
      <c r="AB1086" s="191"/>
      <c r="AC1086" s="191"/>
      <c r="AD1086" s="16"/>
      <c r="AE1086" s="16"/>
      <c r="AF1086" s="16"/>
      <c r="AG1086" s="16"/>
      <c r="AH1086" s="16"/>
      <c r="AI1086" s="16"/>
      <c r="AJ1086" s="16"/>
      <c r="AK1086" s="16"/>
      <c r="AL1086" s="16"/>
      <c r="AM1086" s="16"/>
      <c r="AN1086" s="16"/>
      <c r="AO1086" s="16"/>
      <c r="AP1086" s="16"/>
      <c r="AQ1086" s="16"/>
      <c r="AR1086" s="16"/>
      <c r="AS1086" s="16"/>
    </row>
    <row r="1087" spans="18:45" x14ac:dyDescent="0.35">
      <c r="R1087" s="191"/>
      <c r="S1087" s="191"/>
      <c r="T1087" s="193"/>
      <c r="U1087" s="191"/>
      <c r="V1087" s="194"/>
      <c r="W1087" s="191"/>
      <c r="Y1087" s="191"/>
      <c r="Z1087" s="191"/>
      <c r="AA1087" s="191"/>
      <c r="AB1087" s="191"/>
      <c r="AC1087" s="191"/>
      <c r="AD1087" s="16"/>
      <c r="AE1087" s="16"/>
      <c r="AF1087" s="16"/>
      <c r="AG1087" s="16"/>
      <c r="AH1087" s="16"/>
      <c r="AI1087" s="16"/>
      <c r="AJ1087" s="16"/>
      <c r="AK1087" s="16"/>
      <c r="AL1087" s="16"/>
      <c r="AM1087" s="16"/>
      <c r="AN1087" s="16"/>
      <c r="AO1087" s="16"/>
      <c r="AP1087" s="16"/>
      <c r="AQ1087" s="16"/>
      <c r="AR1087" s="16"/>
      <c r="AS1087" s="16"/>
    </row>
    <row r="1088" spans="18:45" x14ac:dyDescent="0.35">
      <c r="R1088" s="191"/>
      <c r="S1088" s="191"/>
      <c r="T1088" s="193"/>
      <c r="U1088" s="191"/>
      <c r="V1088" s="194"/>
      <c r="W1088" s="191"/>
      <c r="Y1088" s="191"/>
      <c r="Z1088" s="191"/>
      <c r="AA1088" s="191"/>
      <c r="AB1088" s="191"/>
      <c r="AC1088" s="191"/>
      <c r="AD1088" s="16"/>
      <c r="AE1088" s="16"/>
      <c r="AF1088" s="16"/>
      <c r="AG1088" s="16"/>
      <c r="AH1088" s="16"/>
      <c r="AI1088" s="16"/>
      <c r="AJ1088" s="16"/>
      <c r="AK1088" s="16"/>
      <c r="AL1088" s="16"/>
      <c r="AM1088" s="16"/>
      <c r="AN1088" s="16"/>
      <c r="AO1088" s="16"/>
      <c r="AP1088" s="16"/>
      <c r="AQ1088" s="16"/>
      <c r="AR1088" s="16"/>
      <c r="AS1088" s="16"/>
    </row>
    <row r="1089" spans="18:45" x14ac:dyDescent="0.35">
      <c r="R1089" s="191"/>
      <c r="S1089" s="191"/>
      <c r="T1089" s="193"/>
      <c r="U1089" s="191"/>
      <c r="V1089" s="194"/>
      <c r="W1089" s="191"/>
      <c r="Y1089" s="191"/>
      <c r="Z1089" s="191"/>
      <c r="AA1089" s="191"/>
      <c r="AB1089" s="191"/>
      <c r="AC1089" s="191"/>
      <c r="AD1089" s="16"/>
      <c r="AE1089" s="16"/>
      <c r="AF1089" s="16"/>
      <c r="AG1089" s="16"/>
      <c r="AH1089" s="16"/>
      <c r="AI1089" s="16"/>
      <c r="AJ1089" s="16"/>
      <c r="AK1089" s="16"/>
      <c r="AL1089" s="16"/>
      <c r="AM1089" s="16"/>
      <c r="AN1089" s="16"/>
      <c r="AO1089" s="16"/>
      <c r="AP1089" s="16"/>
      <c r="AQ1089" s="16"/>
      <c r="AR1089" s="16"/>
      <c r="AS1089" s="16"/>
    </row>
    <row r="1090" spans="18:45" x14ac:dyDescent="0.35">
      <c r="R1090" s="191"/>
      <c r="S1090" s="191"/>
      <c r="T1090" s="193"/>
      <c r="U1090" s="191"/>
      <c r="V1090" s="194"/>
      <c r="W1090" s="191"/>
      <c r="Y1090" s="191"/>
      <c r="Z1090" s="191"/>
      <c r="AA1090" s="191"/>
      <c r="AB1090" s="191"/>
      <c r="AC1090" s="191"/>
      <c r="AD1090" s="16"/>
      <c r="AE1090" s="16"/>
      <c r="AF1090" s="16"/>
      <c r="AG1090" s="16"/>
      <c r="AH1090" s="16"/>
      <c r="AI1090" s="16"/>
      <c r="AJ1090" s="16"/>
      <c r="AK1090" s="16"/>
      <c r="AL1090" s="16"/>
      <c r="AM1090" s="16"/>
      <c r="AN1090" s="16"/>
      <c r="AO1090" s="16"/>
      <c r="AP1090" s="16"/>
      <c r="AQ1090" s="16"/>
      <c r="AR1090" s="16"/>
      <c r="AS1090" s="16"/>
    </row>
    <row r="1091" spans="18:45" x14ac:dyDescent="0.35">
      <c r="R1091" s="191"/>
      <c r="S1091" s="191"/>
      <c r="T1091" s="193"/>
      <c r="U1091" s="191"/>
      <c r="V1091" s="194"/>
      <c r="W1091" s="191"/>
      <c r="Y1091" s="191"/>
      <c r="Z1091" s="191"/>
      <c r="AA1091" s="191"/>
      <c r="AB1091" s="191"/>
      <c r="AC1091" s="191"/>
      <c r="AD1091" s="16"/>
      <c r="AE1091" s="16"/>
      <c r="AF1091" s="16"/>
      <c r="AG1091" s="16"/>
      <c r="AH1091" s="16"/>
      <c r="AI1091" s="16"/>
      <c r="AJ1091" s="16"/>
      <c r="AK1091" s="16"/>
      <c r="AL1091" s="16"/>
      <c r="AM1091" s="16"/>
      <c r="AN1091" s="16"/>
      <c r="AO1091" s="16"/>
      <c r="AP1091" s="16"/>
      <c r="AQ1091" s="16"/>
      <c r="AR1091" s="16"/>
      <c r="AS1091" s="16"/>
    </row>
    <row r="1092" spans="18:45" x14ac:dyDescent="0.35">
      <c r="R1092" s="191"/>
      <c r="S1092" s="191"/>
      <c r="T1092" s="193"/>
      <c r="U1092" s="191"/>
      <c r="V1092" s="194"/>
      <c r="W1092" s="191"/>
      <c r="Y1092" s="191"/>
      <c r="Z1092" s="191"/>
      <c r="AA1092" s="191"/>
      <c r="AB1092" s="191"/>
      <c r="AC1092" s="191"/>
      <c r="AD1092" s="16"/>
      <c r="AE1092" s="16"/>
      <c r="AF1092" s="16"/>
      <c r="AG1092" s="16"/>
      <c r="AH1092" s="16"/>
      <c r="AI1092" s="16"/>
      <c r="AJ1092" s="16"/>
      <c r="AK1092" s="16"/>
      <c r="AL1092" s="16"/>
      <c r="AM1092" s="16"/>
      <c r="AN1092" s="16"/>
      <c r="AO1092" s="16"/>
      <c r="AP1092" s="16"/>
      <c r="AQ1092" s="16"/>
      <c r="AR1092" s="16"/>
      <c r="AS1092" s="16"/>
    </row>
    <row r="1093" spans="18:45" x14ac:dyDescent="0.35">
      <c r="R1093" s="191"/>
      <c r="S1093" s="191"/>
      <c r="T1093" s="193"/>
      <c r="U1093" s="191"/>
      <c r="V1093" s="194"/>
      <c r="W1093" s="191"/>
      <c r="Y1093" s="191"/>
      <c r="Z1093" s="191"/>
      <c r="AA1093" s="191"/>
      <c r="AB1093" s="191"/>
      <c r="AC1093" s="191"/>
      <c r="AD1093" s="16"/>
      <c r="AE1093" s="16"/>
      <c r="AF1093" s="16"/>
      <c r="AG1093" s="16"/>
      <c r="AH1093" s="16"/>
      <c r="AI1093" s="16"/>
      <c r="AJ1093" s="16"/>
      <c r="AK1093" s="16"/>
      <c r="AL1093" s="16"/>
      <c r="AM1093" s="16"/>
      <c r="AN1093" s="16"/>
      <c r="AO1093" s="16"/>
      <c r="AP1093" s="16"/>
      <c r="AQ1093" s="16"/>
      <c r="AR1093" s="16"/>
      <c r="AS1093" s="16"/>
    </row>
    <row r="1094" spans="18:45" x14ac:dyDescent="0.35">
      <c r="R1094" s="191"/>
      <c r="S1094" s="191"/>
      <c r="T1094" s="193"/>
      <c r="U1094" s="191"/>
      <c r="V1094" s="194"/>
      <c r="W1094" s="191"/>
      <c r="Y1094" s="191"/>
      <c r="Z1094" s="191"/>
      <c r="AA1094" s="191"/>
      <c r="AB1094" s="191"/>
      <c r="AC1094" s="191"/>
      <c r="AD1094" s="16"/>
      <c r="AE1094" s="16"/>
      <c r="AF1094" s="16"/>
      <c r="AG1094" s="16"/>
      <c r="AH1094" s="16"/>
      <c r="AI1094" s="16"/>
      <c r="AJ1094" s="16"/>
      <c r="AK1094" s="16"/>
      <c r="AL1094" s="16"/>
      <c r="AM1094" s="16"/>
      <c r="AN1094" s="16"/>
      <c r="AO1094" s="16"/>
      <c r="AP1094" s="16"/>
      <c r="AQ1094" s="16"/>
      <c r="AR1094" s="16"/>
      <c r="AS1094" s="16"/>
    </row>
    <row r="1095" spans="18:45" x14ac:dyDescent="0.35">
      <c r="R1095" s="191"/>
      <c r="S1095" s="191"/>
      <c r="T1095" s="193"/>
      <c r="U1095" s="191"/>
      <c r="V1095" s="194"/>
      <c r="W1095" s="191"/>
      <c r="Y1095" s="191"/>
      <c r="Z1095" s="191"/>
      <c r="AA1095" s="191"/>
      <c r="AB1095" s="191"/>
      <c r="AC1095" s="191"/>
      <c r="AD1095" s="16"/>
      <c r="AE1095" s="16"/>
      <c r="AF1095" s="16"/>
      <c r="AG1095" s="16"/>
      <c r="AH1095" s="16"/>
      <c r="AI1095" s="16"/>
      <c r="AJ1095" s="16"/>
      <c r="AK1095" s="16"/>
      <c r="AL1095" s="16"/>
      <c r="AM1095" s="16"/>
      <c r="AN1095" s="16"/>
      <c r="AO1095" s="16"/>
      <c r="AP1095" s="16"/>
      <c r="AQ1095" s="16"/>
      <c r="AR1095" s="16"/>
      <c r="AS1095" s="16"/>
    </row>
    <row r="1096" spans="18:45" x14ac:dyDescent="0.35">
      <c r="R1096" s="191"/>
      <c r="S1096" s="191"/>
      <c r="T1096" s="193"/>
      <c r="U1096" s="191"/>
      <c r="V1096" s="194"/>
      <c r="W1096" s="191"/>
      <c r="Y1096" s="191"/>
      <c r="Z1096" s="191"/>
      <c r="AA1096" s="191"/>
      <c r="AB1096" s="191"/>
      <c r="AC1096" s="191"/>
      <c r="AD1096" s="16"/>
      <c r="AE1096" s="16"/>
      <c r="AF1096" s="16"/>
      <c r="AG1096" s="16"/>
      <c r="AH1096" s="16"/>
      <c r="AI1096" s="16"/>
      <c r="AJ1096" s="16"/>
      <c r="AK1096" s="16"/>
      <c r="AL1096" s="16"/>
      <c r="AM1096" s="16"/>
      <c r="AN1096" s="16"/>
      <c r="AO1096" s="16"/>
      <c r="AP1096" s="16"/>
      <c r="AQ1096" s="16"/>
      <c r="AR1096" s="16"/>
      <c r="AS1096" s="16"/>
    </row>
    <row r="1097" spans="18:45" x14ac:dyDescent="0.35">
      <c r="R1097" s="191"/>
      <c r="S1097" s="191"/>
      <c r="T1097" s="193"/>
      <c r="U1097" s="191"/>
      <c r="V1097" s="194"/>
      <c r="W1097" s="191"/>
      <c r="Y1097" s="191"/>
      <c r="Z1097" s="191"/>
      <c r="AA1097" s="191"/>
      <c r="AB1097" s="191"/>
      <c r="AC1097" s="191"/>
      <c r="AD1097" s="16"/>
      <c r="AE1097" s="16"/>
      <c r="AF1097" s="16"/>
      <c r="AG1097" s="16"/>
      <c r="AH1097" s="16"/>
      <c r="AI1097" s="16"/>
      <c r="AJ1097" s="16"/>
      <c r="AK1097" s="16"/>
      <c r="AL1097" s="16"/>
      <c r="AM1097" s="16"/>
      <c r="AN1097" s="16"/>
      <c r="AO1097" s="16"/>
      <c r="AP1097" s="16"/>
      <c r="AQ1097" s="16"/>
      <c r="AR1097" s="16"/>
      <c r="AS1097" s="16"/>
    </row>
    <row r="1098" spans="18:45" x14ac:dyDescent="0.35">
      <c r="R1098" s="191"/>
      <c r="S1098" s="191"/>
      <c r="T1098" s="193"/>
      <c r="U1098" s="191"/>
      <c r="V1098" s="194"/>
      <c r="W1098" s="191"/>
      <c r="Y1098" s="191"/>
      <c r="Z1098" s="191"/>
      <c r="AA1098" s="191"/>
      <c r="AB1098" s="191"/>
      <c r="AC1098" s="191"/>
      <c r="AD1098" s="16"/>
      <c r="AE1098" s="16"/>
      <c r="AF1098" s="16"/>
      <c r="AG1098" s="16"/>
      <c r="AH1098" s="16"/>
      <c r="AI1098" s="16"/>
      <c r="AJ1098" s="16"/>
      <c r="AK1098" s="16"/>
      <c r="AL1098" s="16"/>
      <c r="AM1098" s="16"/>
      <c r="AN1098" s="16"/>
      <c r="AO1098" s="16"/>
      <c r="AP1098" s="16"/>
      <c r="AQ1098" s="16"/>
      <c r="AR1098" s="16"/>
      <c r="AS1098" s="16"/>
    </row>
    <row r="1099" spans="18:45" x14ac:dyDescent="0.35">
      <c r="R1099" s="191"/>
      <c r="S1099" s="191"/>
      <c r="T1099" s="193"/>
      <c r="U1099" s="191"/>
      <c r="V1099" s="194"/>
      <c r="W1099" s="191"/>
      <c r="Y1099" s="191"/>
      <c r="Z1099" s="191"/>
      <c r="AA1099" s="191"/>
      <c r="AB1099" s="191"/>
      <c r="AC1099" s="191"/>
      <c r="AD1099" s="16"/>
      <c r="AE1099" s="16"/>
      <c r="AF1099" s="16"/>
      <c r="AG1099" s="16"/>
      <c r="AH1099" s="16"/>
      <c r="AI1099" s="16"/>
      <c r="AJ1099" s="16"/>
      <c r="AK1099" s="16"/>
      <c r="AL1099" s="16"/>
      <c r="AM1099" s="16"/>
      <c r="AN1099" s="16"/>
      <c r="AO1099" s="16"/>
      <c r="AP1099" s="16"/>
      <c r="AQ1099" s="16"/>
      <c r="AR1099" s="16"/>
      <c r="AS1099" s="16"/>
    </row>
    <row r="1100" spans="18:45" x14ac:dyDescent="0.35">
      <c r="R1100" s="191"/>
      <c r="S1100" s="191"/>
      <c r="T1100" s="193"/>
      <c r="U1100" s="191"/>
      <c r="V1100" s="194"/>
      <c r="W1100" s="191"/>
      <c r="Y1100" s="191"/>
      <c r="Z1100" s="191"/>
      <c r="AA1100" s="191"/>
      <c r="AB1100" s="191"/>
      <c r="AC1100" s="191"/>
      <c r="AD1100" s="16"/>
      <c r="AE1100" s="16"/>
      <c r="AF1100" s="16"/>
      <c r="AG1100" s="16"/>
      <c r="AH1100" s="16"/>
      <c r="AI1100" s="16"/>
      <c r="AJ1100" s="16"/>
      <c r="AK1100" s="16"/>
      <c r="AL1100" s="16"/>
      <c r="AM1100" s="16"/>
      <c r="AN1100" s="16"/>
      <c r="AO1100" s="16"/>
      <c r="AP1100" s="16"/>
      <c r="AQ1100" s="16"/>
      <c r="AR1100" s="16"/>
      <c r="AS1100" s="16"/>
    </row>
    <row r="1101" spans="18:45" x14ac:dyDescent="0.35">
      <c r="R1101" s="191"/>
      <c r="S1101" s="191"/>
      <c r="T1101" s="193"/>
      <c r="U1101" s="191"/>
      <c r="V1101" s="194"/>
      <c r="W1101" s="191"/>
      <c r="Y1101" s="191"/>
      <c r="Z1101" s="191"/>
      <c r="AA1101" s="191"/>
      <c r="AB1101" s="191"/>
      <c r="AC1101" s="191"/>
      <c r="AD1101" s="16"/>
      <c r="AE1101" s="16"/>
      <c r="AF1101" s="16"/>
      <c r="AG1101" s="16"/>
      <c r="AH1101" s="16"/>
      <c r="AI1101" s="16"/>
      <c r="AJ1101" s="16"/>
      <c r="AK1101" s="16"/>
      <c r="AL1101" s="16"/>
      <c r="AM1101" s="16"/>
      <c r="AN1101" s="16"/>
      <c r="AO1101" s="16"/>
      <c r="AP1101" s="16"/>
      <c r="AQ1101" s="16"/>
      <c r="AR1101" s="16"/>
      <c r="AS1101" s="16"/>
    </row>
    <row r="1102" spans="18:45" x14ac:dyDescent="0.35">
      <c r="R1102" s="191"/>
      <c r="S1102" s="191"/>
      <c r="T1102" s="193"/>
      <c r="U1102" s="191"/>
      <c r="V1102" s="194"/>
      <c r="W1102" s="191"/>
      <c r="Y1102" s="191"/>
      <c r="Z1102" s="191"/>
      <c r="AA1102" s="191"/>
      <c r="AB1102" s="191"/>
      <c r="AC1102" s="191"/>
      <c r="AD1102" s="16"/>
      <c r="AE1102" s="16"/>
      <c r="AF1102" s="16"/>
      <c r="AG1102" s="16"/>
      <c r="AH1102" s="16"/>
      <c r="AI1102" s="16"/>
      <c r="AJ1102" s="16"/>
      <c r="AK1102" s="16"/>
      <c r="AL1102" s="16"/>
      <c r="AM1102" s="16"/>
      <c r="AN1102" s="16"/>
      <c r="AO1102" s="16"/>
      <c r="AP1102" s="16"/>
      <c r="AQ1102" s="16"/>
      <c r="AR1102" s="16"/>
      <c r="AS1102" s="16"/>
    </row>
    <row r="1103" spans="18:45" x14ac:dyDescent="0.35">
      <c r="R1103" s="191"/>
      <c r="S1103" s="191"/>
      <c r="T1103" s="193"/>
      <c r="U1103" s="191"/>
      <c r="V1103" s="194"/>
      <c r="W1103" s="191"/>
      <c r="Y1103" s="191"/>
      <c r="Z1103" s="191"/>
      <c r="AA1103" s="191"/>
      <c r="AB1103" s="191"/>
      <c r="AC1103" s="191"/>
      <c r="AD1103" s="16"/>
      <c r="AE1103" s="16"/>
      <c r="AF1103" s="16"/>
      <c r="AG1103" s="16"/>
      <c r="AH1103" s="16"/>
      <c r="AI1103" s="16"/>
      <c r="AJ1103" s="16"/>
      <c r="AK1103" s="16"/>
      <c r="AL1103" s="16"/>
      <c r="AM1103" s="16"/>
      <c r="AN1103" s="16"/>
      <c r="AO1103" s="16"/>
      <c r="AP1103" s="16"/>
      <c r="AQ1103" s="16"/>
      <c r="AR1103" s="16"/>
      <c r="AS1103" s="16"/>
    </row>
    <row r="1104" spans="18:45" x14ac:dyDescent="0.35">
      <c r="R1104" s="191"/>
      <c r="S1104" s="191"/>
      <c r="T1104" s="193"/>
      <c r="U1104" s="191"/>
      <c r="V1104" s="194"/>
      <c r="W1104" s="191"/>
      <c r="Y1104" s="191"/>
      <c r="Z1104" s="191"/>
      <c r="AA1104" s="191"/>
      <c r="AB1104" s="191"/>
      <c r="AC1104" s="191"/>
      <c r="AD1104" s="16"/>
      <c r="AE1104" s="16"/>
      <c r="AF1104" s="16"/>
      <c r="AG1104" s="16"/>
      <c r="AH1104" s="16"/>
      <c r="AI1104" s="16"/>
      <c r="AJ1104" s="16"/>
      <c r="AK1104" s="16"/>
      <c r="AL1104" s="16"/>
      <c r="AM1104" s="16"/>
      <c r="AN1104" s="16"/>
      <c r="AO1104" s="16"/>
      <c r="AP1104" s="16"/>
      <c r="AQ1104" s="16"/>
      <c r="AR1104" s="16"/>
      <c r="AS1104" s="16"/>
    </row>
    <row r="1105" spans="18:45" x14ac:dyDescent="0.35">
      <c r="R1105" s="191"/>
      <c r="S1105" s="191"/>
      <c r="T1105" s="193"/>
      <c r="U1105" s="191"/>
      <c r="V1105" s="194"/>
      <c r="W1105" s="191"/>
      <c r="Y1105" s="191"/>
      <c r="Z1105" s="191"/>
      <c r="AA1105" s="191"/>
      <c r="AB1105" s="191"/>
      <c r="AC1105" s="191"/>
      <c r="AD1105" s="16"/>
      <c r="AE1105" s="16"/>
      <c r="AF1105" s="16"/>
      <c r="AG1105" s="16"/>
      <c r="AH1105" s="16"/>
      <c r="AI1105" s="16"/>
      <c r="AJ1105" s="16"/>
      <c r="AK1105" s="16"/>
      <c r="AL1105" s="16"/>
      <c r="AM1105" s="16"/>
      <c r="AN1105" s="16"/>
      <c r="AO1105" s="16"/>
      <c r="AP1105" s="16"/>
      <c r="AQ1105" s="16"/>
      <c r="AR1105" s="16"/>
      <c r="AS1105" s="16"/>
    </row>
    <row r="1106" spans="18:45" x14ac:dyDescent="0.35">
      <c r="R1106" s="191"/>
      <c r="S1106" s="191"/>
      <c r="T1106" s="193"/>
      <c r="U1106" s="191"/>
      <c r="V1106" s="194"/>
      <c r="W1106" s="191"/>
      <c r="Y1106" s="191"/>
      <c r="Z1106" s="191"/>
      <c r="AA1106" s="191"/>
      <c r="AB1106" s="191"/>
      <c r="AC1106" s="191"/>
      <c r="AD1106" s="16"/>
      <c r="AE1106" s="16"/>
      <c r="AF1106" s="16"/>
      <c r="AG1106" s="16"/>
      <c r="AH1106" s="16"/>
      <c r="AI1106" s="16"/>
      <c r="AJ1106" s="16"/>
      <c r="AK1106" s="16"/>
      <c r="AL1106" s="16"/>
      <c r="AM1106" s="16"/>
      <c r="AN1106" s="16"/>
      <c r="AO1106" s="16"/>
      <c r="AP1106" s="16"/>
      <c r="AQ1106" s="16"/>
      <c r="AR1106" s="16"/>
      <c r="AS1106" s="16"/>
    </row>
    <row r="1107" spans="18:45" x14ac:dyDescent="0.35">
      <c r="R1107" s="191"/>
      <c r="S1107" s="191"/>
      <c r="T1107" s="193"/>
      <c r="U1107" s="191"/>
      <c r="V1107" s="194"/>
      <c r="W1107" s="191"/>
      <c r="Y1107" s="191"/>
      <c r="Z1107" s="191"/>
      <c r="AA1107" s="191"/>
      <c r="AB1107" s="191"/>
      <c r="AC1107" s="191"/>
      <c r="AD1107" s="16"/>
      <c r="AE1107" s="16"/>
      <c r="AF1107" s="16"/>
      <c r="AG1107" s="16"/>
      <c r="AH1107" s="16"/>
      <c r="AI1107" s="16"/>
      <c r="AJ1107" s="16"/>
      <c r="AK1107" s="16"/>
      <c r="AL1107" s="16"/>
      <c r="AM1107" s="16"/>
      <c r="AN1107" s="16"/>
      <c r="AO1107" s="16"/>
      <c r="AP1107" s="16"/>
      <c r="AQ1107" s="16"/>
      <c r="AR1107" s="16"/>
      <c r="AS1107" s="16"/>
    </row>
    <row r="1108" spans="18:45" x14ac:dyDescent="0.35">
      <c r="R1108" s="191"/>
      <c r="S1108" s="191"/>
      <c r="T1108" s="193"/>
      <c r="U1108" s="191"/>
      <c r="V1108" s="194"/>
      <c r="W1108" s="191"/>
      <c r="Y1108" s="191"/>
      <c r="Z1108" s="191"/>
      <c r="AA1108" s="191"/>
      <c r="AB1108" s="191"/>
      <c r="AC1108" s="191"/>
      <c r="AD1108" s="16"/>
      <c r="AE1108" s="16"/>
      <c r="AF1108" s="16"/>
      <c r="AG1108" s="16"/>
      <c r="AH1108" s="16"/>
      <c r="AI1108" s="16"/>
      <c r="AJ1108" s="16"/>
      <c r="AK1108" s="16"/>
      <c r="AL1108" s="16"/>
      <c r="AM1108" s="16"/>
      <c r="AN1108" s="16"/>
      <c r="AO1108" s="16"/>
      <c r="AP1108" s="16"/>
      <c r="AQ1108" s="16"/>
      <c r="AR1108" s="16"/>
      <c r="AS1108" s="16"/>
    </row>
    <row r="1109" spans="18:45" x14ac:dyDescent="0.35">
      <c r="R1109" s="191"/>
      <c r="S1109" s="191"/>
      <c r="T1109" s="193"/>
      <c r="U1109" s="191"/>
      <c r="V1109" s="194"/>
      <c r="W1109" s="191"/>
      <c r="Y1109" s="191"/>
      <c r="Z1109" s="191"/>
      <c r="AA1109" s="191"/>
      <c r="AB1109" s="191"/>
      <c r="AC1109" s="191"/>
      <c r="AD1109" s="16"/>
      <c r="AE1109" s="16"/>
      <c r="AF1109" s="16"/>
      <c r="AG1109" s="16"/>
      <c r="AH1109" s="16"/>
      <c r="AI1109" s="16"/>
      <c r="AJ1109" s="16"/>
      <c r="AK1109" s="16"/>
      <c r="AL1109" s="16"/>
      <c r="AM1109" s="16"/>
      <c r="AN1109" s="16"/>
      <c r="AO1109" s="16"/>
      <c r="AP1109" s="16"/>
      <c r="AQ1109" s="16"/>
      <c r="AR1109" s="16"/>
      <c r="AS1109" s="16"/>
    </row>
    <row r="1110" spans="18:45" x14ac:dyDescent="0.35">
      <c r="R1110" s="191"/>
      <c r="S1110" s="191"/>
      <c r="T1110" s="193"/>
      <c r="U1110" s="191"/>
      <c r="V1110" s="194"/>
      <c r="W1110" s="191"/>
      <c r="Y1110" s="191"/>
      <c r="Z1110" s="191"/>
      <c r="AA1110" s="191"/>
      <c r="AB1110" s="191"/>
      <c r="AC1110" s="191"/>
      <c r="AD1110" s="16"/>
      <c r="AE1110" s="16"/>
      <c r="AF1110" s="16"/>
      <c r="AG1110" s="16"/>
      <c r="AH1110" s="16"/>
      <c r="AI1110" s="16"/>
      <c r="AJ1110" s="16"/>
      <c r="AK1110" s="16"/>
      <c r="AL1110" s="16"/>
      <c r="AM1110" s="16"/>
      <c r="AN1110" s="16"/>
      <c r="AO1110" s="16"/>
      <c r="AP1110" s="16"/>
      <c r="AQ1110" s="16"/>
      <c r="AR1110" s="16"/>
      <c r="AS1110" s="16"/>
    </row>
    <row r="1111" spans="18:45" x14ac:dyDescent="0.35">
      <c r="R1111" s="191"/>
      <c r="S1111" s="191"/>
      <c r="T1111" s="193"/>
      <c r="U1111" s="191"/>
      <c r="V1111" s="194"/>
      <c r="W1111" s="191"/>
      <c r="Y1111" s="191"/>
      <c r="Z1111" s="191"/>
      <c r="AA1111" s="191"/>
      <c r="AB1111" s="191"/>
      <c r="AC1111" s="191"/>
      <c r="AD1111" s="16"/>
      <c r="AE1111" s="16"/>
      <c r="AF1111" s="16"/>
      <c r="AG1111" s="16"/>
      <c r="AH1111" s="16"/>
      <c r="AI1111" s="16"/>
      <c r="AJ1111" s="16"/>
      <c r="AK1111" s="16"/>
      <c r="AL1111" s="16"/>
      <c r="AM1111" s="16"/>
      <c r="AN1111" s="16"/>
      <c r="AO1111" s="16"/>
      <c r="AP1111" s="16"/>
      <c r="AQ1111" s="16"/>
      <c r="AR1111" s="16"/>
      <c r="AS1111" s="16"/>
    </row>
    <row r="1112" spans="18:45" x14ac:dyDescent="0.35">
      <c r="R1112" s="191"/>
      <c r="S1112" s="191"/>
      <c r="T1112" s="193"/>
      <c r="U1112" s="191"/>
      <c r="V1112" s="194"/>
      <c r="W1112" s="191"/>
      <c r="Y1112" s="191"/>
      <c r="Z1112" s="191"/>
      <c r="AA1112" s="191"/>
      <c r="AB1112" s="191"/>
      <c r="AC1112" s="191"/>
      <c r="AD1112" s="16"/>
      <c r="AE1112" s="16"/>
      <c r="AF1112" s="16"/>
      <c r="AG1112" s="16"/>
      <c r="AH1112" s="16"/>
      <c r="AI1112" s="16"/>
      <c r="AJ1112" s="16"/>
      <c r="AK1112" s="16"/>
      <c r="AL1112" s="16"/>
      <c r="AM1112" s="16"/>
      <c r="AN1112" s="16"/>
      <c r="AO1112" s="16"/>
      <c r="AP1112" s="16"/>
      <c r="AQ1112" s="16"/>
      <c r="AR1112" s="16"/>
      <c r="AS1112" s="16"/>
    </row>
    <row r="1113" spans="18:45" x14ac:dyDescent="0.35">
      <c r="R1113" s="191"/>
      <c r="S1113" s="191"/>
      <c r="T1113" s="193"/>
      <c r="U1113" s="191"/>
      <c r="V1113" s="194"/>
      <c r="W1113" s="191"/>
      <c r="Y1113" s="191"/>
      <c r="Z1113" s="191"/>
      <c r="AA1113" s="191"/>
      <c r="AB1113" s="191"/>
      <c r="AC1113" s="191"/>
      <c r="AD1113" s="16"/>
      <c r="AE1113" s="16"/>
      <c r="AF1113" s="16"/>
      <c r="AG1113" s="16"/>
      <c r="AH1113" s="16"/>
      <c r="AI1113" s="16"/>
      <c r="AJ1113" s="16"/>
      <c r="AK1113" s="16"/>
      <c r="AL1113" s="16"/>
      <c r="AM1113" s="16"/>
      <c r="AN1113" s="16"/>
      <c r="AO1113" s="16"/>
      <c r="AP1113" s="16"/>
      <c r="AQ1113" s="16"/>
      <c r="AR1113" s="16"/>
      <c r="AS1113" s="16"/>
    </row>
    <row r="1114" spans="18:45" x14ac:dyDescent="0.35">
      <c r="R1114" s="191"/>
      <c r="S1114" s="191"/>
      <c r="T1114" s="193"/>
      <c r="U1114" s="191"/>
      <c r="V1114" s="194"/>
      <c r="W1114" s="191"/>
      <c r="Y1114" s="191"/>
      <c r="Z1114" s="191"/>
      <c r="AA1114" s="191"/>
      <c r="AB1114" s="191"/>
      <c r="AC1114" s="191"/>
      <c r="AD1114" s="16"/>
      <c r="AE1114" s="16"/>
      <c r="AF1114" s="16"/>
      <c r="AG1114" s="16"/>
      <c r="AH1114" s="16"/>
      <c r="AI1114" s="16"/>
      <c r="AJ1114" s="16"/>
      <c r="AK1114" s="16"/>
      <c r="AL1114" s="16"/>
      <c r="AM1114" s="16"/>
      <c r="AN1114" s="16"/>
      <c r="AO1114" s="16"/>
      <c r="AP1114" s="16"/>
      <c r="AQ1114" s="16"/>
      <c r="AR1114" s="16"/>
      <c r="AS1114" s="16"/>
    </row>
    <row r="1115" spans="18:45" x14ac:dyDescent="0.35">
      <c r="R1115" s="191"/>
      <c r="S1115" s="191"/>
      <c r="T1115" s="193"/>
      <c r="U1115" s="191"/>
      <c r="V1115" s="194"/>
      <c r="W1115" s="191"/>
      <c r="Y1115" s="191"/>
      <c r="Z1115" s="191"/>
      <c r="AA1115" s="191"/>
      <c r="AB1115" s="191"/>
      <c r="AC1115" s="191"/>
      <c r="AD1115" s="16"/>
      <c r="AE1115" s="16"/>
      <c r="AF1115" s="16"/>
      <c r="AG1115" s="16"/>
      <c r="AH1115" s="16"/>
      <c r="AI1115" s="16"/>
      <c r="AJ1115" s="16"/>
      <c r="AK1115" s="16"/>
      <c r="AL1115" s="16"/>
      <c r="AM1115" s="16"/>
      <c r="AN1115" s="16"/>
      <c r="AO1115" s="16"/>
      <c r="AP1115" s="16"/>
      <c r="AQ1115" s="16"/>
      <c r="AR1115" s="16"/>
      <c r="AS1115" s="16"/>
    </row>
    <row r="1116" spans="18:45" x14ac:dyDescent="0.35">
      <c r="R1116" s="191"/>
      <c r="S1116" s="191"/>
      <c r="T1116" s="193"/>
      <c r="U1116" s="191"/>
      <c r="V1116" s="194"/>
      <c r="W1116" s="191"/>
      <c r="Y1116" s="191"/>
      <c r="Z1116" s="191"/>
      <c r="AA1116" s="191"/>
      <c r="AB1116" s="191"/>
      <c r="AC1116" s="191"/>
      <c r="AD1116" s="16"/>
      <c r="AE1116" s="16"/>
      <c r="AF1116" s="16"/>
      <c r="AG1116" s="16"/>
      <c r="AH1116" s="16"/>
      <c r="AI1116" s="16"/>
      <c r="AJ1116" s="16"/>
      <c r="AK1116" s="16"/>
      <c r="AL1116" s="16"/>
      <c r="AM1116" s="16"/>
      <c r="AN1116" s="16"/>
      <c r="AO1116" s="16"/>
      <c r="AP1116" s="16"/>
      <c r="AQ1116" s="16"/>
      <c r="AR1116" s="16"/>
      <c r="AS1116" s="16"/>
    </row>
    <row r="1117" spans="18:45" x14ac:dyDescent="0.35">
      <c r="R1117" s="191"/>
      <c r="S1117" s="191"/>
      <c r="T1117" s="193"/>
      <c r="U1117" s="191"/>
      <c r="V1117" s="194"/>
      <c r="W1117" s="191"/>
      <c r="Y1117" s="191"/>
      <c r="Z1117" s="191"/>
      <c r="AA1117" s="191"/>
      <c r="AB1117" s="191"/>
      <c r="AC1117" s="191"/>
      <c r="AD1117" s="16"/>
      <c r="AE1117" s="16"/>
      <c r="AF1117" s="16"/>
      <c r="AG1117" s="16"/>
      <c r="AH1117" s="16"/>
      <c r="AI1117" s="16"/>
      <c r="AJ1117" s="16"/>
      <c r="AK1117" s="16"/>
      <c r="AL1117" s="16"/>
      <c r="AM1117" s="16"/>
      <c r="AN1117" s="16"/>
      <c r="AO1117" s="16"/>
      <c r="AP1117" s="16"/>
      <c r="AQ1117" s="16"/>
      <c r="AR1117" s="16"/>
      <c r="AS1117" s="16"/>
    </row>
    <row r="1118" spans="18:45" x14ac:dyDescent="0.35">
      <c r="R1118" s="191"/>
      <c r="S1118" s="191"/>
      <c r="T1118" s="193"/>
      <c r="U1118" s="191"/>
      <c r="V1118" s="194"/>
      <c r="W1118" s="191"/>
      <c r="Y1118" s="191"/>
      <c r="Z1118" s="191"/>
      <c r="AA1118" s="191"/>
      <c r="AB1118" s="191"/>
      <c r="AC1118" s="191"/>
      <c r="AD1118" s="16"/>
      <c r="AE1118" s="16"/>
      <c r="AF1118" s="16"/>
      <c r="AG1118" s="16"/>
      <c r="AH1118" s="16"/>
      <c r="AI1118" s="16"/>
      <c r="AJ1118" s="16"/>
      <c r="AK1118" s="16"/>
      <c r="AL1118" s="16"/>
      <c r="AM1118" s="16"/>
      <c r="AN1118" s="16"/>
      <c r="AO1118" s="16"/>
      <c r="AP1118" s="16"/>
      <c r="AQ1118" s="16"/>
      <c r="AR1118" s="16"/>
      <c r="AS1118" s="16"/>
    </row>
    <row r="1119" spans="18:45" x14ac:dyDescent="0.35">
      <c r="R1119" s="191"/>
      <c r="S1119" s="191"/>
      <c r="T1119" s="193"/>
      <c r="U1119" s="191"/>
      <c r="V1119" s="194"/>
      <c r="W1119" s="191"/>
      <c r="Y1119" s="191"/>
      <c r="Z1119" s="191"/>
      <c r="AA1119" s="191"/>
      <c r="AB1119" s="191"/>
      <c r="AC1119" s="191"/>
      <c r="AD1119" s="16"/>
      <c r="AE1119" s="16"/>
      <c r="AF1119" s="16"/>
      <c r="AG1119" s="16"/>
      <c r="AH1119" s="16"/>
      <c r="AI1119" s="16"/>
      <c r="AJ1119" s="16"/>
      <c r="AK1119" s="16"/>
      <c r="AL1119" s="16"/>
      <c r="AM1119" s="16"/>
      <c r="AN1119" s="16"/>
      <c r="AO1119" s="16"/>
      <c r="AP1119" s="16"/>
      <c r="AQ1119" s="16"/>
      <c r="AR1119" s="16"/>
      <c r="AS1119" s="16"/>
    </row>
    <row r="1120" spans="18:45" x14ac:dyDescent="0.35">
      <c r="R1120" s="191"/>
      <c r="S1120" s="191"/>
      <c r="T1120" s="193"/>
      <c r="U1120" s="191"/>
      <c r="V1120" s="194"/>
      <c r="W1120" s="191"/>
      <c r="Y1120" s="191"/>
      <c r="Z1120" s="191"/>
      <c r="AA1120" s="191"/>
      <c r="AB1120" s="191"/>
      <c r="AC1120" s="191"/>
      <c r="AD1120" s="16"/>
      <c r="AE1120" s="16"/>
      <c r="AF1120" s="16"/>
      <c r="AG1120" s="16"/>
      <c r="AH1120" s="16"/>
      <c r="AI1120" s="16"/>
      <c r="AJ1120" s="16"/>
      <c r="AK1120" s="16"/>
      <c r="AL1120" s="16"/>
      <c r="AM1120" s="16"/>
      <c r="AN1120" s="16"/>
      <c r="AO1120" s="16"/>
      <c r="AP1120" s="16"/>
      <c r="AQ1120" s="16"/>
      <c r="AR1120" s="16"/>
      <c r="AS1120" s="16"/>
    </row>
    <row r="1121" spans="18:45" x14ac:dyDescent="0.35">
      <c r="R1121" s="191"/>
      <c r="S1121" s="191"/>
      <c r="T1121" s="193"/>
      <c r="U1121" s="191"/>
      <c r="V1121" s="194"/>
      <c r="W1121" s="191"/>
      <c r="Y1121" s="191"/>
      <c r="Z1121" s="191"/>
      <c r="AA1121" s="191"/>
      <c r="AB1121" s="191"/>
      <c r="AC1121" s="191"/>
      <c r="AD1121" s="16"/>
      <c r="AE1121" s="16"/>
      <c r="AF1121" s="16"/>
      <c r="AG1121" s="16"/>
      <c r="AH1121" s="16"/>
      <c r="AI1121" s="16"/>
      <c r="AJ1121" s="16"/>
      <c r="AK1121" s="16"/>
      <c r="AL1121" s="16"/>
      <c r="AM1121" s="16"/>
      <c r="AN1121" s="16"/>
      <c r="AO1121" s="16"/>
      <c r="AP1121" s="16"/>
      <c r="AQ1121" s="16"/>
      <c r="AR1121" s="16"/>
      <c r="AS1121" s="16"/>
    </row>
    <row r="1122" spans="18:45" x14ac:dyDescent="0.35">
      <c r="R1122" s="191"/>
      <c r="S1122" s="191"/>
      <c r="T1122" s="193"/>
      <c r="U1122" s="191"/>
      <c r="V1122" s="194"/>
      <c r="W1122" s="191"/>
      <c r="Y1122" s="191"/>
      <c r="Z1122" s="191"/>
      <c r="AA1122" s="191"/>
      <c r="AB1122" s="191"/>
      <c r="AC1122" s="191"/>
      <c r="AD1122" s="16"/>
      <c r="AE1122" s="16"/>
      <c r="AF1122" s="16"/>
      <c r="AG1122" s="16"/>
      <c r="AH1122" s="16"/>
      <c r="AI1122" s="16"/>
      <c r="AJ1122" s="16"/>
      <c r="AK1122" s="16"/>
      <c r="AL1122" s="16"/>
      <c r="AM1122" s="16"/>
      <c r="AN1122" s="16"/>
      <c r="AO1122" s="16"/>
      <c r="AP1122" s="16"/>
      <c r="AQ1122" s="16"/>
      <c r="AR1122" s="16"/>
      <c r="AS1122" s="16"/>
    </row>
    <row r="1123" spans="18:45" x14ac:dyDescent="0.35">
      <c r="R1123" s="191"/>
      <c r="S1123" s="191"/>
      <c r="T1123" s="193"/>
      <c r="U1123" s="191"/>
      <c r="V1123" s="194"/>
      <c r="W1123" s="191"/>
      <c r="Y1123" s="191"/>
      <c r="Z1123" s="191"/>
      <c r="AA1123" s="191"/>
      <c r="AB1123" s="191"/>
      <c r="AC1123" s="191"/>
      <c r="AD1123" s="16"/>
      <c r="AE1123" s="16"/>
      <c r="AF1123" s="16"/>
      <c r="AG1123" s="16"/>
      <c r="AH1123" s="16"/>
      <c r="AI1123" s="16"/>
      <c r="AJ1123" s="16"/>
      <c r="AK1123" s="16"/>
      <c r="AL1123" s="16"/>
      <c r="AM1123" s="16"/>
      <c r="AN1123" s="16"/>
      <c r="AO1123" s="16"/>
      <c r="AP1123" s="16"/>
      <c r="AQ1123" s="16"/>
      <c r="AR1123" s="16"/>
      <c r="AS1123" s="16"/>
    </row>
    <row r="1124" spans="18:45" x14ac:dyDescent="0.35">
      <c r="R1124" s="191"/>
      <c r="S1124" s="191"/>
      <c r="T1124" s="193"/>
      <c r="U1124" s="191"/>
      <c r="V1124" s="194"/>
      <c r="W1124" s="191"/>
      <c r="Y1124" s="191"/>
      <c r="Z1124" s="191"/>
      <c r="AA1124" s="191"/>
      <c r="AB1124" s="191"/>
      <c r="AC1124" s="191"/>
      <c r="AD1124" s="16"/>
      <c r="AE1124" s="16"/>
      <c r="AF1124" s="16"/>
      <c r="AG1124" s="16"/>
      <c r="AH1124" s="16"/>
      <c r="AI1124" s="16"/>
      <c r="AJ1124" s="16"/>
      <c r="AK1124" s="16"/>
      <c r="AL1124" s="16"/>
      <c r="AM1124" s="16"/>
      <c r="AN1124" s="16"/>
      <c r="AO1124" s="16"/>
      <c r="AP1124" s="16"/>
      <c r="AQ1124" s="16"/>
      <c r="AR1124" s="16"/>
      <c r="AS1124" s="16"/>
    </row>
    <row r="1125" spans="18:45" x14ac:dyDescent="0.35">
      <c r="R1125" s="191"/>
      <c r="S1125" s="191"/>
      <c r="T1125" s="193"/>
      <c r="U1125" s="191"/>
      <c r="V1125" s="194"/>
      <c r="W1125" s="191"/>
      <c r="Y1125" s="191"/>
      <c r="Z1125" s="191"/>
      <c r="AA1125" s="191"/>
      <c r="AB1125" s="191"/>
      <c r="AC1125" s="191"/>
      <c r="AD1125" s="16"/>
      <c r="AE1125" s="16"/>
      <c r="AF1125" s="16"/>
      <c r="AG1125" s="16"/>
      <c r="AH1125" s="16"/>
      <c r="AI1125" s="16"/>
      <c r="AJ1125" s="16"/>
      <c r="AK1125" s="16"/>
      <c r="AL1125" s="16"/>
      <c r="AM1125" s="16"/>
      <c r="AN1125" s="16"/>
      <c r="AO1125" s="16"/>
      <c r="AP1125" s="16"/>
      <c r="AQ1125" s="16"/>
      <c r="AR1125" s="16"/>
      <c r="AS1125" s="16"/>
    </row>
    <row r="1126" spans="18:45" x14ac:dyDescent="0.35">
      <c r="R1126" s="191"/>
      <c r="S1126" s="191"/>
      <c r="T1126" s="193"/>
      <c r="U1126" s="191"/>
      <c r="V1126" s="194"/>
      <c r="W1126" s="191"/>
      <c r="Y1126" s="191"/>
      <c r="Z1126" s="191"/>
      <c r="AA1126" s="191"/>
      <c r="AB1126" s="191"/>
      <c r="AC1126" s="191"/>
      <c r="AD1126" s="16"/>
      <c r="AE1126" s="16"/>
      <c r="AF1126" s="16"/>
      <c r="AG1126" s="16"/>
      <c r="AH1126" s="16"/>
      <c r="AI1126" s="16"/>
      <c r="AJ1126" s="16"/>
      <c r="AK1126" s="16"/>
      <c r="AL1126" s="16"/>
      <c r="AM1126" s="16"/>
      <c r="AN1126" s="16"/>
      <c r="AO1126" s="16"/>
      <c r="AP1126" s="16"/>
      <c r="AQ1126" s="16"/>
      <c r="AR1126" s="16"/>
      <c r="AS1126" s="16"/>
    </row>
    <row r="1127" spans="18:45" x14ac:dyDescent="0.35">
      <c r="R1127" s="191"/>
      <c r="S1127" s="191"/>
      <c r="T1127" s="193"/>
      <c r="U1127" s="191"/>
      <c r="V1127" s="194"/>
      <c r="W1127" s="191"/>
      <c r="Y1127" s="191"/>
      <c r="Z1127" s="191"/>
      <c r="AA1127" s="191"/>
      <c r="AB1127" s="191"/>
      <c r="AC1127" s="191"/>
      <c r="AD1127" s="16"/>
      <c r="AE1127" s="16"/>
      <c r="AF1127" s="16"/>
      <c r="AG1127" s="16"/>
      <c r="AH1127" s="16"/>
      <c r="AI1127" s="16"/>
      <c r="AJ1127" s="16"/>
      <c r="AK1127" s="16"/>
      <c r="AL1127" s="16"/>
      <c r="AM1127" s="16"/>
      <c r="AN1127" s="16"/>
      <c r="AO1127" s="16"/>
      <c r="AP1127" s="16"/>
      <c r="AQ1127" s="16"/>
      <c r="AR1127" s="16"/>
      <c r="AS1127" s="16"/>
    </row>
    <row r="1128" spans="18:45" x14ac:dyDescent="0.35">
      <c r="R1128" s="191"/>
      <c r="S1128" s="191"/>
      <c r="T1128" s="193"/>
      <c r="U1128" s="191"/>
      <c r="V1128" s="194"/>
      <c r="W1128" s="191"/>
      <c r="Y1128" s="191"/>
      <c r="Z1128" s="191"/>
      <c r="AA1128" s="191"/>
      <c r="AB1128" s="191"/>
      <c r="AC1128" s="191"/>
      <c r="AD1128" s="16"/>
      <c r="AE1128" s="16"/>
      <c r="AF1128" s="16"/>
      <c r="AG1128" s="16"/>
      <c r="AH1128" s="16"/>
      <c r="AI1128" s="16"/>
      <c r="AJ1128" s="16"/>
      <c r="AK1128" s="16"/>
      <c r="AL1128" s="16"/>
      <c r="AM1128" s="16"/>
      <c r="AN1128" s="16"/>
      <c r="AO1128" s="16"/>
      <c r="AP1128" s="16"/>
      <c r="AQ1128" s="16"/>
      <c r="AR1128" s="16"/>
      <c r="AS1128" s="16"/>
    </row>
    <row r="1129" spans="18:45" x14ac:dyDescent="0.35">
      <c r="R1129" s="191"/>
      <c r="S1129" s="191"/>
      <c r="T1129" s="193"/>
      <c r="U1129" s="191"/>
      <c r="V1129" s="194"/>
      <c r="W1129" s="191"/>
      <c r="Y1129" s="191"/>
      <c r="Z1129" s="191"/>
      <c r="AA1129" s="191"/>
      <c r="AB1129" s="191"/>
      <c r="AC1129" s="191"/>
      <c r="AD1129" s="16"/>
      <c r="AE1129" s="16"/>
      <c r="AF1129" s="16"/>
      <c r="AG1129" s="16"/>
      <c r="AH1129" s="16"/>
      <c r="AI1129" s="16"/>
      <c r="AJ1129" s="16"/>
      <c r="AK1129" s="16"/>
      <c r="AL1129" s="16"/>
      <c r="AM1129" s="16"/>
      <c r="AN1129" s="16"/>
      <c r="AO1129" s="16"/>
      <c r="AP1129" s="16"/>
      <c r="AQ1129" s="16"/>
      <c r="AR1129" s="16"/>
      <c r="AS1129" s="16"/>
    </row>
    <row r="1130" spans="18:45" x14ac:dyDescent="0.35">
      <c r="R1130" s="191"/>
      <c r="S1130" s="191"/>
      <c r="T1130" s="193"/>
      <c r="U1130" s="191"/>
      <c r="V1130" s="194"/>
      <c r="W1130" s="191"/>
      <c r="Y1130" s="191"/>
      <c r="Z1130" s="191"/>
      <c r="AA1130" s="191"/>
      <c r="AB1130" s="191"/>
      <c r="AC1130" s="191"/>
      <c r="AD1130" s="16"/>
      <c r="AE1130" s="16"/>
      <c r="AF1130" s="16"/>
      <c r="AG1130" s="16"/>
      <c r="AH1130" s="16"/>
      <c r="AI1130" s="16"/>
      <c r="AJ1130" s="16"/>
      <c r="AK1130" s="16"/>
      <c r="AL1130" s="16"/>
      <c r="AM1130" s="16"/>
      <c r="AN1130" s="16"/>
      <c r="AO1130" s="16"/>
      <c r="AP1130" s="16"/>
      <c r="AQ1130" s="16"/>
      <c r="AR1130" s="16"/>
      <c r="AS1130" s="16"/>
    </row>
    <row r="1131" spans="18:45" x14ac:dyDescent="0.35">
      <c r="R1131" s="191"/>
      <c r="S1131" s="191"/>
      <c r="T1131" s="193"/>
      <c r="U1131" s="191"/>
      <c r="V1131" s="194"/>
      <c r="W1131" s="191"/>
      <c r="Y1131" s="191"/>
      <c r="Z1131" s="191"/>
      <c r="AA1131" s="191"/>
      <c r="AB1131" s="191"/>
      <c r="AC1131" s="191"/>
      <c r="AD1131" s="16"/>
      <c r="AE1131" s="16"/>
      <c r="AF1131" s="16"/>
      <c r="AG1131" s="16"/>
      <c r="AH1131" s="16"/>
      <c r="AI1131" s="16"/>
      <c r="AJ1131" s="16"/>
      <c r="AK1131" s="16"/>
      <c r="AL1131" s="16"/>
      <c r="AM1131" s="16"/>
      <c r="AN1131" s="16"/>
      <c r="AO1131" s="16"/>
      <c r="AP1131" s="16"/>
      <c r="AQ1131" s="16"/>
      <c r="AR1131" s="16"/>
      <c r="AS1131" s="16"/>
    </row>
    <row r="1132" spans="18:45" x14ac:dyDescent="0.35">
      <c r="R1132" s="191"/>
      <c r="S1132" s="191"/>
      <c r="T1132" s="193"/>
      <c r="U1132" s="191"/>
      <c r="V1132" s="194"/>
      <c r="W1132" s="191"/>
      <c r="Y1132" s="191"/>
      <c r="Z1132" s="191"/>
      <c r="AA1132" s="191"/>
      <c r="AB1132" s="191"/>
      <c r="AC1132" s="191"/>
      <c r="AD1132" s="16"/>
      <c r="AE1132" s="16"/>
      <c r="AF1132" s="16"/>
      <c r="AG1132" s="16"/>
      <c r="AH1132" s="16"/>
      <c r="AI1132" s="16"/>
      <c r="AJ1132" s="16"/>
      <c r="AK1132" s="16"/>
      <c r="AL1132" s="16"/>
      <c r="AM1132" s="16"/>
      <c r="AN1132" s="16"/>
      <c r="AO1132" s="16"/>
      <c r="AP1132" s="16"/>
      <c r="AQ1132" s="16"/>
      <c r="AR1132" s="16"/>
      <c r="AS1132" s="16"/>
    </row>
    <row r="1133" spans="18:45" x14ac:dyDescent="0.35">
      <c r="R1133" s="191"/>
      <c r="S1133" s="191"/>
      <c r="T1133" s="193"/>
      <c r="U1133" s="191"/>
      <c r="V1133" s="194"/>
      <c r="W1133" s="191"/>
      <c r="Y1133" s="191"/>
      <c r="Z1133" s="191"/>
      <c r="AA1133" s="191"/>
      <c r="AB1133" s="191"/>
      <c r="AC1133" s="191"/>
      <c r="AD1133" s="16"/>
      <c r="AE1133" s="16"/>
      <c r="AF1133" s="16"/>
      <c r="AG1133" s="16"/>
      <c r="AH1133" s="16"/>
      <c r="AI1133" s="16"/>
      <c r="AJ1133" s="16"/>
      <c r="AK1133" s="16"/>
      <c r="AL1133" s="16"/>
      <c r="AM1133" s="16"/>
      <c r="AN1133" s="16"/>
      <c r="AO1133" s="16"/>
      <c r="AP1133" s="16"/>
      <c r="AQ1133" s="16"/>
      <c r="AR1133" s="16"/>
      <c r="AS1133" s="16"/>
    </row>
    <row r="1134" spans="18:45" x14ac:dyDescent="0.35">
      <c r="R1134" s="191"/>
      <c r="S1134" s="191"/>
      <c r="T1134" s="193"/>
      <c r="U1134" s="191"/>
      <c r="V1134" s="194"/>
      <c r="W1134" s="191"/>
      <c r="Y1134" s="191"/>
      <c r="Z1134" s="191"/>
      <c r="AA1134" s="191"/>
      <c r="AB1134" s="191"/>
      <c r="AC1134" s="191"/>
      <c r="AD1134" s="16"/>
      <c r="AE1134" s="16"/>
      <c r="AF1134" s="16"/>
      <c r="AG1134" s="16"/>
      <c r="AH1134" s="16"/>
      <c r="AI1134" s="16"/>
      <c r="AJ1134" s="16"/>
      <c r="AK1134" s="16"/>
      <c r="AL1134" s="16"/>
      <c r="AM1134" s="16"/>
      <c r="AN1134" s="16"/>
      <c r="AO1134" s="16"/>
      <c r="AP1134" s="16"/>
      <c r="AQ1134" s="16"/>
      <c r="AR1134" s="16"/>
      <c r="AS1134" s="16"/>
    </row>
    <row r="1135" spans="18:45" x14ac:dyDescent="0.35">
      <c r="R1135" s="191"/>
      <c r="S1135" s="191"/>
      <c r="T1135" s="193"/>
      <c r="U1135" s="191"/>
      <c r="V1135" s="194"/>
      <c r="W1135" s="191"/>
      <c r="Y1135" s="191"/>
      <c r="Z1135" s="191"/>
      <c r="AA1135" s="191"/>
      <c r="AB1135" s="191"/>
      <c r="AC1135" s="191"/>
      <c r="AD1135" s="16"/>
      <c r="AE1135" s="16"/>
      <c r="AF1135" s="16"/>
      <c r="AG1135" s="16"/>
      <c r="AH1135" s="16"/>
      <c r="AI1135" s="16"/>
      <c r="AJ1135" s="16"/>
      <c r="AK1135" s="16"/>
      <c r="AL1135" s="16"/>
      <c r="AM1135" s="16"/>
      <c r="AN1135" s="16"/>
      <c r="AO1135" s="16"/>
      <c r="AP1135" s="16"/>
      <c r="AQ1135" s="16"/>
      <c r="AR1135" s="16"/>
      <c r="AS1135" s="16"/>
    </row>
    <row r="1136" spans="18:45" x14ac:dyDescent="0.35">
      <c r="R1136" s="191"/>
      <c r="S1136" s="191"/>
      <c r="T1136" s="193"/>
      <c r="U1136" s="191"/>
      <c r="V1136" s="194"/>
      <c r="W1136" s="191"/>
      <c r="Y1136" s="191"/>
      <c r="Z1136" s="191"/>
      <c r="AA1136" s="191"/>
      <c r="AB1136" s="191"/>
      <c r="AC1136" s="191"/>
      <c r="AD1136" s="16"/>
      <c r="AE1136" s="16"/>
      <c r="AF1136" s="16"/>
      <c r="AG1136" s="16"/>
      <c r="AH1136" s="16"/>
      <c r="AI1136" s="16"/>
      <c r="AJ1136" s="16"/>
      <c r="AK1136" s="16"/>
      <c r="AL1136" s="16"/>
      <c r="AM1136" s="16"/>
      <c r="AN1136" s="16"/>
      <c r="AO1136" s="16"/>
      <c r="AP1136" s="16"/>
      <c r="AQ1136" s="16"/>
      <c r="AR1136" s="16"/>
      <c r="AS1136" s="16"/>
    </row>
    <row r="1137" spans="18:45" x14ac:dyDescent="0.35">
      <c r="R1137" s="191"/>
      <c r="S1137" s="191"/>
      <c r="T1137" s="193"/>
      <c r="U1137" s="191"/>
      <c r="V1137" s="194"/>
      <c r="W1137" s="191"/>
      <c r="Y1137" s="191"/>
      <c r="Z1137" s="191"/>
      <c r="AA1137" s="191"/>
      <c r="AB1137" s="191"/>
      <c r="AC1137" s="191"/>
      <c r="AD1137" s="16"/>
      <c r="AE1137" s="16"/>
      <c r="AF1137" s="16"/>
      <c r="AG1137" s="16"/>
      <c r="AH1137" s="16"/>
      <c r="AI1137" s="16"/>
      <c r="AJ1137" s="16"/>
      <c r="AK1137" s="16"/>
      <c r="AL1137" s="16"/>
      <c r="AM1137" s="16"/>
      <c r="AN1137" s="16"/>
      <c r="AO1137" s="16"/>
      <c r="AP1137" s="16"/>
      <c r="AQ1137" s="16"/>
      <c r="AR1137" s="16"/>
      <c r="AS1137" s="16"/>
    </row>
    <row r="1138" spans="18:45" x14ac:dyDescent="0.35">
      <c r="R1138" s="191"/>
      <c r="S1138" s="191"/>
      <c r="T1138" s="193"/>
      <c r="U1138" s="191"/>
      <c r="V1138" s="194"/>
      <c r="W1138" s="191"/>
      <c r="Y1138" s="191"/>
      <c r="Z1138" s="191"/>
      <c r="AA1138" s="191"/>
      <c r="AB1138" s="191"/>
      <c r="AC1138" s="191"/>
      <c r="AD1138" s="16"/>
      <c r="AE1138" s="16"/>
      <c r="AF1138" s="16"/>
      <c r="AG1138" s="16"/>
      <c r="AH1138" s="16"/>
      <c r="AI1138" s="16"/>
      <c r="AJ1138" s="16"/>
      <c r="AK1138" s="16"/>
      <c r="AL1138" s="16"/>
      <c r="AM1138" s="16"/>
      <c r="AN1138" s="16"/>
      <c r="AO1138" s="16"/>
      <c r="AP1138" s="16"/>
      <c r="AQ1138" s="16"/>
      <c r="AR1138" s="16"/>
      <c r="AS1138" s="16"/>
    </row>
    <row r="1139" spans="18:45" x14ac:dyDescent="0.35">
      <c r="R1139" s="191"/>
      <c r="S1139" s="191"/>
      <c r="T1139" s="193"/>
      <c r="U1139" s="191"/>
      <c r="V1139" s="194"/>
      <c r="W1139" s="191"/>
      <c r="Y1139" s="191"/>
      <c r="Z1139" s="191"/>
      <c r="AA1139" s="191"/>
      <c r="AB1139" s="191"/>
      <c r="AC1139" s="191"/>
      <c r="AD1139" s="16"/>
      <c r="AE1139" s="16"/>
      <c r="AF1139" s="16"/>
      <c r="AG1139" s="16"/>
      <c r="AH1139" s="16"/>
      <c r="AI1139" s="16"/>
      <c r="AJ1139" s="16"/>
      <c r="AK1139" s="16"/>
      <c r="AL1139" s="16"/>
      <c r="AM1139" s="16"/>
      <c r="AN1139" s="16"/>
      <c r="AO1139" s="16"/>
      <c r="AP1139" s="16"/>
      <c r="AQ1139" s="16"/>
      <c r="AR1139" s="16"/>
      <c r="AS1139" s="16"/>
    </row>
    <row r="1140" spans="18:45" x14ac:dyDescent="0.35">
      <c r="R1140" s="191"/>
      <c r="S1140" s="191"/>
      <c r="T1140" s="193"/>
      <c r="U1140" s="191"/>
      <c r="V1140" s="194"/>
      <c r="W1140" s="191"/>
      <c r="Y1140" s="191"/>
      <c r="Z1140" s="191"/>
      <c r="AA1140" s="191"/>
      <c r="AB1140" s="191"/>
      <c r="AC1140" s="191"/>
      <c r="AD1140" s="16"/>
      <c r="AE1140" s="16"/>
      <c r="AF1140" s="16"/>
      <c r="AG1140" s="16"/>
      <c r="AH1140" s="16"/>
      <c r="AI1140" s="16"/>
      <c r="AJ1140" s="16"/>
      <c r="AK1140" s="16"/>
      <c r="AL1140" s="16"/>
      <c r="AM1140" s="16"/>
      <c r="AN1140" s="16"/>
      <c r="AO1140" s="16"/>
      <c r="AP1140" s="16"/>
      <c r="AQ1140" s="16"/>
      <c r="AR1140" s="16"/>
      <c r="AS1140" s="16"/>
    </row>
    <row r="1141" spans="18:45" x14ac:dyDescent="0.35">
      <c r="R1141" s="191"/>
      <c r="S1141" s="191"/>
      <c r="T1141" s="193"/>
      <c r="U1141" s="191"/>
      <c r="V1141" s="194"/>
      <c r="W1141" s="191"/>
      <c r="Y1141" s="191"/>
      <c r="Z1141" s="191"/>
      <c r="AA1141" s="191"/>
      <c r="AB1141" s="191"/>
      <c r="AC1141" s="191"/>
      <c r="AD1141" s="16"/>
      <c r="AE1141" s="16"/>
      <c r="AF1141" s="16"/>
      <c r="AG1141" s="16"/>
      <c r="AH1141" s="16"/>
      <c r="AI1141" s="16"/>
      <c r="AJ1141" s="16"/>
      <c r="AK1141" s="16"/>
      <c r="AL1141" s="16"/>
      <c r="AM1141" s="16"/>
      <c r="AN1141" s="16"/>
      <c r="AO1141" s="16"/>
      <c r="AP1141" s="16"/>
      <c r="AQ1141" s="16"/>
      <c r="AR1141" s="16"/>
      <c r="AS1141" s="16"/>
    </row>
    <row r="1142" spans="18:45" x14ac:dyDescent="0.35">
      <c r="R1142" s="191"/>
      <c r="S1142" s="191"/>
      <c r="T1142" s="193"/>
      <c r="U1142" s="191"/>
      <c r="V1142" s="194"/>
      <c r="W1142" s="191"/>
      <c r="Y1142" s="191"/>
      <c r="Z1142" s="191"/>
      <c r="AA1142" s="191"/>
      <c r="AB1142" s="191"/>
      <c r="AC1142" s="191"/>
      <c r="AD1142" s="16"/>
      <c r="AE1142" s="16"/>
      <c r="AF1142" s="16"/>
      <c r="AG1142" s="16"/>
      <c r="AH1142" s="16"/>
      <c r="AI1142" s="16"/>
      <c r="AJ1142" s="16"/>
      <c r="AK1142" s="16"/>
      <c r="AL1142" s="16"/>
      <c r="AM1142" s="16"/>
      <c r="AN1142" s="16"/>
      <c r="AO1142" s="16"/>
      <c r="AP1142" s="16"/>
      <c r="AQ1142" s="16"/>
      <c r="AR1142" s="16"/>
      <c r="AS1142" s="16"/>
    </row>
    <row r="1143" spans="18:45" x14ac:dyDescent="0.35">
      <c r="R1143" s="191"/>
      <c r="S1143" s="191"/>
      <c r="T1143" s="193"/>
      <c r="U1143" s="191"/>
      <c r="V1143" s="194"/>
      <c r="W1143" s="191"/>
      <c r="Y1143" s="191"/>
      <c r="Z1143" s="191"/>
      <c r="AA1143" s="191"/>
      <c r="AB1143" s="191"/>
      <c r="AC1143" s="191"/>
      <c r="AD1143" s="16"/>
      <c r="AE1143" s="16"/>
      <c r="AF1143" s="16"/>
      <c r="AG1143" s="16"/>
      <c r="AH1143" s="16"/>
      <c r="AI1143" s="16"/>
      <c r="AJ1143" s="16"/>
      <c r="AK1143" s="16"/>
      <c r="AL1143" s="16"/>
      <c r="AM1143" s="16"/>
      <c r="AN1143" s="16"/>
      <c r="AO1143" s="16"/>
      <c r="AP1143" s="16"/>
      <c r="AQ1143" s="16"/>
      <c r="AR1143" s="16"/>
      <c r="AS1143" s="16"/>
    </row>
    <row r="1144" spans="18:45" x14ac:dyDescent="0.35">
      <c r="R1144" s="191"/>
      <c r="S1144" s="191"/>
      <c r="T1144" s="193"/>
      <c r="U1144" s="191"/>
      <c r="V1144" s="194"/>
      <c r="W1144" s="191"/>
      <c r="Y1144" s="191"/>
      <c r="Z1144" s="191"/>
      <c r="AA1144" s="191"/>
      <c r="AB1144" s="191"/>
      <c r="AC1144" s="191"/>
      <c r="AD1144" s="16"/>
      <c r="AE1144" s="16"/>
      <c r="AF1144" s="16"/>
      <c r="AG1144" s="16"/>
      <c r="AH1144" s="16"/>
      <c r="AI1144" s="16"/>
      <c r="AJ1144" s="16"/>
      <c r="AK1144" s="16"/>
      <c r="AL1144" s="16"/>
      <c r="AM1144" s="16"/>
      <c r="AN1144" s="16"/>
      <c r="AO1144" s="16"/>
      <c r="AP1144" s="16"/>
      <c r="AQ1144" s="16"/>
      <c r="AR1144" s="16"/>
      <c r="AS1144" s="16"/>
    </row>
    <row r="1145" spans="18:45" x14ac:dyDescent="0.35">
      <c r="R1145" s="191"/>
      <c r="S1145" s="191"/>
      <c r="T1145" s="193"/>
      <c r="U1145" s="191"/>
      <c r="V1145" s="194"/>
      <c r="W1145" s="191"/>
      <c r="Y1145" s="191"/>
      <c r="Z1145" s="191"/>
      <c r="AA1145" s="191"/>
      <c r="AB1145" s="191"/>
      <c r="AC1145" s="191"/>
      <c r="AD1145" s="16"/>
      <c r="AE1145" s="16"/>
      <c r="AF1145" s="16"/>
      <c r="AG1145" s="16"/>
      <c r="AH1145" s="16"/>
      <c r="AI1145" s="16"/>
      <c r="AJ1145" s="16"/>
      <c r="AK1145" s="16"/>
      <c r="AL1145" s="16"/>
      <c r="AM1145" s="16"/>
      <c r="AN1145" s="16"/>
      <c r="AO1145" s="16"/>
      <c r="AP1145" s="16"/>
      <c r="AQ1145" s="16"/>
      <c r="AR1145" s="16"/>
      <c r="AS1145" s="16"/>
    </row>
    <row r="1146" spans="18:45" x14ac:dyDescent="0.35">
      <c r="R1146" s="191"/>
      <c r="S1146" s="191"/>
      <c r="T1146" s="193"/>
      <c r="U1146" s="191"/>
      <c r="V1146" s="194"/>
      <c r="W1146" s="191"/>
      <c r="Y1146" s="191"/>
      <c r="Z1146" s="191"/>
      <c r="AA1146" s="191"/>
      <c r="AB1146" s="191"/>
      <c r="AC1146" s="191"/>
      <c r="AD1146" s="16"/>
      <c r="AE1146" s="16"/>
      <c r="AF1146" s="16"/>
      <c r="AG1146" s="16"/>
      <c r="AH1146" s="16"/>
      <c r="AI1146" s="16"/>
      <c r="AJ1146" s="16"/>
      <c r="AK1146" s="16"/>
      <c r="AL1146" s="16"/>
      <c r="AM1146" s="16"/>
      <c r="AN1146" s="16"/>
      <c r="AO1146" s="16"/>
      <c r="AP1146" s="16"/>
      <c r="AQ1146" s="16"/>
      <c r="AR1146" s="16"/>
      <c r="AS1146" s="16"/>
    </row>
    <row r="1147" spans="18:45" x14ac:dyDescent="0.35">
      <c r="R1147" s="191"/>
      <c r="S1147" s="191"/>
      <c r="T1147" s="193"/>
      <c r="U1147" s="191"/>
      <c r="V1147" s="194"/>
      <c r="W1147" s="191"/>
      <c r="Y1147" s="191"/>
      <c r="Z1147" s="191"/>
      <c r="AA1147" s="191"/>
      <c r="AB1147" s="191"/>
      <c r="AC1147" s="191"/>
      <c r="AD1147" s="16"/>
      <c r="AE1147" s="16"/>
      <c r="AF1147" s="16"/>
      <c r="AG1147" s="16"/>
      <c r="AH1147" s="16"/>
      <c r="AI1147" s="16"/>
      <c r="AJ1147" s="16"/>
      <c r="AK1147" s="16"/>
      <c r="AL1147" s="16"/>
      <c r="AM1147" s="16"/>
      <c r="AN1147" s="16"/>
      <c r="AO1147" s="16"/>
      <c r="AP1147" s="16"/>
      <c r="AQ1147" s="16"/>
      <c r="AR1147" s="16"/>
      <c r="AS1147" s="16"/>
    </row>
    <row r="1148" spans="18:45" x14ac:dyDescent="0.35">
      <c r="R1148" s="191"/>
      <c r="S1148" s="191"/>
      <c r="T1148" s="193"/>
      <c r="U1148" s="191"/>
      <c r="V1148" s="194"/>
      <c r="W1148" s="191"/>
      <c r="Y1148" s="191"/>
      <c r="Z1148" s="191"/>
      <c r="AA1148" s="191"/>
      <c r="AB1148" s="191"/>
      <c r="AC1148" s="191"/>
      <c r="AD1148" s="16"/>
      <c r="AE1148" s="16"/>
      <c r="AF1148" s="16"/>
      <c r="AG1148" s="16"/>
      <c r="AH1148" s="16"/>
      <c r="AI1148" s="16"/>
      <c r="AJ1148" s="16"/>
      <c r="AK1148" s="16"/>
      <c r="AL1148" s="16"/>
      <c r="AM1148" s="16"/>
      <c r="AN1148" s="16"/>
      <c r="AO1148" s="16"/>
      <c r="AP1148" s="16"/>
      <c r="AQ1148" s="16"/>
      <c r="AR1148" s="16"/>
      <c r="AS1148" s="16"/>
    </row>
    <row r="1149" spans="18:45" x14ac:dyDescent="0.35">
      <c r="R1149" s="191"/>
      <c r="S1149" s="191"/>
      <c r="T1149" s="193"/>
      <c r="U1149" s="191"/>
      <c r="V1149" s="194"/>
      <c r="W1149" s="191"/>
      <c r="Y1149" s="191"/>
      <c r="Z1149" s="191"/>
      <c r="AA1149" s="191"/>
      <c r="AB1149" s="191"/>
      <c r="AC1149" s="191"/>
      <c r="AD1149" s="16"/>
      <c r="AE1149" s="16"/>
      <c r="AF1149" s="16"/>
      <c r="AG1149" s="16"/>
      <c r="AH1149" s="16"/>
      <c r="AI1149" s="16"/>
      <c r="AJ1149" s="16"/>
      <c r="AK1149" s="16"/>
      <c r="AL1149" s="16"/>
      <c r="AM1149" s="16"/>
      <c r="AN1149" s="16"/>
      <c r="AO1149" s="16"/>
      <c r="AP1149" s="16"/>
      <c r="AQ1149" s="16"/>
      <c r="AR1149" s="16"/>
      <c r="AS1149" s="16"/>
    </row>
    <row r="1150" spans="18:45" x14ac:dyDescent="0.35">
      <c r="R1150" s="191"/>
      <c r="S1150" s="191"/>
      <c r="T1150" s="193"/>
      <c r="U1150" s="191"/>
      <c r="V1150" s="194"/>
      <c r="W1150" s="191"/>
      <c r="Y1150" s="191"/>
      <c r="Z1150" s="191"/>
      <c r="AA1150" s="191"/>
      <c r="AB1150" s="191"/>
      <c r="AC1150" s="191"/>
      <c r="AD1150" s="16"/>
      <c r="AE1150" s="16"/>
      <c r="AF1150" s="16"/>
      <c r="AG1150" s="16"/>
      <c r="AH1150" s="16"/>
      <c r="AI1150" s="16"/>
      <c r="AJ1150" s="16"/>
      <c r="AK1150" s="16"/>
      <c r="AL1150" s="16"/>
      <c r="AM1150" s="16"/>
      <c r="AN1150" s="16"/>
      <c r="AO1150" s="16"/>
      <c r="AP1150" s="16"/>
      <c r="AQ1150" s="16"/>
      <c r="AR1150" s="16"/>
      <c r="AS1150" s="16"/>
    </row>
    <row r="1151" spans="18:45" x14ac:dyDescent="0.35">
      <c r="R1151" s="191"/>
      <c r="S1151" s="191"/>
      <c r="T1151" s="193"/>
      <c r="U1151" s="191"/>
      <c r="V1151" s="194"/>
      <c r="W1151" s="191"/>
      <c r="Y1151" s="191"/>
      <c r="Z1151" s="191"/>
      <c r="AA1151" s="191"/>
      <c r="AB1151" s="191"/>
      <c r="AC1151" s="191"/>
      <c r="AD1151" s="16"/>
      <c r="AE1151" s="16"/>
      <c r="AF1151" s="16"/>
      <c r="AG1151" s="16"/>
      <c r="AH1151" s="16"/>
      <c r="AI1151" s="16"/>
      <c r="AJ1151" s="16"/>
      <c r="AK1151" s="16"/>
      <c r="AL1151" s="16"/>
      <c r="AM1151" s="16"/>
      <c r="AN1151" s="16"/>
      <c r="AO1151" s="16"/>
      <c r="AP1151" s="16"/>
      <c r="AQ1151" s="16"/>
      <c r="AR1151" s="16"/>
      <c r="AS1151" s="16"/>
    </row>
    <row r="1152" spans="18:45" x14ac:dyDescent="0.35">
      <c r="R1152" s="191"/>
      <c r="S1152" s="191"/>
      <c r="T1152" s="193"/>
      <c r="U1152" s="191"/>
      <c r="V1152" s="194"/>
      <c r="W1152" s="191"/>
      <c r="Y1152" s="191"/>
      <c r="Z1152" s="191"/>
      <c r="AA1152" s="191"/>
      <c r="AB1152" s="191"/>
      <c r="AC1152" s="191"/>
      <c r="AD1152" s="16"/>
      <c r="AE1152" s="16"/>
      <c r="AF1152" s="16"/>
      <c r="AG1152" s="16"/>
      <c r="AH1152" s="16"/>
      <c r="AI1152" s="16"/>
      <c r="AJ1152" s="16"/>
      <c r="AK1152" s="16"/>
      <c r="AL1152" s="16"/>
      <c r="AM1152" s="16"/>
      <c r="AN1152" s="16"/>
      <c r="AO1152" s="16"/>
      <c r="AP1152" s="16"/>
      <c r="AQ1152" s="16"/>
      <c r="AR1152" s="16"/>
      <c r="AS1152" s="16"/>
    </row>
    <row r="1153" spans="18:45" x14ac:dyDescent="0.35">
      <c r="R1153" s="191"/>
      <c r="S1153" s="191"/>
      <c r="T1153" s="193"/>
      <c r="U1153" s="191"/>
      <c r="V1153" s="194"/>
      <c r="W1153" s="191"/>
      <c r="Y1153" s="191"/>
      <c r="Z1153" s="191"/>
      <c r="AA1153" s="191"/>
      <c r="AB1153" s="191"/>
      <c r="AC1153" s="191"/>
      <c r="AD1153" s="16"/>
      <c r="AE1153" s="16"/>
      <c r="AF1153" s="16"/>
      <c r="AG1153" s="16"/>
      <c r="AH1153" s="16"/>
      <c r="AI1153" s="16"/>
      <c r="AJ1153" s="16"/>
      <c r="AK1153" s="16"/>
      <c r="AL1153" s="16"/>
      <c r="AM1153" s="16"/>
      <c r="AN1153" s="16"/>
      <c r="AO1153" s="16"/>
      <c r="AP1153" s="16"/>
      <c r="AQ1153" s="16"/>
      <c r="AR1153" s="16"/>
      <c r="AS1153" s="16"/>
    </row>
    <row r="1154" spans="18:45" x14ac:dyDescent="0.35">
      <c r="R1154" s="191"/>
      <c r="S1154" s="191"/>
      <c r="T1154" s="193"/>
      <c r="U1154" s="191"/>
      <c r="V1154" s="194"/>
      <c r="W1154" s="191"/>
      <c r="Y1154" s="191"/>
      <c r="Z1154" s="191"/>
      <c r="AA1154" s="191"/>
      <c r="AB1154" s="191"/>
      <c r="AC1154" s="191"/>
      <c r="AD1154" s="16"/>
      <c r="AE1154" s="16"/>
      <c r="AF1154" s="16"/>
      <c r="AG1154" s="16"/>
      <c r="AH1154" s="16"/>
      <c r="AI1154" s="16"/>
      <c r="AJ1154" s="16"/>
      <c r="AK1154" s="16"/>
      <c r="AL1154" s="16"/>
      <c r="AM1154" s="16"/>
      <c r="AN1154" s="16"/>
      <c r="AO1154" s="16"/>
      <c r="AP1154" s="16"/>
      <c r="AQ1154" s="16"/>
      <c r="AR1154" s="16"/>
      <c r="AS1154" s="16"/>
    </row>
    <row r="1155" spans="18:45" x14ac:dyDescent="0.35">
      <c r="R1155" s="191"/>
      <c r="S1155" s="191"/>
      <c r="T1155" s="193"/>
      <c r="U1155" s="191"/>
      <c r="V1155" s="194"/>
      <c r="W1155" s="191"/>
      <c r="Y1155" s="191"/>
      <c r="Z1155" s="191"/>
      <c r="AA1155" s="191"/>
      <c r="AB1155" s="191"/>
      <c r="AC1155" s="191"/>
      <c r="AD1155" s="16"/>
      <c r="AE1155" s="16"/>
      <c r="AF1155" s="16"/>
      <c r="AG1155" s="16"/>
      <c r="AH1155" s="16"/>
      <c r="AI1155" s="16"/>
      <c r="AJ1155" s="16"/>
      <c r="AK1155" s="16"/>
      <c r="AL1155" s="16"/>
      <c r="AM1155" s="16"/>
      <c r="AN1155" s="16"/>
      <c r="AO1155" s="16"/>
      <c r="AP1155" s="16"/>
      <c r="AQ1155" s="16"/>
      <c r="AR1155" s="16"/>
      <c r="AS1155" s="16"/>
    </row>
    <row r="1156" spans="18:45" x14ac:dyDescent="0.35">
      <c r="R1156" s="191"/>
      <c r="S1156" s="191"/>
      <c r="T1156" s="193"/>
      <c r="U1156" s="191"/>
      <c r="V1156" s="194"/>
      <c r="W1156" s="191"/>
      <c r="Y1156" s="191"/>
      <c r="Z1156" s="191"/>
      <c r="AA1156" s="191"/>
      <c r="AB1156" s="191"/>
      <c r="AC1156" s="191"/>
      <c r="AD1156" s="16"/>
      <c r="AE1156" s="16"/>
      <c r="AF1156" s="16"/>
      <c r="AG1156" s="16"/>
      <c r="AH1156" s="16"/>
      <c r="AI1156" s="16"/>
      <c r="AJ1156" s="16"/>
      <c r="AK1156" s="16"/>
      <c r="AL1156" s="16"/>
      <c r="AM1156" s="16"/>
      <c r="AN1156" s="16"/>
      <c r="AO1156" s="16"/>
      <c r="AP1156" s="16"/>
      <c r="AQ1156" s="16"/>
      <c r="AR1156" s="16"/>
      <c r="AS1156" s="16"/>
    </row>
    <row r="1157" spans="18:45" x14ac:dyDescent="0.35">
      <c r="R1157" s="191"/>
      <c r="S1157" s="191"/>
      <c r="T1157" s="193"/>
      <c r="U1157" s="191"/>
      <c r="V1157" s="194"/>
      <c r="W1157" s="191"/>
      <c r="Y1157" s="191"/>
      <c r="Z1157" s="191"/>
      <c r="AA1157" s="191"/>
      <c r="AB1157" s="191"/>
      <c r="AC1157" s="191"/>
      <c r="AD1157" s="16"/>
      <c r="AE1157" s="16"/>
      <c r="AF1157" s="16"/>
      <c r="AG1157" s="16"/>
      <c r="AH1157" s="16"/>
      <c r="AI1157" s="16"/>
      <c r="AJ1157" s="16"/>
      <c r="AK1157" s="16"/>
      <c r="AL1157" s="16"/>
      <c r="AM1157" s="16"/>
      <c r="AN1157" s="16"/>
      <c r="AO1157" s="16"/>
      <c r="AP1157" s="16"/>
      <c r="AQ1157" s="16"/>
      <c r="AR1157" s="16"/>
      <c r="AS1157" s="16"/>
    </row>
    <row r="1158" spans="18:45" x14ac:dyDescent="0.35">
      <c r="R1158" s="191"/>
      <c r="S1158" s="191"/>
      <c r="T1158" s="193"/>
      <c r="U1158" s="191"/>
      <c r="V1158" s="194"/>
      <c r="W1158" s="191"/>
      <c r="Y1158" s="191"/>
      <c r="Z1158" s="191"/>
      <c r="AA1158" s="191"/>
      <c r="AB1158" s="191"/>
      <c r="AC1158" s="191"/>
      <c r="AD1158" s="16"/>
      <c r="AE1158" s="16"/>
      <c r="AF1158" s="16"/>
      <c r="AG1158" s="16"/>
      <c r="AH1158" s="16"/>
      <c r="AI1158" s="16"/>
      <c r="AJ1158" s="16"/>
      <c r="AK1158" s="16"/>
      <c r="AL1158" s="16"/>
      <c r="AM1158" s="16"/>
      <c r="AN1158" s="16"/>
      <c r="AO1158" s="16"/>
      <c r="AP1158" s="16"/>
      <c r="AQ1158" s="16"/>
      <c r="AR1158" s="16"/>
      <c r="AS1158" s="16"/>
    </row>
    <row r="1159" spans="18:45" x14ac:dyDescent="0.35">
      <c r="R1159" s="191"/>
      <c r="S1159" s="191"/>
      <c r="T1159" s="193"/>
      <c r="U1159" s="191"/>
      <c r="V1159" s="194"/>
      <c r="W1159" s="191"/>
      <c r="Y1159" s="191"/>
      <c r="Z1159" s="191"/>
      <c r="AA1159" s="191"/>
      <c r="AB1159" s="191"/>
      <c r="AC1159" s="191"/>
      <c r="AD1159" s="16"/>
      <c r="AE1159" s="16"/>
      <c r="AF1159" s="16"/>
      <c r="AG1159" s="16"/>
      <c r="AH1159" s="16"/>
      <c r="AI1159" s="16"/>
      <c r="AJ1159" s="16"/>
      <c r="AK1159" s="16"/>
      <c r="AL1159" s="16"/>
      <c r="AM1159" s="16"/>
      <c r="AN1159" s="16"/>
      <c r="AO1159" s="16"/>
      <c r="AP1159" s="16"/>
      <c r="AQ1159" s="16"/>
      <c r="AR1159" s="16"/>
      <c r="AS1159" s="16"/>
    </row>
    <row r="1160" spans="18:45" x14ac:dyDescent="0.35">
      <c r="R1160" s="191"/>
      <c r="S1160" s="191"/>
      <c r="T1160" s="193"/>
      <c r="U1160" s="191"/>
      <c r="V1160" s="194"/>
      <c r="W1160" s="191"/>
      <c r="Y1160" s="191"/>
      <c r="Z1160" s="191"/>
      <c r="AA1160" s="191"/>
      <c r="AB1160" s="191"/>
      <c r="AC1160" s="191"/>
      <c r="AD1160" s="16"/>
      <c r="AE1160" s="16"/>
      <c r="AF1160" s="16"/>
      <c r="AG1160" s="16"/>
      <c r="AH1160" s="16"/>
      <c r="AI1160" s="16"/>
      <c r="AJ1160" s="16"/>
      <c r="AK1160" s="16"/>
      <c r="AL1160" s="16"/>
      <c r="AM1160" s="16"/>
      <c r="AN1160" s="16"/>
      <c r="AO1160" s="16"/>
      <c r="AP1160" s="16"/>
      <c r="AQ1160" s="16"/>
      <c r="AR1160" s="16"/>
      <c r="AS1160" s="16"/>
    </row>
    <row r="1161" spans="18:45" x14ac:dyDescent="0.35">
      <c r="R1161" s="191"/>
      <c r="S1161" s="191"/>
      <c r="T1161" s="193"/>
      <c r="U1161" s="191"/>
      <c r="V1161" s="194"/>
      <c r="W1161" s="191"/>
      <c r="Y1161" s="191"/>
      <c r="Z1161" s="191"/>
      <c r="AA1161" s="191"/>
      <c r="AB1161" s="191"/>
      <c r="AC1161" s="191"/>
      <c r="AD1161" s="16"/>
      <c r="AE1161" s="16"/>
      <c r="AF1161" s="16"/>
      <c r="AG1161" s="16"/>
      <c r="AH1161" s="16"/>
      <c r="AI1161" s="16"/>
      <c r="AJ1161" s="16"/>
      <c r="AK1161" s="16"/>
      <c r="AL1161" s="16"/>
      <c r="AM1161" s="16"/>
      <c r="AN1161" s="16"/>
      <c r="AO1161" s="16"/>
      <c r="AP1161" s="16"/>
      <c r="AQ1161" s="16"/>
      <c r="AR1161" s="16"/>
      <c r="AS1161" s="16"/>
    </row>
    <row r="1162" spans="18:45" x14ac:dyDescent="0.35">
      <c r="R1162" s="191"/>
      <c r="S1162" s="191"/>
      <c r="T1162" s="193"/>
      <c r="U1162" s="191"/>
      <c r="V1162" s="194"/>
      <c r="W1162" s="191"/>
      <c r="Y1162" s="191"/>
      <c r="Z1162" s="191"/>
      <c r="AA1162" s="191"/>
      <c r="AB1162" s="191"/>
      <c r="AC1162" s="191"/>
      <c r="AD1162" s="16"/>
      <c r="AE1162" s="16"/>
      <c r="AF1162" s="16"/>
      <c r="AG1162" s="16"/>
      <c r="AH1162" s="16"/>
      <c r="AI1162" s="16"/>
      <c r="AJ1162" s="16"/>
      <c r="AK1162" s="16"/>
      <c r="AL1162" s="16"/>
      <c r="AM1162" s="16"/>
      <c r="AN1162" s="16"/>
      <c r="AO1162" s="16"/>
      <c r="AP1162" s="16"/>
      <c r="AQ1162" s="16"/>
      <c r="AR1162" s="16"/>
      <c r="AS1162" s="16"/>
    </row>
    <row r="1163" spans="18:45" x14ac:dyDescent="0.35">
      <c r="R1163" s="191"/>
      <c r="S1163" s="191"/>
      <c r="T1163" s="193"/>
      <c r="U1163" s="191"/>
      <c r="V1163" s="194"/>
      <c r="W1163" s="191"/>
      <c r="Y1163" s="191"/>
      <c r="Z1163" s="191"/>
      <c r="AA1163" s="191"/>
      <c r="AB1163" s="191"/>
      <c r="AC1163" s="191"/>
      <c r="AD1163" s="16"/>
      <c r="AE1163" s="16"/>
      <c r="AF1163" s="16"/>
      <c r="AG1163" s="16"/>
      <c r="AH1163" s="16"/>
      <c r="AI1163" s="16"/>
      <c r="AJ1163" s="16"/>
      <c r="AK1163" s="16"/>
      <c r="AL1163" s="16"/>
      <c r="AM1163" s="16"/>
      <c r="AN1163" s="16"/>
      <c r="AO1163" s="16"/>
      <c r="AP1163" s="16"/>
      <c r="AQ1163" s="16"/>
      <c r="AR1163" s="16"/>
      <c r="AS1163" s="16"/>
    </row>
    <row r="1164" spans="18:45" x14ac:dyDescent="0.35">
      <c r="R1164" s="191"/>
      <c r="S1164" s="191"/>
      <c r="T1164" s="193"/>
      <c r="U1164" s="191"/>
      <c r="V1164" s="194"/>
      <c r="W1164" s="191"/>
      <c r="Y1164" s="191"/>
      <c r="Z1164" s="191"/>
      <c r="AA1164" s="191"/>
      <c r="AB1164" s="191"/>
      <c r="AC1164" s="191"/>
      <c r="AD1164" s="16"/>
      <c r="AE1164" s="16"/>
      <c r="AF1164" s="16"/>
      <c r="AG1164" s="16"/>
      <c r="AH1164" s="16"/>
      <c r="AI1164" s="16"/>
      <c r="AJ1164" s="16"/>
      <c r="AK1164" s="16"/>
      <c r="AL1164" s="16"/>
      <c r="AM1164" s="16"/>
      <c r="AN1164" s="16"/>
      <c r="AO1164" s="16"/>
      <c r="AP1164" s="16"/>
      <c r="AQ1164" s="16"/>
      <c r="AR1164" s="16"/>
      <c r="AS1164" s="16"/>
    </row>
    <row r="1165" spans="18:45" x14ac:dyDescent="0.35">
      <c r="R1165" s="191"/>
      <c r="S1165" s="191"/>
      <c r="T1165" s="193"/>
      <c r="U1165" s="191"/>
      <c r="V1165" s="194"/>
      <c r="W1165" s="191"/>
      <c r="Y1165" s="191"/>
      <c r="Z1165" s="191"/>
      <c r="AA1165" s="191"/>
      <c r="AB1165" s="191"/>
      <c r="AC1165" s="191"/>
      <c r="AD1165" s="16"/>
      <c r="AE1165" s="16"/>
      <c r="AF1165" s="16"/>
      <c r="AG1165" s="16"/>
      <c r="AH1165" s="16"/>
      <c r="AI1165" s="16"/>
      <c r="AJ1165" s="16"/>
      <c r="AK1165" s="16"/>
      <c r="AL1165" s="16"/>
      <c r="AM1165" s="16"/>
      <c r="AN1165" s="16"/>
      <c r="AO1165" s="16"/>
      <c r="AP1165" s="16"/>
      <c r="AQ1165" s="16"/>
      <c r="AR1165" s="16"/>
      <c r="AS1165" s="16"/>
    </row>
    <row r="1166" spans="18:45" x14ac:dyDescent="0.35">
      <c r="R1166" s="191"/>
      <c r="S1166" s="191"/>
      <c r="T1166" s="193"/>
      <c r="U1166" s="191"/>
      <c r="V1166" s="194"/>
      <c r="W1166" s="191"/>
      <c r="Y1166" s="191"/>
      <c r="Z1166" s="191"/>
      <c r="AA1166" s="191"/>
      <c r="AB1166" s="191"/>
      <c r="AC1166" s="191"/>
      <c r="AD1166" s="16"/>
      <c r="AE1166" s="16"/>
      <c r="AF1166" s="16"/>
      <c r="AG1166" s="16"/>
      <c r="AH1166" s="16"/>
      <c r="AI1166" s="16"/>
      <c r="AJ1166" s="16"/>
      <c r="AK1166" s="16"/>
      <c r="AL1166" s="16"/>
      <c r="AM1166" s="16"/>
      <c r="AN1166" s="16"/>
      <c r="AO1166" s="16"/>
      <c r="AP1166" s="16"/>
      <c r="AQ1166" s="16"/>
      <c r="AR1166" s="16"/>
      <c r="AS1166" s="16"/>
    </row>
    <row r="1167" spans="18:45" x14ac:dyDescent="0.35">
      <c r="R1167" s="191"/>
      <c r="S1167" s="191"/>
      <c r="T1167" s="193"/>
      <c r="U1167" s="191"/>
      <c r="V1167" s="194"/>
      <c r="W1167" s="191"/>
      <c r="Y1167" s="191"/>
      <c r="Z1167" s="191"/>
      <c r="AA1167" s="191"/>
      <c r="AB1167" s="191"/>
      <c r="AC1167" s="191"/>
      <c r="AD1167" s="16"/>
      <c r="AE1167" s="16"/>
      <c r="AF1167" s="16"/>
      <c r="AG1167" s="16"/>
      <c r="AH1167" s="16"/>
      <c r="AI1167" s="16"/>
      <c r="AJ1167" s="16"/>
      <c r="AK1167" s="16"/>
      <c r="AL1167" s="16"/>
      <c r="AM1167" s="16"/>
      <c r="AN1167" s="16"/>
      <c r="AO1167" s="16"/>
      <c r="AP1167" s="16"/>
      <c r="AQ1167" s="16"/>
      <c r="AR1167" s="16"/>
      <c r="AS1167" s="16"/>
    </row>
    <row r="1168" spans="18:45" x14ac:dyDescent="0.35">
      <c r="R1168" s="191"/>
      <c r="S1168" s="191"/>
      <c r="T1168" s="193"/>
      <c r="U1168" s="191"/>
      <c r="V1168" s="194"/>
      <c r="W1168" s="191"/>
      <c r="Y1168" s="191"/>
      <c r="Z1168" s="191"/>
      <c r="AA1168" s="191"/>
      <c r="AB1168" s="191"/>
      <c r="AC1168" s="191"/>
      <c r="AD1168" s="16"/>
      <c r="AE1168" s="16"/>
      <c r="AF1168" s="16"/>
      <c r="AG1168" s="16"/>
      <c r="AH1168" s="16"/>
      <c r="AI1168" s="16"/>
      <c r="AJ1168" s="16"/>
      <c r="AK1168" s="16"/>
      <c r="AL1168" s="16"/>
      <c r="AM1168" s="16"/>
      <c r="AN1168" s="16"/>
      <c r="AO1168" s="16"/>
      <c r="AP1168" s="16"/>
      <c r="AQ1168" s="16"/>
      <c r="AR1168" s="16"/>
      <c r="AS1168" s="16"/>
    </row>
    <row r="1169" spans="18:45" x14ac:dyDescent="0.35">
      <c r="R1169" s="191"/>
      <c r="S1169" s="191"/>
      <c r="T1169" s="193"/>
      <c r="U1169" s="191"/>
      <c r="V1169" s="194"/>
      <c r="W1169" s="191"/>
      <c r="Y1169" s="191"/>
      <c r="Z1169" s="191"/>
      <c r="AA1169" s="191"/>
      <c r="AB1169" s="191"/>
      <c r="AC1169" s="191"/>
      <c r="AD1169" s="16"/>
      <c r="AE1169" s="16"/>
      <c r="AF1169" s="16"/>
      <c r="AG1169" s="16"/>
      <c r="AH1169" s="16"/>
      <c r="AI1169" s="16"/>
      <c r="AJ1169" s="16"/>
      <c r="AK1169" s="16"/>
      <c r="AL1169" s="16"/>
      <c r="AM1169" s="16"/>
      <c r="AN1169" s="16"/>
      <c r="AO1169" s="16"/>
      <c r="AP1169" s="16"/>
      <c r="AQ1169" s="16"/>
      <c r="AR1169" s="16"/>
      <c r="AS1169" s="16"/>
    </row>
    <row r="1170" spans="18:45" x14ac:dyDescent="0.35">
      <c r="R1170" s="191"/>
      <c r="S1170" s="191"/>
      <c r="T1170" s="193"/>
      <c r="U1170" s="191"/>
      <c r="V1170" s="194"/>
      <c r="W1170" s="191"/>
      <c r="Y1170" s="191"/>
      <c r="Z1170" s="191"/>
      <c r="AA1170" s="191"/>
      <c r="AB1170" s="191"/>
      <c r="AC1170" s="191"/>
      <c r="AD1170" s="16"/>
      <c r="AE1170" s="16"/>
      <c r="AF1170" s="16"/>
      <c r="AG1170" s="16"/>
      <c r="AH1170" s="16"/>
      <c r="AI1170" s="16"/>
      <c r="AJ1170" s="16"/>
      <c r="AK1170" s="16"/>
      <c r="AL1170" s="16"/>
      <c r="AM1170" s="16"/>
      <c r="AN1170" s="16"/>
      <c r="AO1170" s="16"/>
      <c r="AP1170" s="16"/>
      <c r="AQ1170" s="16"/>
      <c r="AR1170" s="16"/>
      <c r="AS1170" s="16"/>
    </row>
    <row r="1171" spans="18:45" x14ac:dyDescent="0.35">
      <c r="R1171" s="191"/>
      <c r="S1171" s="191"/>
      <c r="T1171" s="193"/>
      <c r="U1171" s="191"/>
      <c r="V1171" s="194"/>
      <c r="W1171" s="191"/>
      <c r="Y1171" s="191"/>
      <c r="Z1171" s="191"/>
      <c r="AA1171" s="191"/>
      <c r="AB1171" s="191"/>
      <c r="AC1171" s="191"/>
      <c r="AD1171" s="16"/>
      <c r="AE1171" s="16"/>
      <c r="AF1171" s="16"/>
      <c r="AG1171" s="16"/>
      <c r="AH1171" s="16"/>
      <c r="AI1171" s="16"/>
      <c r="AJ1171" s="16"/>
      <c r="AK1171" s="16"/>
      <c r="AL1171" s="16"/>
      <c r="AM1171" s="16"/>
      <c r="AN1171" s="16"/>
      <c r="AO1171" s="16"/>
      <c r="AP1171" s="16"/>
      <c r="AQ1171" s="16"/>
      <c r="AR1171" s="16"/>
      <c r="AS1171" s="16"/>
    </row>
    <row r="1172" spans="18:45" x14ac:dyDescent="0.35">
      <c r="R1172" s="191"/>
      <c r="S1172" s="191"/>
      <c r="T1172" s="193"/>
      <c r="U1172" s="191"/>
      <c r="V1172" s="194"/>
      <c r="W1172" s="191"/>
      <c r="Y1172" s="191"/>
      <c r="Z1172" s="191"/>
      <c r="AA1172" s="191"/>
      <c r="AB1172" s="191"/>
      <c r="AC1172" s="191"/>
      <c r="AD1172" s="16"/>
      <c r="AE1172" s="16"/>
      <c r="AF1172" s="16"/>
      <c r="AG1172" s="16"/>
      <c r="AH1172" s="16"/>
      <c r="AI1172" s="16"/>
      <c r="AJ1172" s="16"/>
      <c r="AK1172" s="16"/>
      <c r="AL1172" s="16"/>
      <c r="AM1172" s="16"/>
      <c r="AN1172" s="16"/>
      <c r="AO1172" s="16"/>
      <c r="AP1172" s="16"/>
      <c r="AQ1172" s="16"/>
      <c r="AR1172" s="16"/>
      <c r="AS1172" s="16"/>
    </row>
    <row r="1173" spans="18:45" x14ac:dyDescent="0.35">
      <c r="R1173" s="191"/>
      <c r="S1173" s="191"/>
      <c r="T1173" s="193"/>
      <c r="U1173" s="191"/>
      <c r="V1173" s="194"/>
      <c r="W1173" s="191"/>
      <c r="Y1173" s="191"/>
      <c r="Z1173" s="191"/>
      <c r="AA1173" s="191"/>
      <c r="AB1173" s="191"/>
      <c r="AC1173" s="191"/>
      <c r="AD1173" s="16"/>
      <c r="AE1173" s="16"/>
      <c r="AF1173" s="16"/>
      <c r="AG1173" s="16"/>
      <c r="AH1173" s="16"/>
      <c r="AI1173" s="16"/>
      <c r="AJ1173" s="16"/>
      <c r="AK1173" s="16"/>
      <c r="AL1173" s="16"/>
      <c r="AM1173" s="16"/>
      <c r="AN1173" s="16"/>
      <c r="AO1173" s="16"/>
      <c r="AP1173" s="16"/>
      <c r="AQ1173" s="16"/>
      <c r="AR1173" s="16"/>
      <c r="AS1173" s="16"/>
    </row>
    <row r="1174" spans="18:45" x14ac:dyDescent="0.35">
      <c r="R1174" s="191"/>
      <c r="S1174" s="191"/>
      <c r="T1174" s="193"/>
      <c r="U1174" s="191"/>
      <c r="V1174" s="194"/>
      <c r="W1174" s="191"/>
      <c r="Y1174" s="191"/>
      <c r="Z1174" s="191"/>
      <c r="AA1174" s="191"/>
      <c r="AB1174" s="191"/>
      <c r="AC1174" s="191"/>
      <c r="AD1174" s="16"/>
      <c r="AE1174" s="16"/>
      <c r="AF1174" s="16"/>
      <c r="AG1174" s="16"/>
      <c r="AH1174" s="16"/>
      <c r="AI1174" s="16"/>
      <c r="AJ1174" s="16"/>
      <c r="AK1174" s="16"/>
      <c r="AL1174" s="16"/>
      <c r="AM1174" s="16"/>
      <c r="AN1174" s="16"/>
      <c r="AO1174" s="16"/>
      <c r="AP1174" s="16"/>
      <c r="AQ1174" s="16"/>
      <c r="AR1174" s="16"/>
      <c r="AS1174" s="16"/>
    </row>
    <row r="1175" spans="18:45" x14ac:dyDescent="0.35">
      <c r="R1175" s="191"/>
      <c r="S1175" s="191"/>
      <c r="T1175" s="193"/>
      <c r="U1175" s="191"/>
      <c r="V1175" s="194"/>
      <c r="W1175" s="191"/>
      <c r="Y1175" s="191"/>
      <c r="Z1175" s="191"/>
      <c r="AA1175" s="191"/>
      <c r="AB1175" s="191"/>
      <c r="AC1175" s="191"/>
      <c r="AD1175" s="16"/>
      <c r="AE1175" s="16"/>
      <c r="AF1175" s="16"/>
      <c r="AG1175" s="16"/>
      <c r="AH1175" s="16"/>
      <c r="AI1175" s="16"/>
      <c r="AJ1175" s="16"/>
      <c r="AK1175" s="16"/>
      <c r="AL1175" s="16"/>
      <c r="AM1175" s="16"/>
      <c r="AN1175" s="16"/>
      <c r="AO1175" s="16"/>
      <c r="AP1175" s="16"/>
      <c r="AQ1175" s="16"/>
      <c r="AR1175" s="16"/>
      <c r="AS1175" s="16"/>
    </row>
    <row r="1176" spans="18:45" x14ac:dyDescent="0.35">
      <c r="R1176" s="191"/>
      <c r="S1176" s="191"/>
      <c r="T1176" s="193"/>
      <c r="U1176" s="191"/>
      <c r="V1176" s="194"/>
      <c r="W1176" s="191"/>
      <c r="Y1176" s="191"/>
      <c r="Z1176" s="191"/>
      <c r="AA1176" s="191"/>
      <c r="AB1176" s="191"/>
      <c r="AC1176" s="191"/>
      <c r="AD1176" s="16"/>
      <c r="AE1176" s="16"/>
      <c r="AF1176" s="16"/>
      <c r="AG1176" s="16"/>
      <c r="AH1176" s="16"/>
      <c r="AI1176" s="16"/>
      <c r="AJ1176" s="16"/>
      <c r="AK1176" s="16"/>
      <c r="AL1176" s="16"/>
      <c r="AM1176" s="16"/>
      <c r="AN1176" s="16"/>
      <c r="AO1176" s="16"/>
      <c r="AP1176" s="16"/>
      <c r="AQ1176" s="16"/>
      <c r="AR1176" s="16"/>
      <c r="AS1176" s="16"/>
    </row>
    <row r="1177" spans="18:45" x14ac:dyDescent="0.35">
      <c r="R1177" s="191"/>
      <c r="S1177" s="191"/>
      <c r="T1177" s="193"/>
      <c r="U1177" s="191"/>
      <c r="V1177" s="194"/>
      <c r="W1177" s="191"/>
      <c r="Y1177" s="191"/>
      <c r="Z1177" s="191"/>
      <c r="AA1177" s="191"/>
      <c r="AB1177" s="191"/>
      <c r="AC1177" s="191"/>
      <c r="AD1177" s="16"/>
      <c r="AE1177" s="16"/>
      <c r="AF1177" s="16"/>
      <c r="AG1177" s="16"/>
      <c r="AH1177" s="16"/>
      <c r="AI1177" s="16"/>
      <c r="AJ1177" s="16"/>
      <c r="AK1177" s="16"/>
      <c r="AL1177" s="16"/>
      <c r="AM1177" s="16"/>
      <c r="AN1177" s="16"/>
      <c r="AO1177" s="16"/>
      <c r="AP1177" s="16"/>
      <c r="AQ1177" s="16"/>
      <c r="AR1177" s="16"/>
      <c r="AS1177" s="16"/>
    </row>
    <row r="1178" spans="18:45" x14ac:dyDescent="0.35">
      <c r="R1178" s="191"/>
      <c r="S1178" s="191"/>
      <c r="T1178" s="193"/>
      <c r="U1178" s="191"/>
      <c r="V1178" s="194"/>
      <c r="W1178" s="191"/>
      <c r="Y1178" s="191"/>
      <c r="Z1178" s="191"/>
      <c r="AA1178" s="191"/>
      <c r="AB1178" s="191"/>
      <c r="AC1178" s="191"/>
      <c r="AD1178" s="16"/>
      <c r="AE1178" s="16"/>
      <c r="AF1178" s="16"/>
      <c r="AG1178" s="16"/>
      <c r="AH1178" s="16"/>
      <c r="AI1178" s="16"/>
      <c r="AJ1178" s="16"/>
      <c r="AK1178" s="16"/>
      <c r="AL1178" s="16"/>
      <c r="AM1178" s="16"/>
      <c r="AN1178" s="16"/>
      <c r="AO1178" s="16"/>
      <c r="AP1178" s="16"/>
      <c r="AQ1178" s="16"/>
      <c r="AR1178" s="16"/>
      <c r="AS1178" s="16"/>
    </row>
    <row r="1179" spans="18:45" x14ac:dyDescent="0.35">
      <c r="R1179" s="191"/>
      <c r="S1179" s="191"/>
      <c r="T1179" s="193"/>
      <c r="U1179" s="191"/>
      <c r="V1179" s="194"/>
      <c r="W1179" s="191"/>
      <c r="Y1179" s="191"/>
      <c r="Z1179" s="191"/>
      <c r="AA1179" s="191"/>
      <c r="AB1179" s="191"/>
      <c r="AC1179" s="191"/>
      <c r="AD1179" s="16"/>
      <c r="AE1179" s="16"/>
      <c r="AF1179" s="16"/>
      <c r="AG1179" s="16"/>
      <c r="AH1179" s="16"/>
      <c r="AI1179" s="16"/>
      <c r="AJ1179" s="16"/>
      <c r="AK1179" s="16"/>
      <c r="AL1179" s="16"/>
      <c r="AM1179" s="16"/>
      <c r="AN1179" s="16"/>
      <c r="AO1179" s="16"/>
      <c r="AP1179" s="16"/>
      <c r="AQ1179" s="16"/>
      <c r="AR1179" s="16"/>
      <c r="AS1179" s="16"/>
    </row>
    <row r="1180" spans="18:45" x14ac:dyDescent="0.35">
      <c r="R1180" s="191"/>
      <c r="S1180" s="191"/>
      <c r="T1180" s="193"/>
      <c r="U1180" s="191"/>
      <c r="V1180" s="194"/>
      <c r="W1180" s="191"/>
      <c r="Y1180" s="191"/>
      <c r="Z1180" s="191"/>
      <c r="AA1180" s="191"/>
      <c r="AB1180" s="191"/>
      <c r="AC1180" s="191"/>
      <c r="AD1180" s="16"/>
      <c r="AE1180" s="16"/>
      <c r="AF1180" s="16"/>
      <c r="AG1180" s="16"/>
      <c r="AH1180" s="16"/>
      <c r="AI1180" s="16"/>
      <c r="AJ1180" s="16"/>
      <c r="AK1180" s="16"/>
      <c r="AL1180" s="16"/>
      <c r="AM1180" s="16"/>
      <c r="AN1180" s="16"/>
      <c r="AO1180" s="16"/>
      <c r="AP1180" s="16"/>
      <c r="AQ1180" s="16"/>
      <c r="AR1180" s="16"/>
      <c r="AS1180" s="16"/>
    </row>
    <row r="1181" spans="18:45" x14ac:dyDescent="0.35">
      <c r="R1181" s="191"/>
      <c r="S1181" s="191"/>
      <c r="T1181" s="193"/>
      <c r="U1181" s="191"/>
      <c r="V1181" s="194"/>
      <c r="W1181" s="191"/>
      <c r="Y1181" s="191"/>
      <c r="Z1181" s="191"/>
      <c r="AA1181" s="191"/>
      <c r="AB1181" s="191"/>
      <c r="AC1181" s="191"/>
      <c r="AD1181" s="16"/>
      <c r="AE1181" s="16"/>
      <c r="AF1181" s="16"/>
      <c r="AG1181" s="16"/>
      <c r="AH1181" s="16"/>
      <c r="AI1181" s="16"/>
      <c r="AJ1181" s="16"/>
      <c r="AK1181" s="16"/>
      <c r="AL1181" s="16"/>
      <c r="AM1181" s="16"/>
      <c r="AN1181" s="16"/>
      <c r="AO1181" s="16"/>
      <c r="AP1181" s="16"/>
      <c r="AQ1181" s="16"/>
      <c r="AR1181" s="16"/>
      <c r="AS1181" s="16"/>
    </row>
    <row r="1182" spans="18:45" x14ac:dyDescent="0.35">
      <c r="R1182" s="191"/>
      <c r="S1182" s="191"/>
      <c r="T1182" s="193"/>
      <c r="U1182" s="191"/>
      <c r="V1182" s="194"/>
      <c r="W1182" s="191"/>
      <c r="Y1182" s="191"/>
      <c r="Z1182" s="191"/>
      <c r="AA1182" s="191"/>
      <c r="AB1182" s="191"/>
      <c r="AC1182" s="191"/>
      <c r="AD1182" s="16"/>
      <c r="AE1182" s="16"/>
      <c r="AF1182" s="16"/>
      <c r="AG1182" s="16"/>
      <c r="AH1182" s="16"/>
      <c r="AI1182" s="16"/>
      <c r="AJ1182" s="16"/>
      <c r="AK1182" s="16"/>
      <c r="AL1182" s="16"/>
      <c r="AM1182" s="16"/>
      <c r="AN1182" s="16"/>
      <c r="AO1182" s="16"/>
      <c r="AP1182" s="16"/>
      <c r="AQ1182" s="16"/>
      <c r="AR1182" s="16"/>
      <c r="AS1182" s="16"/>
    </row>
    <row r="1183" spans="18:45" x14ac:dyDescent="0.35">
      <c r="R1183" s="191"/>
      <c r="S1183" s="191"/>
      <c r="T1183" s="193"/>
      <c r="U1183" s="191"/>
      <c r="V1183" s="194"/>
      <c r="W1183" s="191"/>
      <c r="Y1183" s="191"/>
      <c r="Z1183" s="191"/>
      <c r="AA1183" s="191"/>
      <c r="AB1183" s="191"/>
      <c r="AC1183" s="191"/>
      <c r="AD1183" s="16"/>
      <c r="AE1183" s="16"/>
      <c r="AF1183" s="16"/>
      <c r="AG1183" s="16"/>
      <c r="AH1183" s="16"/>
      <c r="AI1183" s="16"/>
      <c r="AJ1183" s="16"/>
      <c r="AK1183" s="16"/>
      <c r="AL1183" s="16"/>
      <c r="AM1183" s="16"/>
      <c r="AN1183" s="16"/>
      <c r="AO1183" s="16"/>
      <c r="AP1183" s="16"/>
      <c r="AQ1183" s="16"/>
      <c r="AR1183" s="16"/>
      <c r="AS1183" s="16"/>
    </row>
    <row r="1184" spans="18:45" x14ac:dyDescent="0.35">
      <c r="R1184" s="191"/>
      <c r="S1184" s="191"/>
      <c r="T1184" s="193"/>
      <c r="U1184" s="191"/>
      <c r="V1184" s="194"/>
      <c r="W1184" s="191"/>
      <c r="Y1184" s="191"/>
      <c r="Z1184" s="191"/>
      <c r="AA1184" s="191"/>
      <c r="AB1184" s="191"/>
      <c r="AC1184" s="191"/>
      <c r="AD1184" s="16"/>
      <c r="AE1184" s="16"/>
      <c r="AF1184" s="16"/>
      <c r="AG1184" s="16"/>
      <c r="AH1184" s="16"/>
      <c r="AI1184" s="16"/>
      <c r="AJ1184" s="16"/>
      <c r="AK1184" s="16"/>
      <c r="AL1184" s="16"/>
      <c r="AM1184" s="16"/>
      <c r="AN1184" s="16"/>
      <c r="AO1184" s="16"/>
      <c r="AP1184" s="16"/>
      <c r="AQ1184" s="16"/>
      <c r="AR1184" s="16"/>
      <c r="AS1184" s="16"/>
    </row>
    <row r="1185" spans="18:45" x14ac:dyDescent="0.35">
      <c r="R1185" s="191"/>
      <c r="S1185" s="191"/>
      <c r="T1185" s="193"/>
      <c r="U1185" s="191"/>
      <c r="V1185" s="194"/>
      <c r="W1185" s="191"/>
      <c r="Y1185" s="191"/>
      <c r="Z1185" s="191"/>
      <c r="AA1185" s="191"/>
      <c r="AB1185" s="191"/>
      <c r="AC1185" s="191"/>
      <c r="AD1185" s="16"/>
      <c r="AE1185" s="16"/>
      <c r="AF1185" s="16"/>
      <c r="AG1185" s="16"/>
      <c r="AH1185" s="16"/>
      <c r="AI1185" s="16"/>
      <c r="AJ1185" s="16"/>
      <c r="AK1185" s="16"/>
      <c r="AL1185" s="16"/>
      <c r="AM1185" s="16"/>
      <c r="AN1185" s="16"/>
      <c r="AO1185" s="16"/>
      <c r="AP1185" s="16"/>
      <c r="AQ1185" s="16"/>
      <c r="AR1185" s="16"/>
      <c r="AS1185" s="16"/>
    </row>
    <row r="1186" spans="18:45" x14ac:dyDescent="0.35">
      <c r="R1186" s="191"/>
      <c r="S1186" s="191"/>
      <c r="T1186" s="193"/>
      <c r="U1186" s="191"/>
      <c r="V1186" s="194"/>
      <c r="W1186" s="191"/>
      <c r="Y1186" s="191"/>
      <c r="Z1186" s="191"/>
      <c r="AA1186" s="191"/>
      <c r="AB1186" s="191"/>
      <c r="AC1186" s="191"/>
      <c r="AD1186" s="16"/>
      <c r="AE1186" s="16"/>
      <c r="AF1186" s="16"/>
      <c r="AG1186" s="16"/>
      <c r="AH1186" s="16"/>
      <c r="AI1186" s="16"/>
      <c r="AJ1186" s="16"/>
      <c r="AK1186" s="16"/>
      <c r="AL1186" s="16"/>
      <c r="AM1186" s="16"/>
      <c r="AN1186" s="16"/>
      <c r="AO1186" s="16"/>
      <c r="AP1186" s="16"/>
      <c r="AQ1186" s="16"/>
      <c r="AR1186" s="16"/>
      <c r="AS1186" s="16"/>
    </row>
    <row r="1187" spans="18:45" x14ac:dyDescent="0.35">
      <c r="R1187" s="191"/>
      <c r="S1187" s="191"/>
      <c r="T1187" s="193"/>
      <c r="U1187" s="191"/>
      <c r="V1187" s="194"/>
      <c r="W1187" s="191"/>
      <c r="Y1187" s="191"/>
      <c r="Z1187" s="191"/>
      <c r="AA1187" s="191"/>
      <c r="AB1187" s="191"/>
      <c r="AC1187" s="191"/>
      <c r="AD1187" s="16"/>
      <c r="AE1187" s="16"/>
      <c r="AF1187" s="16"/>
      <c r="AG1187" s="16"/>
      <c r="AH1187" s="16"/>
      <c r="AI1187" s="16"/>
      <c r="AJ1187" s="16"/>
      <c r="AK1187" s="16"/>
      <c r="AL1187" s="16"/>
      <c r="AM1187" s="16"/>
      <c r="AN1187" s="16"/>
      <c r="AO1187" s="16"/>
      <c r="AP1187" s="16"/>
      <c r="AQ1187" s="16"/>
      <c r="AR1187" s="16"/>
      <c r="AS1187" s="16"/>
    </row>
    <row r="1188" spans="18:45" x14ac:dyDescent="0.35">
      <c r="R1188" s="191"/>
      <c r="S1188" s="191"/>
      <c r="T1188" s="193"/>
      <c r="U1188" s="191"/>
      <c r="V1188" s="194"/>
      <c r="W1188" s="191"/>
      <c r="Y1188" s="191"/>
      <c r="Z1188" s="191"/>
      <c r="AA1188" s="191"/>
      <c r="AB1188" s="191"/>
      <c r="AC1188" s="191"/>
      <c r="AD1188" s="16"/>
      <c r="AE1188" s="16"/>
      <c r="AF1188" s="16"/>
      <c r="AG1188" s="16"/>
      <c r="AH1188" s="16"/>
      <c r="AI1188" s="16"/>
      <c r="AJ1188" s="16"/>
      <c r="AK1188" s="16"/>
      <c r="AL1188" s="16"/>
      <c r="AM1188" s="16"/>
      <c r="AN1188" s="16"/>
      <c r="AO1188" s="16"/>
      <c r="AP1188" s="16"/>
      <c r="AQ1188" s="16"/>
      <c r="AR1188" s="16"/>
      <c r="AS1188" s="16"/>
    </row>
    <row r="1189" spans="18:45" x14ac:dyDescent="0.35">
      <c r="R1189" s="191"/>
      <c r="S1189" s="191"/>
      <c r="T1189" s="193"/>
      <c r="U1189" s="191"/>
      <c r="V1189" s="194"/>
      <c r="W1189" s="191"/>
      <c r="Y1189" s="191"/>
      <c r="Z1189" s="191"/>
      <c r="AA1189" s="191"/>
      <c r="AB1189" s="191"/>
      <c r="AC1189" s="191"/>
      <c r="AD1189" s="16"/>
      <c r="AE1189" s="16"/>
      <c r="AF1189" s="16"/>
      <c r="AG1189" s="16"/>
      <c r="AH1189" s="16"/>
      <c r="AI1189" s="16"/>
      <c r="AJ1189" s="16"/>
      <c r="AK1189" s="16"/>
      <c r="AL1189" s="16"/>
      <c r="AM1189" s="16"/>
      <c r="AN1189" s="16"/>
      <c r="AO1189" s="16"/>
      <c r="AP1189" s="16"/>
      <c r="AQ1189" s="16"/>
      <c r="AR1189" s="16"/>
      <c r="AS1189" s="16"/>
    </row>
    <row r="1190" spans="18:45" x14ac:dyDescent="0.35">
      <c r="R1190" s="191"/>
      <c r="S1190" s="191"/>
      <c r="T1190" s="193"/>
      <c r="U1190" s="191"/>
      <c r="V1190" s="194"/>
      <c r="W1190" s="191"/>
      <c r="Y1190" s="191"/>
      <c r="Z1190" s="191"/>
      <c r="AA1190" s="191"/>
      <c r="AB1190" s="191"/>
      <c r="AC1190" s="191"/>
      <c r="AD1190" s="16"/>
      <c r="AE1190" s="16"/>
      <c r="AF1190" s="16"/>
      <c r="AG1190" s="16"/>
      <c r="AH1190" s="16"/>
      <c r="AI1190" s="16"/>
      <c r="AJ1190" s="16"/>
      <c r="AK1190" s="16"/>
      <c r="AL1190" s="16"/>
      <c r="AM1190" s="16"/>
      <c r="AN1190" s="16"/>
      <c r="AO1190" s="16"/>
      <c r="AP1190" s="16"/>
      <c r="AQ1190" s="16"/>
      <c r="AR1190" s="16"/>
      <c r="AS1190" s="16"/>
    </row>
    <row r="1191" spans="18:45" x14ac:dyDescent="0.35">
      <c r="R1191" s="191"/>
      <c r="S1191" s="191"/>
      <c r="T1191" s="193"/>
      <c r="U1191" s="191"/>
      <c r="V1191" s="194"/>
      <c r="W1191" s="191"/>
      <c r="Y1191" s="191"/>
      <c r="Z1191" s="191"/>
      <c r="AA1191" s="191"/>
      <c r="AB1191" s="191"/>
      <c r="AC1191" s="191"/>
      <c r="AD1191" s="16"/>
      <c r="AE1191" s="16"/>
      <c r="AF1191" s="16"/>
      <c r="AG1191" s="16"/>
      <c r="AH1191" s="16"/>
      <c r="AI1191" s="16"/>
      <c r="AJ1191" s="16"/>
      <c r="AK1191" s="16"/>
      <c r="AL1191" s="16"/>
      <c r="AM1191" s="16"/>
      <c r="AN1191" s="16"/>
      <c r="AO1191" s="16"/>
      <c r="AP1191" s="16"/>
      <c r="AQ1191" s="16"/>
      <c r="AR1191" s="16"/>
      <c r="AS1191" s="16"/>
    </row>
    <row r="1192" spans="18:45" x14ac:dyDescent="0.35">
      <c r="R1192" s="191"/>
      <c r="S1192" s="191"/>
      <c r="T1192" s="193"/>
      <c r="U1192" s="191"/>
      <c r="V1192" s="194"/>
      <c r="W1192" s="191"/>
      <c r="Y1192" s="191"/>
      <c r="Z1192" s="191"/>
      <c r="AA1192" s="191"/>
      <c r="AB1192" s="191"/>
      <c r="AC1192" s="191"/>
      <c r="AD1192" s="16"/>
      <c r="AE1192" s="16"/>
      <c r="AF1192" s="16"/>
      <c r="AG1192" s="16"/>
      <c r="AH1192" s="16"/>
      <c r="AI1192" s="16"/>
      <c r="AJ1192" s="16"/>
      <c r="AK1192" s="16"/>
      <c r="AL1192" s="16"/>
      <c r="AM1192" s="16"/>
      <c r="AN1192" s="16"/>
      <c r="AO1192" s="16"/>
      <c r="AP1192" s="16"/>
      <c r="AQ1192" s="16"/>
      <c r="AR1192" s="16"/>
      <c r="AS1192" s="16"/>
    </row>
    <row r="1193" spans="18:45" x14ac:dyDescent="0.35">
      <c r="R1193" s="191"/>
      <c r="S1193" s="191"/>
      <c r="T1193" s="193"/>
      <c r="U1193" s="191"/>
      <c r="V1193" s="194"/>
      <c r="W1193" s="191"/>
      <c r="Y1193" s="191"/>
      <c r="Z1193" s="191"/>
      <c r="AA1193" s="191"/>
      <c r="AB1193" s="191"/>
      <c r="AC1193" s="191"/>
      <c r="AD1193" s="16"/>
      <c r="AE1193" s="16"/>
      <c r="AF1193" s="16"/>
      <c r="AG1193" s="16"/>
      <c r="AH1193" s="16"/>
      <c r="AI1193" s="16"/>
      <c r="AJ1193" s="16"/>
      <c r="AK1193" s="16"/>
      <c r="AL1193" s="16"/>
      <c r="AM1193" s="16"/>
      <c r="AN1193" s="16"/>
      <c r="AO1193" s="16"/>
      <c r="AP1193" s="16"/>
      <c r="AQ1193" s="16"/>
      <c r="AR1193" s="16"/>
      <c r="AS1193" s="16"/>
    </row>
    <row r="1194" spans="18:45" x14ac:dyDescent="0.35">
      <c r="R1194" s="191"/>
      <c r="S1194" s="191"/>
      <c r="T1194" s="193"/>
      <c r="U1194" s="191"/>
      <c r="V1194" s="194"/>
      <c r="W1194" s="191"/>
      <c r="Y1194" s="191"/>
      <c r="Z1194" s="191"/>
      <c r="AA1194" s="191"/>
      <c r="AB1194" s="191"/>
      <c r="AC1194" s="191"/>
      <c r="AD1194" s="16"/>
      <c r="AE1194" s="16"/>
      <c r="AF1194" s="16"/>
      <c r="AG1194" s="16"/>
      <c r="AH1194" s="16"/>
      <c r="AI1194" s="16"/>
      <c r="AJ1194" s="16"/>
      <c r="AK1194" s="16"/>
      <c r="AL1194" s="16"/>
      <c r="AM1194" s="16"/>
      <c r="AN1194" s="16"/>
      <c r="AO1194" s="16"/>
      <c r="AP1194" s="16"/>
      <c r="AQ1194" s="16"/>
      <c r="AR1194" s="16"/>
      <c r="AS1194" s="16"/>
    </row>
    <row r="1195" spans="18:45" x14ac:dyDescent="0.35">
      <c r="R1195" s="191"/>
      <c r="S1195" s="191"/>
      <c r="T1195" s="193"/>
      <c r="U1195" s="191"/>
      <c r="V1195" s="194"/>
      <c r="W1195" s="191"/>
      <c r="Y1195" s="191"/>
      <c r="Z1195" s="191"/>
      <c r="AA1195" s="191"/>
      <c r="AB1195" s="191"/>
      <c r="AC1195" s="191"/>
      <c r="AD1195" s="16"/>
      <c r="AE1195" s="16"/>
      <c r="AF1195" s="16"/>
      <c r="AG1195" s="16"/>
      <c r="AH1195" s="16"/>
      <c r="AI1195" s="16"/>
      <c r="AJ1195" s="16"/>
      <c r="AK1195" s="16"/>
      <c r="AL1195" s="16"/>
      <c r="AM1195" s="16"/>
      <c r="AN1195" s="16"/>
      <c r="AO1195" s="16"/>
      <c r="AP1195" s="16"/>
      <c r="AQ1195" s="16"/>
      <c r="AR1195" s="16"/>
      <c r="AS1195" s="16"/>
    </row>
    <row r="1196" spans="18:45" x14ac:dyDescent="0.35">
      <c r="R1196" s="191"/>
      <c r="S1196" s="191"/>
      <c r="T1196" s="193"/>
      <c r="U1196" s="191"/>
      <c r="V1196" s="194"/>
      <c r="W1196" s="191"/>
      <c r="Y1196" s="191"/>
      <c r="Z1196" s="191"/>
      <c r="AA1196" s="191"/>
      <c r="AB1196" s="191"/>
      <c r="AC1196" s="191"/>
      <c r="AD1196" s="16"/>
      <c r="AE1196" s="16"/>
      <c r="AF1196" s="16"/>
      <c r="AG1196" s="16"/>
      <c r="AH1196" s="16"/>
      <c r="AI1196" s="16"/>
      <c r="AJ1196" s="16"/>
      <c r="AK1196" s="16"/>
      <c r="AL1196" s="16"/>
      <c r="AM1196" s="16"/>
      <c r="AN1196" s="16"/>
      <c r="AO1196" s="16"/>
      <c r="AP1196" s="16"/>
      <c r="AQ1196" s="16"/>
      <c r="AR1196" s="16"/>
      <c r="AS1196" s="16"/>
    </row>
    <row r="1197" spans="18:45" x14ac:dyDescent="0.35">
      <c r="R1197" s="191"/>
      <c r="S1197" s="191"/>
      <c r="T1197" s="193"/>
      <c r="U1197" s="191"/>
      <c r="V1197" s="194"/>
      <c r="W1197" s="191"/>
      <c r="Y1197" s="191"/>
      <c r="Z1197" s="191"/>
      <c r="AA1197" s="191"/>
      <c r="AB1197" s="191"/>
      <c r="AC1197" s="191"/>
      <c r="AD1197" s="16"/>
      <c r="AE1197" s="16"/>
      <c r="AF1197" s="16"/>
      <c r="AG1197" s="16"/>
      <c r="AH1197" s="16"/>
      <c r="AI1197" s="16"/>
      <c r="AJ1197" s="16"/>
      <c r="AK1197" s="16"/>
      <c r="AL1197" s="16"/>
      <c r="AM1197" s="16"/>
      <c r="AN1197" s="16"/>
      <c r="AO1197" s="16"/>
      <c r="AP1197" s="16"/>
      <c r="AQ1197" s="16"/>
      <c r="AR1197" s="16"/>
      <c r="AS1197" s="16"/>
    </row>
    <row r="1198" spans="18:45" x14ac:dyDescent="0.35">
      <c r="R1198" s="191"/>
      <c r="S1198" s="191"/>
      <c r="T1198" s="193"/>
      <c r="U1198" s="191"/>
      <c r="V1198" s="194"/>
      <c r="W1198" s="191"/>
      <c r="Y1198" s="191"/>
      <c r="Z1198" s="191"/>
      <c r="AA1198" s="191"/>
      <c r="AB1198" s="191"/>
      <c r="AC1198" s="191"/>
      <c r="AD1198" s="16"/>
      <c r="AE1198" s="16"/>
      <c r="AF1198" s="16"/>
      <c r="AG1198" s="16"/>
      <c r="AH1198" s="16"/>
      <c r="AI1198" s="16"/>
      <c r="AJ1198" s="16"/>
      <c r="AK1198" s="16"/>
      <c r="AL1198" s="16"/>
      <c r="AM1198" s="16"/>
      <c r="AN1198" s="16"/>
      <c r="AO1198" s="16"/>
      <c r="AP1198" s="16"/>
      <c r="AQ1198" s="16"/>
      <c r="AR1198" s="16"/>
      <c r="AS1198" s="16"/>
    </row>
    <row r="1199" spans="18:45" x14ac:dyDescent="0.35">
      <c r="R1199" s="191"/>
      <c r="S1199" s="191"/>
      <c r="T1199" s="193"/>
      <c r="U1199" s="191"/>
      <c r="V1199" s="194"/>
      <c r="W1199" s="191"/>
      <c r="Y1199" s="191"/>
      <c r="Z1199" s="191"/>
      <c r="AA1199" s="191"/>
      <c r="AB1199" s="191"/>
      <c r="AC1199" s="191"/>
      <c r="AD1199" s="16"/>
      <c r="AE1199" s="16"/>
      <c r="AF1199" s="16"/>
      <c r="AG1199" s="16"/>
      <c r="AH1199" s="16"/>
      <c r="AI1199" s="16"/>
      <c r="AJ1199" s="16"/>
      <c r="AK1199" s="16"/>
      <c r="AL1199" s="16"/>
      <c r="AM1199" s="16"/>
      <c r="AN1199" s="16"/>
      <c r="AO1199" s="16"/>
      <c r="AP1199" s="16"/>
      <c r="AQ1199" s="16"/>
      <c r="AR1199" s="16"/>
      <c r="AS1199" s="16"/>
    </row>
    <row r="1200" spans="18:45" x14ac:dyDescent="0.35">
      <c r="R1200" s="191"/>
      <c r="S1200" s="191"/>
      <c r="T1200" s="193"/>
      <c r="U1200" s="191"/>
      <c r="V1200" s="194"/>
      <c r="W1200" s="191"/>
      <c r="Y1200" s="191"/>
      <c r="Z1200" s="191"/>
      <c r="AA1200" s="191"/>
      <c r="AB1200" s="191"/>
      <c r="AC1200" s="191"/>
      <c r="AD1200" s="16"/>
      <c r="AE1200" s="16"/>
      <c r="AF1200" s="16"/>
      <c r="AG1200" s="16"/>
      <c r="AH1200" s="16"/>
      <c r="AI1200" s="16"/>
      <c r="AJ1200" s="16"/>
      <c r="AK1200" s="16"/>
      <c r="AL1200" s="16"/>
      <c r="AM1200" s="16"/>
      <c r="AN1200" s="16"/>
      <c r="AO1200" s="16"/>
      <c r="AP1200" s="16"/>
      <c r="AQ1200" s="16"/>
      <c r="AR1200" s="16"/>
      <c r="AS1200" s="16"/>
    </row>
    <row r="1201" spans="18:45" x14ac:dyDescent="0.35">
      <c r="R1201" s="191"/>
      <c r="S1201" s="191"/>
      <c r="T1201" s="193"/>
      <c r="U1201" s="191"/>
      <c r="V1201" s="194"/>
      <c r="W1201" s="191"/>
      <c r="Y1201" s="191"/>
      <c r="Z1201" s="191"/>
      <c r="AA1201" s="191"/>
      <c r="AB1201" s="191"/>
      <c r="AC1201" s="191"/>
      <c r="AD1201" s="16"/>
      <c r="AE1201" s="16"/>
      <c r="AF1201" s="16"/>
      <c r="AG1201" s="16"/>
      <c r="AH1201" s="16"/>
      <c r="AI1201" s="16"/>
      <c r="AJ1201" s="16"/>
      <c r="AK1201" s="16"/>
      <c r="AL1201" s="16"/>
      <c r="AM1201" s="16"/>
      <c r="AN1201" s="16"/>
      <c r="AO1201" s="16"/>
      <c r="AP1201" s="16"/>
      <c r="AQ1201" s="16"/>
      <c r="AR1201" s="16"/>
      <c r="AS1201" s="16"/>
    </row>
    <row r="1202" spans="18:45" x14ac:dyDescent="0.35">
      <c r="R1202" s="191"/>
      <c r="S1202" s="191"/>
      <c r="T1202" s="193"/>
      <c r="U1202" s="191"/>
      <c r="V1202" s="194"/>
      <c r="W1202" s="191"/>
      <c r="Y1202" s="191"/>
      <c r="Z1202" s="191"/>
      <c r="AA1202" s="191"/>
      <c r="AB1202" s="191"/>
      <c r="AC1202" s="191"/>
      <c r="AD1202" s="16"/>
      <c r="AE1202" s="16"/>
      <c r="AF1202" s="16"/>
      <c r="AG1202" s="16"/>
      <c r="AH1202" s="16"/>
      <c r="AI1202" s="16"/>
      <c r="AJ1202" s="16"/>
      <c r="AK1202" s="16"/>
      <c r="AL1202" s="16"/>
      <c r="AM1202" s="16"/>
      <c r="AN1202" s="16"/>
      <c r="AO1202" s="16"/>
      <c r="AP1202" s="16"/>
      <c r="AQ1202" s="16"/>
      <c r="AR1202" s="16"/>
      <c r="AS1202" s="16"/>
    </row>
    <row r="1203" spans="18:45" x14ac:dyDescent="0.35">
      <c r="R1203" s="191"/>
      <c r="S1203" s="191"/>
      <c r="T1203" s="193"/>
      <c r="U1203" s="191"/>
      <c r="V1203" s="194"/>
      <c r="W1203" s="191"/>
      <c r="Y1203" s="191"/>
      <c r="Z1203" s="191"/>
      <c r="AA1203" s="191"/>
      <c r="AB1203" s="191"/>
      <c r="AC1203" s="191"/>
      <c r="AD1203" s="16"/>
      <c r="AE1203" s="16"/>
      <c r="AF1203" s="16"/>
      <c r="AG1203" s="16"/>
      <c r="AH1203" s="16"/>
      <c r="AI1203" s="16"/>
      <c r="AJ1203" s="16"/>
      <c r="AK1203" s="16"/>
      <c r="AL1203" s="16"/>
      <c r="AM1203" s="16"/>
      <c r="AN1203" s="16"/>
      <c r="AO1203" s="16"/>
      <c r="AP1203" s="16"/>
      <c r="AQ1203" s="16"/>
      <c r="AR1203" s="16"/>
      <c r="AS1203" s="16"/>
    </row>
    <row r="1204" spans="18:45" x14ac:dyDescent="0.35">
      <c r="R1204" s="191"/>
      <c r="S1204" s="191"/>
      <c r="T1204" s="193"/>
      <c r="U1204" s="191"/>
      <c r="V1204" s="194"/>
      <c r="W1204" s="191"/>
      <c r="Y1204" s="191"/>
      <c r="Z1204" s="191"/>
      <c r="AA1204" s="191"/>
      <c r="AB1204" s="191"/>
      <c r="AC1204" s="191"/>
      <c r="AD1204" s="16"/>
      <c r="AE1204" s="16"/>
      <c r="AF1204" s="16"/>
      <c r="AG1204" s="16"/>
      <c r="AH1204" s="16"/>
      <c r="AI1204" s="16"/>
      <c r="AJ1204" s="16"/>
      <c r="AK1204" s="16"/>
      <c r="AL1204" s="16"/>
      <c r="AM1204" s="16"/>
      <c r="AN1204" s="16"/>
      <c r="AO1204" s="16"/>
      <c r="AP1204" s="16"/>
      <c r="AQ1204" s="16"/>
      <c r="AR1204" s="16"/>
      <c r="AS1204" s="16"/>
    </row>
    <row r="1205" spans="18:45" x14ac:dyDescent="0.35">
      <c r="R1205" s="191"/>
      <c r="S1205" s="191"/>
      <c r="T1205" s="193"/>
      <c r="U1205" s="191"/>
      <c r="V1205" s="194"/>
      <c r="W1205" s="191"/>
      <c r="Y1205" s="191"/>
      <c r="Z1205" s="191"/>
      <c r="AA1205" s="191"/>
      <c r="AB1205" s="191"/>
      <c r="AC1205" s="191"/>
      <c r="AD1205" s="16"/>
      <c r="AE1205" s="16"/>
      <c r="AF1205" s="16"/>
      <c r="AG1205" s="16"/>
      <c r="AH1205" s="16"/>
      <c r="AI1205" s="16"/>
      <c r="AJ1205" s="16"/>
      <c r="AK1205" s="16"/>
      <c r="AL1205" s="16"/>
      <c r="AM1205" s="16"/>
      <c r="AN1205" s="16"/>
      <c r="AO1205" s="16"/>
      <c r="AP1205" s="16"/>
      <c r="AQ1205" s="16"/>
      <c r="AR1205" s="16"/>
      <c r="AS1205" s="16"/>
    </row>
    <row r="1206" spans="18:45" x14ac:dyDescent="0.35">
      <c r="R1206" s="191"/>
      <c r="S1206" s="191"/>
      <c r="T1206" s="193"/>
      <c r="U1206" s="191"/>
      <c r="V1206" s="194"/>
      <c r="W1206" s="191"/>
      <c r="Y1206" s="191"/>
      <c r="Z1206" s="191"/>
      <c r="AA1206" s="191"/>
      <c r="AB1206" s="191"/>
      <c r="AC1206" s="191"/>
      <c r="AD1206" s="16"/>
      <c r="AE1206" s="16"/>
      <c r="AF1206" s="16"/>
      <c r="AG1206" s="16"/>
      <c r="AH1206" s="16"/>
      <c r="AI1206" s="16"/>
      <c r="AJ1206" s="16"/>
      <c r="AK1206" s="16"/>
      <c r="AL1206" s="16"/>
      <c r="AM1206" s="16"/>
      <c r="AN1206" s="16"/>
      <c r="AO1206" s="16"/>
      <c r="AP1206" s="16"/>
      <c r="AQ1206" s="16"/>
      <c r="AR1206" s="16"/>
      <c r="AS1206" s="16"/>
    </row>
    <row r="1207" spans="18:45" x14ac:dyDescent="0.35">
      <c r="R1207" s="191"/>
      <c r="S1207" s="191"/>
      <c r="T1207" s="193"/>
      <c r="U1207" s="191"/>
      <c r="V1207" s="194"/>
      <c r="W1207" s="191"/>
      <c r="Y1207" s="191"/>
      <c r="Z1207" s="191"/>
      <c r="AA1207" s="191"/>
      <c r="AB1207" s="191"/>
      <c r="AC1207" s="191"/>
      <c r="AD1207" s="16"/>
      <c r="AE1207" s="16"/>
      <c r="AF1207" s="16"/>
      <c r="AG1207" s="16"/>
      <c r="AH1207" s="16"/>
      <c r="AI1207" s="16"/>
      <c r="AJ1207" s="16"/>
      <c r="AK1207" s="16"/>
      <c r="AL1207" s="16"/>
      <c r="AM1207" s="16"/>
      <c r="AN1207" s="16"/>
      <c r="AO1207" s="16"/>
      <c r="AP1207" s="16"/>
      <c r="AQ1207" s="16"/>
      <c r="AR1207" s="16"/>
      <c r="AS1207" s="16"/>
    </row>
    <row r="1208" spans="18:45" x14ac:dyDescent="0.35">
      <c r="R1208" s="191"/>
      <c r="S1208" s="191"/>
      <c r="T1208" s="193"/>
      <c r="U1208" s="191"/>
      <c r="V1208" s="194"/>
      <c r="W1208" s="191"/>
      <c r="Y1208" s="191"/>
      <c r="Z1208" s="191"/>
      <c r="AA1208" s="191"/>
      <c r="AB1208" s="191"/>
      <c r="AC1208" s="191"/>
      <c r="AD1208" s="16"/>
      <c r="AE1208" s="16"/>
      <c r="AF1208" s="16"/>
      <c r="AG1208" s="16"/>
      <c r="AH1208" s="16"/>
      <c r="AI1208" s="16"/>
      <c r="AJ1208" s="16"/>
      <c r="AK1208" s="16"/>
      <c r="AL1208" s="16"/>
      <c r="AM1208" s="16"/>
      <c r="AN1208" s="16"/>
      <c r="AO1208" s="16"/>
      <c r="AP1208" s="16"/>
      <c r="AQ1208" s="16"/>
      <c r="AR1208" s="16"/>
      <c r="AS1208" s="16"/>
    </row>
    <row r="1209" spans="18:45" x14ac:dyDescent="0.35">
      <c r="R1209" s="191"/>
      <c r="S1209" s="191"/>
      <c r="T1209" s="193"/>
      <c r="U1209" s="191"/>
      <c r="V1209" s="194"/>
      <c r="W1209" s="191"/>
      <c r="Y1209" s="191"/>
      <c r="Z1209" s="191"/>
      <c r="AA1209" s="191"/>
      <c r="AB1209" s="191"/>
      <c r="AC1209" s="191"/>
      <c r="AD1209" s="16"/>
      <c r="AE1209" s="16"/>
      <c r="AF1209" s="16"/>
      <c r="AG1209" s="16"/>
      <c r="AH1209" s="16"/>
      <c r="AI1209" s="16"/>
      <c r="AJ1209" s="16"/>
      <c r="AK1209" s="16"/>
      <c r="AL1209" s="16"/>
      <c r="AM1209" s="16"/>
      <c r="AN1209" s="16"/>
      <c r="AO1209" s="16"/>
      <c r="AP1209" s="16"/>
      <c r="AQ1209" s="16"/>
      <c r="AR1209" s="16"/>
      <c r="AS1209" s="16"/>
    </row>
    <row r="1210" spans="18:45" x14ac:dyDescent="0.35">
      <c r="R1210" s="191"/>
      <c r="S1210" s="191"/>
      <c r="T1210" s="193"/>
      <c r="U1210" s="191"/>
      <c r="V1210" s="194"/>
      <c r="W1210" s="191"/>
      <c r="Y1210" s="191"/>
      <c r="Z1210" s="191"/>
      <c r="AA1210" s="191"/>
      <c r="AB1210" s="191"/>
      <c r="AC1210" s="191"/>
      <c r="AD1210" s="16"/>
      <c r="AE1210" s="16"/>
      <c r="AF1210" s="16"/>
      <c r="AG1210" s="16"/>
      <c r="AH1210" s="16"/>
      <c r="AI1210" s="16"/>
      <c r="AJ1210" s="16"/>
      <c r="AK1210" s="16"/>
      <c r="AL1210" s="16"/>
      <c r="AM1210" s="16"/>
      <c r="AN1210" s="16"/>
      <c r="AO1210" s="16"/>
      <c r="AP1210" s="16"/>
      <c r="AQ1210" s="16"/>
      <c r="AR1210" s="16"/>
      <c r="AS1210" s="16"/>
    </row>
    <row r="1211" spans="18:45" x14ac:dyDescent="0.35">
      <c r="R1211" s="191"/>
      <c r="S1211" s="191"/>
      <c r="T1211" s="193"/>
      <c r="U1211" s="191"/>
      <c r="V1211" s="194"/>
      <c r="W1211" s="191"/>
      <c r="Y1211" s="191"/>
      <c r="Z1211" s="191"/>
      <c r="AA1211" s="191"/>
      <c r="AB1211" s="191"/>
      <c r="AC1211" s="191"/>
      <c r="AD1211" s="16"/>
      <c r="AE1211" s="16"/>
      <c r="AF1211" s="16"/>
      <c r="AG1211" s="16"/>
      <c r="AH1211" s="16"/>
      <c r="AI1211" s="16"/>
      <c r="AJ1211" s="16"/>
      <c r="AK1211" s="16"/>
      <c r="AL1211" s="16"/>
      <c r="AM1211" s="16"/>
      <c r="AN1211" s="16"/>
      <c r="AO1211" s="16"/>
      <c r="AP1211" s="16"/>
      <c r="AQ1211" s="16"/>
      <c r="AR1211" s="16"/>
      <c r="AS1211" s="16"/>
    </row>
    <row r="1212" spans="18:45" x14ac:dyDescent="0.35">
      <c r="R1212" s="191"/>
      <c r="S1212" s="191"/>
      <c r="T1212" s="193"/>
      <c r="U1212" s="191"/>
      <c r="V1212" s="194"/>
      <c r="W1212" s="191"/>
      <c r="Y1212" s="191"/>
      <c r="Z1212" s="191"/>
      <c r="AA1212" s="191"/>
      <c r="AB1212" s="191"/>
      <c r="AC1212" s="191"/>
      <c r="AD1212" s="16"/>
      <c r="AE1212" s="16"/>
      <c r="AF1212" s="16"/>
      <c r="AG1212" s="16"/>
      <c r="AH1212" s="16"/>
      <c r="AI1212" s="16"/>
      <c r="AJ1212" s="16"/>
      <c r="AK1212" s="16"/>
      <c r="AL1212" s="16"/>
      <c r="AM1212" s="16"/>
      <c r="AN1212" s="16"/>
      <c r="AO1212" s="16"/>
      <c r="AP1212" s="16"/>
      <c r="AQ1212" s="16"/>
      <c r="AR1212" s="16"/>
      <c r="AS1212" s="16"/>
    </row>
    <row r="1213" spans="18:45" x14ac:dyDescent="0.35">
      <c r="R1213" s="191"/>
      <c r="S1213" s="191"/>
      <c r="T1213" s="193"/>
      <c r="U1213" s="191"/>
      <c r="V1213" s="194"/>
      <c r="W1213" s="191"/>
      <c r="Y1213" s="191"/>
      <c r="Z1213" s="191"/>
      <c r="AA1213" s="191"/>
      <c r="AB1213" s="191"/>
      <c r="AC1213" s="191"/>
      <c r="AD1213" s="16"/>
      <c r="AE1213" s="16"/>
      <c r="AF1213" s="16"/>
      <c r="AG1213" s="16"/>
      <c r="AH1213" s="16"/>
      <c r="AI1213" s="16"/>
      <c r="AJ1213" s="16"/>
      <c r="AK1213" s="16"/>
      <c r="AL1213" s="16"/>
      <c r="AM1213" s="16"/>
      <c r="AN1213" s="16"/>
      <c r="AO1213" s="16"/>
      <c r="AP1213" s="16"/>
      <c r="AQ1213" s="16"/>
      <c r="AR1213" s="16"/>
      <c r="AS1213" s="16"/>
    </row>
    <row r="1214" spans="18:45" x14ac:dyDescent="0.35">
      <c r="R1214" s="191"/>
      <c r="S1214" s="191"/>
      <c r="T1214" s="193"/>
      <c r="U1214" s="191"/>
      <c r="V1214" s="194"/>
      <c r="W1214" s="191"/>
      <c r="Y1214" s="191"/>
      <c r="Z1214" s="191"/>
      <c r="AA1214" s="191"/>
      <c r="AB1214" s="191"/>
      <c r="AC1214" s="191"/>
      <c r="AD1214" s="16"/>
      <c r="AE1214" s="16"/>
      <c r="AF1214" s="16"/>
      <c r="AG1214" s="16"/>
      <c r="AH1214" s="16"/>
      <c r="AI1214" s="16"/>
      <c r="AJ1214" s="16"/>
      <c r="AK1214" s="16"/>
      <c r="AL1214" s="16"/>
      <c r="AM1214" s="16"/>
      <c r="AN1214" s="16"/>
      <c r="AO1214" s="16"/>
      <c r="AP1214" s="16"/>
      <c r="AQ1214" s="16"/>
      <c r="AR1214" s="16"/>
      <c r="AS1214" s="16"/>
    </row>
    <row r="1215" spans="18:45" x14ac:dyDescent="0.35">
      <c r="R1215" s="191"/>
      <c r="S1215" s="191"/>
      <c r="T1215" s="193"/>
      <c r="U1215" s="191"/>
      <c r="V1215" s="194"/>
      <c r="W1215" s="191"/>
      <c r="Y1215" s="191"/>
      <c r="Z1215" s="191"/>
      <c r="AA1215" s="191"/>
      <c r="AB1215" s="191"/>
      <c r="AC1215" s="191"/>
      <c r="AD1215" s="16"/>
      <c r="AE1215" s="16"/>
      <c r="AF1215" s="16"/>
      <c r="AG1215" s="16"/>
      <c r="AH1215" s="16"/>
      <c r="AI1215" s="16"/>
      <c r="AJ1215" s="16"/>
      <c r="AK1215" s="16"/>
      <c r="AL1215" s="16"/>
      <c r="AM1215" s="16"/>
      <c r="AN1215" s="16"/>
      <c r="AO1215" s="16"/>
      <c r="AP1215" s="16"/>
      <c r="AQ1215" s="16"/>
      <c r="AR1215" s="16"/>
      <c r="AS1215" s="16"/>
    </row>
    <row r="1216" spans="18:45" x14ac:dyDescent="0.35">
      <c r="R1216" s="191"/>
      <c r="S1216" s="191"/>
      <c r="T1216" s="193"/>
      <c r="U1216" s="191"/>
      <c r="V1216" s="194"/>
      <c r="W1216" s="191"/>
      <c r="Y1216" s="191"/>
      <c r="Z1216" s="191"/>
      <c r="AA1216" s="191"/>
      <c r="AB1216" s="191"/>
      <c r="AC1216" s="191"/>
      <c r="AD1216" s="16"/>
      <c r="AE1216" s="16"/>
      <c r="AF1216" s="16"/>
      <c r="AG1216" s="16"/>
      <c r="AH1216" s="16"/>
      <c r="AI1216" s="16"/>
      <c r="AJ1216" s="16"/>
      <c r="AK1216" s="16"/>
      <c r="AL1216" s="16"/>
      <c r="AM1216" s="16"/>
      <c r="AN1216" s="16"/>
      <c r="AO1216" s="16"/>
      <c r="AP1216" s="16"/>
      <c r="AQ1216" s="16"/>
      <c r="AR1216" s="16"/>
      <c r="AS1216" s="16"/>
    </row>
    <row r="1217" spans="18:45" x14ac:dyDescent="0.35">
      <c r="R1217" s="191"/>
      <c r="S1217" s="191"/>
      <c r="T1217" s="193"/>
      <c r="U1217" s="191"/>
      <c r="V1217" s="194"/>
      <c r="W1217" s="191"/>
      <c r="Y1217" s="191"/>
      <c r="Z1217" s="191"/>
      <c r="AA1217" s="191"/>
      <c r="AB1217" s="191"/>
      <c r="AC1217" s="191"/>
      <c r="AD1217" s="16"/>
      <c r="AE1217" s="16"/>
      <c r="AF1217" s="16"/>
      <c r="AG1217" s="16"/>
      <c r="AH1217" s="16"/>
      <c r="AI1217" s="16"/>
      <c r="AJ1217" s="16"/>
      <c r="AK1217" s="16"/>
      <c r="AL1217" s="16"/>
      <c r="AM1217" s="16"/>
      <c r="AN1217" s="16"/>
      <c r="AO1217" s="16"/>
      <c r="AP1217" s="16"/>
      <c r="AQ1217" s="16"/>
      <c r="AR1217" s="16"/>
      <c r="AS1217" s="16"/>
    </row>
    <row r="1218" spans="18:45" x14ac:dyDescent="0.35">
      <c r="R1218" s="191"/>
      <c r="S1218" s="191"/>
      <c r="T1218" s="193"/>
      <c r="U1218" s="191"/>
      <c r="V1218" s="194"/>
      <c r="W1218" s="191"/>
      <c r="Y1218" s="191"/>
      <c r="Z1218" s="191"/>
      <c r="AA1218" s="191"/>
      <c r="AB1218" s="191"/>
      <c r="AC1218" s="191"/>
      <c r="AD1218" s="16"/>
      <c r="AE1218" s="16"/>
      <c r="AF1218" s="16"/>
      <c r="AG1218" s="16"/>
      <c r="AH1218" s="16"/>
      <c r="AI1218" s="16"/>
      <c r="AJ1218" s="16"/>
      <c r="AK1218" s="16"/>
      <c r="AL1218" s="16"/>
      <c r="AM1218" s="16"/>
      <c r="AN1218" s="16"/>
      <c r="AO1218" s="16"/>
      <c r="AP1218" s="16"/>
      <c r="AQ1218" s="16"/>
      <c r="AR1218" s="16"/>
      <c r="AS1218" s="16"/>
    </row>
    <row r="1219" spans="18:45" x14ac:dyDescent="0.35">
      <c r="R1219" s="191"/>
      <c r="S1219" s="191"/>
      <c r="T1219" s="193"/>
      <c r="U1219" s="191"/>
      <c r="V1219" s="194"/>
      <c r="W1219" s="191"/>
      <c r="Y1219" s="191"/>
      <c r="Z1219" s="191"/>
      <c r="AA1219" s="191"/>
      <c r="AB1219" s="191"/>
      <c r="AC1219" s="191"/>
      <c r="AD1219" s="16"/>
      <c r="AE1219" s="16"/>
      <c r="AF1219" s="16"/>
      <c r="AG1219" s="16"/>
      <c r="AH1219" s="16"/>
      <c r="AI1219" s="16"/>
      <c r="AJ1219" s="16"/>
      <c r="AK1219" s="16"/>
      <c r="AL1219" s="16"/>
      <c r="AM1219" s="16"/>
      <c r="AN1219" s="16"/>
      <c r="AO1219" s="16"/>
      <c r="AP1219" s="16"/>
      <c r="AQ1219" s="16"/>
      <c r="AR1219" s="16"/>
      <c r="AS1219" s="16"/>
    </row>
    <row r="1220" spans="18:45" x14ac:dyDescent="0.35">
      <c r="R1220" s="191"/>
      <c r="S1220" s="191"/>
      <c r="T1220" s="193"/>
      <c r="U1220" s="191"/>
      <c r="V1220" s="194"/>
      <c r="W1220" s="191"/>
      <c r="Y1220" s="191"/>
      <c r="Z1220" s="191"/>
      <c r="AA1220" s="191"/>
      <c r="AB1220" s="191"/>
      <c r="AC1220" s="191"/>
      <c r="AD1220" s="16"/>
      <c r="AE1220" s="16"/>
      <c r="AF1220" s="16"/>
      <c r="AG1220" s="16"/>
      <c r="AH1220" s="16"/>
      <c r="AI1220" s="16"/>
      <c r="AJ1220" s="16"/>
      <c r="AK1220" s="16"/>
      <c r="AL1220" s="16"/>
      <c r="AM1220" s="16"/>
      <c r="AN1220" s="16"/>
      <c r="AO1220" s="16"/>
      <c r="AP1220" s="16"/>
      <c r="AQ1220" s="16"/>
      <c r="AR1220" s="16"/>
      <c r="AS1220" s="16"/>
    </row>
    <row r="1221" spans="18:45" x14ac:dyDescent="0.35">
      <c r="R1221" s="191"/>
      <c r="S1221" s="191"/>
      <c r="T1221" s="193"/>
      <c r="U1221" s="191"/>
      <c r="V1221" s="194"/>
      <c r="W1221" s="191"/>
      <c r="Y1221" s="191"/>
      <c r="Z1221" s="191"/>
      <c r="AA1221" s="191"/>
      <c r="AB1221" s="191"/>
      <c r="AC1221" s="191"/>
      <c r="AD1221" s="16"/>
      <c r="AE1221" s="16"/>
      <c r="AF1221" s="16"/>
      <c r="AG1221" s="16"/>
      <c r="AH1221" s="16"/>
      <c r="AI1221" s="16"/>
      <c r="AJ1221" s="16"/>
      <c r="AK1221" s="16"/>
      <c r="AL1221" s="16"/>
      <c r="AM1221" s="16"/>
      <c r="AN1221" s="16"/>
      <c r="AO1221" s="16"/>
      <c r="AP1221" s="16"/>
      <c r="AQ1221" s="16"/>
      <c r="AR1221" s="16"/>
      <c r="AS1221" s="16"/>
    </row>
    <row r="1222" spans="18:45" x14ac:dyDescent="0.35">
      <c r="R1222" s="191"/>
      <c r="S1222" s="191"/>
      <c r="T1222" s="193"/>
      <c r="U1222" s="191"/>
      <c r="V1222" s="194"/>
      <c r="W1222" s="191"/>
      <c r="Y1222" s="191"/>
      <c r="Z1222" s="191"/>
      <c r="AA1222" s="191"/>
      <c r="AB1222" s="191"/>
      <c r="AC1222" s="191"/>
      <c r="AD1222" s="16"/>
      <c r="AE1222" s="16"/>
      <c r="AF1222" s="16"/>
      <c r="AG1222" s="16"/>
      <c r="AH1222" s="16"/>
      <c r="AI1222" s="16"/>
      <c r="AJ1222" s="16"/>
      <c r="AK1222" s="16"/>
      <c r="AL1222" s="16"/>
      <c r="AM1222" s="16"/>
      <c r="AN1222" s="16"/>
      <c r="AO1222" s="16"/>
      <c r="AP1222" s="16"/>
      <c r="AQ1222" s="16"/>
      <c r="AR1222" s="16"/>
      <c r="AS1222" s="16"/>
    </row>
    <row r="1223" spans="18:45" x14ac:dyDescent="0.35">
      <c r="R1223" s="191"/>
      <c r="S1223" s="191"/>
      <c r="T1223" s="193"/>
      <c r="U1223" s="191"/>
      <c r="V1223" s="194"/>
      <c r="W1223" s="191"/>
      <c r="Y1223" s="191"/>
      <c r="Z1223" s="191"/>
      <c r="AA1223" s="191"/>
      <c r="AB1223" s="191"/>
      <c r="AC1223" s="191"/>
      <c r="AD1223" s="16"/>
      <c r="AE1223" s="16"/>
      <c r="AF1223" s="16"/>
      <c r="AG1223" s="16"/>
      <c r="AH1223" s="16"/>
      <c r="AI1223" s="16"/>
      <c r="AJ1223" s="16"/>
      <c r="AK1223" s="16"/>
      <c r="AL1223" s="16"/>
      <c r="AM1223" s="16"/>
      <c r="AN1223" s="16"/>
      <c r="AO1223" s="16"/>
      <c r="AP1223" s="16"/>
      <c r="AQ1223" s="16"/>
      <c r="AR1223" s="16"/>
      <c r="AS1223" s="16"/>
    </row>
    <row r="1224" spans="18:45" x14ac:dyDescent="0.35">
      <c r="R1224" s="191"/>
      <c r="S1224" s="191"/>
      <c r="T1224" s="193"/>
      <c r="U1224" s="191"/>
      <c r="V1224" s="194"/>
      <c r="W1224" s="191"/>
      <c r="Y1224" s="191"/>
      <c r="Z1224" s="191"/>
      <c r="AA1224" s="191"/>
      <c r="AB1224" s="191"/>
      <c r="AC1224" s="191"/>
      <c r="AD1224" s="16"/>
      <c r="AE1224" s="16"/>
      <c r="AF1224" s="16"/>
      <c r="AG1224" s="16"/>
      <c r="AH1224" s="16"/>
      <c r="AI1224" s="16"/>
      <c r="AJ1224" s="16"/>
      <c r="AK1224" s="16"/>
      <c r="AL1224" s="16"/>
      <c r="AM1224" s="16"/>
      <c r="AN1224" s="16"/>
      <c r="AO1224" s="16"/>
      <c r="AP1224" s="16"/>
      <c r="AQ1224" s="16"/>
      <c r="AR1224" s="16"/>
      <c r="AS1224" s="16"/>
    </row>
    <row r="1225" spans="18:45" x14ac:dyDescent="0.35">
      <c r="R1225" s="191"/>
      <c r="S1225" s="191"/>
      <c r="T1225" s="193"/>
      <c r="U1225" s="191"/>
      <c r="V1225" s="194"/>
      <c r="W1225" s="191"/>
      <c r="Y1225" s="191"/>
      <c r="Z1225" s="191"/>
      <c r="AA1225" s="191"/>
      <c r="AB1225" s="191"/>
      <c r="AC1225" s="191"/>
      <c r="AD1225" s="16"/>
      <c r="AE1225" s="16"/>
      <c r="AF1225" s="16"/>
      <c r="AG1225" s="16"/>
      <c r="AH1225" s="16"/>
      <c r="AI1225" s="16"/>
      <c r="AJ1225" s="16"/>
      <c r="AK1225" s="16"/>
      <c r="AL1225" s="16"/>
      <c r="AM1225" s="16"/>
      <c r="AN1225" s="16"/>
      <c r="AO1225" s="16"/>
      <c r="AP1225" s="16"/>
      <c r="AQ1225" s="16"/>
      <c r="AR1225" s="16"/>
      <c r="AS1225" s="16"/>
    </row>
    <row r="1226" spans="18:45" x14ac:dyDescent="0.35">
      <c r="R1226" s="191"/>
      <c r="S1226" s="191"/>
      <c r="T1226" s="193"/>
      <c r="U1226" s="191"/>
      <c r="V1226" s="194"/>
      <c r="W1226" s="191"/>
      <c r="Y1226" s="191"/>
      <c r="Z1226" s="191"/>
      <c r="AA1226" s="191"/>
      <c r="AB1226" s="191"/>
      <c r="AC1226" s="191"/>
      <c r="AD1226" s="16"/>
      <c r="AE1226" s="16"/>
      <c r="AF1226" s="16"/>
      <c r="AG1226" s="16"/>
      <c r="AH1226" s="16"/>
      <c r="AI1226" s="16"/>
      <c r="AJ1226" s="16"/>
      <c r="AK1226" s="16"/>
      <c r="AL1226" s="16"/>
      <c r="AM1226" s="16"/>
      <c r="AN1226" s="16"/>
      <c r="AO1226" s="16"/>
      <c r="AP1226" s="16"/>
      <c r="AQ1226" s="16"/>
      <c r="AR1226" s="16"/>
      <c r="AS1226" s="16"/>
    </row>
    <row r="1227" spans="18:45" x14ac:dyDescent="0.35">
      <c r="R1227" s="191"/>
      <c r="S1227" s="191"/>
      <c r="T1227" s="193"/>
      <c r="U1227" s="191"/>
      <c r="V1227" s="194"/>
      <c r="W1227" s="191"/>
      <c r="Y1227" s="191"/>
      <c r="Z1227" s="191"/>
      <c r="AA1227" s="191"/>
      <c r="AB1227" s="191"/>
      <c r="AC1227" s="191"/>
      <c r="AD1227" s="16"/>
      <c r="AE1227" s="16"/>
      <c r="AF1227" s="16"/>
      <c r="AG1227" s="16"/>
      <c r="AH1227" s="16"/>
      <c r="AI1227" s="16"/>
      <c r="AJ1227" s="16"/>
      <c r="AK1227" s="16"/>
      <c r="AL1227" s="16"/>
      <c r="AM1227" s="16"/>
      <c r="AN1227" s="16"/>
      <c r="AO1227" s="16"/>
      <c r="AP1227" s="16"/>
      <c r="AQ1227" s="16"/>
      <c r="AR1227" s="16"/>
      <c r="AS1227" s="16"/>
    </row>
    <row r="1228" spans="18:45" x14ac:dyDescent="0.35">
      <c r="R1228" s="191"/>
      <c r="S1228" s="191"/>
      <c r="T1228" s="193"/>
      <c r="U1228" s="191"/>
      <c r="V1228" s="194"/>
      <c r="W1228" s="191"/>
      <c r="Y1228" s="191"/>
      <c r="Z1228" s="191"/>
      <c r="AA1228" s="191"/>
      <c r="AB1228" s="191"/>
      <c r="AC1228" s="191"/>
      <c r="AD1228" s="16"/>
      <c r="AE1228" s="16"/>
      <c r="AF1228" s="16"/>
      <c r="AG1228" s="16"/>
      <c r="AH1228" s="16"/>
      <c r="AI1228" s="16"/>
      <c r="AJ1228" s="16"/>
      <c r="AK1228" s="16"/>
      <c r="AL1228" s="16"/>
      <c r="AM1228" s="16"/>
      <c r="AN1228" s="16"/>
      <c r="AO1228" s="16"/>
      <c r="AP1228" s="16"/>
      <c r="AQ1228" s="16"/>
      <c r="AR1228" s="16"/>
      <c r="AS1228" s="16"/>
    </row>
    <row r="1229" spans="18:45" x14ac:dyDescent="0.35">
      <c r="R1229" s="191"/>
      <c r="S1229" s="191"/>
      <c r="T1229" s="193"/>
      <c r="U1229" s="191"/>
      <c r="V1229" s="194"/>
      <c r="W1229" s="191"/>
      <c r="Y1229" s="191"/>
      <c r="Z1229" s="191"/>
      <c r="AA1229" s="191"/>
      <c r="AB1229" s="191"/>
      <c r="AC1229" s="191"/>
      <c r="AD1229" s="16"/>
      <c r="AE1229" s="16"/>
      <c r="AF1229" s="16"/>
      <c r="AG1229" s="16"/>
      <c r="AH1229" s="16"/>
      <c r="AI1229" s="16"/>
      <c r="AJ1229" s="16"/>
      <c r="AK1229" s="16"/>
      <c r="AL1229" s="16"/>
      <c r="AM1229" s="16"/>
      <c r="AN1229" s="16"/>
      <c r="AO1229" s="16"/>
      <c r="AP1229" s="16"/>
      <c r="AQ1229" s="16"/>
      <c r="AR1229" s="16"/>
      <c r="AS1229" s="16"/>
    </row>
    <row r="1230" spans="18:45" x14ac:dyDescent="0.35">
      <c r="R1230" s="191"/>
      <c r="S1230" s="191"/>
      <c r="T1230" s="193"/>
      <c r="U1230" s="191"/>
      <c r="V1230" s="194"/>
      <c r="W1230" s="191"/>
      <c r="Y1230" s="191"/>
      <c r="Z1230" s="191"/>
      <c r="AA1230" s="191"/>
      <c r="AB1230" s="191"/>
      <c r="AC1230" s="191"/>
      <c r="AD1230" s="16"/>
      <c r="AE1230" s="16"/>
      <c r="AF1230" s="16"/>
      <c r="AG1230" s="16"/>
      <c r="AH1230" s="16"/>
      <c r="AI1230" s="16"/>
      <c r="AJ1230" s="16"/>
      <c r="AK1230" s="16"/>
      <c r="AL1230" s="16"/>
      <c r="AM1230" s="16"/>
      <c r="AN1230" s="16"/>
      <c r="AO1230" s="16"/>
      <c r="AP1230" s="16"/>
      <c r="AQ1230" s="16"/>
      <c r="AR1230" s="16"/>
      <c r="AS1230" s="16"/>
    </row>
    <row r="1231" spans="18:45" x14ac:dyDescent="0.35">
      <c r="R1231" s="191"/>
      <c r="S1231" s="191"/>
      <c r="T1231" s="193"/>
      <c r="U1231" s="191"/>
      <c r="V1231" s="194"/>
      <c r="W1231" s="191"/>
      <c r="Y1231" s="191"/>
      <c r="Z1231" s="191"/>
      <c r="AA1231" s="191"/>
      <c r="AB1231" s="191"/>
      <c r="AC1231" s="191"/>
      <c r="AD1231" s="16"/>
      <c r="AE1231" s="16"/>
      <c r="AF1231" s="16"/>
      <c r="AG1231" s="16"/>
      <c r="AH1231" s="16"/>
      <c r="AI1231" s="16"/>
      <c r="AJ1231" s="16"/>
      <c r="AK1231" s="16"/>
      <c r="AL1231" s="16"/>
      <c r="AM1231" s="16"/>
      <c r="AN1231" s="16"/>
      <c r="AO1231" s="16"/>
      <c r="AP1231" s="16"/>
      <c r="AQ1231" s="16"/>
      <c r="AR1231" s="16"/>
      <c r="AS1231" s="16"/>
    </row>
    <row r="1232" spans="18:45" x14ac:dyDescent="0.35">
      <c r="R1232" s="191"/>
      <c r="S1232" s="191"/>
      <c r="T1232" s="193"/>
      <c r="U1232" s="191"/>
      <c r="V1232" s="194"/>
      <c r="W1232" s="191"/>
      <c r="Y1232" s="191"/>
      <c r="Z1232" s="191"/>
      <c r="AA1232" s="191"/>
      <c r="AB1232" s="191"/>
      <c r="AC1232" s="191"/>
      <c r="AD1232" s="16"/>
      <c r="AE1232" s="16"/>
      <c r="AF1232" s="16"/>
      <c r="AG1232" s="16"/>
      <c r="AH1232" s="16"/>
      <c r="AI1232" s="16"/>
      <c r="AJ1232" s="16"/>
      <c r="AK1232" s="16"/>
      <c r="AL1232" s="16"/>
      <c r="AM1232" s="16"/>
      <c r="AN1232" s="16"/>
      <c r="AO1232" s="16"/>
      <c r="AP1232" s="16"/>
      <c r="AQ1232" s="16"/>
      <c r="AR1232" s="16"/>
      <c r="AS1232" s="16"/>
    </row>
    <row r="1233" spans="18:45" x14ac:dyDescent="0.35">
      <c r="R1233" s="191"/>
      <c r="S1233" s="191"/>
      <c r="T1233" s="193"/>
      <c r="U1233" s="191"/>
      <c r="V1233" s="194"/>
      <c r="W1233" s="191"/>
      <c r="Y1233" s="191"/>
      <c r="Z1233" s="191"/>
      <c r="AA1233" s="191"/>
      <c r="AB1233" s="191"/>
      <c r="AC1233" s="191"/>
      <c r="AD1233" s="16"/>
      <c r="AE1233" s="16"/>
      <c r="AF1233" s="16"/>
      <c r="AG1233" s="16"/>
      <c r="AH1233" s="16"/>
      <c r="AI1233" s="16"/>
      <c r="AJ1233" s="16"/>
      <c r="AK1233" s="16"/>
      <c r="AL1233" s="16"/>
      <c r="AM1233" s="16"/>
      <c r="AN1233" s="16"/>
      <c r="AO1233" s="16"/>
      <c r="AP1233" s="16"/>
      <c r="AQ1233" s="16"/>
      <c r="AR1233" s="16"/>
      <c r="AS1233" s="16"/>
    </row>
    <row r="1234" spans="18:45" x14ac:dyDescent="0.35">
      <c r="R1234" s="191"/>
      <c r="S1234" s="191"/>
      <c r="T1234" s="193"/>
      <c r="U1234" s="191"/>
      <c r="V1234" s="194"/>
      <c r="W1234" s="191"/>
      <c r="Y1234" s="191"/>
      <c r="Z1234" s="191"/>
      <c r="AA1234" s="191"/>
      <c r="AB1234" s="191"/>
      <c r="AC1234" s="191"/>
      <c r="AD1234" s="16"/>
      <c r="AE1234" s="16"/>
      <c r="AF1234" s="16"/>
      <c r="AG1234" s="16"/>
      <c r="AH1234" s="16"/>
      <c r="AI1234" s="16"/>
      <c r="AJ1234" s="16"/>
      <c r="AK1234" s="16"/>
      <c r="AL1234" s="16"/>
      <c r="AM1234" s="16"/>
      <c r="AN1234" s="16"/>
      <c r="AO1234" s="16"/>
      <c r="AP1234" s="16"/>
      <c r="AQ1234" s="16"/>
      <c r="AR1234" s="16"/>
      <c r="AS1234" s="16"/>
    </row>
    <row r="1235" spans="18:45" x14ac:dyDescent="0.35">
      <c r="R1235" s="191"/>
      <c r="S1235" s="191"/>
      <c r="T1235" s="193"/>
      <c r="U1235" s="191"/>
      <c r="V1235" s="194"/>
      <c r="W1235" s="191"/>
      <c r="Y1235" s="191"/>
      <c r="Z1235" s="191"/>
      <c r="AA1235" s="191"/>
      <c r="AB1235" s="191"/>
      <c r="AC1235" s="191"/>
      <c r="AD1235" s="16"/>
      <c r="AE1235" s="16"/>
      <c r="AF1235" s="16"/>
      <c r="AG1235" s="16"/>
      <c r="AH1235" s="16"/>
      <c r="AI1235" s="16"/>
      <c r="AJ1235" s="16"/>
      <c r="AK1235" s="16"/>
      <c r="AL1235" s="16"/>
      <c r="AM1235" s="16"/>
      <c r="AN1235" s="16"/>
      <c r="AO1235" s="16"/>
      <c r="AP1235" s="16"/>
      <c r="AQ1235" s="16"/>
      <c r="AR1235" s="16"/>
      <c r="AS1235" s="16"/>
    </row>
    <row r="1236" spans="18:45" x14ac:dyDescent="0.35">
      <c r="R1236" s="191"/>
      <c r="S1236" s="191"/>
      <c r="T1236" s="193"/>
      <c r="U1236" s="191"/>
      <c r="V1236" s="194"/>
      <c r="W1236" s="191"/>
      <c r="Y1236" s="191"/>
      <c r="Z1236" s="191"/>
      <c r="AA1236" s="191"/>
      <c r="AB1236" s="191"/>
      <c r="AC1236" s="191"/>
      <c r="AD1236" s="16"/>
      <c r="AE1236" s="16"/>
      <c r="AF1236" s="16"/>
      <c r="AG1236" s="16"/>
      <c r="AH1236" s="16"/>
      <c r="AI1236" s="16"/>
      <c r="AJ1236" s="16"/>
      <c r="AK1236" s="16"/>
      <c r="AL1236" s="16"/>
      <c r="AM1236" s="16"/>
      <c r="AN1236" s="16"/>
      <c r="AO1236" s="16"/>
      <c r="AP1236" s="16"/>
      <c r="AQ1236" s="16"/>
      <c r="AR1236" s="16"/>
      <c r="AS1236" s="16"/>
    </row>
    <row r="1237" spans="18:45" x14ac:dyDescent="0.35">
      <c r="R1237" s="191"/>
      <c r="S1237" s="191"/>
      <c r="T1237" s="193"/>
      <c r="U1237" s="191"/>
      <c r="V1237" s="194"/>
      <c r="W1237" s="191"/>
      <c r="Y1237" s="191"/>
      <c r="Z1237" s="191"/>
      <c r="AA1237" s="191"/>
      <c r="AB1237" s="191"/>
      <c r="AC1237" s="191"/>
      <c r="AD1237" s="16"/>
      <c r="AE1237" s="16"/>
      <c r="AF1237" s="16"/>
      <c r="AG1237" s="16"/>
      <c r="AH1237" s="16"/>
      <c r="AI1237" s="16"/>
      <c r="AJ1237" s="16"/>
      <c r="AK1237" s="16"/>
      <c r="AL1237" s="16"/>
      <c r="AM1237" s="16"/>
      <c r="AN1237" s="16"/>
      <c r="AO1237" s="16"/>
      <c r="AP1237" s="16"/>
      <c r="AQ1237" s="16"/>
      <c r="AR1237" s="16"/>
      <c r="AS1237" s="16"/>
    </row>
    <row r="1238" spans="18:45" x14ac:dyDescent="0.35">
      <c r="R1238" s="191"/>
      <c r="S1238" s="191"/>
      <c r="T1238" s="193"/>
      <c r="U1238" s="191"/>
      <c r="V1238" s="194"/>
      <c r="W1238" s="191"/>
      <c r="Y1238" s="191"/>
      <c r="Z1238" s="191"/>
      <c r="AA1238" s="191"/>
      <c r="AB1238" s="191"/>
      <c r="AC1238" s="191"/>
      <c r="AD1238" s="16"/>
      <c r="AE1238" s="16"/>
      <c r="AF1238" s="16"/>
      <c r="AG1238" s="16"/>
      <c r="AH1238" s="16"/>
      <c r="AI1238" s="16"/>
      <c r="AJ1238" s="16"/>
      <c r="AK1238" s="16"/>
      <c r="AL1238" s="16"/>
      <c r="AM1238" s="16"/>
      <c r="AN1238" s="16"/>
      <c r="AO1238" s="16"/>
      <c r="AP1238" s="16"/>
      <c r="AQ1238" s="16"/>
      <c r="AR1238" s="16"/>
      <c r="AS1238" s="16"/>
    </row>
    <row r="1239" spans="18:45" x14ac:dyDescent="0.35">
      <c r="R1239" s="191"/>
      <c r="S1239" s="191"/>
      <c r="T1239" s="193"/>
      <c r="U1239" s="191"/>
      <c r="V1239" s="194"/>
      <c r="W1239" s="191"/>
      <c r="Y1239" s="191"/>
      <c r="Z1239" s="191"/>
      <c r="AA1239" s="191"/>
      <c r="AB1239" s="191"/>
      <c r="AC1239" s="191"/>
      <c r="AD1239" s="16"/>
      <c r="AE1239" s="16"/>
      <c r="AF1239" s="16"/>
      <c r="AG1239" s="16"/>
      <c r="AH1239" s="16"/>
      <c r="AI1239" s="16"/>
      <c r="AJ1239" s="16"/>
      <c r="AK1239" s="16"/>
      <c r="AL1239" s="16"/>
      <c r="AM1239" s="16"/>
      <c r="AN1239" s="16"/>
      <c r="AO1239" s="16"/>
      <c r="AP1239" s="16"/>
      <c r="AQ1239" s="16"/>
      <c r="AR1239" s="16"/>
      <c r="AS1239" s="16"/>
    </row>
    <row r="1240" spans="18:45" x14ac:dyDescent="0.35">
      <c r="R1240" s="191"/>
      <c r="S1240" s="191"/>
      <c r="T1240" s="193"/>
      <c r="U1240" s="191"/>
      <c r="V1240" s="194"/>
      <c r="W1240" s="191"/>
      <c r="Y1240" s="191"/>
      <c r="Z1240" s="191"/>
      <c r="AA1240" s="191"/>
      <c r="AB1240" s="191"/>
      <c r="AC1240" s="191"/>
      <c r="AD1240" s="16"/>
      <c r="AE1240" s="16"/>
      <c r="AF1240" s="16"/>
      <c r="AG1240" s="16"/>
      <c r="AH1240" s="16"/>
      <c r="AI1240" s="16"/>
      <c r="AJ1240" s="16"/>
      <c r="AK1240" s="16"/>
      <c r="AL1240" s="16"/>
      <c r="AM1240" s="16"/>
      <c r="AN1240" s="16"/>
      <c r="AO1240" s="16"/>
      <c r="AP1240" s="16"/>
      <c r="AQ1240" s="16"/>
      <c r="AR1240" s="16"/>
      <c r="AS1240" s="16"/>
    </row>
    <row r="1241" spans="18:45" x14ac:dyDescent="0.35">
      <c r="R1241" s="191"/>
      <c r="S1241" s="191"/>
      <c r="T1241" s="193"/>
      <c r="U1241" s="191"/>
      <c r="V1241" s="194"/>
      <c r="W1241" s="191"/>
      <c r="Y1241" s="191"/>
      <c r="Z1241" s="191"/>
      <c r="AA1241" s="191"/>
      <c r="AB1241" s="191"/>
      <c r="AC1241" s="191"/>
      <c r="AD1241" s="16"/>
      <c r="AE1241" s="16"/>
      <c r="AF1241" s="16"/>
      <c r="AG1241" s="16"/>
      <c r="AH1241" s="16"/>
      <c r="AI1241" s="16"/>
      <c r="AJ1241" s="16"/>
      <c r="AK1241" s="16"/>
      <c r="AL1241" s="16"/>
      <c r="AM1241" s="16"/>
      <c r="AN1241" s="16"/>
      <c r="AO1241" s="16"/>
      <c r="AP1241" s="16"/>
      <c r="AQ1241" s="16"/>
      <c r="AR1241" s="16"/>
      <c r="AS1241" s="16"/>
    </row>
    <row r="1242" spans="18:45" x14ac:dyDescent="0.35">
      <c r="R1242" s="191"/>
      <c r="S1242" s="191"/>
      <c r="T1242" s="193"/>
      <c r="U1242" s="191"/>
      <c r="V1242" s="194"/>
      <c r="W1242" s="191"/>
      <c r="Y1242" s="191"/>
      <c r="Z1242" s="191"/>
      <c r="AA1242" s="191"/>
      <c r="AB1242" s="191"/>
      <c r="AC1242" s="191"/>
      <c r="AD1242" s="16"/>
      <c r="AE1242" s="16"/>
      <c r="AF1242" s="16"/>
      <c r="AG1242" s="16"/>
      <c r="AH1242" s="16"/>
      <c r="AI1242" s="16"/>
      <c r="AJ1242" s="16"/>
      <c r="AK1242" s="16"/>
      <c r="AL1242" s="16"/>
      <c r="AM1242" s="16"/>
      <c r="AN1242" s="16"/>
      <c r="AO1242" s="16"/>
      <c r="AP1242" s="16"/>
      <c r="AQ1242" s="16"/>
      <c r="AR1242" s="16"/>
      <c r="AS1242" s="16"/>
    </row>
    <row r="1243" spans="18:45" x14ac:dyDescent="0.35">
      <c r="R1243" s="191"/>
      <c r="S1243" s="191"/>
      <c r="T1243" s="193"/>
      <c r="U1243" s="191"/>
      <c r="V1243" s="194"/>
      <c r="W1243" s="191"/>
      <c r="Y1243" s="191"/>
      <c r="Z1243" s="191"/>
      <c r="AA1243" s="191"/>
      <c r="AB1243" s="191"/>
      <c r="AC1243" s="191"/>
      <c r="AD1243" s="16"/>
      <c r="AE1243" s="16"/>
      <c r="AF1243" s="16"/>
      <c r="AG1243" s="16"/>
      <c r="AH1243" s="16"/>
      <c r="AI1243" s="16"/>
      <c r="AJ1243" s="16"/>
      <c r="AK1243" s="16"/>
      <c r="AL1243" s="16"/>
      <c r="AM1243" s="16"/>
      <c r="AN1243" s="16"/>
      <c r="AO1243" s="16"/>
      <c r="AP1243" s="16"/>
      <c r="AQ1243" s="16"/>
      <c r="AR1243" s="16"/>
      <c r="AS1243" s="16"/>
    </row>
    <row r="1244" spans="18:45" x14ac:dyDescent="0.35">
      <c r="R1244" s="191"/>
      <c r="S1244" s="191"/>
      <c r="T1244" s="193"/>
      <c r="U1244" s="191"/>
      <c r="V1244" s="194"/>
      <c r="W1244" s="191"/>
      <c r="Y1244" s="191"/>
      <c r="Z1244" s="191"/>
      <c r="AA1244" s="191"/>
      <c r="AB1244" s="191"/>
      <c r="AC1244" s="191"/>
      <c r="AD1244" s="16"/>
      <c r="AE1244" s="16"/>
      <c r="AF1244" s="16"/>
      <c r="AG1244" s="16"/>
      <c r="AH1244" s="16"/>
      <c r="AI1244" s="16"/>
      <c r="AJ1244" s="16"/>
      <c r="AK1244" s="16"/>
      <c r="AL1244" s="16"/>
      <c r="AM1244" s="16"/>
      <c r="AN1244" s="16"/>
      <c r="AO1244" s="16"/>
      <c r="AP1244" s="16"/>
      <c r="AQ1244" s="16"/>
      <c r="AR1244" s="16"/>
      <c r="AS1244" s="16"/>
    </row>
    <row r="1245" spans="18:45" x14ac:dyDescent="0.35">
      <c r="R1245" s="191"/>
      <c r="S1245" s="191"/>
      <c r="T1245" s="193"/>
      <c r="U1245" s="191"/>
      <c r="V1245" s="194"/>
      <c r="W1245" s="191"/>
      <c r="Y1245" s="191"/>
      <c r="Z1245" s="191"/>
      <c r="AA1245" s="191"/>
      <c r="AB1245" s="191"/>
      <c r="AC1245" s="191"/>
      <c r="AD1245" s="16"/>
      <c r="AE1245" s="16"/>
      <c r="AF1245" s="16"/>
      <c r="AG1245" s="16"/>
      <c r="AH1245" s="16"/>
      <c r="AI1245" s="16"/>
      <c r="AJ1245" s="16"/>
      <c r="AK1245" s="16"/>
      <c r="AL1245" s="16"/>
      <c r="AM1245" s="16"/>
      <c r="AN1245" s="16"/>
      <c r="AO1245" s="16"/>
      <c r="AP1245" s="16"/>
      <c r="AQ1245" s="16"/>
      <c r="AR1245" s="16"/>
      <c r="AS1245" s="16"/>
    </row>
    <row r="1246" spans="18:45" x14ac:dyDescent="0.35">
      <c r="R1246" s="191"/>
      <c r="S1246" s="191"/>
      <c r="T1246" s="193"/>
      <c r="U1246" s="191"/>
      <c r="V1246" s="194"/>
      <c r="W1246" s="191"/>
      <c r="Y1246" s="191"/>
      <c r="Z1246" s="191"/>
      <c r="AA1246" s="191"/>
      <c r="AB1246" s="191"/>
      <c r="AC1246" s="191"/>
      <c r="AD1246" s="16"/>
      <c r="AE1246" s="16"/>
      <c r="AF1246" s="16"/>
      <c r="AG1246" s="16"/>
      <c r="AH1246" s="16"/>
      <c r="AI1246" s="16"/>
      <c r="AJ1246" s="16"/>
      <c r="AK1246" s="16"/>
      <c r="AL1246" s="16"/>
      <c r="AM1246" s="16"/>
      <c r="AN1246" s="16"/>
      <c r="AO1246" s="16"/>
      <c r="AP1246" s="16"/>
      <c r="AQ1246" s="16"/>
      <c r="AR1246" s="16"/>
      <c r="AS1246" s="16"/>
    </row>
    <row r="1247" spans="18:45" x14ac:dyDescent="0.35">
      <c r="R1247" s="191"/>
      <c r="S1247" s="191"/>
      <c r="T1247" s="193"/>
      <c r="U1247" s="191"/>
      <c r="V1247" s="194"/>
      <c r="W1247" s="191"/>
      <c r="Y1247" s="191"/>
      <c r="Z1247" s="191"/>
      <c r="AA1247" s="191"/>
      <c r="AB1247" s="191"/>
      <c r="AC1247" s="191"/>
      <c r="AD1247" s="16"/>
      <c r="AE1247" s="16"/>
      <c r="AF1247" s="16"/>
      <c r="AG1247" s="16"/>
      <c r="AH1247" s="16"/>
      <c r="AI1247" s="16"/>
      <c r="AJ1247" s="16"/>
      <c r="AK1247" s="16"/>
      <c r="AL1247" s="16"/>
      <c r="AM1247" s="16"/>
      <c r="AN1247" s="16"/>
      <c r="AO1247" s="16"/>
      <c r="AP1247" s="16"/>
      <c r="AQ1247" s="16"/>
      <c r="AR1247" s="16"/>
      <c r="AS1247" s="16"/>
    </row>
    <row r="1248" spans="18:45" x14ac:dyDescent="0.35">
      <c r="R1248" s="191"/>
      <c r="S1248" s="191"/>
      <c r="T1248" s="193"/>
      <c r="U1248" s="191"/>
      <c r="V1248" s="194"/>
      <c r="W1248" s="191"/>
      <c r="Y1248" s="191"/>
      <c r="Z1248" s="191"/>
      <c r="AA1248" s="191"/>
      <c r="AB1248" s="191"/>
      <c r="AC1248" s="191"/>
      <c r="AD1248" s="16"/>
      <c r="AE1248" s="16"/>
      <c r="AF1248" s="16"/>
      <c r="AG1248" s="16"/>
      <c r="AH1248" s="16"/>
      <c r="AI1248" s="16"/>
      <c r="AJ1248" s="16"/>
      <c r="AK1248" s="16"/>
      <c r="AL1248" s="16"/>
      <c r="AM1248" s="16"/>
      <c r="AN1248" s="16"/>
      <c r="AO1248" s="16"/>
      <c r="AP1248" s="16"/>
      <c r="AQ1248" s="16"/>
      <c r="AR1248" s="16"/>
      <c r="AS1248" s="16"/>
    </row>
    <row r="1249" spans="18:45" x14ac:dyDescent="0.35">
      <c r="R1249" s="191"/>
      <c r="S1249" s="191"/>
      <c r="T1249" s="193"/>
      <c r="U1249" s="191"/>
      <c r="V1249" s="194"/>
      <c r="W1249" s="191"/>
      <c r="Y1249" s="191"/>
      <c r="Z1249" s="191"/>
      <c r="AA1249" s="191"/>
      <c r="AB1249" s="191"/>
      <c r="AC1249" s="191"/>
      <c r="AD1249" s="16"/>
      <c r="AE1249" s="16"/>
      <c r="AF1249" s="16"/>
      <c r="AG1249" s="16"/>
      <c r="AH1249" s="16"/>
      <c r="AI1249" s="16"/>
      <c r="AJ1249" s="16"/>
      <c r="AK1249" s="16"/>
      <c r="AL1249" s="16"/>
      <c r="AM1249" s="16"/>
      <c r="AN1249" s="16"/>
      <c r="AO1249" s="16"/>
      <c r="AP1249" s="16"/>
      <c r="AQ1249" s="16"/>
      <c r="AR1249" s="16"/>
      <c r="AS1249" s="16"/>
    </row>
    <row r="1250" spans="18:45" x14ac:dyDescent="0.35">
      <c r="R1250" s="191"/>
      <c r="S1250" s="191"/>
      <c r="T1250" s="193"/>
      <c r="U1250" s="191"/>
      <c r="V1250" s="194"/>
      <c r="W1250" s="191"/>
      <c r="Y1250" s="191"/>
      <c r="Z1250" s="191"/>
      <c r="AA1250" s="191"/>
      <c r="AB1250" s="191"/>
      <c r="AC1250" s="191"/>
      <c r="AD1250" s="16"/>
      <c r="AE1250" s="16"/>
      <c r="AF1250" s="16"/>
      <c r="AG1250" s="16"/>
      <c r="AH1250" s="16"/>
      <c r="AI1250" s="16"/>
      <c r="AJ1250" s="16"/>
      <c r="AK1250" s="16"/>
      <c r="AL1250" s="16"/>
      <c r="AM1250" s="16"/>
      <c r="AN1250" s="16"/>
      <c r="AO1250" s="16"/>
      <c r="AP1250" s="16"/>
      <c r="AQ1250" s="16"/>
      <c r="AR1250" s="16"/>
      <c r="AS1250" s="16"/>
    </row>
    <row r="1251" spans="18:45" x14ac:dyDescent="0.35">
      <c r="R1251" s="191"/>
      <c r="S1251" s="191"/>
      <c r="T1251" s="193"/>
      <c r="U1251" s="191"/>
      <c r="V1251" s="194"/>
      <c r="W1251" s="191"/>
      <c r="Y1251" s="191"/>
      <c r="Z1251" s="191"/>
      <c r="AA1251" s="191"/>
      <c r="AB1251" s="191"/>
      <c r="AC1251" s="191"/>
      <c r="AD1251" s="16"/>
      <c r="AE1251" s="16"/>
      <c r="AF1251" s="16"/>
      <c r="AG1251" s="16"/>
      <c r="AH1251" s="16"/>
      <c r="AI1251" s="16"/>
      <c r="AJ1251" s="16"/>
      <c r="AK1251" s="16"/>
      <c r="AL1251" s="16"/>
      <c r="AM1251" s="16"/>
      <c r="AN1251" s="16"/>
      <c r="AO1251" s="16"/>
      <c r="AP1251" s="16"/>
      <c r="AQ1251" s="16"/>
      <c r="AR1251" s="16"/>
      <c r="AS1251" s="16"/>
    </row>
    <row r="1252" spans="18:45" x14ac:dyDescent="0.35">
      <c r="R1252" s="191"/>
      <c r="S1252" s="191"/>
      <c r="T1252" s="193"/>
      <c r="U1252" s="191"/>
      <c r="V1252" s="194"/>
      <c r="W1252" s="191"/>
      <c r="Y1252" s="191"/>
      <c r="Z1252" s="191"/>
      <c r="AA1252" s="191"/>
      <c r="AB1252" s="191"/>
      <c r="AC1252" s="191"/>
      <c r="AD1252" s="16"/>
      <c r="AE1252" s="16"/>
      <c r="AF1252" s="16"/>
      <c r="AG1252" s="16"/>
      <c r="AH1252" s="16"/>
      <c r="AI1252" s="16"/>
      <c r="AJ1252" s="16"/>
      <c r="AK1252" s="16"/>
      <c r="AL1252" s="16"/>
      <c r="AM1252" s="16"/>
      <c r="AN1252" s="16"/>
      <c r="AO1252" s="16"/>
      <c r="AP1252" s="16"/>
      <c r="AQ1252" s="16"/>
      <c r="AR1252" s="16"/>
      <c r="AS1252" s="16"/>
    </row>
    <row r="1253" spans="18:45" x14ac:dyDescent="0.35">
      <c r="R1253" s="191"/>
      <c r="S1253" s="191"/>
      <c r="T1253" s="193"/>
      <c r="U1253" s="191"/>
      <c r="V1253" s="194"/>
      <c r="W1253" s="191"/>
      <c r="Y1253" s="191"/>
      <c r="Z1253" s="191"/>
      <c r="AA1253" s="191"/>
      <c r="AB1253" s="191"/>
      <c r="AC1253" s="191"/>
      <c r="AD1253" s="16"/>
      <c r="AE1253" s="16"/>
      <c r="AF1253" s="16"/>
      <c r="AG1253" s="16"/>
      <c r="AH1253" s="16"/>
      <c r="AI1253" s="16"/>
      <c r="AJ1253" s="16"/>
      <c r="AK1253" s="16"/>
      <c r="AL1253" s="16"/>
      <c r="AM1253" s="16"/>
      <c r="AN1253" s="16"/>
      <c r="AO1253" s="16"/>
      <c r="AP1253" s="16"/>
      <c r="AQ1253" s="16"/>
      <c r="AR1253" s="16"/>
      <c r="AS1253" s="16"/>
    </row>
    <row r="1254" spans="18:45" x14ac:dyDescent="0.35">
      <c r="R1254" s="191"/>
      <c r="S1254" s="191"/>
      <c r="T1254" s="193"/>
      <c r="U1254" s="191"/>
      <c r="V1254" s="194"/>
      <c r="W1254" s="191"/>
      <c r="Y1254" s="191"/>
      <c r="Z1254" s="191"/>
      <c r="AA1254" s="191"/>
      <c r="AB1254" s="191"/>
      <c r="AC1254" s="191"/>
      <c r="AD1254" s="16"/>
      <c r="AE1254" s="16"/>
      <c r="AF1254" s="16"/>
      <c r="AG1254" s="16"/>
      <c r="AH1254" s="16"/>
      <c r="AI1254" s="16"/>
      <c r="AJ1254" s="16"/>
      <c r="AK1254" s="16"/>
      <c r="AL1254" s="16"/>
      <c r="AM1254" s="16"/>
      <c r="AN1254" s="16"/>
      <c r="AO1254" s="16"/>
      <c r="AP1254" s="16"/>
      <c r="AQ1254" s="16"/>
      <c r="AR1254" s="16"/>
      <c r="AS1254" s="16"/>
    </row>
    <row r="1255" spans="18:45" x14ac:dyDescent="0.35">
      <c r="R1255" s="191"/>
      <c r="S1255" s="191"/>
      <c r="T1255" s="193"/>
      <c r="U1255" s="191"/>
      <c r="V1255" s="194"/>
      <c r="W1255" s="191"/>
      <c r="Y1255" s="191"/>
      <c r="Z1255" s="191"/>
      <c r="AA1255" s="191"/>
      <c r="AB1255" s="191"/>
      <c r="AC1255" s="191"/>
      <c r="AD1255" s="16"/>
      <c r="AE1255" s="16"/>
      <c r="AF1255" s="16"/>
      <c r="AG1255" s="16"/>
      <c r="AH1255" s="16"/>
      <c r="AI1255" s="16"/>
      <c r="AJ1255" s="16"/>
      <c r="AK1255" s="16"/>
      <c r="AL1255" s="16"/>
      <c r="AM1255" s="16"/>
      <c r="AN1255" s="16"/>
      <c r="AO1255" s="16"/>
      <c r="AP1255" s="16"/>
      <c r="AQ1255" s="16"/>
      <c r="AR1255" s="16"/>
      <c r="AS1255" s="16"/>
    </row>
    <row r="1256" spans="18:45" x14ac:dyDescent="0.35">
      <c r="R1256" s="191"/>
      <c r="S1256" s="191"/>
      <c r="T1256" s="193"/>
      <c r="U1256" s="191"/>
      <c r="V1256" s="194"/>
      <c r="W1256" s="191"/>
      <c r="Y1256" s="191"/>
      <c r="Z1256" s="191"/>
      <c r="AA1256" s="191"/>
      <c r="AB1256" s="191"/>
      <c r="AC1256" s="191"/>
      <c r="AD1256" s="16"/>
      <c r="AE1256" s="16"/>
      <c r="AF1256" s="16"/>
      <c r="AG1256" s="16"/>
      <c r="AH1256" s="16"/>
      <c r="AI1256" s="16"/>
      <c r="AJ1256" s="16"/>
      <c r="AK1256" s="16"/>
      <c r="AL1256" s="16"/>
      <c r="AM1256" s="16"/>
      <c r="AN1256" s="16"/>
      <c r="AO1256" s="16"/>
      <c r="AP1256" s="16"/>
      <c r="AQ1256" s="16"/>
      <c r="AR1256" s="16"/>
      <c r="AS1256" s="16"/>
    </row>
    <row r="1257" spans="18:45" x14ac:dyDescent="0.35">
      <c r="R1257" s="191"/>
      <c r="S1257" s="191"/>
      <c r="T1257" s="193"/>
      <c r="U1257" s="191"/>
      <c r="V1257" s="194"/>
      <c r="W1257" s="191"/>
      <c r="Y1257" s="191"/>
      <c r="Z1257" s="191"/>
      <c r="AA1257" s="191"/>
      <c r="AB1257" s="191"/>
      <c r="AC1257" s="191"/>
      <c r="AD1257" s="16"/>
      <c r="AE1257" s="16"/>
      <c r="AF1257" s="16"/>
      <c r="AG1257" s="16"/>
      <c r="AH1257" s="16"/>
      <c r="AI1257" s="16"/>
      <c r="AJ1257" s="16"/>
      <c r="AK1257" s="16"/>
      <c r="AL1257" s="16"/>
      <c r="AM1257" s="16"/>
      <c r="AN1257" s="16"/>
      <c r="AO1257" s="16"/>
      <c r="AP1257" s="16"/>
      <c r="AQ1257" s="16"/>
      <c r="AR1257" s="16"/>
      <c r="AS1257" s="16"/>
    </row>
    <row r="1258" spans="18:45" x14ac:dyDescent="0.35">
      <c r="R1258" s="191"/>
      <c r="S1258" s="191"/>
      <c r="T1258" s="193"/>
      <c r="U1258" s="191"/>
      <c r="V1258" s="194"/>
      <c r="W1258" s="191"/>
      <c r="Y1258" s="191"/>
      <c r="Z1258" s="191"/>
      <c r="AA1258" s="191"/>
      <c r="AB1258" s="191"/>
      <c r="AC1258" s="191"/>
      <c r="AD1258" s="16"/>
      <c r="AE1258" s="16"/>
      <c r="AF1258" s="16"/>
      <c r="AG1258" s="16"/>
      <c r="AH1258" s="16"/>
      <c r="AI1258" s="16"/>
      <c r="AJ1258" s="16"/>
      <c r="AK1258" s="16"/>
      <c r="AL1258" s="16"/>
      <c r="AM1258" s="16"/>
      <c r="AN1258" s="16"/>
      <c r="AO1258" s="16"/>
      <c r="AP1258" s="16"/>
      <c r="AQ1258" s="16"/>
      <c r="AR1258" s="16"/>
      <c r="AS1258" s="16"/>
    </row>
    <row r="1259" spans="18:45" x14ac:dyDescent="0.35">
      <c r="R1259" s="191"/>
      <c r="S1259" s="191"/>
      <c r="T1259" s="193"/>
      <c r="U1259" s="191"/>
      <c r="V1259" s="194"/>
      <c r="W1259" s="191"/>
      <c r="Y1259" s="191"/>
      <c r="Z1259" s="191"/>
      <c r="AA1259" s="191"/>
      <c r="AB1259" s="191"/>
      <c r="AC1259" s="191"/>
      <c r="AD1259" s="16"/>
      <c r="AE1259" s="16"/>
      <c r="AF1259" s="16"/>
      <c r="AG1259" s="16"/>
      <c r="AH1259" s="16"/>
      <c r="AI1259" s="16"/>
      <c r="AJ1259" s="16"/>
      <c r="AK1259" s="16"/>
      <c r="AL1259" s="16"/>
      <c r="AM1259" s="16"/>
      <c r="AN1259" s="16"/>
      <c r="AO1259" s="16"/>
      <c r="AP1259" s="16"/>
      <c r="AQ1259" s="16"/>
      <c r="AR1259" s="16"/>
      <c r="AS1259" s="16"/>
    </row>
    <row r="1260" spans="18:45" x14ac:dyDescent="0.35">
      <c r="R1260" s="191"/>
      <c r="S1260" s="191"/>
      <c r="T1260" s="193"/>
      <c r="U1260" s="191"/>
      <c r="V1260" s="194"/>
      <c r="W1260" s="191"/>
      <c r="Y1260" s="191"/>
      <c r="Z1260" s="191"/>
      <c r="AA1260" s="191"/>
      <c r="AB1260" s="191"/>
      <c r="AC1260" s="191"/>
      <c r="AD1260" s="16"/>
      <c r="AE1260" s="16"/>
      <c r="AF1260" s="16"/>
      <c r="AG1260" s="16"/>
      <c r="AH1260" s="16"/>
      <c r="AI1260" s="16"/>
      <c r="AJ1260" s="16"/>
      <c r="AK1260" s="16"/>
      <c r="AL1260" s="16"/>
      <c r="AM1260" s="16"/>
      <c r="AN1260" s="16"/>
      <c r="AO1260" s="16"/>
      <c r="AP1260" s="16"/>
      <c r="AQ1260" s="16"/>
      <c r="AR1260" s="16"/>
      <c r="AS1260" s="16"/>
    </row>
    <row r="1261" spans="18:45" x14ac:dyDescent="0.35">
      <c r="R1261" s="191"/>
      <c r="S1261" s="191"/>
      <c r="T1261" s="193"/>
      <c r="U1261" s="191"/>
      <c r="V1261" s="194"/>
      <c r="W1261" s="191"/>
      <c r="Y1261" s="191"/>
      <c r="Z1261" s="191"/>
      <c r="AA1261" s="191"/>
      <c r="AB1261" s="191"/>
      <c r="AC1261" s="191"/>
      <c r="AD1261" s="16"/>
      <c r="AE1261" s="16"/>
      <c r="AF1261" s="16"/>
      <c r="AG1261" s="16"/>
      <c r="AH1261" s="16"/>
      <c r="AI1261" s="16"/>
      <c r="AJ1261" s="16"/>
      <c r="AK1261" s="16"/>
      <c r="AL1261" s="16"/>
      <c r="AM1261" s="16"/>
      <c r="AN1261" s="16"/>
      <c r="AO1261" s="16"/>
      <c r="AP1261" s="16"/>
      <c r="AQ1261" s="16"/>
      <c r="AR1261" s="16"/>
      <c r="AS1261" s="16"/>
    </row>
    <row r="1262" spans="18:45" x14ac:dyDescent="0.35">
      <c r="R1262" s="191"/>
      <c r="S1262" s="191"/>
      <c r="T1262" s="193"/>
      <c r="U1262" s="191"/>
      <c r="V1262" s="194"/>
      <c r="W1262" s="191"/>
      <c r="Y1262" s="191"/>
      <c r="Z1262" s="191"/>
      <c r="AA1262" s="191"/>
      <c r="AB1262" s="191"/>
      <c r="AC1262" s="191"/>
      <c r="AD1262" s="16"/>
      <c r="AE1262" s="16"/>
      <c r="AF1262" s="16"/>
      <c r="AG1262" s="16"/>
      <c r="AH1262" s="16"/>
      <c r="AI1262" s="16"/>
      <c r="AJ1262" s="16"/>
      <c r="AK1262" s="16"/>
      <c r="AL1262" s="16"/>
      <c r="AM1262" s="16"/>
      <c r="AN1262" s="16"/>
      <c r="AO1262" s="16"/>
      <c r="AP1262" s="16"/>
      <c r="AQ1262" s="16"/>
      <c r="AR1262" s="16"/>
      <c r="AS1262" s="16"/>
    </row>
    <row r="1263" spans="18:45" x14ac:dyDescent="0.35">
      <c r="R1263" s="191"/>
      <c r="S1263" s="191"/>
      <c r="T1263" s="193"/>
      <c r="U1263" s="191"/>
      <c r="V1263" s="194"/>
      <c r="W1263" s="191"/>
      <c r="Y1263" s="191"/>
      <c r="Z1263" s="191"/>
      <c r="AA1263" s="191"/>
      <c r="AB1263" s="191"/>
      <c r="AC1263" s="191"/>
      <c r="AD1263" s="16"/>
      <c r="AE1263" s="16"/>
      <c r="AF1263" s="16"/>
      <c r="AG1263" s="16"/>
      <c r="AH1263" s="16"/>
      <c r="AI1263" s="16"/>
      <c r="AJ1263" s="16"/>
      <c r="AK1263" s="16"/>
      <c r="AL1263" s="16"/>
      <c r="AM1263" s="16"/>
      <c r="AN1263" s="16"/>
      <c r="AO1263" s="16"/>
      <c r="AP1263" s="16"/>
      <c r="AQ1263" s="16"/>
      <c r="AR1263" s="16"/>
      <c r="AS1263" s="16"/>
    </row>
    <row r="1264" spans="18:45" x14ac:dyDescent="0.35">
      <c r="R1264" s="191"/>
      <c r="S1264" s="191"/>
      <c r="T1264" s="193"/>
      <c r="U1264" s="191"/>
      <c r="V1264" s="194"/>
      <c r="W1264" s="191"/>
      <c r="Y1264" s="191"/>
      <c r="Z1264" s="191"/>
      <c r="AA1264" s="191"/>
      <c r="AB1264" s="191"/>
      <c r="AC1264" s="191"/>
      <c r="AD1264" s="16"/>
      <c r="AE1264" s="16"/>
      <c r="AF1264" s="16"/>
      <c r="AG1264" s="16"/>
      <c r="AH1264" s="16"/>
      <c r="AI1264" s="16"/>
      <c r="AJ1264" s="16"/>
      <c r="AK1264" s="16"/>
      <c r="AL1264" s="16"/>
      <c r="AM1264" s="16"/>
      <c r="AN1264" s="16"/>
      <c r="AO1264" s="16"/>
      <c r="AP1264" s="16"/>
      <c r="AQ1264" s="16"/>
      <c r="AR1264" s="16"/>
      <c r="AS1264" s="16"/>
    </row>
    <row r="1265" spans="18:45" x14ac:dyDescent="0.35">
      <c r="R1265" s="191"/>
      <c r="S1265" s="191"/>
      <c r="T1265" s="193"/>
      <c r="U1265" s="191"/>
      <c r="V1265" s="194"/>
      <c r="W1265" s="191"/>
      <c r="Y1265" s="191"/>
      <c r="Z1265" s="191"/>
      <c r="AA1265" s="191"/>
      <c r="AB1265" s="191"/>
      <c r="AC1265" s="191"/>
      <c r="AD1265" s="16"/>
      <c r="AE1265" s="16"/>
      <c r="AF1265" s="16"/>
      <c r="AG1265" s="16"/>
      <c r="AH1265" s="16"/>
      <c r="AI1265" s="16"/>
      <c r="AJ1265" s="16"/>
      <c r="AK1265" s="16"/>
      <c r="AL1265" s="16"/>
      <c r="AM1265" s="16"/>
      <c r="AN1265" s="16"/>
      <c r="AO1265" s="16"/>
      <c r="AP1265" s="16"/>
      <c r="AQ1265" s="16"/>
      <c r="AR1265" s="16"/>
      <c r="AS1265" s="16"/>
    </row>
    <row r="1266" spans="18:45" x14ac:dyDescent="0.35">
      <c r="R1266" s="191"/>
      <c r="S1266" s="191"/>
      <c r="T1266" s="193"/>
      <c r="U1266" s="191"/>
      <c r="V1266" s="194"/>
      <c r="W1266" s="191"/>
      <c r="Y1266" s="191"/>
      <c r="Z1266" s="191"/>
      <c r="AA1266" s="191"/>
      <c r="AB1266" s="191"/>
      <c r="AC1266" s="191"/>
      <c r="AD1266" s="16"/>
      <c r="AE1266" s="16"/>
      <c r="AF1266" s="16"/>
      <c r="AG1266" s="16"/>
      <c r="AH1266" s="16"/>
      <c r="AI1266" s="16"/>
      <c r="AJ1266" s="16"/>
      <c r="AK1266" s="16"/>
      <c r="AL1266" s="16"/>
      <c r="AM1266" s="16"/>
      <c r="AN1266" s="16"/>
      <c r="AO1266" s="16"/>
      <c r="AP1266" s="16"/>
      <c r="AQ1266" s="16"/>
      <c r="AR1266" s="16"/>
      <c r="AS1266" s="16"/>
    </row>
    <row r="1267" spans="18:45" x14ac:dyDescent="0.35">
      <c r="R1267" s="191"/>
      <c r="S1267" s="191"/>
      <c r="T1267" s="193"/>
      <c r="U1267" s="191"/>
      <c r="V1267" s="194"/>
      <c r="W1267" s="191"/>
      <c r="Y1267" s="191"/>
      <c r="Z1267" s="191"/>
      <c r="AA1267" s="191"/>
      <c r="AB1267" s="191"/>
      <c r="AC1267" s="191"/>
      <c r="AD1267" s="16"/>
      <c r="AE1267" s="16"/>
      <c r="AF1267" s="16"/>
      <c r="AG1267" s="16"/>
      <c r="AH1267" s="16"/>
      <c r="AI1267" s="16"/>
      <c r="AJ1267" s="16"/>
      <c r="AK1267" s="16"/>
      <c r="AL1267" s="16"/>
      <c r="AM1267" s="16"/>
      <c r="AN1267" s="16"/>
      <c r="AO1267" s="16"/>
      <c r="AP1267" s="16"/>
      <c r="AQ1267" s="16"/>
      <c r="AR1267" s="16"/>
      <c r="AS1267" s="16"/>
    </row>
    <row r="1268" spans="18:45" x14ac:dyDescent="0.35">
      <c r="R1268" s="191"/>
      <c r="S1268" s="191"/>
      <c r="T1268" s="193"/>
      <c r="U1268" s="191"/>
      <c r="V1268" s="194"/>
      <c r="W1268" s="191"/>
      <c r="Y1268" s="191"/>
      <c r="Z1268" s="191"/>
      <c r="AA1268" s="191"/>
      <c r="AB1268" s="191"/>
      <c r="AC1268" s="191"/>
      <c r="AD1268" s="16"/>
      <c r="AE1268" s="16"/>
      <c r="AF1268" s="16"/>
      <c r="AG1268" s="16"/>
      <c r="AH1268" s="16"/>
      <c r="AI1268" s="16"/>
      <c r="AJ1268" s="16"/>
      <c r="AK1268" s="16"/>
      <c r="AL1268" s="16"/>
      <c r="AM1268" s="16"/>
      <c r="AN1268" s="16"/>
      <c r="AO1268" s="16"/>
      <c r="AP1268" s="16"/>
      <c r="AQ1268" s="16"/>
      <c r="AR1268" s="16"/>
      <c r="AS1268" s="16"/>
    </row>
    <row r="1269" spans="18:45" x14ac:dyDescent="0.35">
      <c r="R1269" s="191"/>
      <c r="S1269" s="191"/>
      <c r="T1269" s="193"/>
      <c r="U1269" s="191"/>
      <c r="V1269" s="194"/>
      <c r="W1269" s="191"/>
      <c r="Y1269" s="191"/>
      <c r="Z1269" s="191"/>
      <c r="AA1269" s="191"/>
      <c r="AB1269" s="191"/>
      <c r="AC1269" s="191"/>
      <c r="AD1269" s="16"/>
      <c r="AE1269" s="16"/>
      <c r="AF1269" s="16"/>
      <c r="AG1269" s="16"/>
      <c r="AH1269" s="16"/>
      <c r="AI1269" s="16"/>
      <c r="AJ1269" s="16"/>
      <c r="AK1269" s="16"/>
      <c r="AL1269" s="16"/>
      <c r="AM1269" s="16"/>
      <c r="AN1269" s="16"/>
      <c r="AO1269" s="16"/>
      <c r="AP1269" s="16"/>
      <c r="AQ1269" s="16"/>
      <c r="AR1269" s="16"/>
      <c r="AS1269" s="16"/>
    </row>
    <row r="1270" spans="18:45" x14ac:dyDescent="0.35">
      <c r="R1270" s="191"/>
      <c r="S1270" s="191"/>
      <c r="T1270" s="193"/>
      <c r="U1270" s="191"/>
      <c r="V1270" s="194"/>
      <c r="W1270" s="191"/>
      <c r="Y1270" s="191"/>
      <c r="Z1270" s="191"/>
      <c r="AA1270" s="191"/>
      <c r="AB1270" s="191"/>
      <c r="AC1270" s="191"/>
      <c r="AD1270" s="16"/>
      <c r="AE1270" s="16"/>
      <c r="AF1270" s="16"/>
      <c r="AG1270" s="16"/>
      <c r="AH1270" s="16"/>
      <c r="AI1270" s="16"/>
      <c r="AJ1270" s="16"/>
      <c r="AK1270" s="16"/>
      <c r="AL1270" s="16"/>
      <c r="AM1270" s="16"/>
      <c r="AN1270" s="16"/>
      <c r="AO1270" s="16"/>
      <c r="AP1270" s="16"/>
      <c r="AQ1270" s="16"/>
      <c r="AR1270" s="16"/>
      <c r="AS1270" s="16"/>
    </row>
    <row r="1271" spans="18:45" x14ac:dyDescent="0.35">
      <c r="R1271" s="191"/>
      <c r="S1271" s="191"/>
      <c r="T1271" s="193"/>
      <c r="U1271" s="191"/>
      <c r="V1271" s="194"/>
      <c r="W1271" s="191"/>
      <c r="Y1271" s="191"/>
      <c r="Z1271" s="191"/>
      <c r="AA1271" s="191"/>
      <c r="AB1271" s="191"/>
      <c r="AC1271" s="191"/>
      <c r="AD1271" s="16"/>
      <c r="AE1271" s="16"/>
      <c r="AF1271" s="16"/>
      <c r="AG1271" s="16"/>
      <c r="AH1271" s="16"/>
      <c r="AI1271" s="16"/>
      <c r="AJ1271" s="16"/>
      <c r="AK1271" s="16"/>
      <c r="AL1271" s="16"/>
      <c r="AM1271" s="16"/>
      <c r="AN1271" s="16"/>
      <c r="AO1271" s="16"/>
      <c r="AP1271" s="16"/>
      <c r="AQ1271" s="16"/>
      <c r="AR1271" s="16"/>
      <c r="AS1271" s="16"/>
    </row>
    <row r="1272" spans="18:45" x14ac:dyDescent="0.35">
      <c r="R1272" s="191"/>
      <c r="S1272" s="191"/>
      <c r="T1272" s="193"/>
      <c r="U1272" s="191"/>
      <c r="V1272" s="194"/>
      <c r="W1272" s="191"/>
      <c r="Y1272" s="191"/>
      <c r="Z1272" s="191"/>
      <c r="AA1272" s="191"/>
      <c r="AB1272" s="191"/>
      <c r="AC1272" s="191"/>
      <c r="AD1272" s="16"/>
      <c r="AE1272" s="16"/>
      <c r="AF1272" s="16"/>
      <c r="AG1272" s="16"/>
      <c r="AH1272" s="16"/>
      <c r="AI1272" s="16"/>
      <c r="AJ1272" s="16"/>
      <c r="AK1272" s="16"/>
      <c r="AL1272" s="16"/>
      <c r="AM1272" s="16"/>
      <c r="AN1272" s="16"/>
      <c r="AO1272" s="16"/>
      <c r="AP1272" s="16"/>
      <c r="AQ1272" s="16"/>
      <c r="AR1272" s="16"/>
      <c r="AS1272" s="16"/>
    </row>
    <row r="1273" spans="18:45" x14ac:dyDescent="0.35">
      <c r="R1273" s="191"/>
      <c r="S1273" s="191"/>
      <c r="T1273" s="193"/>
      <c r="U1273" s="191"/>
      <c r="V1273" s="194"/>
      <c r="W1273" s="191"/>
      <c r="Y1273" s="191"/>
      <c r="Z1273" s="191"/>
      <c r="AA1273" s="191"/>
      <c r="AB1273" s="191"/>
      <c r="AC1273" s="191"/>
      <c r="AD1273" s="16"/>
      <c r="AE1273" s="16"/>
      <c r="AF1273" s="16"/>
      <c r="AG1273" s="16"/>
      <c r="AH1273" s="16"/>
      <c r="AI1273" s="16"/>
      <c r="AJ1273" s="16"/>
      <c r="AK1273" s="16"/>
      <c r="AL1273" s="16"/>
      <c r="AM1273" s="16"/>
      <c r="AN1273" s="16"/>
      <c r="AO1273" s="16"/>
      <c r="AP1273" s="16"/>
      <c r="AQ1273" s="16"/>
      <c r="AR1273" s="16"/>
      <c r="AS1273" s="16"/>
    </row>
    <row r="1274" spans="18:45" x14ac:dyDescent="0.35">
      <c r="R1274" s="191"/>
      <c r="S1274" s="191"/>
      <c r="T1274" s="193"/>
      <c r="U1274" s="191"/>
      <c r="V1274" s="194"/>
      <c r="W1274" s="191"/>
      <c r="Y1274" s="191"/>
      <c r="Z1274" s="191"/>
      <c r="AA1274" s="191"/>
      <c r="AB1274" s="191"/>
      <c r="AC1274" s="191"/>
      <c r="AD1274" s="16"/>
      <c r="AE1274" s="16"/>
      <c r="AF1274" s="16"/>
      <c r="AG1274" s="16"/>
      <c r="AH1274" s="16"/>
      <c r="AI1274" s="16"/>
      <c r="AJ1274" s="16"/>
      <c r="AK1274" s="16"/>
      <c r="AL1274" s="16"/>
      <c r="AM1274" s="16"/>
      <c r="AN1274" s="16"/>
      <c r="AO1274" s="16"/>
      <c r="AP1274" s="16"/>
      <c r="AQ1274" s="16"/>
      <c r="AR1274" s="16"/>
      <c r="AS1274" s="16"/>
    </row>
    <row r="1275" spans="18:45" x14ac:dyDescent="0.35">
      <c r="R1275" s="191"/>
      <c r="S1275" s="191"/>
      <c r="T1275" s="193"/>
      <c r="U1275" s="191"/>
      <c r="V1275" s="194"/>
      <c r="W1275" s="191"/>
      <c r="Y1275" s="191"/>
      <c r="Z1275" s="191"/>
      <c r="AA1275" s="191"/>
      <c r="AB1275" s="191"/>
      <c r="AC1275" s="191"/>
      <c r="AD1275" s="16"/>
      <c r="AE1275" s="16"/>
      <c r="AF1275" s="16"/>
      <c r="AG1275" s="16"/>
      <c r="AH1275" s="16"/>
      <c r="AI1275" s="16"/>
      <c r="AJ1275" s="16"/>
      <c r="AK1275" s="16"/>
      <c r="AL1275" s="16"/>
      <c r="AM1275" s="16"/>
      <c r="AN1275" s="16"/>
      <c r="AO1275" s="16"/>
      <c r="AP1275" s="16"/>
      <c r="AQ1275" s="16"/>
      <c r="AR1275" s="16"/>
      <c r="AS1275" s="16"/>
    </row>
    <row r="1276" spans="18:45" x14ac:dyDescent="0.35">
      <c r="R1276" s="191"/>
      <c r="S1276" s="191"/>
      <c r="T1276" s="193"/>
      <c r="U1276" s="191"/>
      <c r="V1276" s="194"/>
      <c r="W1276" s="191"/>
      <c r="Y1276" s="191"/>
      <c r="Z1276" s="191"/>
      <c r="AA1276" s="191"/>
      <c r="AB1276" s="191"/>
      <c r="AC1276" s="191"/>
      <c r="AD1276" s="16"/>
      <c r="AE1276" s="16"/>
      <c r="AF1276" s="16"/>
      <c r="AG1276" s="16"/>
      <c r="AH1276" s="16"/>
      <c r="AI1276" s="16"/>
      <c r="AJ1276" s="16"/>
      <c r="AK1276" s="16"/>
      <c r="AL1276" s="16"/>
      <c r="AM1276" s="16"/>
      <c r="AN1276" s="16"/>
      <c r="AO1276" s="16"/>
      <c r="AP1276" s="16"/>
      <c r="AQ1276" s="16"/>
      <c r="AR1276" s="16"/>
      <c r="AS1276" s="16"/>
    </row>
    <row r="1277" spans="18:45" x14ac:dyDescent="0.35">
      <c r="R1277" s="191"/>
      <c r="S1277" s="191"/>
      <c r="T1277" s="193"/>
      <c r="U1277" s="191"/>
      <c r="V1277" s="194"/>
      <c r="W1277" s="191"/>
      <c r="Y1277" s="191"/>
      <c r="Z1277" s="191"/>
      <c r="AA1277" s="191"/>
      <c r="AB1277" s="191"/>
      <c r="AC1277" s="191"/>
      <c r="AD1277" s="16"/>
      <c r="AE1277" s="16"/>
      <c r="AF1277" s="16"/>
      <c r="AG1277" s="16"/>
      <c r="AH1277" s="16"/>
      <c r="AI1277" s="16"/>
      <c r="AJ1277" s="16"/>
      <c r="AK1277" s="16"/>
      <c r="AL1277" s="16"/>
      <c r="AM1277" s="16"/>
      <c r="AN1277" s="16"/>
      <c r="AO1277" s="16"/>
      <c r="AP1277" s="16"/>
      <c r="AQ1277" s="16"/>
      <c r="AR1277" s="16"/>
      <c r="AS1277" s="16"/>
    </row>
    <row r="1278" spans="18:45" x14ac:dyDescent="0.35">
      <c r="R1278" s="191"/>
      <c r="S1278" s="191"/>
      <c r="T1278" s="193"/>
      <c r="U1278" s="191"/>
      <c r="V1278" s="194"/>
      <c r="W1278" s="191"/>
      <c r="Y1278" s="191"/>
      <c r="Z1278" s="191"/>
      <c r="AA1278" s="191"/>
      <c r="AB1278" s="191"/>
      <c r="AC1278" s="191"/>
      <c r="AD1278" s="16"/>
      <c r="AE1278" s="16"/>
      <c r="AF1278" s="16"/>
      <c r="AG1278" s="16"/>
      <c r="AH1278" s="16"/>
      <c r="AI1278" s="16"/>
      <c r="AJ1278" s="16"/>
      <c r="AK1278" s="16"/>
      <c r="AL1278" s="16"/>
      <c r="AM1278" s="16"/>
      <c r="AN1278" s="16"/>
      <c r="AO1278" s="16"/>
      <c r="AP1278" s="16"/>
      <c r="AQ1278" s="16"/>
      <c r="AR1278" s="16"/>
      <c r="AS1278" s="16"/>
    </row>
    <row r="1279" spans="18:45" x14ac:dyDescent="0.35">
      <c r="R1279" s="191"/>
      <c r="S1279" s="191"/>
      <c r="T1279" s="193"/>
      <c r="U1279" s="191"/>
      <c r="V1279" s="194"/>
      <c r="W1279" s="191"/>
      <c r="Y1279" s="191"/>
      <c r="Z1279" s="191"/>
      <c r="AA1279" s="191"/>
      <c r="AB1279" s="191"/>
      <c r="AC1279" s="191"/>
      <c r="AD1279" s="16"/>
      <c r="AE1279" s="16"/>
      <c r="AF1279" s="16"/>
      <c r="AG1279" s="16"/>
      <c r="AH1279" s="16"/>
      <c r="AI1279" s="16"/>
      <c r="AJ1279" s="16"/>
      <c r="AK1279" s="16"/>
      <c r="AL1279" s="16"/>
      <c r="AM1279" s="16"/>
      <c r="AN1279" s="16"/>
      <c r="AO1279" s="16"/>
      <c r="AP1279" s="16"/>
      <c r="AQ1279" s="16"/>
      <c r="AR1279" s="16"/>
      <c r="AS1279" s="16"/>
    </row>
    <row r="1280" spans="18:45" x14ac:dyDescent="0.35">
      <c r="R1280" s="191"/>
      <c r="S1280" s="191"/>
      <c r="T1280" s="193"/>
      <c r="U1280" s="191"/>
      <c r="V1280" s="194"/>
      <c r="W1280" s="191"/>
      <c r="Y1280" s="191"/>
      <c r="Z1280" s="191"/>
      <c r="AA1280" s="191"/>
      <c r="AB1280" s="191"/>
      <c r="AC1280" s="191"/>
      <c r="AD1280" s="16"/>
      <c r="AE1280" s="16"/>
      <c r="AF1280" s="16"/>
      <c r="AG1280" s="16"/>
      <c r="AH1280" s="16"/>
      <c r="AI1280" s="16"/>
      <c r="AJ1280" s="16"/>
      <c r="AK1280" s="16"/>
      <c r="AL1280" s="16"/>
      <c r="AM1280" s="16"/>
      <c r="AN1280" s="16"/>
      <c r="AO1280" s="16"/>
      <c r="AP1280" s="16"/>
      <c r="AQ1280" s="16"/>
      <c r="AR1280" s="16"/>
      <c r="AS1280" s="16"/>
    </row>
    <row r="1281" spans="18:45" x14ac:dyDescent="0.35">
      <c r="R1281" s="191"/>
      <c r="S1281" s="191"/>
      <c r="T1281" s="193"/>
      <c r="U1281" s="191"/>
      <c r="V1281" s="194"/>
      <c r="W1281" s="191"/>
      <c r="Y1281" s="191"/>
      <c r="Z1281" s="191"/>
      <c r="AA1281" s="191"/>
      <c r="AB1281" s="191"/>
      <c r="AC1281" s="191"/>
      <c r="AD1281" s="16"/>
      <c r="AE1281" s="16"/>
      <c r="AF1281" s="16"/>
      <c r="AG1281" s="16"/>
      <c r="AH1281" s="16"/>
      <c r="AI1281" s="16"/>
      <c r="AJ1281" s="16"/>
      <c r="AK1281" s="16"/>
      <c r="AL1281" s="16"/>
      <c r="AM1281" s="16"/>
      <c r="AN1281" s="16"/>
      <c r="AO1281" s="16"/>
      <c r="AP1281" s="16"/>
      <c r="AQ1281" s="16"/>
      <c r="AR1281" s="16"/>
      <c r="AS1281" s="16"/>
    </row>
    <row r="1282" spans="18:45" x14ac:dyDescent="0.35">
      <c r="R1282" s="191"/>
      <c r="S1282" s="191"/>
      <c r="T1282" s="193"/>
      <c r="U1282" s="191"/>
      <c r="V1282" s="194"/>
      <c r="W1282" s="191"/>
      <c r="Y1282" s="191"/>
      <c r="Z1282" s="191"/>
      <c r="AA1282" s="191"/>
      <c r="AB1282" s="191"/>
      <c r="AC1282" s="191"/>
      <c r="AD1282" s="16"/>
      <c r="AE1282" s="16"/>
      <c r="AF1282" s="16"/>
      <c r="AG1282" s="16"/>
      <c r="AH1282" s="16"/>
      <c r="AI1282" s="16"/>
      <c r="AJ1282" s="16"/>
      <c r="AK1282" s="16"/>
      <c r="AL1282" s="16"/>
      <c r="AM1282" s="16"/>
      <c r="AN1282" s="16"/>
      <c r="AO1282" s="16"/>
      <c r="AP1282" s="16"/>
      <c r="AQ1282" s="16"/>
      <c r="AR1282" s="16"/>
      <c r="AS1282" s="16"/>
    </row>
    <row r="1283" spans="18:45" x14ac:dyDescent="0.35">
      <c r="R1283" s="191"/>
      <c r="S1283" s="191"/>
      <c r="T1283" s="193"/>
      <c r="U1283" s="191"/>
      <c r="V1283" s="194"/>
      <c r="W1283" s="191"/>
      <c r="Y1283" s="191"/>
      <c r="Z1283" s="191"/>
      <c r="AA1283" s="191"/>
      <c r="AB1283" s="191"/>
      <c r="AC1283" s="191"/>
      <c r="AD1283" s="16"/>
      <c r="AE1283" s="16"/>
      <c r="AF1283" s="16"/>
      <c r="AG1283" s="16"/>
      <c r="AH1283" s="16"/>
      <c r="AI1283" s="16"/>
      <c r="AJ1283" s="16"/>
      <c r="AK1283" s="16"/>
      <c r="AL1283" s="16"/>
      <c r="AM1283" s="16"/>
      <c r="AN1283" s="16"/>
      <c r="AO1283" s="16"/>
      <c r="AP1283" s="16"/>
      <c r="AQ1283" s="16"/>
      <c r="AR1283" s="16"/>
      <c r="AS1283" s="16"/>
    </row>
    <row r="1284" spans="18:45" x14ac:dyDescent="0.35">
      <c r="R1284" s="191"/>
      <c r="S1284" s="191"/>
      <c r="T1284" s="193"/>
      <c r="U1284" s="191"/>
      <c r="V1284" s="194"/>
      <c r="W1284" s="191"/>
      <c r="Y1284" s="191"/>
      <c r="Z1284" s="191"/>
      <c r="AA1284" s="191"/>
      <c r="AB1284" s="191"/>
      <c r="AC1284" s="191"/>
      <c r="AD1284" s="16"/>
      <c r="AE1284" s="16"/>
      <c r="AF1284" s="16"/>
      <c r="AG1284" s="16"/>
      <c r="AH1284" s="16"/>
      <c r="AI1284" s="16"/>
      <c r="AJ1284" s="16"/>
      <c r="AK1284" s="16"/>
      <c r="AL1284" s="16"/>
      <c r="AM1284" s="16"/>
      <c r="AN1284" s="16"/>
      <c r="AO1284" s="16"/>
      <c r="AP1284" s="16"/>
      <c r="AQ1284" s="16"/>
      <c r="AR1284" s="16"/>
      <c r="AS1284" s="16"/>
    </row>
    <row r="1285" spans="18:45" x14ac:dyDescent="0.35">
      <c r="R1285" s="191"/>
      <c r="S1285" s="191"/>
      <c r="T1285" s="193"/>
      <c r="U1285" s="191"/>
      <c r="V1285" s="194"/>
      <c r="W1285" s="191"/>
      <c r="Y1285" s="191"/>
      <c r="Z1285" s="191"/>
      <c r="AA1285" s="191"/>
      <c r="AB1285" s="191"/>
      <c r="AC1285" s="191"/>
      <c r="AD1285" s="16"/>
      <c r="AE1285" s="16"/>
      <c r="AF1285" s="16"/>
      <c r="AG1285" s="16"/>
      <c r="AH1285" s="16"/>
      <c r="AI1285" s="16"/>
      <c r="AJ1285" s="16"/>
      <c r="AK1285" s="16"/>
      <c r="AL1285" s="16"/>
      <c r="AM1285" s="16"/>
      <c r="AN1285" s="16"/>
      <c r="AO1285" s="16"/>
      <c r="AP1285" s="16"/>
      <c r="AQ1285" s="16"/>
      <c r="AR1285" s="16"/>
      <c r="AS1285" s="16"/>
    </row>
    <row r="1286" spans="18:45" x14ac:dyDescent="0.35">
      <c r="R1286" s="191"/>
      <c r="S1286" s="191"/>
      <c r="T1286" s="193"/>
      <c r="U1286" s="191"/>
      <c r="V1286" s="194"/>
      <c r="W1286" s="191"/>
      <c r="Y1286" s="191"/>
      <c r="Z1286" s="191"/>
      <c r="AA1286" s="191"/>
      <c r="AB1286" s="191"/>
      <c r="AC1286" s="191"/>
      <c r="AD1286" s="16"/>
      <c r="AE1286" s="16"/>
      <c r="AF1286" s="16"/>
      <c r="AG1286" s="16"/>
      <c r="AH1286" s="16"/>
      <c r="AI1286" s="16"/>
      <c r="AJ1286" s="16"/>
      <c r="AK1286" s="16"/>
      <c r="AL1286" s="16"/>
      <c r="AM1286" s="16"/>
      <c r="AN1286" s="16"/>
      <c r="AO1286" s="16"/>
      <c r="AP1286" s="16"/>
      <c r="AQ1286" s="16"/>
      <c r="AR1286" s="16"/>
      <c r="AS1286" s="16"/>
    </row>
    <row r="1287" spans="18:45" x14ac:dyDescent="0.35">
      <c r="R1287" s="191"/>
      <c r="S1287" s="191"/>
      <c r="T1287" s="193"/>
      <c r="U1287" s="191"/>
      <c r="V1287" s="194"/>
      <c r="W1287" s="191"/>
      <c r="Y1287" s="191"/>
      <c r="Z1287" s="191"/>
      <c r="AA1287" s="191"/>
      <c r="AB1287" s="191"/>
      <c r="AC1287" s="191"/>
      <c r="AD1287" s="16"/>
      <c r="AE1287" s="16"/>
      <c r="AF1287" s="16"/>
      <c r="AG1287" s="16"/>
      <c r="AH1287" s="16"/>
      <c r="AI1287" s="16"/>
      <c r="AJ1287" s="16"/>
      <c r="AK1287" s="16"/>
      <c r="AL1287" s="16"/>
      <c r="AM1287" s="16"/>
      <c r="AN1287" s="16"/>
      <c r="AO1287" s="16"/>
      <c r="AP1287" s="16"/>
      <c r="AQ1287" s="16"/>
      <c r="AR1287" s="16"/>
      <c r="AS1287" s="16"/>
    </row>
    <row r="1288" spans="18:45" x14ac:dyDescent="0.35">
      <c r="R1288" s="191"/>
      <c r="S1288" s="191"/>
      <c r="T1288" s="193"/>
      <c r="U1288" s="191"/>
      <c r="V1288" s="194"/>
      <c r="W1288" s="191"/>
      <c r="Y1288" s="191"/>
      <c r="Z1288" s="191"/>
      <c r="AA1288" s="191"/>
      <c r="AB1288" s="191"/>
      <c r="AC1288" s="191"/>
      <c r="AD1288" s="16"/>
      <c r="AE1288" s="16"/>
      <c r="AF1288" s="16"/>
      <c r="AG1288" s="16"/>
      <c r="AH1288" s="16"/>
      <c r="AI1288" s="16"/>
      <c r="AJ1288" s="16"/>
      <c r="AK1288" s="16"/>
      <c r="AL1288" s="16"/>
      <c r="AM1288" s="16"/>
      <c r="AN1288" s="16"/>
      <c r="AO1288" s="16"/>
      <c r="AP1288" s="16"/>
      <c r="AQ1288" s="16"/>
      <c r="AR1288" s="16"/>
      <c r="AS1288" s="16"/>
    </row>
    <row r="1289" spans="18:45" x14ac:dyDescent="0.35">
      <c r="R1289" s="191"/>
      <c r="S1289" s="191"/>
      <c r="T1289" s="193"/>
      <c r="U1289" s="191"/>
      <c r="V1289" s="194"/>
      <c r="W1289" s="191"/>
      <c r="Y1289" s="191"/>
      <c r="Z1289" s="191"/>
      <c r="AA1289" s="191"/>
      <c r="AB1289" s="191"/>
      <c r="AC1289" s="191"/>
      <c r="AD1289" s="16"/>
      <c r="AE1289" s="16"/>
      <c r="AF1289" s="16"/>
      <c r="AG1289" s="16"/>
      <c r="AH1289" s="16"/>
      <c r="AI1289" s="16"/>
      <c r="AJ1289" s="16"/>
      <c r="AK1289" s="16"/>
      <c r="AL1289" s="16"/>
      <c r="AM1289" s="16"/>
      <c r="AN1289" s="16"/>
      <c r="AO1289" s="16"/>
      <c r="AP1289" s="16"/>
      <c r="AQ1289" s="16"/>
      <c r="AR1289" s="16"/>
      <c r="AS1289" s="16"/>
    </row>
    <row r="1290" spans="18:45" x14ac:dyDescent="0.35">
      <c r="R1290" s="191"/>
      <c r="S1290" s="191"/>
      <c r="T1290" s="193"/>
      <c r="U1290" s="191"/>
      <c r="V1290" s="194"/>
      <c r="W1290" s="191"/>
      <c r="Y1290" s="191"/>
      <c r="Z1290" s="191"/>
      <c r="AA1290" s="191"/>
      <c r="AB1290" s="191"/>
      <c r="AC1290" s="191"/>
      <c r="AD1290" s="16"/>
      <c r="AE1290" s="16"/>
      <c r="AF1290" s="16"/>
      <c r="AG1290" s="16"/>
      <c r="AH1290" s="16"/>
      <c r="AI1290" s="16"/>
      <c r="AJ1290" s="16"/>
      <c r="AK1290" s="16"/>
      <c r="AL1290" s="16"/>
      <c r="AM1290" s="16"/>
      <c r="AN1290" s="16"/>
      <c r="AO1290" s="16"/>
      <c r="AP1290" s="16"/>
      <c r="AQ1290" s="16"/>
      <c r="AR1290" s="16"/>
      <c r="AS1290" s="16"/>
    </row>
    <row r="1291" spans="18:45" x14ac:dyDescent="0.35">
      <c r="R1291" s="191"/>
      <c r="S1291" s="191"/>
      <c r="T1291" s="193"/>
      <c r="U1291" s="191"/>
      <c r="V1291" s="194"/>
      <c r="W1291" s="191"/>
      <c r="Y1291" s="191"/>
      <c r="Z1291" s="191"/>
      <c r="AA1291" s="191"/>
      <c r="AB1291" s="191"/>
      <c r="AC1291" s="191"/>
      <c r="AD1291" s="16"/>
      <c r="AE1291" s="16"/>
      <c r="AF1291" s="16"/>
      <c r="AG1291" s="16"/>
      <c r="AH1291" s="16"/>
      <c r="AI1291" s="16"/>
      <c r="AJ1291" s="16"/>
      <c r="AK1291" s="16"/>
      <c r="AL1291" s="16"/>
      <c r="AM1291" s="16"/>
      <c r="AN1291" s="16"/>
      <c r="AO1291" s="16"/>
      <c r="AP1291" s="16"/>
      <c r="AQ1291" s="16"/>
      <c r="AR1291" s="16"/>
      <c r="AS1291" s="16"/>
    </row>
    <row r="1292" spans="18:45" x14ac:dyDescent="0.35">
      <c r="R1292" s="191"/>
      <c r="S1292" s="191"/>
      <c r="T1292" s="193"/>
      <c r="U1292" s="191"/>
      <c r="V1292" s="194"/>
      <c r="W1292" s="191"/>
      <c r="Y1292" s="191"/>
      <c r="Z1292" s="191"/>
      <c r="AA1292" s="191"/>
      <c r="AB1292" s="191"/>
      <c r="AC1292" s="191"/>
      <c r="AD1292" s="16"/>
      <c r="AE1292" s="16"/>
      <c r="AF1292" s="16"/>
      <c r="AG1292" s="16"/>
      <c r="AH1292" s="16"/>
      <c r="AI1292" s="16"/>
      <c r="AJ1292" s="16"/>
      <c r="AK1292" s="16"/>
      <c r="AL1292" s="16"/>
      <c r="AM1292" s="16"/>
      <c r="AN1292" s="16"/>
      <c r="AO1292" s="16"/>
      <c r="AP1292" s="16"/>
      <c r="AQ1292" s="16"/>
      <c r="AR1292" s="16"/>
      <c r="AS1292" s="16"/>
    </row>
    <row r="1293" spans="18:45" x14ac:dyDescent="0.35">
      <c r="R1293" s="191"/>
      <c r="S1293" s="191"/>
      <c r="T1293" s="193"/>
      <c r="U1293" s="191"/>
      <c r="V1293" s="194"/>
      <c r="W1293" s="191"/>
      <c r="Y1293" s="191"/>
      <c r="Z1293" s="191"/>
      <c r="AA1293" s="191"/>
      <c r="AB1293" s="191"/>
      <c r="AC1293" s="191"/>
      <c r="AD1293" s="16"/>
      <c r="AE1293" s="16"/>
      <c r="AF1293" s="16"/>
      <c r="AG1293" s="16"/>
      <c r="AH1293" s="16"/>
      <c r="AI1293" s="16"/>
      <c r="AJ1293" s="16"/>
      <c r="AK1293" s="16"/>
      <c r="AL1293" s="16"/>
      <c r="AM1293" s="16"/>
      <c r="AN1293" s="16"/>
      <c r="AO1293" s="16"/>
      <c r="AP1293" s="16"/>
      <c r="AQ1293" s="16"/>
      <c r="AR1293" s="16"/>
      <c r="AS1293" s="16"/>
    </row>
    <row r="1294" spans="18:45" x14ac:dyDescent="0.35">
      <c r="R1294" s="191"/>
      <c r="S1294" s="191"/>
      <c r="T1294" s="193"/>
      <c r="U1294" s="191"/>
      <c r="V1294" s="194"/>
      <c r="W1294" s="191"/>
      <c r="Y1294" s="191"/>
      <c r="Z1294" s="191"/>
      <c r="AA1294" s="191"/>
      <c r="AB1294" s="191"/>
      <c r="AC1294" s="191"/>
      <c r="AD1294" s="16"/>
      <c r="AE1294" s="16"/>
      <c r="AF1294" s="16"/>
      <c r="AG1294" s="16"/>
      <c r="AH1294" s="16"/>
      <c r="AI1294" s="16"/>
      <c r="AJ1294" s="16"/>
      <c r="AK1294" s="16"/>
      <c r="AL1294" s="16"/>
      <c r="AM1294" s="16"/>
      <c r="AN1294" s="16"/>
      <c r="AO1294" s="16"/>
      <c r="AP1294" s="16"/>
      <c r="AQ1294" s="16"/>
      <c r="AR1294" s="16"/>
      <c r="AS1294" s="16"/>
    </row>
    <row r="1295" spans="18:45" x14ac:dyDescent="0.35">
      <c r="R1295" s="191"/>
      <c r="S1295" s="191"/>
      <c r="T1295" s="193"/>
      <c r="U1295" s="191"/>
      <c r="V1295" s="194"/>
      <c r="W1295" s="191"/>
      <c r="Y1295" s="191"/>
      <c r="Z1295" s="191"/>
      <c r="AA1295" s="191"/>
      <c r="AB1295" s="191"/>
      <c r="AC1295" s="191"/>
      <c r="AD1295" s="16"/>
      <c r="AE1295" s="16"/>
      <c r="AF1295" s="16"/>
      <c r="AG1295" s="16"/>
      <c r="AH1295" s="16"/>
      <c r="AI1295" s="16"/>
      <c r="AJ1295" s="16"/>
      <c r="AK1295" s="16"/>
      <c r="AL1295" s="16"/>
      <c r="AM1295" s="16"/>
      <c r="AN1295" s="16"/>
      <c r="AO1295" s="16"/>
      <c r="AP1295" s="16"/>
      <c r="AQ1295" s="16"/>
      <c r="AR1295" s="16"/>
      <c r="AS1295" s="16"/>
    </row>
    <row r="1296" spans="18:45" x14ac:dyDescent="0.35">
      <c r="R1296" s="191"/>
      <c r="S1296" s="191"/>
      <c r="T1296" s="193"/>
      <c r="U1296" s="191"/>
      <c r="V1296" s="194"/>
      <c r="W1296" s="191"/>
      <c r="Y1296" s="191"/>
      <c r="Z1296" s="191"/>
      <c r="AA1296" s="191"/>
      <c r="AB1296" s="191"/>
      <c r="AC1296" s="191"/>
      <c r="AD1296" s="16"/>
      <c r="AE1296" s="16"/>
      <c r="AF1296" s="16"/>
      <c r="AG1296" s="16"/>
      <c r="AH1296" s="16"/>
      <c r="AI1296" s="16"/>
      <c r="AJ1296" s="16"/>
      <c r="AK1296" s="16"/>
      <c r="AL1296" s="16"/>
      <c r="AM1296" s="16"/>
      <c r="AN1296" s="16"/>
      <c r="AO1296" s="16"/>
      <c r="AP1296" s="16"/>
      <c r="AQ1296" s="16"/>
      <c r="AR1296" s="16"/>
      <c r="AS1296" s="16"/>
    </row>
    <row r="1297" spans="18:45" x14ac:dyDescent="0.35">
      <c r="R1297" s="191"/>
      <c r="S1297" s="191"/>
      <c r="T1297" s="193"/>
      <c r="U1297" s="191"/>
      <c r="V1297" s="194"/>
      <c r="W1297" s="191"/>
      <c r="Y1297" s="191"/>
      <c r="Z1297" s="191"/>
      <c r="AA1297" s="191"/>
      <c r="AB1297" s="191"/>
      <c r="AC1297" s="191"/>
      <c r="AD1297" s="16"/>
      <c r="AE1297" s="16"/>
      <c r="AF1297" s="16"/>
      <c r="AG1297" s="16"/>
      <c r="AH1297" s="16"/>
      <c r="AI1297" s="16"/>
      <c r="AJ1297" s="16"/>
      <c r="AK1297" s="16"/>
      <c r="AL1297" s="16"/>
      <c r="AM1297" s="16"/>
      <c r="AN1297" s="16"/>
      <c r="AO1297" s="16"/>
      <c r="AP1297" s="16"/>
      <c r="AQ1297" s="16"/>
      <c r="AR1297" s="16"/>
      <c r="AS1297" s="16"/>
    </row>
    <row r="1298" spans="18:45" x14ac:dyDescent="0.35">
      <c r="R1298" s="191"/>
      <c r="S1298" s="191"/>
      <c r="T1298" s="193"/>
      <c r="U1298" s="191"/>
      <c r="V1298" s="194"/>
      <c r="W1298" s="191"/>
      <c r="Y1298" s="191"/>
      <c r="Z1298" s="191"/>
      <c r="AA1298" s="191"/>
      <c r="AB1298" s="191"/>
      <c r="AC1298" s="191"/>
      <c r="AD1298" s="16"/>
      <c r="AE1298" s="16"/>
      <c r="AF1298" s="16"/>
      <c r="AG1298" s="16"/>
      <c r="AH1298" s="16"/>
      <c r="AI1298" s="16"/>
      <c r="AJ1298" s="16"/>
      <c r="AK1298" s="16"/>
      <c r="AL1298" s="16"/>
      <c r="AM1298" s="16"/>
      <c r="AN1298" s="16"/>
      <c r="AO1298" s="16"/>
      <c r="AP1298" s="16"/>
      <c r="AQ1298" s="16"/>
      <c r="AR1298" s="16"/>
      <c r="AS1298" s="16"/>
    </row>
    <row r="1299" spans="18:45" x14ac:dyDescent="0.35">
      <c r="R1299" s="191"/>
      <c r="S1299" s="191"/>
      <c r="T1299" s="193"/>
      <c r="U1299" s="191"/>
      <c r="V1299" s="194"/>
      <c r="W1299" s="191"/>
      <c r="Y1299" s="191"/>
      <c r="Z1299" s="191"/>
      <c r="AA1299" s="191"/>
      <c r="AB1299" s="191"/>
      <c r="AC1299" s="191"/>
      <c r="AD1299" s="16"/>
      <c r="AE1299" s="16"/>
      <c r="AF1299" s="16"/>
      <c r="AG1299" s="16"/>
      <c r="AH1299" s="16"/>
      <c r="AI1299" s="16"/>
      <c r="AJ1299" s="16"/>
      <c r="AK1299" s="16"/>
      <c r="AL1299" s="16"/>
      <c r="AM1299" s="16"/>
      <c r="AN1299" s="16"/>
      <c r="AO1299" s="16"/>
      <c r="AP1299" s="16"/>
      <c r="AQ1299" s="16"/>
      <c r="AR1299" s="16"/>
      <c r="AS1299" s="16"/>
    </row>
    <row r="1300" spans="18:45" x14ac:dyDescent="0.35">
      <c r="R1300" s="191"/>
      <c r="S1300" s="191"/>
      <c r="T1300" s="193"/>
      <c r="U1300" s="191"/>
      <c r="V1300" s="194"/>
      <c r="W1300" s="191"/>
      <c r="Y1300" s="191"/>
      <c r="Z1300" s="191"/>
      <c r="AA1300" s="191"/>
      <c r="AB1300" s="191"/>
      <c r="AC1300" s="191"/>
      <c r="AD1300" s="16"/>
      <c r="AE1300" s="16"/>
      <c r="AF1300" s="16"/>
      <c r="AG1300" s="16"/>
      <c r="AH1300" s="16"/>
      <c r="AI1300" s="16"/>
      <c r="AJ1300" s="16"/>
      <c r="AK1300" s="16"/>
      <c r="AL1300" s="16"/>
      <c r="AM1300" s="16"/>
      <c r="AN1300" s="16"/>
      <c r="AO1300" s="16"/>
      <c r="AP1300" s="16"/>
      <c r="AQ1300" s="16"/>
      <c r="AR1300" s="16"/>
      <c r="AS1300" s="16"/>
    </row>
    <row r="1301" spans="18:45" x14ac:dyDescent="0.35">
      <c r="R1301" s="191"/>
      <c r="S1301" s="191"/>
      <c r="T1301" s="193"/>
      <c r="U1301" s="191"/>
      <c r="V1301" s="194"/>
      <c r="W1301" s="191"/>
      <c r="Y1301" s="191"/>
      <c r="Z1301" s="191"/>
      <c r="AA1301" s="191"/>
      <c r="AB1301" s="191"/>
      <c r="AC1301" s="191"/>
      <c r="AD1301" s="16"/>
      <c r="AE1301" s="16"/>
      <c r="AF1301" s="16"/>
      <c r="AG1301" s="16"/>
      <c r="AH1301" s="16"/>
      <c r="AI1301" s="16"/>
      <c r="AJ1301" s="16"/>
      <c r="AK1301" s="16"/>
      <c r="AL1301" s="16"/>
      <c r="AM1301" s="16"/>
      <c r="AN1301" s="16"/>
      <c r="AO1301" s="16"/>
      <c r="AP1301" s="16"/>
      <c r="AQ1301" s="16"/>
      <c r="AR1301" s="16"/>
      <c r="AS1301" s="16"/>
    </row>
    <row r="1302" spans="18:45" x14ac:dyDescent="0.35">
      <c r="R1302" s="191"/>
      <c r="S1302" s="191"/>
      <c r="T1302" s="193"/>
      <c r="U1302" s="191"/>
      <c r="V1302" s="194"/>
      <c r="W1302" s="191"/>
      <c r="Y1302" s="191"/>
      <c r="Z1302" s="191"/>
      <c r="AA1302" s="191"/>
      <c r="AB1302" s="191"/>
      <c r="AC1302" s="191"/>
      <c r="AD1302" s="16"/>
      <c r="AE1302" s="16"/>
      <c r="AF1302" s="16"/>
      <c r="AG1302" s="16"/>
      <c r="AH1302" s="16"/>
      <c r="AI1302" s="16"/>
      <c r="AJ1302" s="16"/>
      <c r="AK1302" s="16"/>
      <c r="AL1302" s="16"/>
      <c r="AM1302" s="16"/>
      <c r="AN1302" s="16"/>
      <c r="AO1302" s="16"/>
      <c r="AP1302" s="16"/>
      <c r="AQ1302" s="16"/>
      <c r="AR1302" s="16"/>
      <c r="AS1302" s="16"/>
    </row>
    <row r="1303" spans="18:45" x14ac:dyDescent="0.35">
      <c r="R1303" s="191"/>
      <c r="S1303" s="191"/>
      <c r="T1303" s="193"/>
      <c r="U1303" s="191"/>
      <c r="V1303" s="194"/>
      <c r="W1303" s="191"/>
      <c r="Y1303" s="191"/>
      <c r="Z1303" s="191"/>
      <c r="AA1303" s="191"/>
      <c r="AB1303" s="191"/>
      <c r="AC1303" s="191"/>
      <c r="AD1303" s="16"/>
      <c r="AE1303" s="16"/>
      <c r="AF1303" s="16"/>
      <c r="AG1303" s="16"/>
      <c r="AH1303" s="16"/>
      <c r="AI1303" s="16"/>
      <c r="AJ1303" s="16"/>
      <c r="AK1303" s="16"/>
      <c r="AL1303" s="16"/>
      <c r="AM1303" s="16"/>
      <c r="AN1303" s="16"/>
      <c r="AO1303" s="16"/>
      <c r="AP1303" s="16"/>
      <c r="AQ1303" s="16"/>
      <c r="AR1303" s="16"/>
      <c r="AS1303" s="16"/>
    </row>
    <row r="1304" spans="18:45" x14ac:dyDescent="0.35">
      <c r="R1304" s="191"/>
      <c r="S1304" s="191"/>
      <c r="T1304" s="193"/>
      <c r="U1304" s="191"/>
      <c r="V1304" s="194"/>
      <c r="W1304" s="191"/>
      <c r="Y1304" s="191"/>
      <c r="Z1304" s="191"/>
      <c r="AA1304" s="191"/>
      <c r="AB1304" s="191"/>
      <c r="AC1304" s="191"/>
      <c r="AD1304" s="16"/>
      <c r="AE1304" s="16"/>
      <c r="AF1304" s="16"/>
      <c r="AG1304" s="16"/>
      <c r="AH1304" s="16"/>
      <c r="AI1304" s="16"/>
      <c r="AJ1304" s="16"/>
      <c r="AK1304" s="16"/>
      <c r="AL1304" s="16"/>
      <c r="AM1304" s="16"/>
      <c r="AN1304" s="16"/>
      <c r="AO1304" s="16"/>
      <c r="AP1304" s="16"/>
      <c r="AQ1304" s="16"/>
      <c r="AR1304" s="16"/>
      <c r="AS1304" s="16"/>
    </row>
    <row r="1305" spans="18:45" x14ac:dyDescent="0.35">
      <c r="R1305" s="191"/>
      <c r="S1305" s="191"/>
      <c r="T1305" s="193"/>
      <c r="U1305" s="191"/>
      <c r="V1305" s="194"/>
      <c r="W1305" s="191"/>
      <c r="Y1305" s="191"/>
      <c r="Z1305" s="191"/>
      <c r="AA1305" s="191"/>
      <c r="AB1305" s="191"/>
      <c r="AC1305" s="191"/>
      <c r="AD1305" s="16"/>
      <c r="AE1305" s="16"/>
      <c r="AF1305" s="16"/>
      <c r="AG1305" s="16"/>
      <c r="AH1305" s="16"/>
      <c r="AI1305" s="16"/>
      <c r="AJ1305" s="16"/>
      <c r="AK1305" s="16"/>
      <c r="AL1305" s="16"/>
      <c r="AM1305" s="16"/>
      <c r="AN1305" s="16"/>
      <c r="AO1305" s="16"/>
      <c r="AP1305" s="16"/>
      <c r="AQ1305" s="16"/>
      <c r="AR1305" s="16"/>
      <c r="AS1305" s="16"/>
    </row>
    <row r="1306" spans="18:45" x14ac:dyDescent="0.35">
      <c r="R1306" s="191"/>
      <c r="S1306" s="191"/>
      <c r="T1306" s="193"/>
      <c r="U1306" s="191"/>
      <c r="V1306" s="194"/>
      <c r="W1306" s="191"/>
      <c r="Y1306" s="191"/>
      <c r="Z1306" s="191"/>
      <c r="AA1306" s="191"/>
      <c r="AB1306" s="191"/>
      <c r="AC1306" s="191"/>
      <c r="AD1306" s="16"/>
      <c r="AE1306" s="16"/>
      <c r="AF1306" s="16"/>
      <c r="AG1306" s="16"/>
      <c r="AH1306" s="16"/>
      <c r="AI1306" s="16"/>
      <c r="AJ1306" s="16"/>
      <c r="AK1306" s="16"/>
      <c r="AL1306" s="16"/>
      <c r="AM1306" s="16"/>
      <c r="AN1306" s="16"/>
      <c r="AO1306" s="16"/>
      <c r="AP1306" s="16"/>
      <c r="AQ1306" s="16"/>
      <c r="AR1306" s="16"/>
      <c r="AS1306" s="16"/>
    </row>
    <row r="1307" spans="18:45" x14ac:dyDescent="0.35">
      <c r="R1307" s="191"/>
      <c r="S1307" s="191"/>
      <c r="T1307" s="193"/>
      <c r="U1307" s="191"/>
      <c r="V1307" s="194"/>
      <c r="W1307" s="191"/>
      <c r="Y1307" s="191"/>
      <c r="Z1307" s="191"/>
      <c r="AA1307" s="191"/>
      <c r="AB1307" s="191"/>
      <c r="AC1307" s="191"/>
      <c r="AD1307" s="16"/>
      <c r="AE1307" s="16"/>
      <c r="AF1307" s="16"/>
      <c r="AG1307" s="16"/>
      <c r="AH1307" s="16"/>
      <c r="AI1307" s="16"/>
      <c r="AJ1307" s="16"/>
      <c r="AK1307" s="16"/>
      <c r="AL1307" s="16"/>
      <c r="AM1307" s="16"/>
      <c r="AN1307" s="16"/>
      <c r="AO1307" s="16"/>
      <c r="AP1307" s="16"/>
      <c r="AQ1307" s="16"/>
      <c r="AR1307" s="16"/>
      <c r="AS1307" s="16"/>
    </row>
    <row r="1308" spans="18:45" x14ac:dyDescent="0.35">
      <c r="R1308" s="191"/>
      <c r="S1308" s="191"/>
      <c r="T1308" s="193"/>
      <c r="U1308" s="191"/>
      <c r="V1308" s="194"/>
      <c r="W1308" s="191"/>
      <c r="Y1308" s="191"/>
      <c r="Z1308" s="191"/>
      <c r="AA1308" s="191"/>
      <c r="AB1308" s="191"/>
      <c r="AC1308" s="191"/>
      <c r="AD1308" s="16"/>
      <c r="AE1308" s="16"/>
      <c r="AF1308" s="16"/>
      <c r="AG1308" s="16"/>
      <c r="AH1308" s="16"/>
      <c r="AI1308" s="16"/>
      <c r="AJ1308" s="16"/>
      <c r="AK1308" s="16"/>
      <c r="AL1308" s="16"/>
      <c r="AM1308" s="16"/>
      <c r="AN1308" s="16"/>
      <c r="AO1308" s="16"/>
      <c r="AP1308" s="16"/>
      <c r="AQ1308" s="16"/>
      <c r="AR1308" s="16"/>
      <c r="AS1308" s="16"/>
    </row>
    <row r="1309" spans="18:45" x14ac:dyDescent="0.35">
      <c r="R1309" s="191"/>
      <c r="S1309" s="191"/>
      <c r="T1309" s="193"/>
      <c r="U1309" s="191"/>
      <c r="V1309" s="194"/>
      <c r="W1309" s="191"/>
      <c r="Y1309" s="191"/>
      <c r="Z1309" s="191"/>
      <c r="AA1309" s="191"/>
      <c r="AB1309" s="191"/>
      <c r="AC1309" s="191"/>
      <c r="AD1309" s="16"/>
      <c r="AE1309" s="16"/>
      <c r="AF1309" s="16"/>
      <c r="AG1309" s="16"/>
      <c r="AH1309" s="16"/>
      <c r="AI1309" s="16"/>
      <c r="AJ1309" s="16"/>
      <c r="AK1309" s="16"/>
      <c r="AL1309" s="16"/>
      <c r="AM1309" s="16"/>
      <c r="AN1309" s="16"/>
      <c r="AO1309" s="16"/>
      <c r="AP1309" s="16"/>
      <c r="AQ1309" s="16"/>
      <c r="AR1309" s="16"/>
      <c r="AS1309" s="16"/>
    </row>
    <row r="1310" spans="18:45" x14ac:dyDescent="0.35">
      <c r="R1310" s="191"/>
      <c r="S1310" s="191"/>
      <c r="T1310" s="193"/>
      <c r="U1310" s="191"/>
      <c r="V1310" s="194"/>
      <c r="W1310" s="191"/>
      <c r="Y1310" s="191"/>
      <c r="Z1310" s="191"/>
      <c r="AA1310" s="191"/>
      <c r="AB1310" s="191"/>
      <c r="AC1310" s="191"/>
      <c r="AD1310" s="16"/>
      <c r="AE1310" s="16"/>
      <c r="AF1310" s="16"/>
      <c r="AG1310" s="16"/>
      <c r="AH1310" s="16"/>
      <c r="AI1310" s="16"/>
      <c r="AJ1310" s="16"/>
      <c r="AK1310" s="16"/>
      <c r="AL1310" s="16"/>
      <c r="AM1310" s="16"/>
      <c r="AN1310" s="16"/>
      <c r="AO1310" s="16"/>
      <c r="AP1310" s="16"/>
      <c r="AQ1310" s="16"/>
      <c r="AR1310" s="16"/>
      <c r="AS1310" s="16"/>
    </row>
    <row r="1311" spans="18:45" x14ac:dyDescent="0.35">
      <c r="R1311" s="191"/>
      <c r="S1311" s="191"/>
      <c r="T1311" s="193"/>
      <c r="U1311" s="191"/>
      <c r="V1311" s="194"/>
      <c r="W1311" s="191"/>
      <c r="Y1311" s="191"/>
      <c r="Z1311" s="191"/>
      <c r="AA1311" s="191"/>
      <c r="AB1311" s="191"/>
      <c r="AC1311" s="191"/>
      <c r="AD1311" s="16"/>
      <c r="AE1311" s="16"/>
      <c r="AF1311" s="16"/>
      <c r="AG1311" s="16"/>
      <c r="AH1311" s="16"/>
      <c r="AI1311" s="16"/>
      <c r="AJ1311" s="16"/>
      <c r="AK1311" s="16"/>
      <c r="AL1311" s="16"/>
      <c r="AM1311" s="16"/>
      <c r="AN1311" s="16"/>
      <c r="AO1311" s="16"/>
      <c r="AP1311" s="16"/>
      <c r="AQ1311" s="16"/>
      <c r="AR1311" s="16"/>
      <c r="AS1311" s="16"/>
    </row>
    <row r="1312" spans="18:45" x14ac:dyDescent="0.35">
      <c r="R1312" s="191"/>
      <c r="S1312" s="191"/>
      <c r="T1312" s="193"/>
      <c r="U1312" s="191"/>
      <c r="V1312" s="194"/>
      <c r="W1312" s="191"/>
      <c r="Y1312" s="191"/>
      <c r="Z1312" s="191"/>
      <c r="AA1312" s="191"/>
      <c r="AB1312" s="191"/>
      <c r="AC1312" s="191"/>
      <c r="AD1312" s="16"/>
      <c r="AE1312" s="16"/>
      <c r="AF1312" s="16"/>
      <c r="AG1312" s="16"/>
      <c r="AH1312" s="16"/>
      <c r="AI1312" s="16"/>
      <c r="AJ1312" s="16"/>
      <c r="AK1312" s="16"/>
      <c r="AL1312" s="16"/>
      <c r="AM1312" s="16"/>
      <c r="AN1312" s="16"/>
      <c r="AO1312" s="16"/>
      <c r="AP1312" s="16"/>
      <c r="AQ1312" s="16"/>
      <c r="AR1312" s="16"/>
      <c r="AS1312" s="16"/>
    </row>
    <row r="1313" spans="18:45" x14ac:dyDescent="0.35">
      <c r="R1313" s="191"/>
      <c r="S1313" s="191"/>
      <c r="T1313" s="193"/>
      <c r="U1313" s="191"/>
      <c r="V1313" s="194"/>
      <c r="W1313" s="191"/>
      <c r="Y1313" s="191"/>
      <c r="Z1313" s="191"/>
      <c r="AA1313" s="191"/>
      <c r="AB1313" s="191"/>
      <c r="AC1313" s="191"/>
      <c r="AD1313" s="16"/>
      <c r="AE1313" s="16"/>
      <c r="AF1313" s="16"/>
      <c r="AG1313" s="16"/>
      <c r="AH1313" s="16"/>
      <c r="AI1313" s="16"/>
      <c r="AJ1313" s="16"/>
      <c r="AK1313" s="16"/>
      <c r="AL1313" s="16"/>
      <c r="AM1313" s="16"/>
      <c r="AN1313" s="16"/>
      <c r="AO1313" s="16"/>
      <c r="AP1313" s="16"/>
      <c r="AQ1313" s="16"/>
      <c r="AR1313" s="16"/>
      <c r="AS1313" s="16"/>
    </row>
    <row r="1314" spans="18:45" x14ac:dyDescent="0.35">
      <c r="R1314" s="191"/>
      <c r="S1314" s="191"/>
      <c r="T1314" s="193"/>
      <c r="U1314" s="191"/>
      <c r="V1314" s="194"/>
      <c r="W1314" s="191"/>
      <c r="Y1314" s="191"/>
      <c r="Z1314" s="191"/>
      <c r="AA1314" s="191"/>
      <c r="AB1314" s="191"/>
      <c r="AC1314" s="191"/>
      <c r="AD1314" s="16"/>
      <c r="AE1314" s="16"/>
      <c r="AF1314" s="16"/>
      <c r="AG1314" s="16"/>
      <c r="AH1314" s="16"/>
      <c r="AI1314" s="16"/>
      <c r="AJ1314" s="16"/>
      <c r="AK1314" s="16"/>
      <c r="AL1314" s="16"/>
      <c r="AM1314" s="16"/>
      <c r="AN1314" s="16"/>
      <c r="AO1314" s="16"/>
      <c r="AP1314" s="16"/>
      <c r="AQ1314" s="16"/>
      <c r="AR1314" s="16"/>
      <c r="AS1314" s="16"/>
    </row>
    <row r="1315" spans="18:45" x14ac:dyDescent="0.35">
      <c r="R1315" s="191"/>
      <c r="S1315" s="191"/>
      <c r="T1315" s="193"/>
      <c r="U1315" s="191"/>
      <c r="V1315" s="194"/>
      <c r="W1315" s="191"/>
      <c r="Y1315" s="191"/>
      <c r="Z1315" s="191"/>
      <c r="AA1315" s="191"/>
      <c r="AB1315" s="191"/>
      <c r="AC1315" s="191"/>
      <c r="AD1315" s="16"/>
      <c r="AE1315" s="16"/>
      <c r="AF1315" s="16"/>
      <c r="AG1315" s="16"/>
      <c r="AH1315" s="16"/>
      <c r="AI1315" s="16"/>
      <c r="AJ1315" s="16"/>
      <c r="AK1315" s="16"/>
      <c r="AL1315" s="16"/>
      <c r="AM1315" s="16"/>
      <c r="AN1315" s="16"/>
      <c r="AO1315" s="16"/>
      <c r="AP1315" s="16"/>
      <c r="AQ1315" s="16"/>
      <c r="AR1315" s="16"/>
      <c r="AS1315" s="16"/>
    </row>
    <row r="1316" spans="18:45" x14ac:dyDescent="0.35">
      <c r="R1316" s="191"/>
      <c r="S1316" s="191"/>
      <c r="T1316" s="193"/>
      <c r="U1316" s="191"/>
      <c r="V1316" s="194"/>
      <c r="W1316" s="191"/>
      <c r="Y1316" s="191"/>
      <c r="Z1316" s="191"/>
      <c r="AA1316" s="191"/>
      <c r="AB1316" s="191"/>
      <c r="AC1316" s="191"/>
      <c r="AD1316" s="16"/>
      <c r="AE1316" s="16"/>
      <c r="AF1316" s="16"/>
      <c r="AG1316" s="16"/>
      <c r="AH1316" s="16"/>
      <c r="AI1316" s="16"/>
      <c r="AJ1316" s="16"/>
      <c r="AK1316" s="16"/>
      <c r="AL1316" s="16"/>
      <c r="AM1316" s="16"/>
      <c r="AN1316" s="16"/>
      <c r="AO1316" s="16"/>
      <c r="AP1316" s="16"/>
      <c r="AQ1316" s="16"/>
      <c r="AR1316" s="16"/>
      <c r="AS1316" s="16"/>
    </row>
    <row r="1317" spans="18:45" x14ac:dyDescent="0.35">
      <c r="R1317" s="191"/>
      <c r="S1317" s="191"/>
      <c r="T1317" s="193"/>
      <c r="U1317" s="191"/>
      <c r="V1317" s="194"/>
      <c r="W1317" s="191"/>
      <c r="Y1317" s="191"/>
      <c r="Z1317" s="191"/>
      <c r="AA1317" s="191"/>
      <c r="AB1317" s="191"/>
      <c r="AC1317" s="191"/>
      <c r="AD1317" s="16"/>
      <c r="AE1317" s="16"/>
      <c r="AF1317" s="16"/>
      <c r="AG1317" s="16"/>
      <c r="AH1317" s="16"/>
      <c r="AI1317" s="16"/>
      <c r="AJ1317" s="16"/>
      <c r="AK1317" s="16"/>
      <c r="AL1317" s="16"/>
      <c r="AM1317" s="16"/>
      <c r="AN1317" s="16"/>
      <c r="AO1317" s="16"/>
      <c r="AP1317" s="16"/>
      <c r="AQ1317" s="16"/>
      <c r="AR1317" s="16"/>
      <c r="AS1317" s="16"/>
    </row>
    <row r="1318" spans="18:45" x14ac:dyDescent="0.35">
      <c r="R1318" s="191"/>
      <c r="S1318" s="191"/>
      <c r="T1318" s="193"/>
      <c r="U1318" s="191"/>
      <c r="V1318" s="194"/>
      <c r="W1318" s="191"/>
      <c r="Y1318" s="191"/>
      <c r="Z1318" s="191"/>
      <c r="AA1318" s="191"/>
      <c r="AB1318" s="191"/>
      <c r="AC1318" s="191"/>
      <c r="AD1318" s="16"/>
      <c r="AE1318" s="16"/>
      <c r="AF1318" s="16"/>
      <c r="AG1318" s="16"/>
      <c r="AH1318" s="16"/>
      <c r="AI1318" s="16"/>
      <c r="AJ1318" s="16"/>
      <c r="AK1318" s="16"/>
      <c r="AL1318" s="16"/>
      <c r="AM1318" s="16"/>
      <c r="AN1318" s="16"/>
      <c r="AO1318" s="16"/>
      <c r="AP1318" s="16"/>
      <c r="AQ1318" s="16"/>
      <c r="AR1318" s="16"/>
      <c r="AS1318" s="16"/>
    </row>
    <row r="1319" spans="18:45" x14ac:dyDescent="0.35">
      <c r="R1319" s="191"/>
      <c r="S1319" s="191"/>
      <c r="T1319" s="193"/>
      <c r="U1319" s="191"/>
      <c r="V1319" s="194"/>
      <c r="W1319" s="191"/>
      <c r="Y1319" s="191"/>
      <c r="Z1319" s="191"/>
      <c r="AA1319" s="191"/>
      <c r="AB1319" s="191"/>
      <c r="AC1319" s="191"/>
      <c r="AD1319" s="16"/>
      <c r="AE1319" s="16"/>
      <c r="AF1319" s="16"/>
      <c r="AG1319" s="16"/>
      <c r="AH1319" s="16"/>
      <c r="AI1319" s="16"/>
      <c r="AJ1319" s="16"/>
      <c r="AK1319" s="16"/>
      <c r="AL1319" s="16"/>
      <c r="AM1319" s="16"/>
      <c r="AN1319" s="16"/>
      <c r="AO1319" s="16"/>
      <c r="AP1319" s="16"/>
      <c r="AQ1319" s="16"/>
      <c r="AR1319" s="16"/>
      <c r="AS1319" s="16"/>
    </row>
    <row r="1320" spans="18:45" x14ac:dyDescent="0.35">
      <c r="R1320" s="191"/>
      <c r="S1320" s="191"/>
      <c r="T1320" s="193"/>
      <c r="U1320" s="191"/>
      <c r="V1320" s="194"/>
      <c r="W1320" s="191"/>
      <c r="Y1320" s="191"/>
      <c r="Z1320" s="191"/>
      <c r="AA1320" s="191"/>
      <c r="AB1320" s="191"/>
      <c r="AC1320" s="191"/>
      <c r="AD1320" s="16"/>
      <c r="AE1320" s="16"/>
      <c r="AF1320" s="16"/>
      <c r="AG1320" s="16"/>
      <c r="AH1320" s="16"/>
      <c r="AI1320" s="16"/>
      <c r="AJ1320" s="16"/>
      <c r="AK1320" s="16"/>
      <c r="AL1320" s="16"/>
      <c r="AM1320" s="16"/>
      <c r="AN1320" s="16"/>
      <c r="AO1320" s="16"/>
      <c r="AP1320" s="16"/>
      <c r="AQ1320" s="16"/>
      <c r="AR1320" s="16"/>
      <c r="AS1320" s="16"/>
    </row>
    <row r="1321" spans="18:45" x14ac:dyDescent="0.35">
      <c r="R1321" s="191"/>
      <c r="S1321" s="191"/>
      <c r="T1321" s="193"/>
      <c r="U1321" s="191"/>
      <c r="V1321" s="194"/>
      <c r="W1321" s="191"/>
      <c r="Y1321" s="191"/>
      <c r="Z1321" s="191"/>
      <c r="AA1321" s="191"/>
      <c r="AB1321" s="191"/>
      <c r="AC1321" s="191"/>
      <c r="AD1321" s="16"/>
      <c r="AE1321" s="16"/>
      <c r="AF1321" s="16"/>
      <c r="AG1321" s="16"/>
      <c r="AH1321" s="16"/>
      <c r="AI1321" s="16"/>
      <c r="AJ1321" s="16"/>
      <c r="AK1321" s="16"/>
      <c r="AL1321" s="16"/>
      <c r="AM1321" s="16"/>
      <c r="AN1321" s="16"/>
      <c r="AO1321" s="16"/>
      <c r="AP1321" s="16"/>
      <c r="AQ1321" s="16"/>
      <c r="AR1321" s="16"/>
      <c r="AS1321" s="16"/>
    </row>
    <row r="1322" spans="18:45" x14ac:dyDescent="0.35">
      <c r="R1322" s="191"/>
      <c r="S1322" s="191"/>
      <c r="T1322" s="193"/>
      <c r="U1322" s="191"/>
      <c r="V1322" s="194"/>
      <c r="W1322" s="191"/>
      <c r="Y1322" s="191"/>
      <c r="Z1322" s="191"/>
      <c r="AA1322" s="191"/>
      <c r="AB1322" s="191"/>
      <c r="AC1322" s="191"/>
      <c r="AD1322" s="16"/>
      <c r="AE1322" s="16"/>
      <c r="AF1322" s="16"/>
      <c r="AG1322" s="16"/>
      <c r="AH1322" s="16"/>
      <c r="AI1322" s="16"/>
      <c r="AJ1322" s="16"/>
      <c r="AK1322" s="16"/>
      <c r="AL1322" s="16"/>
      <c r="AM1322" s="16"/>
      <c r="AN1322" s="16"/>
      <c r="AO1322" s="16"/>
      <c r="AP1322" s="16"/>
      <c r="AQ1322" s="16"/>
      <c r="AR1322" s="16"/>
      <c r="AS1322" s="16"/>
    </row>
    <row r="1323" spans="18:45" x14ac:dyDescent="0.35">
      <c r="R1323" s="191"/>
      <c r="S1323" s="191"/>
      <c r="T1323" s="193"/>
      <c r="U1323" s="191"/>
      <c r="V1323" s="194"/>
      <c r="W1323" s="191"/>
      <c r="Y1323" s="191"/>
      <c r="Z1323" s="191"/>
      <c r="AA1323" s="191"/>
      <c r="AB1323" s="191"/>
      <c r="AC1323" s="191"/>
      <c r="AD1323" s="16"/>
      <c r="AE1323" s="16"/>
      <c r="AF1323" s="16"/>
      <c r="AG1323" s="16"/>
      <c r="AH1323" s="16"/>
      <c r="AI1323" s="16"/>
      <c r="AJ1323" s="16"/>
      <c r="AK1323" s="16"/>
      <c r="AL1323" s="16"/>
      <c r="AM1323" s="16"/>
      <c r="AN1323" s="16"/>
      <c r="AO1323" s="16"/>
      <c r="AP1323" s="16"/>
      <c r="AQ1323" s="16"/>
      <c r="AR1323" s="16"/>
      <c r="AS1323" s="16"/>
    </row>
    <row r="1324" spans="18:45" x14ac:dyDescent="0.35">
      <c r="R1324" s="191"/>
      <c r="S1324" s="191"/>
      <c r="T1324" s="193"/>
      <c r="U1324" s="191"/>
      <c r="V1324" s="194"/>
      <c r="W1324" s="191"/>
      <c r="Y1324" s="191"/>
      <c r="Z1324" s="191"/>
      <c r="AA1324" s="191"/>
      <c r="AB1324" s="191"/>
      <c r="AC1324" s="191"/>
      <c r="AD1324" s="16"/>
      <c r="AE1324" s="16"/>
      <c r="AF1324" s="16"/>
      <c r="AG1324" s="16"/>
      <c r="AH1324" s="16"/>
      <c r="AI1324" s="16"/>
      <c r="AJ1324" s="16"/>
      <c r="AK1324" s="16"/>
      <c r="AL1324" s="16"/>
      <c r="AM1324" s="16"/>
      <c r="AN1324" s="16"/>
      <c r="AO1324" s="16"/>
      <c r="AP1324" s="16"/>
      <c r="AQ1324" s="16"/>
      <c r="AR1324" s="16"/>
      <c r="AS1324" s="16"/>
    </row>
    <row r="1325" spans="18:45" x14ac:dyDescent="0.35">
      <c r="R1325" s="191"/>
      <c r="S1325" s="191"/>
      <c r="T1325" s="193"/>
      <c r="U1325" s="191"/>
      <c r="V1325" s="194"/>
      <c r="W1325" s="191"/>
      <c r="Y1325" s="191"/>
      <c r="Z1325" s="191"/>
      <c r="AA1325" s="191"/>
      <c r="AB1325" s="191"/>
      <c r="AC1325" s="191"/>
      <c r="AD1325" s="16"/>
      <c r="AE1325" s="16"/>
      <c r="AF1325" s="16"/>
      <c r="AG1325" s="16"/>
      <c r="AH1325" s="16"/>
      <c r="AI1325" s="16"/>
      <c r="AJ1325" s="16"/>
      <c r="AK1325" s="16"/>
      <c r="AL1325" s="16"/>
      <c r="AM1325" s="16"/>
      <c r="AN1325" s="16"/>
      <c r="AO1325" s="16"/>
      <c r="AP1325" s="16"/>
      <c r="AQ1325" s="16"/>
      <c r="AR1325" s="16"/>
      <c r="AS1325" s="16"/>
    </row>
    <row r="1326" spans="18:45" x14ac:dyDescent="0.35">
      <c r="R1326" s="191"/>
      <c r="S1326" s="191"/>
      <c r="T1326" s="193"/>
      <c r="U1326" s="191"/>
      <c r="V1326" s="194"/>
      <c r="W1326" s="191"/>
      <c r="Y1326" s="191"/>
      <c r="Z1326" s="191"/>
      <c r="AA1326" s="191"/>
      <c r="AB1326" s="191"/>
      <c r="AC1326" s="191"/>
      <c r="AD1326" s="16"/>
      <c r="AE1326" s="16"/>
      <c r="AF1326" s="16"/>
      <c r="AG1326" s="16"/>
      <c r="AH1326" s="16"/>
      <c r="AI1326" s="16"/>
      <c r="AJ1326" s="16"/>
      <c r="AK1326" s="16"/>
      <c r="AL1326" s="16"/>
      <c r="AM1326" s="16"/>
      <c r="AN1326" s="16"/>
      <c r="AO1326" s="16"/>
      <c r="AP1326" s="16"/>
      <c r="AQ1326" s="16"/>
      <c r="AR1326" s="16"/>
      <c r="AS1326" s="16"/>
    </row>
    <row r="1327" spans="18:45" x14ac:dyDescent="0.35">
      <c r="R1327" s="191"/>
      <c r="S1327" s="191"/>
      <c r="T1327" s="193"/>
      <c r="U1327" s="191"/>
      <c r="V1327" s="194"/>
      <c r="W1327" s="191"/>
      <c r="Y1327" s="191"/>
      <c r="Z1327" s="191"/>
      <c r="AA1327" s="191"/>
      <c r="AB1327" s="191"/>
      <c r="AC1327" s="191"/>
      <c r="AD1327" s="16"/>
      <c r="AE1327" s="16"/>
      <c r="AF1327" s="16"/>
      <c r="AG1327" s="16"/>
      <c r="AH1327" s="16"/>
      <c r="AI1327" s="16"/>
      <c r="AJ1327" s="16"/>
      <c r="AK1327" s="16"/>
      <c r="AL1327" s="16"/>
      <c r="AM1327" s="16"/>
      <c r="AN1327" s="16"/>
      <c r="AO1327" s="16"/>
      <c r="AP1327" s="16"/>
      <c r="AQ1327" s="16"/>
      <c r="AR1327" s="16"/>
      <c r="AS1327" s="16"/>
    </row>
    <row r="1328" spans="18:45" x14ac:dyDescent="0.35">
      <c r="R1328" s="191"/>
      <c r="S1328" s="191"/>
      <c r="T1328" s="193"/>
      <c r="U1328" s="191"/>
      <c r="V1328" s="194"/>
      <c r="W1328" s="191"/>
      <c r="Y1328" s="191"/>
      <c r="Z1328" s="191"/>
      <c r="AA1328" s="191"/>
      <c r="AB1328" s="191"/>
      <c r="AC1328" s="191"/>
      <c r="AD1328" s="16"/>
      <c r="AE1328" s="16"/>
      <c r="AF1328" s="16"/>
      <c r="AG1328" s="16"/>
      <c r="AH1328" s="16"/>
      <c r="AI1328" s="16"/>
      <c r="AJ1328" s="16"/>
      <c r="AK1328" s="16"/>
      <c r="AL1328" s="16"/>
      <c r="AM1328" s="16"/>
      <c r="AN1328" s="16"/>
      <c r="AO1328" s="16"/>
      <c r="AP1328" s="16"/>
      <c r="AQ1328" s="16"/>
      <c r="AR1328" s="16"/>
      <c r="AS1328" s="16"/>
    </row>
    <row r="1329" spans="18:45" x14ac:dyDescent="0.35">
      <c r="R1329" s="191"/>
      <c r="S1329" s="191"/>
      <c r="T1329" s="193"/>
      <c r="U1329" s="191"/>
      <c r="V1329" s="194"/>
      <c r="W1329" s="191"/>
      <c r="Y1329" s="191"/>
      <c r="Z1329" s="191"/>
      <c r="AA1329" s="191"/>
      <c r="AB1329" s="191"/>
      <c r="AC1329" s="191"/>
      <c r="AD1329" s="16"/>
      <c r="AE1329" s="16"/>
      <c r="AF1329" s="16"/>
      <c r="AG1329" s="16"/>
      <c r="AH1329" s="16"/>
      <c r="AI1329" s="16"/>
      <c r="AJ1329" s="16"/>
      <c r="AK1329" s="16"/>
      <c r="AL1329" s="16"/>
      <c r="AM1329" s="16"/>
      <c r="AN1329" s="16"/>
      <c r="AO1329" s="16"/>
      <c r="AP1329" s="16"/>
      <c r="AQ1329" s="16"/>
      <c r="AR1329" s="16"/>
      <c r="AS1329" s="16"/>
    </row>
    <row r="1330" spans="18:45" x14ac:dyDescent="0.35">
      <c r="R1330" s="191"/>
      <c r="S1330" s="191"/>
      <c r="T1330" s="193"/>
      <c r="U1330" s="191"/>
      <c r="V1330" s="194"/>
      <c r="W1330" s="191"/>
      <c r="Y1330" s="191"/>
      <c r="Z1330" s="191"/>
      <c r="AA1330" s="191"/>
      <c r="AB1330" s="191"/>
      <c r="AC1330" s="191"/>
      <c r="AD1330" s="16"/>
      <c r="AE1330" s="16"/>
      <c r="AF1330" s="16"/>
      <c r="AG1330" s="16"/>
      <c r="AH1330" s="16"/>
      <c r="AI1330" s="16"/>
      <c r="AJ1330" s="16"/>
      <c r="AK1330" s="16"/>
      <c r="AL1330" s="16"/>
      <c r="AM1330" s="16"/>
      <c r="AN1330" s="16"/>
      <c r="AO1330" s="16"/>
      <c r="AP1330" s="16"/>
      <c r="AQ1330" s="16"/>
      <c r="AR1330" s="16"/>
      <c r="AS1330" s="16"/>
    </row>
    <row r="1331" spans="18:45" x14ac:dyDescent="0.35">
      <c r="R1331" s="191"/>
      <c r="S1331" s="191"/>
      <c r="T1331" s="193"/>
      <c r="U1331" s="191"/>
      <c r="V1331" s="194"/>
      <c r="W1331" s="191"/>
      <c r="Y1331" s="191"/>
      <c r="Z1331" s="191"/>
      <c r="AA1331" s="191"/>
      <c r="AB1331" s="191"/>
      <c r="AC1331" s="191"/>
      <c r="AD1331" s="16"/>
      <c r="AE1331" s="16"/>
      <c r="AF1331" s="16"/>
      <c r="AG1331" s="16"/>
      <c r="AH1331" s="16"/>
      <c r="AI1331" s="16"/>
      <c r="AJ1331" s="16"/>
      <c r="AK1331" s="16"/>
      <c r="AL1331" s="16"/>
      <c r="AM1331" s="16"/>
      <c r="AN1331" s="16"/>
      <c r="AO1331" s="16"/>
      <c r="AP1331" s="16"/>
      <c r="AQ1331" s="16"/>
      <c r="AR1331" s="16"/>
      <c r="AS1331" s="16"/>
    </row>
    <row r="1332" spans="18:45" x14ac:dyDescent="0.35">
      <c r="R1332" s="191"/>
      <c r="S1332" s="191"/>
      <c r="T1332" s="193"/>
      <c r="U1332" s="191"/>
      <c r="V1332" s="194"/>
      <c r="W1332" s="191"/>
      <c r="Y1332" s="191"/>
      <c r="Z1332" s="191"/>
      <c r="AA1332" s="191"/>
      <c r="AB1332" s="191"/>
      <c r="AC1332" s="191"/>
      <c r="AD1332" s="16"/>
      <c r="AE1332" s="16"/>
      <c r="AF1332" s="16"/>
      <c r="AG1332" s="16"/>
      <c r="AH1332" s="16"/>
      <c r="AI1332" s="16"/>
      <c r="AJ1332" s="16"/>
      <c r="AK1332" s="16"/>
      <c r="AL1332" s="16"/>
      <c r="AM1332" s="16"/>
      <c r="AN1332" s="16"/>
      <c r="AO1332" s="16"/>
      <c r="AP1332" s="16"/>
      <c r="AQ1332" s="16"/>
      <c r="AR1332" s="16"/>
      <c r="AS1332" s="16"/>
    </row>
    <row r="1333" spans="18:45" x14ac:dyDescent="0.35">
      <c r="R1333" s="191"/>
      <c r="S1333" s="191"/>
      <c r="T1333" s="193"/>
      <c r="U1333" s="191"/>
      <c r="V1333" s="194"/>
      <c r="W1333" s="191"/>
      <c r="Y1333" s="191"/>
      <c r="Z1333" s="191"/>
      <c r="AA1333" s="191"/>
      <c r="AB1333" s="191"/>
      <c r="AC1333" s="191"/>
      <c r="AD1333" s="16"/>
      <c r="AE1333" s="16"/>
      <c r="AF1333" s="16"/>
      <c r="AG1333" s="16"/>
      <c r="AH1333" s="16"/>
      <c r="AI1333" s="16"/>
      <c r="AJ1333" s="16"/>
      <c r="AK1333" s="16"/>
      <c r="AL1333" s="16"/>
      <c r="AM1333" s="16"/>
      <c r="AN1333" s="16"/>
      <c r="AO1333" s="16"/>
      <c r="AP1333" s="16"/>
      <c r="AQ1333" s="16"/>
      <c r="AR1333" s="16"/>
      <c r="AS1333" s="16"/>
    </row>
    <row r="1334" spans="18:45" x14ac:dyDescent="0.35">
      <c r="R1334" s="191"/>
      <c r="S1334" s="191"/>
      <c r="T1334" s="193"/>
      <c r="U1334" s="191"/>
      <c r="V1334" s="194"/>
      <c r="W1334" s="191"/>
      <c r="Y1334" s="191"/>
      <c r="Z1334" s="191"/>
      <c r="AA1334" s="191"/>
      <c r="AB1334" s="191"/>
      <c r="AC1334" s="191"/>
      <c r="AD1334" s="16"/>
      <c r="AE1334" s="16"/>
      <c r="AF1334" s="16"/>
      <c r="AG1334" s="16"/>
      <c r="AH1334" s="16"/>
      <c r="AI1334" s="16"/>
      <c r="AJ1334" s="16"/>
      <c r="AK1334" s="16"/>
      <c r="AL1334" s="16"/>
      <c r="AM1334" s="16"/>
      <c r="AN1334" s="16"/>
      <c r="AO1334" s="16"/>
      <c r="AP1334" s="16"/>
      <c r="AQ1334" s="16"/>
      <c r="AR1334" s="16"/>
      <c r="AS1334" s="16"/>
    </row>
    <row r="1335" spans="18:45" x14ac:dyDescent="0.35">
      <c r="R1335" s="191"/>
      <c r="S1335" s="191"/>
      <c r="T1335" s="193"/>
      <c r="U1335" s="191"/>
      <c r="V1335" s="194"/>
      <c r="W1335" s="191"/>
      <c r="Y1335" s="191"/>
      <c r="Z1335" s="191"/>
      <c r="AA1335" s="191"/>
      <c r="AB1335" s="191"/>
      <c r="AC1335" s="191"/>
      <c r="AD1335" s="16"/>
      <c r="AE1335" s="16"/>
      <c r="AF1335" s="16"/>
      <c r="AG1335" s="16"/>
      <c r="AH1335" s="16"/>
      <c r="AI1335" s="16"/>
      <c r="AJ1335" s="16"/>
      <c r="AK1335" s="16"/>
      <c r="AL1335" s="16"/>
      <c r="AM1335" s="16"/>
      <c r="AN1335" s="16"/>
      <c r="AO1335" s="16"/>
      <c r="AP1335" s="16"/>
      <c r="AQ1335" s="16"/>
      <c r="AR1335" s="16"/>
      <c r="AS1335" s="16"/>
    </row>
    <row r="1336" spans="18:45" x14ac:dyDescent="0.35">
      <c r="R1336" s="191"/>
      <c r="S1336" s="191"/>
      <c r="T1336" s="193"/>
      <c r="U1336" s="191"/>
      <c r="V1336" s="194"/>
      <c r="W1336" s="191"/>
      <c r="Y1336" s="191"/>
      <c r="Z1336" s="191"/>
      <c r="AA1336" s="191"/>
      <c r="AB1336" s="191"/>
      <c r="AC1336" s="191"/>
      <c r="AD1336" s="16"/>
      <c r="AE1336" s="16"/>
      <c r="AF1336" s="16"/>
      <c r="AG1336" s="16"/>
      <c r="AH1336" s="16"/>
      <c r="AI1336" s="16"/>
      <c r="AJ1336" s="16"/>
      <c r="AK1336" s="16"/>
      <c r="AL1336" s="16"/>
      <c r="AM1336" s="16"/>
      <c r="AN1336" s="16"/>
      <c r="AO1336" s="16"/>
      <c r="AP1336" s="16"/>
      <c r="AQ1336" s="16"/>
      <c r="AR1336" s="16"/>
      <c r="AS1336" s="16"/>
    </row>
    <row r="1337" spans="18:45" x14ac:dyDescent="0.35">
      <c r="R1337" s="191"/>
      <c r="S1337" s="191"/>
      <c r="T1337" s="193"/>
      <c r="U1337" s="191"/>
      <c r="V1337" s="194"/>
      <c r="W1337" s="191"/>
      <c r="Y1337" s="191"/>
      <c r="Z1337" s="191"/>
      <c r="AA1337" s="191"/>
      <c r="AB1337" s="191"/>
      <c r="AC1337" s="191"/>
      <c r="AD1337" s="16"/>
      <c r="AE1337" s="16"/>
      <c r="AF1337" s="16"/>
      <c r="AG1337" s="16"/>
      <c r="AH1337" s="16"/>
      <c r="AI1337" s="16"/>
      <c r="AJ1337" s="16"/>
      <c r="AK1337" s="16"/>
      <c r="AL1337" s="16"/>
      <c r="AM1337" s="16"/>
      <c r="AN1337" s="16"/>
      <c r="AO1337" s="16"/>
      <c r="AP1337" s="16"/>
      <c r="AQ1337" s="16"/>
      <c r="AR1337" s="16"/>
      <c r="AS1337" s="16"/>
    </row>
    <row r="1338" spans="18:45" x14ac:dyDescent="0.35">
      <c r="R1338" s="191"/>
      <c r="S1338" s="191"/>
      <c r="T1338" s="193"/>
      <c r="U1338" s="191"/>
      <c r="V1338" s="194"/>
      <c r="W1338" s="191"/>
      <c r="Y1338" s="191"/>
      <c r="Z1338" s="191"/>
      <c r="AA1338" s="191"/>
      <c r="AB1338" s="191"/>
      <c r="AC1338" s="191"/>
      <c r="AD1338" s="16"/>
      <c r="AE1338" s="16"/>
      <c r="AF1338" s="16"/>
      <c r="AG1338" s="16"/>
      <c r="AH1338" s="16"/>
      <c r="AI1338" s="16"/>
      <c r="AJ1338" s="16"/>
      <c r="AK1338" s="16"/>
      <c r="AL1338" s="16"/>
      <c r="AM1338" s="16"/>
      <c r="AN1338" s="16"/>
      <c r="AO1338" s="16"/>
      <c r="AP1338" s="16"/>
      <c r="AQ1338" s="16"/>
      <c r="AR1338" s="16"/>
      <c r="AS1338" s="16"/>
    </row>
    <row r="1339" spans="18:45" x14ac:dyDescent="0.35">
      <c r="R1339" s="191"/>
      <c r="S1339" s="191"/>
      <c r="T1339" s="193"/>
      <c r="U1339" s="191"/>
      <c r="V1339" s="194"/>
      <c r="W1339" s="191"/>
      <c r="Y1339" s="191"/>
      <c r="Z1339" s="191"/>
      <c r="AA1339" s="191"/>
      <c r="AB1339" s="191"/>
      <c r="AC1339" s="191"/>
      <c r="AD1339" s="16"/>
      <c r="AE1339" s="16"/>
      <c r="AF1339" s="16"/>
      <c r="AG1339" s="16"/>
      <c r="AH1339" s="16"/>
      <c r="AI1339" s="16"/>
      <c r="AJ1339" s="16"/>
      <c r="AK1339" s="16"/>
      <c r="AL1339" s="16"/>
      <c r="AM1339" s="16"/>
      <c r="AN1339" s="16"/>
      <c r="AO1339" s="16"/>
      <c r="AP1339" s="16"/>
      <c r="AQ1339" s="16"/>
      <c r="AR1339" s="16"/>
      <c r="AS1339" s="16"/>
    </row>
    <row r="1340" spans="18:45" x14ac:dyDescent="0.35">
      <c r="R1340" s="191"/>
      <c r="S1340" s="191"/>
      <c r="T1340" s="193"/>
      <c r="U1340" s="191"/>
      <c r="V1340" s="194"/>
      <c r="W1340" s="191"/>
      <c r="Y1340" s="191"/>
      <c r="Z1340" s="191"/>
      <c r="AA1340" s="191"/>
      <c r="AB1340" s="191"/>
      <c r="AC1340" s="191"/>
      <c r="AD1340" s="16"/>
      <c r="AE1340" s="16"/>
      <c r="AF1340" s="16"/>
      <c r="AG1340" s="16"/>
      <c r="AH1340" s="16"/>
      <c r="AI1340" s="16"/>
      <c r="AJ1340" s="16"/>
      <c r="AK1340" s="16"/>
      <c r="AL1340" s="16"/>
      <c r="AM1340" s="16"/>
      <c r="AN1340" s="16"/>
      <c r="AO1340" s="16"/>
      <c r="AP1340" s="16"/>
      <c r="AQ1340" s="16"/>
      <c r="AR1340" s="16"/>
      <c r="AS1340" s="16"/>
    </row>
    <row r="1341" spans="18:45" x14ac:dyDescent="0.35">
      <c r="R1341" s="191"/>
      <c r="S1341" s="191"/>
      <c r="T1341" s="193"/>
      <c r="U1341" s="191"/>
      <c r="V1341" s="194"/>
      <c r="W1341" s="191"/>
      <c r="Y1341" s="191"/>
      <c r="Z1341" s="191"/>
      <c r="AA1341" s="191"/>
      <c r="AB1341" s="191"/>
      <c r="AC1341" s="191"/>
      <c r="AD1341" s="16"/>
      <c r="AE1341" s="16"/>
      <c r="AF1341" s="16"/>
      <c r="AG1341" s="16"/>
      <c r="AH1341" s="16"/>
      <c r="AI1341" s="16"/>
      <c r="AJ1341" s="16"/>
      <c r="AK1341" s="16"/>
      <c r="AL1341" s="16"/>
      <c r="AM1341" s="16"/>
      <c r="AN1341" s="16"/>
      <c r="AO1341" s="16"/>
      <c r="AP1341" s="16"/>
      <c r="AQ1341" s="16"/>
      <c r="AR1341" s="16"/>
      <c r="AS1341" s="16"/>
    </row>
    <row r="1342" spans="18:45" x14ac:dyDescent="0.35">
      <c r="R1342" s="191"/>
      <c r="S1342" s="191"/>
      <c r="T1342" s="193"/>
      <c r="U1342" s="191"/>
      <c r="V1342" s="194"/>
      <c r="W1342" s="191"/>
      <c r="Y1342" s="191"/>
      <c r="Z1342" s="191"/>
      <c r="AA1342" s="191"/>
      <c r="AB1342" s="191"/>
      <c r="AC1342" s="191"/>
      <c r="AD1342" s="16"/>
      <c r="AE1342" s="16"/>
      <c r="AF1342" s="16"/>
      <c r="AG1342" s="16"/>
      <c r="AH1342" s="16"/>
      <c r="AI1342" s="16"/>
      <c r="AJ1342" s="16"/>
      <c r="AK1342" s="16"/>
      <c r="AL1342" s="16"/>
      <c r="AM1342" s="16"/>
      <c r="AN1342" s="16"/>
      <c r="AO1342" s="16"/>
      <c r="AP1342" s="16"/>
      <c r="AQ1342" s="16"/>
      <c r="AR1342" s="16"/>
      <c r="AS1342" s="16"/>
    </row>
    <row r="1343" spans="18:45" x14ac:dyDescent="0.35">
      <c r="R1343" s="191"/>
      <c r="S1343" s="191"/>
      <c r="T1343" s="193"/>
      <c r="U1343" s="191"/>
      <c r="V1343" s="194"/>
      <c r="W1343" s="191"/>
      <c r="Y1343" s="191"/>
      <c r="Z1343" s="191"/>
      <c r="AA1343" s="191"/>
      <c r="AB1343" s="191"/>
      <c r="AC1343" s="191"/>
      <c r="AD1343" s="16"/>
      <c r="AE1343" s="16"/>
      <c r="AF1343" s="16"/>
      <c r="AG1343" s="16"/>
      <c r="AH1343" s="16"/>
      <c r="AI1343" s="16"/>
      <c r="AJ1343" s="16"/>
      <c r="AK1343" s="16"/>
      <c r="AL1343" s="16"/>
      <c r="AM1343" s="16"/>
      <c r="AN1343" s="16"/>
      <c r="AO1343" s="16"/>
      <c r="AP1343" s="16"/>
      <c r="AQ1343" s="16"/>
      <c r="AR1343" s="16"/>
      <c r="AS1343" s="16"/>
    </row>
    <row r="1344" spans="18:45" x14ac:dyDescent="0.35">
      <c r="R1344" s="191"/>
      <c r="S1344" s="191"/>
      <c r="T1344" s="193"/>
      <c r="U1344" s="191"/>
      <c r="V1344" s="194"/>
      <c r="W1344" s="191"/>
      <c r="Y1344" s="191"/>
      <c r="Z1344" s="191"/>
      <c r="AA1344" s="191"/>
      <c r="AB1344" s="191"/>
      <c r="AC1344" s="191"/>
      <c r="AD1344" s="16"/>
      <c r="AE1344" s="16"/>
      <c r="AF1344" s="16"/>
      <c r="AG1344" s="16"/>
      <c r="AH1344" s="16"/>
      <c r="AI1344" s="16"/>
      <c r="AJ1344" s="16"/>
      <c r="AK1344" s="16"/>
      <c r="AL1344" s="16"/>
      <c r="AM1344" s="16"/>
      <c r="AN1344" s="16"/>
      <c r="AO1344" s="16"/>
      <c r="AP1344" s="16"/>
      <c r="AQ1344" s="16"/>
      <c r="AR1344" s="16"/>
      <c r="AS1344" s="16"/>
    </row>
    <row r="1345" spans="18:45" x14ac:dyDescent="0.35">
      <c r="R1345" s="191"/>
      <c r="S1345" s="191"/>
      <c r="T1345" s="193"/>
      <c r="U1345" s="191"/>
      <c r="V1345" s="194"/>
      <c r="W1345" s="191"/>
      <c r="Y1345" s="191"/>
      <c r="Z1345" s="191"/>
      <c r="AA1345" s="191"/>
      <c r="AB1345" s="191"/>
      <c r="AC1345" s="191"/>
      <c r="AD1345" s="16"/>
      <c r="AE1345" s="16"/>
      <c r="AF1345" s="16"/>
      <c r="AG1345" s="16"/>
      <c r="AH1345" s="16"/>
      <c r="AI1345" s="16"/>
      <c r="AJ1345" s="16"/>
      <c r="AK1345" s="16"/>
      <c r="AL1345" s="16"/>
      <c r="AM1345" s="16"/>
      <c r="AN1345" s="16"/>
      <c r="AO1345" s="16"/>
      <c r="AP1345" s="16"/>
      <c r="AQ1345" s="16"/>
      <c r="AR1345" s="16"/>
      <c r="AS1345" s="16"/>
    </row>
    <row r="1346" spans="18:45" x14ac:dyDescent="0.35">
      <c r="R1346" s="191"/>
      <c r="S1346" s="191"/>
      <c r="T1346" s="193"/>
      <c r="U1346" s="191"/>
      <c r="V1346" s="194"/>
      <c r="W1346" s="191"/>
      <c r="Y1346" s="191"/>
      <c r="Z1346" s="191"/>
      <c r="AA1346" s="191"/>
      <c r="AB1346" s="191"/>
      <c r="AC1346" s="191"/>
      <c r="AD1346" s="16"/>
      <c r="AE1346" s="16"/>
      <c r="AF1346" s="16"/>
      <c r="AG1346" s="16"/>
      <c r="AH1346" s="16"/>
      <c r="AI1346" s="16"/>
      <c r="AJ1346" s="16"/>
      <c r="AK1346" s="16"/>
      <c r="AL1346" s="16"/>
      <c r="AM1346" s="16"/>
      <c r="AN1346" s="16"/>
      <c r="AO1346" s="16"/>
      <c r="AP1346" s="16"/>
      <c r="AQ1346" s="16"/>
      <c r="AR1346" s="16"/>
      <c r="AS1346" s="16"/>
    </row>
    <row r="1347" spans="18:45" x14ac:dyDescent="0.35">
      <c r="R1347" s="191"/>
      <c r="S1347" s="191"/>
      <c r="T1347" s="193"/>
      <c r="U1347" s="191"/>
      <c r="V1347" s="194"/>
      <c r="W1347" s="191"/>
      <c r="Y1347" s="191"/>
      <c r="Z1347" s="191"/>
      <c r="AA1347" s="191"/>
      <c r="AB1347" s="191"/>
      <c r="AC1347" s="191"/>
      <c r="AD1347" s="16"/>
      <c r="AE1347" s="16"/>
      <c r="AF1347" s="16"/>
      <c r="AG1347" s="16"/>
      <c r="AH1347" s="16"/>
      <c r="AI1347" s="16"/>
      <c r="AJ1347" s="16"/>
      <c r="AK1347" s="16"/>
      <c r="AL1347" s="16"/>
      <c r="AM1347" s="16"/>
      <c r="AN1347" s="16"/>
      <c r="AO1347" s="16"/>
      <c r="AP1347" s="16"/>
      <c r="AQ1347" s="16"/>
      <c r="AR1347" s="16"/>
      <c r="AS1347" s="16"/>
    </row>
    <row r="1348" spans="18:45" x14ac:dyDescent="0.35">
      <c r="R1348" s="191"/>
      <c r="S1348" s="191"/>
      <c r="T1348" s="193"/>
      <c r="U1348" s="191"/>
      <c r="V1348" s="194"/>
      <c r="W1348" s="191"/>
      <c r="Y1348" s="191"/>
      <c r="Z1348" s="191"/>
      <c r="AA1348" s="191"/>
      <c r="AB1348" s="191"/>
      <c r="AC1348" s="191"/>
      <c r="AD1348" s="16"/>
      <c r="AE1348" s="16"/>
      <c r="AF1348" s="16"/>
      <c r="AG1348" s="16"/>
      <c r="AH1348" s="16"/>
      <c r="AI1348" s="16"/>
      <c r="AJ1348" s="16"/>
      <c r="AK1348" s="16"/>
      <c r="AL1348" s="16"/>
      <c r="AM1348" s="16"/>
      <c r="AN1348" s="16"/>
      <c r="AO1348" s="16"/>
      <c r="AP1348" s="16"/>
      <c r="AQ1348" s="16"/>
      <c r="AR1348" s="16"/>
      <c r="AS1348" s="16"/>
    </row>
    <row r="1349" spans="18:45" x14ac:dyDescent="0.35">
      <c r="R1349" s="191"/>
      <c r="S1349" s="191"/>
      <c r="T1349" s="193"/>
      <c r="U1349" s="191"/>
      <c r="V1349" s="194"/>
      <c r="W1349" s="191"/>
      <c r="Y1349" s="191"/>
      <c r="Z1349" s="191"/>
      <c r="AA1349" s="191"/>
      <c r="AB1349" s="191"/>
      <c r="AC1349" s="191"/>
      <c r="AD1349" s="16"/>
      <c r="AE1349" s="16"/>
      <c r="AF1349" s="16"/>
      <c r="AG1349" s="16"/>
      <c r="AH1349" s="16"/>
      <c r="AI1349" s="16"/>
      <c r="AJ1349" s="16"/>
      <c r="AK1349" s="16"/>
      <c r="AL1349" s="16"/>
      <c r="AM1349" s="16"/>
      <c r="AN1349" s="16"/>
      <c r="AO1349" s="16"/>
      <c r="AP1349" s="16"/>
      <c r="AQ1349" s="16"/>
      <c r="AR1349" s="16"/>
      <c r="AS1349" s="16"/>
    </row>
    <row r="1350" spans="18:45" x14ac:dyDescent="0.35">
      <c r="R1350" s="191"/>
      <c r="S1350" s="191"/>
      <c r="T1350" s="193"/>
      <c r="U1350" s="191"/>
      <c r="V1350" s="194"/>
      <c r="W1350" s="191"/>
      <c r="Y1350" s="191"/>
      <c r="Z1350" s="191"/>
      <c r="AA1350" s="191"/>
      <c r="AB1350" s="191"/>
      <c r="AC1350" s="191"/>
      <c r="AD1350" s="16"/>
      <c r="AE1350" s="16"/>
      <c r="AF1350" s="16"/>
      <c r="AG1350" s="16"/>
      <c r="AH1350" s="16"/>
      <c r="AI1350" s="16"/>
      <c r="AJ1350" s="16"/>
      <c r="AK1350" s="16"/>
      <c r="AL1350" s="16"/>
      <c r="AM1350" s="16"/>
      <c r="AN1350" s="16"/>
      <c r="AO1350" s="16"/>
      <c r="AP1350" s="16"/>
      <c r="AQ1350" s="16"/>
      <c r="AR1350" s="16"/>
      <c r="AS1350" s="16"/>
    </row>
    <row r="1351" spans="18:45" x14ac:dyDescent="0.35">
      <c r="R1351" s="191"/>
      <c r="S1351" s="191"/>
      <c r="T1351" s="193"/>
      <c r="U1351" s="191"/>
      <c r="V1351" s="194"/>
      <c r="W1351" s="191"/>
      <c r="Y1351" s="191"/>
      <c r="Z1351" s="191"/>
      <c r="AA1351" s="191"/>
      <c r="AB1351" s="191"/>
      <c r="AC1351" s="191"/>
      <c r="AD1351" s="16"/>
      <c r="AE1351" s="16"/>
      <c r="AF1351" s="16"/>
      <c r="AG1351" s="16"/>
      <c r="AH1351" s="16"/>
      <c r="AI1351" s="16"/>
      <c r="AJ1351" s="16"/>
      <c r="AK1351" s="16"/>
      <c r="AL1351" s="16"/>
      <c r="AM1351" s="16"/>
      <c r="AN1351" s="16"/>
      <c r="AO1351" s="16"/>
      <c r="AP1351" s="16"/>
      <c r="AQ1351" s="16"/>
      <c r="AR1351" s="16"/>
      <c r="AS1351" s="16"/>
    </row>
    <row r="1352" spans="18:45" x14ac:dyDescent="0.35">
      <c r="R1352" s="191"/>
      <c r="S1352" s="191"/>
      <c r="T1352" s="193"/>
      <c r="U1352" s="191"/>
      <c r="V1352" s="194"/>
      <c r="W1352" s="191"/>
      <c r="Y1352" s="191"/>
      <c r="Z1352" s="191"/>
      <c r="AA1352" s="191"/>
      <c r="AB1352" s="191"/>
      <c r="AC1352" s="191"/>
      <c r="AD1352" s="16"/>
      <c r="AE1352" s="16"/>
      <c r="AF1352" s="16"/>
      <c r="AG1352" s="16"/>
      <c r="AH1352" s="16"/>
      <c r="AI1352" s="16"/>
      <c r="AJ1352" s="16"/>
      <c r="AK1352" s="16"/>
      <c r="AL1352" s="16"/>
      <c r="AM1352" s="16"/>
      <c r="AN1352" s="16"/>
      <c r="AO1352" s="16"/>
      <c r="AP1352" s="16"/>
      <c r="AQ1352" s="16"/>
      <c r="AR1352" s="16"/>
      <c r="AS1352" s="16"/>
    </row>
    <row r="1353" spans="18:45" x14ac:dyDescent="0.35">
      <c r="R1353" s="191"/>
      <c r="S1353" s="191"/>
      <c r="T1353" s="193"/>
      <c r="U1353" s="191"/>
      <c r="V1353" s="194"/>
      <c r="W1353" s="191"/>
      <c r="Y1353" s="191"/>
      <c r="Z1353" s="191"/>
      <c r="AA1353" s="191"/>
      <c r="AB1353" s="191"/>
      <c r="AC1353" s="191"/>
      <c r="AD1353" s="16"/>
      <c r="AE1353" s="16"/>
      <c r="AF1353" s="16"/>
      <c r="AG1353" s="16"/>
      <c r="AH1353" s="16"/>
      <c r="AI1353" s="16"/>
      <c r="AJ1353" s="16"/>
      <c r="AK1353" s="16"/>
      <c r="AL1353" s="16"/>
      <c r="AM1353" s="16"/>
      <c r="AN1353" s="16"/>
      <c r="AO1353" s="16"/>
      <c r="AP1353" s="16"/>
      <c r="AQ1353" s="16"/>
      <c r="AR1353" s="16"/>
      <c r="AS1353" s="16"/>
    </row>
    <row r="1354" spans="18:45" x14ac:dyDescent="0.35">
      <c r="R1354" s="191"/>
      <c r="S1354" s="191"/>
      <c r="T1354" s="193"/>
      <c r="U1354" s="191"/>
      <c r="V1354" s="194"/>
      <c r="W1354" s="191"/>
      <c r="Y1354" s="191"/>
      <c r="Z1354" s="191"/>
      <c r="AA1354" s="191"/>
      <c r="AB1354" s="191"/>
      <c r="AC1354" s="191"/>
      <c r="AD1354" s="16"/>
      <c r="AE1354" s="16"/>
      <c r="AF1354" s="16"/>
      <c r="AG1354" s="16"/>
      <c r="AH1354" s="16"/>
      <c r="AI1354" s="16"/>
      <c r="AJ1354" s="16"/>
      <c r="AK1354" s="16"/>
      <c r="AL1354" s="16"/>
      <c r="AM1354" s="16"/>
      <c r="AN1354" s="16"/>
      <c r="AO1354" s="16"/>
      <c r="AP1354" s="16"/>
      <c r="AQ1354" s="16"/>
      <c r="AR1354" s="16"/>
      <c r="AS1354" s="16"/>
    </row>
    <row r="1355" spans="18:45" x14ac:dyDescent="0.35">
      <c r="R1355" s="191"/>
      <c r="S1355" s="191"/>
      <c r="T1355" s="193"/>
      <c r="U1355" s="191"/>
      <c r="V1355" s="194"/>
      <c r="W1355" s="191"/>
      <c r="Y1355" s="191"/>
      <c r="Z1355" s="191"/>
      <c r="AA1355" s="191"/>
      <c r="AB1355" s="191"/>
      <c r="AC1355" s="191"/>
      <c r="AD1355" s="16"/>
      <c r="AE1355" s="16"/>
      <c r="AF1355" s="16"/>
      <c r="AG1355" s="16"/>
      <c r="AH1355" s="16"/>
      <c r="AI1355" s="16"/>
      <c r="AJ1355" s="16"/>
      <c r="AK1355" s="16"/>
      <c r="AL1355" s="16"/>
      <c r="AM1355" s="16"/>
      <c r="AN1355" s="16"/>
      <c r="AO1355" s="16"/>
      <c r="AP1355" s="16"/>
      <c r="AQ1355" s="16"/>
      <c r="AR1355" s="16"/>
      <c r="AS1355" s="16"/>
    </row>
    <row r="1356" spans="18:45" x14ac:dyDescent="0.35">
      <c r="R1356" s="191"/>
      <c r="S1356" s="191"/>
      <c r="T1356" s="193"/>
      <c r="U1356" s="191"/>
      <c r="V1356" s="194"/>
      <c r="W1356" s="191"/>
      <c r="Y1356" s="191"/>
      <c r="Z1356" s="191"/>
      <c r="AA1356" s="191"/>
      <c r="AB1356" s="191"/>
      <c r="AC1356" s="191"/>
      <c r="AD1356" s="16"/>
      <c r="AE1356" s="16"/>
      <c r="AF1356" s="16"/>
      <c r="AG1356" s="16"/>
      <c r="AH1356" s="16"/>
      <c r="AI1356" s="16"/>
      <c r="AJ1356" s="16"/>
      <c r="AK1356" s="16"/>
      <c r="AL1356" s="16"/>
      <c r="AM1356" s="16"/>
      <c r="AN1356" s="16"/>
      <c r="AO1356" s="16"/>
      <c r="AP1356" s="16"/>
      <c r="AQ1356" s="16"/>
      <c r="AR1356" s="16"/>
      <c r="AS1356" s="16"/>
    </row>
    <row r="1357" spans="18:45" x14ac:dyDescent="0.35">
      <c r="R1357" s="191"/>
      <c r="S1357" s="191"/>
      <c r="T1357" s="193"/>
      <c r="U1357" s="191"/>
      <c r="V1357" s="194"/>
      <c r="W1357" s="191"/>
      <c r="Y1357" s="191"/>
      <c r="Z1357" s="191"/>
      <c r="AA1357" s="191"/>
      <c r="AB1357" s="191"/>
      <c r="AC1357" s="191"/>
      <c r="AD1357" s="16"/>
      <c r="AE1357" s="16"/>
      <c r="AF1357" s="16"/>
      <c r="AG1357" s="16"/>
      <c r="AH1357" s="16"/>
      <c r="AI1357" s="16"/>
      <c r="AJ1357" s="16"/>
      <c r="AK1357" s="16"/>
      <c r="AL1357" s="16"/>
      <c r="AM1357" s="16"/>
      <c r="AN1357" s="16"/>
      <c r="AO1357" s="16"/>
      <c r="AP1357" s="16"/>
      <c r="AQ1357" s="16"/>
      <c r="AR1357" s="16"/>
      <c r="AS1357" s="16"/>
    </row>
    <row r="1358" spans="18:45" x14ac:dyDescent="0.35">
      <c r="R1358" s="191"/>
      <c r="S1358" s="191"/>
      <c r="T1358" s="193"/>
      <c r="U1358" s="191"/>
      <c r="V1358" s="194"/>
      <c r="W1358" s="191"/>
      <c r="Y1358" s="191"/>
      <c r="Z1358" s="191"/>
      <c r="AA1358" s="191"/>
      <c r="AB1358" s="191"/>
      <c r="AC1358" s="191"/>
      <c r="AD1358" s="16"/>
      <c r="AE1358" s="16"/>
      <c r="AF1358" s="16"/>
      <c r="AG1358" s="16"/>
      <c r="AH1358" s="16"/>
      <c r="AI1358" s="16"/>
      <c r="AJ1358" s="16"/>
      <c r="AK1358" s="16"/>
      <c r="AL1358" s="16"/>
      <c r="AM1358" s="16"/>
      <c r="AN1358" s="16"/>
      <c r="AO1358" s="16"/>
      <c r="AP1358" s="16"/>
      <c r="AQ1358" s="16"/>
      <c r="AR1358" s="16"/>
      <c r="AS1358" s="16"/>
    </row>
    <row r="1359" spans="18:45" x14ac:dyDescent="0.35">
      <c r="R1359" s="191"/>
      <c r="S1359" s="191"/>
      <c r="T1359" s="193"/>
      <c r="U1359" s="191"/>
      <c r="V1359" s="194"/>
      <c r="W1359" s="191"/>
      <c r="Y1359" s="191"/>
      <c r="Z1359" s="191"/>
      <c r="AA1359" s="191"/>
      <c r="AB1359" s="191"/>
      <c r="AC1359" s="191"/>
      <c r="AD1359" s="16"/>
      <c r="AE1359" s="16"/>
      <c r="AF1359" s="16"/>
      <c r="AG1359" s="16"/>
      <c r="AH1359" s="16"/>
      <c r="AI1359" s="16"/>
      <c r="AJ1359" s="16"/>
      <c r="AK1359" s="16"/>
      <c r="AL1359" s="16"/>
      <c r="AM1359" s="16"/>
      <c r="AN1359" s="16"/>
      <c r="AO1359" s="16"/>
      <c r="AP1359" s="16"/>
      <c r="AQ1359" s="16"/>
      <c r="AR1359" s="16"/>
      <c r="AS1359" s="16"/>
    </row>
    <row r="1360" spans="18:45" x14ac:dyDescent="0.35">
      <c r="R1360" s="191"/>
      <c r="S1360" s="191"/>
      <c r="T1360" s="193"/>
      <c r="U1360" s="191"/>
      <c r="V1360" s="194"/>
      <c r="W1360" s="191"/>
      <c r="Y1360" s="191"/>
      <c r="Z1360" s="191"/>
      <c r="AA1360" s="191"/>
      <c r="AB1360" s="191"/>
      <c r="AC1360" s="191"/>
      <c r="AD1360" s="16"/>
      <c r="AE1360" s="16"/>
      <c r="AF1360" s="16"/>
      <c r="AG1360" s="16"/>
      <c r="AH1360" s="16"/>
      <c r="AI1360" s="16"/>
      <c r="AJ1360" s="16"/>
      <c r="AK1360" s="16"/>
      <c r="AL1360" s="16"/>
      <c r="AM1360" s="16"/>
      <c r="AN1360" s="16"/>
      <c r="AO1360" s="16"/>
      <c r="AP1360" s="16"/>
      <c r="AQ1360" s="16"/>
      <c r="AR1360" s="16"/>
      <c r="AS1360" s="16"/>
    </row>
    <row r="1361" spans="18:45" x14ac:dyDescent="0.35">
      <c r="R1361" s="191"/>
      <c r="S1361" s="191"/>
      <c r="T1361" s="193"/>
      <c r="U1361" s="191"/>
      <c r="V1361" s="194"/>
      <c r="W1361" s="191"/>
      <c r="Y1361" s="191"/>
      <c r="Z1361" s="191"/>
      <c r="AA1361" s="191"/>
      <c r="AB1361" s="191"/>
      <c r="AC1361" s="191"/>
      <c r="AD1361" s="16"/>
      <c r="AE1361" s="16"/>
      <c r="AF1361" s="16"/>
      <c r="AG1361" s="16"/>
      <c r="AH1361" s="16"/>
      <c r="AI1361" s="16"/>
      <c r="AJ1361" s="16"/>
      <c r="AK1361" s="16"/>
      <c r="AL1361" s="16"/>
      <c r="AM1361" s="16"/>
      <c r="AN1361" s="16"/>
      <c r="AO1361" s="16"/>
      <c r="AP1361" s="16"/>
      <c r="AQ1361" s="16"/>
      <c r="AR1361" s="16"/>
      <c r="AS1361" s="16"/>
    </row>
    <row r="1362" spans="18:45" x14ac:dyDescent="0.35">
      <c r="R1362" s="191"/>
      <c r="S1362" s="191"/>
      <c r="T1362" s="193"/>
      <c r="U1362" s="191"/>
      <c r="V1362" s="194"/>
      <c r="W1362" s="191"/>
      <c r="Y1362" s="191"/>
      <c r="Z1362" s="191"/>
      <c r="AA1362" s="191"/>
      <c r="AB1362" s="191"/>
      <c r="AC1362" s="191"/>
      <c r="AD1362" s="16"/>
      <c r="AE1362" s="16"/>
      <c r="AF1362" s="16"/>
      <c r="AG1362" s="16"/>
      <c r="AH1362" s="16"/>
      <c r="AI1362" s="16"/>
      <c r="AJ1362" s="16"/>
      <c r="AK1362" s="16"/>
      <c r="AL1362" s="16"/>
      <c r="AM1362" s="16"/>
      <c r="AN1362" s="16"/>
      <c r="AO1362" s="16"/>
      <c r="AP1362" s="16"/>
      <c r="AQ1362" s="16"/>
      <c r="AR1362" s="16"/>
      <c r="AS1362" s="16"/>
    </row>
    <row r="1363" spans="18:45" x14ac:dyDescent="0.35">
      <c r="R1363" s="191"/>
      <c r="S1363" s="191"/>
      <c r="T1363" s="193"/>
      <c r="U1363" s="191"/>
      <c r="V1363" s="194"/>
      <c r="W1363" s="191"/>
      <c r="Y1363" s="191"/>
      <c r="Z1363" s="191"/>
      <c r="AA1363" s="191"/>
      <c r="AB1363" s="191"/>
      <c r="AC1363" s="191"/>
      <c r="AD1363" s="16"/>
      <c r="AE1363" s="16"/>
      <c r="AF1363" s="16"/>
      <c r="AG1363" s="16"/>
      <c r="AH1363" s="16"/>
      <c r="AI1363" s="16"/>
      <c r="AJ1363" s="16"/>
      <c r="AK1363" s="16"/>
      <c r="AL1363" s="16"/>
      <c r="AM1363" s="16"/>
      <c r="AN1363" s="16"/>
      <c r="AO1363" s="16"/>
      <c r="AP1363" s="16"/>
      <c r="AQ1363" s="16"/>
      <c r="AR1363" s="16"/>
      <c r="AS1363" s="16"/>
    </row>
    <row r="1364" spans="18:45" x14ac:dyDescent="0.35">
      <c r="R1364" s="191"/>
      <c r="S1364" s="191"/>
      <c r="T1364" s="193"/>
      <c r="U1364" s="191"/>
      <c r="V1364" s="194"/>
      <c r="W1364" s="191"/>
      <c r="Y1364" s="191"/>
      <c r="Z1364" s="191"/>
      <c r="AA1364" s="191"/>
      <c r="AB1364" s="191"/>
      <c r="AC1364" s="191"/>
      <c r="AD1364" s="16"/>
      <c r="AE1364" s="16"/>
      <c r="AF1364" s="16"/>
      <c r="AG1364" s="16"/>
      <c r="AH1364" s="16"/>
      <c r="AI1364" s="16"/>
      <c r="AJ1364" s="16"/>
      <c r="AK1364" s="16"/>
      <c r="AL1364" s="16"/>
      <c r="AM1364" s="16"/>
      <c r="AN1364" s="16"/>
      <c r="AO1364" s="16"/>
      <c r="AP1364" s="16"/>
      <c r="AQ1364" s="16"/>
      <c r="AR1364" s="16"/>
      <c r="AS1364" s="16"/>
    </row>
    <row r="1365" spans="18:45" x14ac:dyDescent="0.35">
      <c r="R1365" s="191"/>
      <c r="S1365" s="191"/>
      <c r="T1365" s="193"/>
      <c r="U1365" s="191"/>
      <c r="V1365" s="194"/>
      <c r="W1365" s="191"/>
      <c r="Y1365" s="191"/>
      <c r="Z1365" s="191"/>
      <c r="AA1365" s="191"/>
      <c r="AB1365" s="191"/>
      <c r="AC1365" s="191"/>
      <c r="AD1365" s="16"/>
      <c r="AE1365" s="16"/>
      <c r="AF1365" s="16"/>
      <c r="AG1365" s="16"/>
      <c r="AH1365" s="16"/>
      <c r="AI1365" s="16"/>
      <c r="AJ1365" s="16"/>
      <c r="AK1365" s="16"/>
      <c r="AL1365" s="16"/>
      <c r="AM1365" s="16"/>
      <c r="AN1365" s="16"/>
      <c r="AO1365" s="16"/>
      <c r="AP1365" s="16"/>
      <c r="AQ1365" s="16"/>
      <c r="AR1365" s="16"/>
      <c r="AS1365" s="16"/>
    </row>
    <row r="1366" spans="18:45" x14ac:dyDescent="0.35">
      <c r="R1366" s="191"/>
      <c r="S1366" s="191"/>
      <c r="T1366" s="193"/>
      <c r="U1366" s="191"/>
      <c r="V1366" s="194"/>
      <c r="W1366" s="191"/>
      <c r="Y1366" s="191"/>
      <c r="Z1366" s="191"/>
      <c r="AA1366" s="191"/>
      <c r="AB1366" s="191"/>
      <c r="AC1366" s="191"/>
      <c r="AD1366" s="16"/>
      <c r="AE1366" s="16"/>
      <c r="AF1366" s="16"/>
      <c r="AG1366" s="16"/>
      <c r="AH1366" s="16"/>
      <c r="AI1366" s="16"/>
      <c r="AJ1366" s="16"/>
      <c r="AK1366" s="16"/>
      <c r="AL1366" s="16"/>
      <c r="AM1366" s="16"/>
      <c r="AN1366" s="16"/>
      <c r="AO1366" s="16"/>
      <c r="AP1366" s="16"/>
      <c r="AQ1366" s="16"/>
      <c r="AR1366" s="16"/>
      <c r="AS1366" s="16"/>
    </row>
    <row r="1367" spans="18:45" x14ac:dyDescent="0.35">
      <c r="R1367" s="191"/>
      <c r="S1367" s="191"/>
      <c r="T1367" s="193"/>
      <c r="U1367" s="191"/>
      <c r="V1367" s="194"/>
      <c r="W1367" s="191"/>
      <c r="Y1367" s="191"/>
      <c r="Z1367" s="191"/>
      <c r="AA1367" s="191"/>
      <c r="AB1367" s="191"/>
      <c r="AC1367" s="191"/>
      <c r="AD1367" s="16"/>
      <c r="AE1367" s="16"/>
      <c r="AF1367" s="16"/>
      <c r="AG1367" s="16"/>
      <c r="AH1367" s="16"/>
      <c r="AI1367" s="16"/>
      <c r="AJ1367" s="16"/>
      <c r="AK1367" s="16"/>
      <c r="AL1367" s="16"/>
      <c r="AM1367" s="16"/>
      <c r="AN1367" s="16"/>
      <c r="AO1367" s="16"/>
      <c r="AP1367" s="16"/>
      <c r="AQ1367" s="16"/>
      <c r="AR1367" s="16"/>
      <c r="AS1367" s="16"/>
    </row>
    <row r="1368" spans="18:45" x14ac:dyDescent="0.35">
      <c r="R1368" s="191"/>
      <c r="S1368" s="191"/>
      <c r="T1368" s="193"/>
      <c r="U1368" s="191"/>
      <c r="V1368" s="194"/>
      <c r="W1368" s="191"/>
      <c r="Y1368" s="191"/>
      <c r="Z1368" s="191"/>
      <c r="AA1368" s="191"/>
      <c r="AB1368" s="191"/>
      <c r="AC1368" s="191"/>
      <c r="AD1368" s="16"/>
      <c r="AE1368" s="16"/>
      <c r="AF1368" s="16"/>
      <c r="AG1368" s="16"/>
      <c r="AH1368" s="16"/>
      <c r="AI1368" s="16"/>
      <c r="AJ1368" s="16"/>
      <c r="AK1368" s="16"/>
      <c r="AL1368" s="16"/>
      <c r="AM1368" s="16"/>
      <c r="AN1368" s="16"/>
      <c r="AO1368" s="16"/>
      <c r="AP1368" s="16"/>
      <c r="AQ1368" s="16"/>
      <c r="AR1368" s="16"/>
      <c r="AS1368" s="16"/>
    </row>
    <row r="1369" spans="18:45" x14ac:dyDescent="0.35">
      <c r="R1369" s="191"/>
      <c r="S1369" s="191"/>
      <c r="T1369" s="193"/>
      <c r="U1369" s="191"/>
      <c r="V1369" s="194"/>
      <c r="W1369" s="191"/>
      <c r="Y1369" s="191"/>
      <c r="Z1369" s="191"/>
      <c r="AA1369" s="191"/>
      <c r="AB1369" s="191"/>
      <c r="AC1369" s="191"/>
      <c r="AD1369" s="16"/>
      <c r="AE1369" s="16"/>
      <c r="AF1369" s="16"/>
      <c r="AG1369" s="16"/>
      <c r="AH1369" s="16"/>
      <c r="AI1369" s="16"/>
      <c r="AJ1369" s="16"/>
      <c r="AK1369" s="16"/>
      <c r="AL1369" s="16"/>
      <c r="AM1369" s="16"/>
      <c r="AN1369" s="16"/>
      <c r="AO1369" s="16"/>
      <c r="AP1369" s="16"/>
      <c r="AQ1369" s="16"/>
      <c r="AR1369" s="16"/>
      <c r="AS1369" s="16"/>
    </row>
    <row r="1370" spans="18:45" x14ac:dyDescent="0.35">
      <c r="R1370" s="191"/>
      <c r="S1370" s="191"/>
      <c r="T1370" s="193"/>
      <c r="U1370" s="191"/>
      <c r="V1370" s="194"/>
      <c r="W1370" s="191"/>
      <c r="Y1370" s="191"/>
      <c r="Z1370" s="191"/>
      <c r="AA1370" s="191"/>
      <c r="AB1370" s="191"/>
      <c r="AC1370" s="191"/>
      <c r="AD1370" s="16"/>
      <c r="AE1370" s="16"/>
      <c r="AF1370" s="16"/>
      <c r="AG1370" s="16"/>
      <c r="AH1370" s="16"/>
      <c r="AI1370" s="16"/>
      <c r="AJ1370" s="16"/>
      <c r="AK1370" s="16"/>
      <c r="AL1370" s="16"/>
      <c r="AM1370" s="16"/>
      <c r="AN1370" s="16"/>
      <c r="AO1370" s="16"/>
      <c r="AP1370" s="16"/>
      <c r="AQ1370" s="16"/>
      <c r="AR1370" s="16"/>
      <c r="AS1370" s="16"/>
    </row>
    <row r="1371" spans="18:45" x14ac:dyDescent="0.35">
      <c r="R1371" s="191"/>
      <c r="S1371" s="191"/>
      <c r="T1371" s="193"/>
      <c r="U1371" s="191"/>
      <c r="V1371" s="194"/>
      <c r="W1371" s="191"/>
      <c r="Y1371" s="191"/>
      <c r="Z1371" s="191"/>
      <c r="AA1371" s="191"/>
      <c r="AB1371" s="191"/>
      <c r="AC1371" s="191"/>
      <c r="AD1371" s="16"/>
      <c r="AE1371" s="16"/>
      <c r="AF1371" s="16"/>
      <c r="AG1371" s="16"/>
      <c r="AH1371" s="16"/>
      <c r="AI1371" s="16"/>
      <c r="AJ1371" s="16"/>
      <c r="AK1371" s="16"/>
      <c r="AL1371" s="16"/>
      <c r="AM1371" s="16"/>
      <c r="AN1371" s="16"/>
      <c r="AO1371" s="16"/>
      <c r="AP1371" s="16"/>
      <c r="AQ1371" s="16"/>
      <c r="AR1371" s="16"/>
      <c r="AS1371" s="16"/>
    </row>
    <row r="1372" spans="18:45" x14ac:dyDescent="0.35">
      <c r="R1372" s="191"/>
      <c r="S1372" s="191"/>
      <c r="T1372" s="193"/>
      <c r="U1372" s="191"/>
      <c r="V1372" s="194"/>
      <c r="W1372" s="191"/>
      <c r="Y1372" s="191"/>
      <c r="Z1372" s="191"/>
      <c r="AA1372" s="191"/>
      <c r="AB1372" s="191"/>
      <c r="AC1372" s="191"/>
      <c r="AD1372" s="16"/>
      <c r="AE1372" s="16"/>
      <c r="AF1372" s="16"/>
      <c r="AG1372" s="16"/>
      <c r="AH1372" s="16"/>
      <c r="AI1372" s="16"/>
      <c r="AJ1372" s="16"/>
      <c r="AK1372" s="16"/>
      <c r="AL1372" s="16"/>
      <c r="AM1372" s="16"/>
      <c r="AN1372" s="16"/>
      <c r="AO1372" s="16"/>
      <c r="AP1372" s="16"/>
      <c r="AQ1372" s="16"/>
      <c r="AR1372" s="16"/>
      <c r="AS1372" s="16"/>
    </row>
    <row r="1373" spans="18:45" x14ac:dyDescent="0.35">
      <c r="R1373" s="191"/>
      <c r="S1373" s="191"/>
      <c r="T1373" s="193"/>
      <c r="U1373" s="191"/>
      <c r="V1373" s="194"/>
      <c r="W1373" s="191"/>
      <c r="Y1373" s="191"/>
      <c r="Z1373" s="191"/>
      <c r="AA1373" s="191"/>
      <c r="AB1373" s="191"/>
      <c r="AC1373" s="191"/>
      <c r="AD1373" s="16"/>
      <c r="AE1373" s="16"/>
      <c r="AF1373" s="16"/>
      <c r="AG1373" s="16"/>
      <c r="AH1373" s="16"/>
      <c r="AI1373" s="16"/>
      <c r="AJ1373" s="16"/>
      <c r="AK1373" s="16"/>
      <c r="AL1373" s="16"/>
      <c r="AM1373" s="16"/>
      <c r="AN1373" s="16"/>
      <c r="AO1373" s="16"/>
      <c r="AP1373" s="16"/>
      <c r="AQ1373" s="16"/>
      <c r="AR1373" s="16"/>
      <c r="AS1373" s="16"/>
    </row>
    <row r="1374" spans="18:45" x14ac:dyDescent="0.35">
      <c r="R1374" s="191"/>
      <c r="S1374" s="191"/>
      <c r="T1374" s="193"/>
      <c r="U1374" s="191"/>
      <c r="V1374" s="194"/>
      <c r="W1374" s="191"/>
      <c r="Y1374" s="191"/>
      <c r="Z1374" s="191"/>
      <c r="AA1374" s="191"/>
      <c r="AB1374" s="191"/>
      <c r="AC1374" s="191"/>
      <c r="AD1374" s="16"/>
      <c r="AE1374" s="16"/>
      <c r="AF1374" s="16"/>
      <c r="AG1374" s="16"/>
      <c r="AH1374" s="16"/>
      <c r="AI1374" s="16"/>
      <c r="AJ1374" s="16"/>
      <c r="AK1374" s="16"/>
      <c r="AL1374" s="16"/>
      <c r="AM1374" s="16"/>
      <c r="AN1374" s="16"/>
      <c r="AO1374" s="16"/>
      <c r="AP1374" s="16"/>
      <c r="AQ1374" s="16"/>
      <c r="AR1374" s="16"/>
      <c r="AS1374" s="16"/>
    </row>
    <row r="1375" spans="18:45" x14ac:dyDescent="0.35">
      <c r="R1375" s="191"/>
      <c r="S1375" s="191"/>
      <c r="T1375" s="193"/>
      <c r="U1375" s="191"/>
      <c r="V1375" s="194"/>
      <c r="W1375" s="191"/>
      <c r="Y1375" s="191"/>
      <c r="Z1375" s="191"/>
      <c r="AA1375" s="191"/>
      <c r="AB1375" s="191"/>
      <c r="AC1375" s="191"/>
      <c r="AD1375" s="16"/>
      <c r="AE1375" s="16"/>
      <c r="AF1375" s="16"/>
      <c r="AG1375" s="16"/>
      <c r="AH1375" s="16"/>
      <c r="AI1375" s="16"/>
      <c r="AJ1375" s="16"/>
      <c r="AK1375" s="16"/>
      <c r="AL1375" s="16"/>
      <c r="AM1375" s="16"/>
      <c r="AN1375" s="16"/>
      <c r="AO1375" s="16"/>
      <c r="AP1375" s="16"/>
      <c r="AQ1375" s="16"/>
      <c r="AR1375" s="16"/>
      <c r="AS1375" s="16"/>
    </row>
    <row r="1376" spans="18:45" x14ac:dyDescent="0.35">
      <c r="R1376" s="191"/>
      <c r="S1376" s="191"/>
      <c r="T1376" s="193"/>
      <c r="U1376" s="191"/>
      <c r="V1376" s="194"/>
      <c r="W1376" s="191"/>
      <c r="Y1376" s="191"/>
      <c r="Z1376" s="191"/>
      <c r="AA1376" s="191"/>
      <c r="AB1376" s="191"/>
      <c r="AC1376" s="191"/>
      <c r="AD1376" s="16"/>
      <c r="AE1376" s="16"/>
      <c r="AF1376" s="16"/>
      <c r="AG1376" s="16"/>
      <c r="AH1376" s="16"/>
      <c r="AI1376" s="16"/>
      <c r="AJ1376" s="16"/>
      <c r="AK1376" s="16"/>
      <c r="AL1376" s="16"/>
      <c r="AM1376" s="16"/>
      <c r="AN1376" s="16"/>
      <c r="AO1376" s="16"/>
      <c r="AP1376" s="16"/>
      <c r="AQ1376" s="16"/>
      <c r="AR1376" s="16"/>
      <c r="AS1376" s="16"/>
    </row>
    <row r="1377" spans="18:45" x14ac:dyDescent="0.35">
      <c r="R1377" s="191"/>
      <c r="S1377" s="191"/>
      <c r="T1377" s="193"/>
      <c r="U1377" s="191"/>
      <c r="V1377" s="194"/>
      <c r="W1377" s="191"/>
      <c r="Y1377" s="191"/>
      <c r="Z1377" s="191"/>
      <c r="AA1377" s="191"/>
      <c r="AB1377" s="191"/>
      <c r="AC1377" s="191"/>
      <c r="AD1377" s="16"/>
      <c r="AE1377" s="16"/>
      <c r="AF1377" s="16"/>
      <c r="AG1377" s="16"/>
      <c r="AH1377" s="16"/>
      <c r="AI1377" s="16"/>
      <c r="AJ1377" s="16"/>
      <c r="AK1377" s="16"/>
      <c r="AL1377" s="16"/>
      <c r="AM1377" s="16"/>
      <c r="AN1377" s="16"/>
      <c r="AO1377" s="16"/>
      <c r="AP1377" s="16"/>
      <c r="AQ1377" s="16"/>
      <c r="AR1377" s="16"/>
      <c r="AS1377" s="16"/>
    </row>
    <row r="1378" spans="18:45" x14ac:dyDescent="0.35">
      <c r="R1378" s="191"/>
      <c r="S1378" s="191"/>
      <c r="T1378" s="193"/>
      <c r="U1378" s="191"/>
      <c r="V1378" s="194"/>
      <c r="W1378" s="191"/>
      <c r="Y1378" s="191"/>
      <c r="Z1378" s="191"/>
      <c r="AA1378" s="191"/>
      <c r="AB1378" s="191"/>
      <c r="AC1378" s="191"/>
      <c r="AD1378" s="16"/>
      <c r="AE1378" s="16"/>
      <c r="AF1378" s="16"/>
      <c r="AG1378" s="16"/>
      <c r="AH1378" s="16"/>
      <c r="AI1378" s="16"/>
      <c r="AJ1378" s="16"/>
      <c r="AK1378" s="16"/>
      <c r="AL1378" s="16"/>
      <c r="AM1378" s="16"/>
      <c r="AN1378" s="16"/>
      <c r="AO1378" s="16"/>
      <c r="AP1378" s="16"/>
      <c r="AQ1378" s="16"/>
      <c r="AR1378" s="16"/>
      <c r="AS1378" s="16"/>
    </row>
    <row r="1379" spans="18:45" x14ac:dyDescent="0.35">
      <c r="R1379" s="191"/>
      <c r="S1379" s="191"/>
      <c r="T1379" s="193"/>
      <c r="U1379" s="191"/>
      <c r="V1379" s="194"/>
      <c r="W1379" s="191"/>
      <c r="Y1379" s="191"/>
      <c r="Z1379" s="191"/>
      <c r="AA1379" s="191"/>
      <c r="AB1379" s="191"/>
      <c r="AC1379" s="191"/>
      <c r="AD1379" s="16"/>
      <c r="AE1379" s="16"/>
      <c r="AF1379" s="16"/>
      <c r="AG1379" s="16"/>
      <c r="AH1379" s="16"/>
      <c r="AI1379" s="16"/>
      <c r="AJ1379" s="16"/>
      <c r="AK1379" s="16"/>
      <c r="AL1379" s="16"/>
      <c r="AM1379" s="16"/>
      <c r="AN1379" s="16"/>
      <c r="AO1379" s="16"/>
      <c r="AP1379" s="16"/>
      <c r="AQ1379" s="16"/>
      <c r="AR1379" s="16"/>
      <c r="AS1379" s="16"/>
    </row>
    <row r="1380" spans="18:45" x14ac:dyDescent="0.35">
      <c r="R1380" s="191"/>
      <c r="S1380" s="191"/>
      <c r="T1380" s="193"/>
      <c r="U1380" s="191"/>
      <c r="V1380" s="194"/>
      <c r="W1380" s="191"/>
      <c r="Y1380" s="191"/>
      <c r="Z1380" s="191"/>
      <c r="AA1380" s="191"/>
      <c r="AB1380" s="191"/>
      <c r="AC1380" s="191"/>
      <c r="AD1380" s="16"/>
      <c r="AE1380" s="16"/>
      <c r="AF1380" s="16"/>
      <c r="AG1380" s="16"/>
      <c r="AH1380" s="16"/>
      <c r="AI1380" s="16"/>
      <c r="AJ1380" s="16"/>
      <c r="AK1380" s="16"/>
      <c r="AL1380" s="16"/>
      <c r="AM1380" s="16"/>
      <c r="AN1380" s="16"/>
      <c r="AO1380" s="16"/>
      <c r="AP1380" s="16"/>
      <c r="AQ1380" s="16"/>
      <c r="AR1380" s="16"/>
      <c r="AS1380" s="16"/>
    </row>
    <row r="1381" spans="18:45" x14ac:dyDescent="0.35">
      <c r="R1381" s="191"/>
      <c r="S1381" s="191"/>
      <c r="T1381" s="193"/>
      <c r="U1381" s="191"/>
      <c r="V1381" s="194"/>
      <c r="W1381" s="191"/>
      <c r="Y1381" s="191"/>
      <c r="Z1381" s="191"/>
      <c r="AA1381" s="191"/>
      <c r="AB1381" s="191"/>
      <c r="AC1381" s="191"/>
      <c r="AD1381" s="16"/>
      <c r="AE1381" s="16"/>
      <c r="AF1381" s="16"/>
      <c r="AG1381" s="16"/>
      <c r="AH1381" s="16"/>
      <c r="AI1381" s="16"/>
      <c r="AJ1381" s="16"/>
      <c r="AK1381" s="16"/>
      <c r="AL1381" s="16"/>
      <c r="AM1381" s="16"/>
      <c r="AN1381" s="16"/>
      <c r="AO1381" s="16"/>
      <c r="AP1381" s="16"/>
      <c r="AQ1381" s="16"/>
      <c r="AR1381" s="16"/>
      <c r="AS1381" s="16"/>
    </row>
    <row r="1382" spans="18:45" x14ac:dyDescent="0.35">
      <c r="R1382" s="191"/>
      <c r="S1382" s="191"/>
      <c r="T1382" s="193"/>
      <c r="U1382" s="191"/>
      <c r="V1382" s="194"/>
      <c r="W1382" s="191"/>
      <c r="Y1382" s="191"/>
      <c r="Z1382" s="191"/>
      <c r="AA1382" s="191"/>
      <c r="AB1382" s="191"/>
      <c r="AC1382" s="191"/>
      <c r="AD1382" s="16"/>
      <c r="AE1382" s="16"/>
      <c r="AF1382" s="16"/>
      <c r="AG1382" s="16"/>
      <c r="AH1382" s="16"/>
      <c r="AI1382" s="16"/>
      <c r="AJ1382" s="16"/>
      <c r="AK1382" s="16"/>
      <c r="AL1382" s="16"/>
      <c r="AM1382" s="16"/>
      <c r="AN1382" s="16"/>
      <c r="AO1382" s="16"/>
      <c r="AP1382" s="16"/>
      <c r="AQ1382" s="16"/>
      <c r="AR1382" s="16"/>
      <c r="AS1382" s="16"/>
    </row>
    <row r="1383" spans="18:45" x14ac:dyDescent="0.35">
      <c r="R1383" s="191"/>
      <c r="S1383" s="191"/>
      <c r="T1383" s="193"/>
      <c r="U1383" s="191"/>
      <c r="V1383" s="194"/>
      <c r="W1383" s="191"/>
      <c r="Y1383" s="191"/>
      <c r="Z1383" s="191"/>
      <c r="AA1383" s="191"/>
      <c r="AB1383" s="191"/>
      <c r="AC1383" s="191"/>
      <c r="AD1383" s="16"/>
      <c r="AE1383" s="16"/>
      <c r="AF1383" s="16"/>
      <c r="AG1383" s="16"/>
      <c r="AH1383" s="16"/>
      <c r="AI1383" s="16"/>
      <c r="AJ1383" s="16"/>
      <c r="AK1383" s="16"/>
      <c r="AL1383" s="16"/>
      <c r="AM1383" s="16"/>
      <c r="AN1383" s="16"/>
      <c r="AO1383" s="16"/>
      <c r="AP1383" s="16"/>
      <c r="AQ1383" s="16"/>
      <c r="AR1383" s="16"/>
      <c r="AS1383" s="16"/>
    </row>
    <row r="1384" spans="18:45" x14ac:dyDescent="0.35">
      <c r="R1384" s="191"/>
      <c r="S1384" s="191"/>
      <c r="T1384" s="193"/>
      <c r="U1384" s="191"/>
      <c r="V1384" s="194"/>
      <c r="W1384" s="191"/>
      <c r="Y1384" s="191"/>
      <c r="Z1384" s="191"/>
      <c r="AA1384" s="191"/>
      <c r="AB1384" s="191"/>
      <c r="AC1384" s="191"/>
      <c r="AD1384" s="16"/>
      <c r="AE1384" s="16"/>
      <c r="AF1384" s="16"/>
      <c r="AG1384" s="16"/>
      <c r="AH1384" s="16"/>
      <c r="AI1384" s="16"/>
      <c r="AJ1384" s="16"/>
      <c r="AK1384" s="16"/>
      <c r="AL1384" s="16"/>
      <c r="AM1384" s="16"/>
      <c r="AN1384" s="16"/>
      <c r="AO1384" s="16"/>
      <c r="AP1384" s="16"/>
      <c r="AQ1384" s="16"/>
      <c r="AR1384" s="16"/>
      <c r="AS1384" s="16"/>
    </row>
    <row r="1385" spans="18:45" x14ac:dyDescent="0.35">
      <c r="R1385" s="191"/>
      <c r="S1385" s="191"/>
      <c r="T1385" s="193"/>
      <c r="U1385" s="191"/>
      <c r="V1385" s="194"/>
      <c r="W1385" s="191"/>
      <c r="Y1385" s="191"/>
      <c r="Z1385" s="191"/>
      <c r="AA1385" s="191"/>
      <c r="AB1385" s="191"/>
      <c r="AC1385" s="191"/>
      <c r="AD1385" s="16"/>
      <c r="AE1385" s="16"/>
      <c r="AF1385" s="16"/>
      <c r="AG1385" s="16"/>
      <c r="AH1385" s="16"/>
      <c r="AI1385" s="16"/>
      <c r="AJ1385" s="16"/>
      <c r="AK1385" s="16"/>
      <c r="AL1385" s="16"/>
      <c r="AM1385" s="16"/>
      <c r="AN1385" s="16"/>
      <c r="AO1385" s="16"/>
      <c r="AP1385" s="16"/>
      <c r="AQ1385" s="16"/>
      <c r="AR1385" s="16"/>
      <c r="AS1385" s="16"/>
    </row>
    <row r="1386" spans="18:45" x14ac:dyDescent="0.35">
      <c r="R1386" s="191"/>
      <c r="S1386" s="191"/>
      <c r="T1386" s="193"/>
      <c r="U1386" s="191"/>
      <c r="V1386" s="194"/>
      <c r="W1386" s="191"/>
      <c r="Y1386" s="191"/>
      <c r="Z1386" s="191"/>
      <c r="AA1386" s="191"/>
      <c r="AB1386" s="191"/>
      <c r="AC1386" s="191"/>
      <c r="AD1386" s="16"/>
      <c r="AE1386" s="16"/>
      <c r="AF1386" s="16"/>
      <c r="AG1386" s="16"/>
      <c r="AH1386" s="16"/>
      <c r="AI1386" s="16"/>
      <c r="AJ1386" s="16"/>
      <c r="AK1386" s="16"/>
      <c r="AL1386" s="16"/>
      <c r="AM1386" s="16"/>
      <c r="AN1386" s="16"/>
      <c r="AO1386" s="16"/>
      <c r="AP1386" s="16"/>
      <c r="AQ1386" s="16"/>
      <c r="AR1386" s="16"/>
      <c r="AS1386" s="16"/>
    </row>
    <row r="1387" spans="18:45" x14ac:dyDescent="0.35">
      <c r="R1387" s="191"/>
      <c r="S1387" s="191"/>
      <c r="T1387" s="193"/>
      <c r="U1387" s="191"/>
      <c r="V1387" s="194"/>
      <c r="W1387" s="191"/>
      <c r="Y1387" s="191"/>
      <c r="Z1387" s="191"/>
      <c r="AA1387" s="191"/>
      <c r="AB1387" s="191"/>
      <c r="AC1387" s="191"/>
      <c r="AD1387" s="16"/>
      <c r="AE1387" s="16"/>
      <c r="AF1387" s="16"/>
      <c r="AG1387" s="16"/>
      <c r="AH1387" s="16"/>
      <c r="AI1387" s="16"/>
      <c r="AJ1387" s="16"/>
      <c r="AK1387" s="16"/>
      <c r="AL1387" s="16"/>
      <c r="AM1387" s="16"/>
      <c r="AN1387" s="16"/>
      <c r="AO1387" s="16"/>
      <c r="AP1387" s="16"/>
      <c r="AQ1387" s="16"/>
      <c r="AR1387" s="16"/>
      <c r="AS1387" s="16"/>
    </row>
    <row r="1388" spans="18:45" x14ac:dyDescent="0.35">
      <c r="R1388" s="191"/>
      <c r="S1388" s="191"/>
      <c r="T1388" s="193"/>
      <c r="U1388" s="191"/>
      <c r="V1388" s="194"/>
      <c r="W1388" s="191"/>
      <c r="Y1388" s="191"/>
      <c r="Z1388" s="191"/>
      <c r="AA1388" s="191"/>
      <c r="AB1388" s="191"/>
      <c r="AC1388" s="191"/>
      <c r="AD1388" s="16"/>
      <c r="AE1388" s="16"/>
      <c r="AF1388" s="16"/>
      <c r="AG1388" s="16"/>
      <c r="AH1388" s="16"/>
      <c r="AI1388" s="16"/>
      <c r="AJ1388" s="16"/>
      <c r="AK1388" s="16"/>
      <c r="AL1388" s="16"/>
      <c r="AM1388" s="16"/>
      <c r="AN1388" s="16"/>
      <c r="AO1388" s="16"/>
      <c r="AP1388" s="16"/>
      <c r="AQ1388" s="16"/>
      <c r="AR1388" s="16"/>
      <c r="AS1388" s="16"/>
    </row>
    <row r="1389" spans="18:45" x14ac:dyDescent="0.35">
      <c r="R1389" s="191"/>
      <c r="S1389" s="191"/>
      <c r="T1389" s="193"/>
      <c r="U1389" s="191"/>
      <c r="V1389" s="194"/>
      <c r="W1389" s="191"/>
      <c r="Y1389" s="191"/>
      <c r="Z1389" s="191"/>
      <c r="AA1389" s="191"/>
      <c r="AB1389" s="191"/>
      <c r="AC1389" s="191"/>
      <c r="AD1389" s="16"/>
      <c r="AE1389" s="16"/>
      <c r="AF1389" s="16"/>
      <c r="AG1389" s="16"/>
      <c r="AH1389" s="16"/>
      <c r="AI1389" s="16"/>
      <c r="AJ1389" s="16"/>
      <c r="AK1389" s="16"/>
      <c r="AL1389" s="16"/>
      <c r="AM1389" s="16"/>
      <c r="AN1389" s="16"/>
      <c r="AO1389" s="16"/>
      <c r="AP1389" s="16"/>
      <c r="AQ1389" s="16"/>
      <c r="AR1389" s="16"/>
      <c r="AS1389" s="16"/>
    </row>
    <row r="1390" spans="18:45" x14ac:dyDescent="0.35">
      <c r="R1390" s="191"/>
      <c r="S1390" s="191"/>
      <c r="T1390" s="193"/>
      <c r="U1390" s="191"/>
      <c r="V1390" s="194"/>
      <c r="W1390" s="191"/>
      <c r="Y1390" s="191"/>
      <c r="Z1390" s="191"/>
      <c r="AA1390" s="191"/>
      <c r="AB1390" s="191"/>
      <c r="AC1390" s="191"/>
      <c r="AD1390" s="16"/>
      <c r="AE1390" s="16"/>
      <c r="AF1390" s="16"/>
      <c r="AG1390" s="16"/>
      <c r="AH1390" s="16"/>
      <c r="AI1390" s="16"/>
      <c r="AJ1390" s="16"/>
      <c r="AK1390" s="16"/>
      <c r="AL1390" s="16"/>
      <c r="AM1390" s="16"/>
      <c r="AN1390" s="16"/>
      <c r="AO1390" s="16"/>
      <c r="AP1390" s="16"/>
      <c r="AQ1390" s="16"/>
      <c r="AR1390" s="16"/>
      <c r="AS1390" s="16"/>
    </row>
    <row r="1391" spans="18:45" x14ac:dyDescent="0.35">
      <c r="R1391" s="191"/>
      <c r="S1391" s="191"/>
      <c r="T1391" s="193"/>
      <c r="U1391" s="191"/>
      <c r="V1391" s="194"/>
      <c r="W1391" s="191"/>
      <c r="Y1391" s="191"/>
      <c r="Z1391" s="191"/>
      <c r="AA1391" s="191"/>
      <c r="AB1391" s="191"/>
      <c r="AC1391" s="191"/>
      <c r="AD1391" s="16"/>
      <c r="AE1391" s="16"/>
      <c r="AF1391" s="16"/>
      <c r="AG1391" s="16"/>
      <c r="AH1391" s="16"/>
      <c r="AI1391" s="16"/>
      <c r="AJ1391" s="16"/>
      <c r="AK1391" s="16"/>
      <c r="AL1391" s="16"/>
      <c r="AM1391" s="16"/>
      <c r="AN1391" s="16"/>
      <c r="AO1391" s="16"/>
      <c r="AP1391" s="16"/>
      <c r="AQ1391" s="16"/>
      <c r="AR1391" s="16"/>
      <c r="AS1391" s="16"/>
    </row>
    <row r="1392" spans="18:45" x14ac:dyDescent="0.35">
      <c r="R1392" s="191"/>
      <c r="S1392" s="191"/>
      <c r="T1392" s="193"/>
      <c r="U1392" s="191"/>
      <c r="V1392" s="194"/>
      <c r="W1392" s="191"/>
      <c r="Y1392" s="191"/>
      <c r="Z1392" s="191"/>
      <c r="AA1392" s="191"/>
      <c r="AB1392" s="191"/>
      <c r="AC1392" s="191"/>
      <c r="AD1392" s="16"/>
      <c r="AE1392" s="16"/>
      <c r="AF1392" s="16"/>
      <c r="AG1392" s="16"/>
      <c r="AH1392" s="16"/>
      <c r="AI1392" s="16"/>
      <c r="AJ1392" s="16"/>
      <c r="AK1392" s="16"/>
      <c r="AL1392" s="16"/>
      <c r="AM1392" s="16"/>
      <c r="AN1392" s="16"/>
      <c r="AO1392" s="16"/>
      <c r="AP1392" s="16"/>
      <c r="AQ1392" s="16"/>
      <c r="AR1392" s="16"/>
      <c r="AS1392" s="16"/>
    </row>
    <row r="1393" spans="18:45" x14ac:dyDescent="0.35">
      <c r="R1393" s="191"/>
      <c r="S1393" s="191"/>
      <c r="T1393" s="193"/>
      <c r="U1393" s="191"/>
      <c r="V1393" s="194"/>
      <c r="W1393" s="191"/>
      <c r="Y1393" s="191"/>
      <c r="Z1393" s="191"/>
      <c r="AA1393" s="191"/>
      <c r="AB1393" s="191"/>
      <c r="AC1393" s="191"/>
      <c r="AD1393" s="16"/>
      <c r="AE1393" s="16"/>
      <c r="AF1393" s="16"/>
      <c r="AG1393" s="16"/>
      <c r="AH1393" s="16"/>
      <c r="AI1393" s="16"/>
      <c r="AJ1393" s="16"/>
      <c r="AK1393" s="16"/>
      <c r="AL1393" s="16"/>
      <c r="AM1393" s="16"/>
      <c r="AN1393" s="16"/>
      <c r="AO1393" s="16"/>
      <c r="AP1393" s="16"/>
      <c r="AQ1393" s="16"/>
      <c r="AR1393" s="16"/>
      <c r="AS1393" s="16"/>
    </row>
    <row r="1394" spans="18:45" x14ac:dyDescent="0.35">
      <c r="R1394" s="191"/>
      <c r="S1394" s="191"/>
      <c r="T1394" s="193"/>
      <c r="U1394" s="191"/>
      <c r="V1394" s="194"/>
      <c r="W1394" s="191"/>
      <c r="Y1394" s="191"/>
      <c r="Z1394" s="191"/>
      <c r="AA1394" s="191"/>
      <c r="AB1394" s="191"/>
      <c r="AC1394" s="191"/>
      <c r="AD1394" s="16"/>
      <c r="AE1394" s="16"/>
      <c r="AF1394" s="16"/>
      <c r="AG1394" s="16"/>
      <c r="AH1394" s="16"/>
      <c r="AI1394" s="16"/>
      <c r="AJ1394" s="16"/>
      <c r="AK1394" s="16"/>
      <c r="AL1394" s="16"/>
      <c r="AM1394" s="16"/>
      <c r="AN1394" s="16"/>
      <c r="AO1394" s="16"/>
      <c r="AP1394" s="16"/>
      <c r="AQ1394" s="16"/>
      <c r="AR1394" s="16"/>
      <c r="AS1394" s="16"/>
    </row>
    <row r="1395" spans="18:45" x14ac:dyDescent="0.35">
      <c r="R1395" s="191"/>
      <c r="S1395" s="191"/>
      <c r="T1395" s="193"/>
      <c r="U1395" s="191"/>
      <c r="V1395" s="194"/>
      <c r="W1395" s="191"/>
      <c r="Y1395" s="191"/>
      <c r="Z1395" s="191"/>
      <c r="AA1395" s="191"/>
      <c r="AB1395" s="191"/>
      <c r="AC1395" s="191"/>
      <c r="AD1395" s="16"/>
      <c r="AE1395" s="16"/>
      <c r="AF1395" s="16"/>
      <c r="AG1395" s="16"/>
      <c r="AH1395" s="16"/>
      <c r="AI1395" s="16"/>
      <c r="AJ1395" s="16"/>
      <c r="AK1395" s="16"/>
      <c r="AL1395" s="16"/>
      <c r="AM1395" s="16"/>
      <c r="AN1395" s="16"/>
      <c r="AO1395" s="16"/>
      <c r="AP1395" s="16"/>
      <c r="AQ1395" s="16"/>
      <c r="AR1395" s="16"/>
      <c r="AS1395" s="16"/>
    </row>
    <row r="1396" spans="18:45" x14ac:dyDescent="0.35">
      <c r="R1396" s="191"/>
      <c r="S1396" s="191"/>
      <c r="T1396" s="193"/>
      <c r="U1396" s="191"/>
      <c r="V1396" s="194"/>
      <c r="W1396" s="191"/>
      <c r="Y1396" s="191"/>
      <c r="Z1396" s="191"/>
      <c r="AA1396" s="191"/>
      <c r="AB1396" s="191"/>
      <c r="AC1396" s="191"/>
      <c r="AD1396" s="16"/>
      <c r="AE1396" s="16"/>
      <c r="AF1396" s="16"/>
      <c r="AG1396" s="16"/>
      <c r="AH1396" s="16"/>
      <c r="AI1396" s="16"/>
      <c r="AJ1396" s="16"/>
      <c r="AK1396" s="16"/>
      <c r="AL1396" s="16"/>
      <c r="AM1396" s="16"/>
      <c r="AN1396" s="16"/>
      <c r="AO1396" s="16"/>
      <c r="AP1396" s="16"/>
      <c r="AQ1396" s="16"/>
      <c r="AR1396" s="16"/>
      <c r="AS1396" s="16"/>
    </row>
    <row r="1397" spans="18:45" x14ac:dyDescent="0.35">
      <c r="R1397" s="191"/>
      <c r="S1397" s="191"/>
      <c r="T1397" s="193"/>
      <c r="U1397" s="191"/>
      <c r="V1397" s="194"/>
      <c r="W1397" s="191"/>
      <c r="Y1397" s="191"/>
      <c r="Z1397" s="191"/>
      <c r="AA1397" s="191"/>
      <c r="AB1397" s="191"/>
      <c r="AC1397" s="191"/>
      <c r="AD1397" s="16"/>
      <c r="AE1397" s="16"/>
      <c r="AF1397" s="16"/>
      <c r="AG1397" s="16"/>
      <c r="AH1397" s="16"/>
      <c r="AI1397" s="16"/>
      <c r="AJ1397" s="16"/>
      <c r="AK1397" s="16"/>
      <c r="AL1397" s="16"/>
      <c r="AM1397" s="16"/>
      <c r="AN1397" s="16"/>
      <c r="AO1397" s="16"/>
      <c r="AP1397" s="16"/>
      <c r="AQ1397" s="16"/>
      <c r="AR1397" s="16"/>
      <c r="AS1397" s="16"/>
    </row>
    <row r="1398" spans="18:45" x14ac:dyDescent="0.35">
      <c r="R1398" s="191"/>
      <c r="S1398" s="191"/>
      <c r="T1398" s="193"/>
      <c r="U1398" s="191"/>
      <c r="V1398" s="194"/>
      <c r="W1398" s="191"/>
      <c r="Y1398" s="191"/>
      <c r="Z1398" s="191"/>
      <c r="AA1398" s="191"/>
      <c r="AB1398" s="191"/>
      <c r="AC1398" s="191"/>
      <c r="AD1398" s="16"/>
      <c r="AE1398" s="16"/>
      <c r="AF1398" s="16"/>
      <c r="AG1398" s="16"/>
      <c r="AH1398" s="16"/>
      <c r="AI1398" s="16"/>
      <c r="AJ1398" s="16"/>
      <c r="AK1398" s="16"/>
      <c r="AL1398" s="16"/>
      <c r="AM1398" s="16"/>
      <c r="AN1398" s="16"/>
      <c r="AO1398" s="16"/>
      <c r="AP1398" s="16"/>
      <c r="AQ1398" s="16"/>
      <c r="AR1398" s="16"/>
      <c r="AS1398" s="16"/>
    </row>
    <row r="1399" spans="18:45" x14ac:dyDescent="0.35">
      <c r="R1399" s="191"/>
      <c r="S1399" s="191"/>
      <c r="T1399" s="193"/>
      <c r="U1399" s="191"/>
      <c r="V1399" s="194"/>
      <c r="W1399" s="191"/>
      <c r="Y1399" s="191"/>
      <c r="Z1399" s="191"/>
      <c r="AA1399" s="191"/>
      <c r="AB1399" s="191"/>
      <c r="AC1399" s="191"/>
      <c r="AD1399" s="16"/>
      <c r="AE1399" s="16"/>
      <c r="AF1399" s="16"/>
      <c r="AG1399" s="16"/>
      <c r="AH1399" s="16"/>
      <c r="AI1399" s="16"/>
      <c r="AJ1399" s="16"/>
      <c r="AK1399" s="16"/>
      <c r="AL1399" s="16"/>
      <c r="AM1399" s="16"/>
      <c r="AN1399" s="16"/>
      <c r="AO1399" s="16"/>
      <c r="AP1399" s="16"/>
      <c r="AQ1399" s="16"/>
      <c r="AR1399" s="16"/>
      <c r="AS1399" s="16"/>
    </row>
    <row r="1400" spans="18:45" x14ac:dyDescent="0.35">
      <c r="R1400" s="191"/>
      <c r="S1400" s="191"/>
      <c r="T1400" s="193"/>
      <c r="U1400" s="191"/>
      <c r="V1400" s="194"/>
      <c r="W1400" s="191"/>
      <c r="Y1400" s="191"/>
      <c r="Z1400" s="191"/>
      <c r="AA1400" s="191"/>
      <c r="AB1400" s="191"/>
      <c r="AC1400" s="191"/>
      <c r="AD1400" s="16"/>
      <c r="AE1400" s="16"/>
      <c r="AF1400" s="16"/>
      <c r="AG1400" s="16"/>
      <c r="AH1400" s="16"/>
      <c r="AI1400" s="16"/>
      <c r="AJ1400" s="16"/>
      <c r="AK1400" s="16"/>
      <c r="AL1400" s="16"/>
      <c r="AM1400" s="16"/>
      <c r="AN1400" s="16"/>
      <c r="AO1400" s="16"/>
      <c r="AP1400" s="16"/>
      <c r="AQ1400" s="16"/>
      <c r="AR1400" s="16"/>
      <c r="AS1400" s="16"/>
    </row>
    <row r="1401" spans="18:45" x14ac:dyDescent="0.35">
      <c r="R1401" s="191"/>
      <c r="S1401" s="191"/>
      <c r="T1401" s="193"/>
      <c r="U1401" s="191"/>
      <c r="V1401" s="194"/>
      <c r="W1401" s="191"/>
      <c r="Y1401" s="191"/>
      <c r="Z1401" s="191"/>
      <c r="AA1401" s="191"/>
      <c r="AB1401" s="191"/>
      <c r="AC1401" s="191"/>
      <c r="AD1401" s="16"/>
      <c r="AE1401" s="16"/>
      <c r="AF1401" s="16"/>
      <c r="AG1401" s="16"/>
      <c r="AH1401" s="16"/>
      <c r="AI1401" s="16"/>
      <c r="AJ1401" s="16"/>
      <c r="AK1401" s="16"/>
      <c r="AL1401" s="16"/>
      <c r="AM1401" s="16"/>
      <c r="AN1401" s="16"/>
      <c r="AO1401" s="16"/>
      <c r="AP1401" s="16"/>
      <c r="AQ1401" s="16"/>
      <c r="AR1401" s="16"/>
      <c r="AS1401" s="16"/>
    </row>
    <row r="1402" spans="18:45" x14ac:dyDescent="0.35">
      <c r="R1402" s="191"/>
      <c r="S1402" s="191"/>
      <c r="T1402" s="193"/>
      <c r="U1402" s="191"/>
      <c r="V1402" s="194"/>
      <c r="W1402" s="191"/>
      <c r="Y1402" s="191"/>
      <c r="Z1402" s="191"/>
      <c r="AA1402" s="191"/>
      <c r="AB1402" s="191"/>
      <c r="AC1402" s="191"/>
      <c r="AD1402" s="16"/>
      <c r="AE1402" s="16"/>
      <c r="AF1402" s="16"/>
      <c r="AG1402" s="16"/>
      <c r="AH1402" s="16"/>
      <c r="AI1402" s="16"/>
      <c r="AJ1402" s="16"/>
      <c r="AK1402" s="16"/>
      <c r="AL1402" s="16"/>
      <c r="AM1402" s="16"/>
      <c r="AN1402" s="16"/>
      <c r="AO1402" s="16"/>
      <c r="AP1402" s="16"/>
      <c r="AQ1402" s="16"/>
      <c r="AR1402" s="16"/>
      <c r="AS1402" s="16"/>
    </row>
    <row r="1403" spans="18:45" x14ac:dyDescent="0.35">
      <c r="R1403" s="191"/>
      <c r="S1403" s="191"/>
      <c r="T1403" s="193"/>
      <c r="U1403" s="191"/>
      <c r="V1403" s="194"/>
      <c r="W1403" s="191"/>
      <c r="Y1403" s="191"/>
      <c r="Z1403" s="191"/>
      <c r="AA1403" s="191"/>
      <c r="AB1403" s="191"/>
      <c r="AC1403" s="191"/>
      <c r="AD1403" s="16"/>
      <c r="AE1403" s="16"/>
      <c r="AF1403" s="16"/>
      <c r="AG1403" s="16"/>
      <c r="AH1403" s="16"/>
      <c r="AI1403" s="16"/>
      <c r="AJ1403" s="16"/>
      <c r="AK1403" s="16"/>
      <c r="AL1403" s="16"/>
      <c r="AM1403" s="16"/>
      <c r="AN1403" s="16"/>
      <c r="AO1403" s="16"/>
      <c r="AP1403" s="16"/>
      <c r="AQ1403" s="16"/>
      <c r="AR1403" s="16"/>
      <c r="AS1403" s="16"/>
    </row>
    <row r="1404" spans="18:45" x14ac:dyDescent="0.35">
      <c r="R1404" s="191"/>
      <c r="S1404" s="191"/>
      <c r="T1404" s="193"/>
      <c r="U1404" s="191"/>
      <c r="V1404" s="194"/>
      <c r="W1404" s="191"/>
      <c r="Y1404" s="191"/>
      <c r="Z1404" s="191"/>
      <c r="AA1404" s="191"/>
      <c r="AB1404" s="191"/>
      <c r="AC1404" s="191"/>
      <c r="AD1404" s="16"/>
      <c r="AE1404" s="16"/>
      <c r="AF1404" s="16"/>
      <c r="AG1404" s="16"/>
      <c r="AH1404" s="16"/>
      <c r="AI1404" s="16"/>
      <c r="AJ1404" s="16"/>
      <c r="AK1404" s="16"/>
      <c r="AL1404" s="16"/>
      <c r="AM1404" s="16"/>
      <c r="AN1404" s="16"/>
      <c r="AO1404" s="16"/>
      <c r="AP1404" s="16"/>
      <c r="AQ1404" s="16"/>
      <c r="AR1404" s="16"/>
      <c r="AS1404" s="16"/>
    </row>
    <row r="1405" spans="18:45" x14ac:dyDescent="0.35">
      <c r="R1405" s="191"/>
      <c r="S1405" s="191"/>
      <c r="T1405" s="193"/>
      <c r="U1405" s="191"/>
      <c r="V1405" s="194"/>
      <c r="W1405" s="191"/>
      <c r="Y1405" s="191"/>
      <c r="Z1405" s="191"/>
      <c r="AA1405" s="191"/>
      <c r="AB1405" s="191"/>
      <c r="AC1405" s="191"/>
      <c r="AD1405" s="16"/>
      <c r="AE1405" s="16"/>
      <c r="AF1405" s="16"/>
      <c r="AG1405" s="16"/>
      <c r="AH1405" s="16"/>
      <c r="AI1405" s="16"/>
      <c r="AJ1405" s="16"/>
      <c r="AK1405" s="16"/>
      <c r="AL1405" s="16"/>
      <c r="AM1405" s="16"/>
      <c r="AN1405" s="16"/>
      <c r="AO1405" s="16"/>
      <c r="AP1405" s="16"/>
      <c r="AQ1405" s="16"/>
      <c r="AR1405" s="16"/>
      <c r="AS1405" s="16"/>
    </row>
    <row r="1406" spans="18:45" x14ac:dyDescent="0.35">
      <c r="R1406" s="191"/>
      <c r="S1406" s="191"/>
      <c r="T1406" s="193"/>
      <c r="U1406" s="191"/>
      <c r="V1406" s="194"/>
      <c r="W1406" s="191"/>
      <c r="Y1406" s="191"/>
      <c r="Z1406" s="191"/>
      <c r="AA1406" s="191"/>
      <c r="AB1406" s="191"/>
      <c r="AC1406" s="191"/>
      <c r="AD1406" s="16"/>
      <c r="AE1406" s="16"/>
      <c r="AF1406" s="16"/>
      <c r="AG1406" s="16"/>
      <c r="AH1406" s="16"/>
      <c r="AI1406" s="16"/>
      <c r="AJ1406" s="16"/>
      <c r="AK1406" s="16"/>
      <c r="AL1406" s="16"/>
      <c r="AM1406" s="16"/>
      <c r="AN1406" s="16"/>
      <c r="AO1406" s="16"/>
      <c r="AP1406" s="16"/>
      <c r="AQ1406" s="16"/>
      <c r="AR1406" s="16"/>
      <c r="AS1406" s="16"/>
    </row>
    <row r="1407" spans="18:45" x14ac:dyDescent="0.35">
      <c r="R1407" s="191"/>
      <c r="S1407" s="191"/>
      <c r="T1407" s="193"/>
      <c r="U1407" s="191"/>
      <c r="V1407" s="194"/>
      <c r="W1407" s="191"/>
      <c r="Y1407" s="191"/>
      <c r="Z1407" s="191"/>
      <c r="AA1407" s="191"/>
      <c r="AB1407" s="191"/>
      <c r="AC1407" s="191"/>
      <c r="AD1407" s="16"/>
      <c r="AE1407" s="16"/>
      <c r="AF1407" s="16"/>
      <c r="AG1407" s="16"/>
      <c r="AH1407" s="16"/>
      <c r="AI1407" s="16"/>
      <c r="AJ1407" s="16"/>
      <c r="AK1407" s="16"/>
      <c r="AL1407" s="16"/>
      <c r="AM1407" s="16"/>
      <c r="AN1407" s="16"/>
      <c r="AO1407" s="16"/>
      <c r="AP1407" s="16"/>
      <c r="AQ1407" s="16"/>
      <c r="AR1407" s="16"/>
      <c r="AS1407" s="16"/>
    </row>
    <row r="1408" spans="18:45" x14ac:dyDescent="0.35">
      <c r="R1408" s="191"/>
      <c r="S1408" s="191"/>
      <c r="T1408" s="193"/>
      <c r="U1408" s="191"/>
      <c r="V1408" s="194"/>
      <c r="W1408" s="191"/>
      <c r="Y1408" s="191"/>
      <c r="Z1408" s="191"/>
      <c r="AA1408" s="191"/>
      <c r="AB1408" s="191"/>
      <c r="AC1408" s="191"/>
      <c r="AD1408" s="16"/>
      <c r="AE1408" s="16"/>
      <c r="AF1408" s="16"/>
      <c r="AG1408" s="16"/>
      <c r="AH1408" s="16"/>
      <c r="AI1408" s="16"/>
      <c r="AJ1408" s="16"/>
      <c r="AK1408" s="16"/>
      <c r="AL1408" s="16"/>
      <c r="AM1408" s="16"/>
      <c r="AN1408" s="16"/>
      <c r="AO1408" s="16"/>
      <c r="AP1408" s="16"/>
      <c r="AQ1408" s="16"/>
      <c r="AR1408" s="16"/>
      <c r="AS1408" s="16"/>
    </row>
    <row r="1409" spans="18:45" x14ac:dyDescent="0.35">
      <c r="R1409" s="191"/>
      <c r="S1409" s="191"/>
      <c r="T1409" s="193"/>
      <c r="U1409" s="191"/>
      <c r="V1409" s="194"/>
      <c r="W1409" s="191"/>
      <c r="Y1409" s="191"/>
      <c r="Z1409" s="191"/>
      <c r="AA1409" s="191"/>
      <c r="AB1409" s="191"/>
      <c r="AC1409" s="191"/>
      <c r="AD1409" s="16"/>
      <c r="AE1409" s="16"/>
      <c r="AF1409" s="16"/>
      <c r="AG1409" s="16"/>
      <c r="AH1409" s="16"/>
      <c r="AI1409" s="16"/>
      <c r="AJ1409" s="16"/>
      <c r="AK1409" s="16"/>
      <c r="AL1409" s="16"/>
      <c r="AM1409" s="16"/>
      <c r="AN1409" s="16"/>
      <c r="AO1409" s="16"/>
      <c r="AP1409" s="16"/>
      <c r="AQ1409" s="16"/>
      <c r="AR1409" s="16"/>
      <c r="AS1409" s="16"/>
    </row>
    <row r="1410" spans="18:45" x14ac:dyDescent="0.35">
      <c r="R1410" s="191"/>
      <c r="S1410" s="191"/>
      <c r="T1410" s="193"/>
      <c r="U1410" s="191"/>
      <c r="V1410" s="194"/>
      <c r="W1410" s="191"/>
      <c r="Y1410" s="191"/>
      <c r="Z1410" s="191"/>
      <c r="AA1410" s="191"/>
      <c r="AB1410" s="191"/>
      <c r="AC1410" s="191"/>
      <c r="AD1410" s="16"/>
      <c r="AE1410" s="16"/>
      <c r="AF1410" s="16"/>
      <c r="AG1410" s="16"/>
      <c r="AH1410" s="16"/>
      <c r="AI1410" s="16"/>
      <c r="AJ1410" s="16"/>
      <c r="AK1410" s="16"/>
      <c r="AL1410" s="16"/>
      <c r="AM1410" s="16"/>
      <c r="AN1410" s="16"/>
      <c r="AO1410" s="16"/>
      <c r="AP1410" s="16"/>
      <c r="AQ1410" s="16"/>
      <c r="AR1410" s="16"/>
      <c r="AS1410" s="16"/>
    </row>
    <row r="1411" spans="18:45" x14ac:dyDescent="0.35">
      <c r="R1411" s="191"/>
      <c r="S1411" s="191"/>
      <c r="T1411" s="193"/>
      <c r="U1411" s="191"/>
      <c r="V1411" s="194"/>
      <c r="W1411" s="191"/>
      <c r="Y1411" s="191"/>
      <c r="Z1411" s="191"/>
      <c r="AA1411" s="191"/>
      <c r="AB1411" s="191"/>
      <c r="AC1411" s="191"/>
      <c r="AD1411" s="16"/>
      <c r="AE1411" s="16"/>
      <c r="AF1411" s="16"/>
      <c r="AG1411" s="16"/>
      <c r="AH1411" s="16"/>
      <c r="AI1411" s="16"/>
      <c r="AJ1411" s="16"/>
      <c r="AK1411" s="16"/>
      <c r="AL1411" s="16"/>
      <c r="AM1411" s="16"/>
      <c r="AN1411" s="16"/>
      <c r="AO1411" s="16"/>
      <c r="AP1411" s="16"/>
      <c r="AQ1411" s="16"/>
      <c r="AR1411" s="16"/>
      <c r="AS1411" s="16"/>
    </row>
    <row r="1412" spans="18:45" x14ac:dyDescent="0.35">
      <c r="R1412" s="191"/>
      <c r="S1412" s="191"/>
      <c r="T1412" s="193"/>
      <c r="U1412" s="191"/>
      <c r="V1412" s="194"/>
      <c r="W1412" s="191"/>
      <c r="Y1412" s="191"/>
      <c r="Z1412" s="191"/>
      <c r="AA1412" s="191"/>
      <c r="AB1412" s="191"/>
      <c r="AC1412" s="191"/>
      <c r="AD1412" s="16"/>
      <c r="AE1412" s="16"/>
      <c r="AF1412" s="16"/>
      <c r="AG1412" s="16"/>
      <c r="AH1412" s="16"/>
      <c r="AI1412" s="16"/>
      <c r="AJ1412" s="16"/>
      <c r="AK1412" s="16"/>
      <c r="AL1412" s="16"/>
      <c r="AM1412" s="16"/>
      <c r="AN1412" s="16"/>
      <c r="AO1412" s="16"/>
      <c r="AP1412" s="16"/>
      <c r="AQ1412" s="16"/>
      <c r="AR1412" s="16"/>
      <c r="AS1412" s="16"/>
    </row>
    <row r="1413" spans="18:45" x14ac:dyDescent="0.35">
      <c r="R1413" s="191"/>
      <c r="S1413" s="191"/>
      <c r="T1413" s="193"/>
      <c r="U1413" s="191"/>
      <c r="V1413" s="194"/>
      <c r="W1413" s="191"/>
      <c r="Y1413" s="191"/>
      <c r="Z1413" s="191"/>
      <c r="AA1413" s="191"/>
      <c r="AB1413" s="191"/>
      <c r="AC1413" s="191"/>
      <c r="AD1413" s="16"/>
      <c r="AE1413" s="16"/>
      <c r="AF1413" s="16"/>
      <c r="AG1413" s="16"/>
      <c r="AH1413" s="16"/>
      <c r="AI1413" s="16"/>
      <c r="AJ1413" s="16"/>
      <c r="AK1413" s="16"/>
      <c r="AL1413" s="16"/>
      <c r="AM1413" s="16"/>
      <c r="AN1413" s="16"/>
      <c r="AO1413" s="16"/>
      <c r="AP1413" s="16"/>
      <c r="AQ1413" s="16"/>
      <c r="AR1413" s="16"/>
      <c r="AS1413" s="16"/>
    </row>
    <row r="1414" spans="18:45" x14ac:dyDescent="0.35">
      <c r="R1414" s="191"/>
      <c r="S1414" s="191"/>
      <c r="T1414" s="193"/>
      <c r="U1414" s="191"/>
      <c r="V1414" s="194"/>
      <c r="W1414" s="191"/>
      <c r="Y1414" s="191"/>
      <c r="Z1414" s="191"/>
      <c r="AA1414" s="191"/>
      <c r="AB1414" s="191"/>
      <c r="AC1414" s="191"/>
      <c r="AD1414" s="16"/>
      <c r="AE1414" s="16"/>
      <c r="AF1414" s="16"/>
      <c r="AG1414" s="16"/>
      <c r="AH1414" s="16"/>
      <c r="AI1414" s="16"/>
      <c r="AJ1414" s="16"/>
      <c r="AK1414" s="16"/>
      <c r="AL1414" s="16"/>
      <c r="AM1414" s="16"/>
      <c r="AN1414" s="16"/>
      <c r="AO1414" s="16"/>
      <c r="AP1414" s="16"/>
      <c r="AQ1414" s="16"/>
      <c r="AR1414" s="16"/>
      <c r="AS1414" s="16"/>
    </row>
    <row r="1415" spans="18:45" x14ac:dyDescent="0.35">
      <c r="R1415" s="191"/>
      <c r="S1415" s="191"/>
      <c r="T1415" s="193"/>
      <c r="U1415" s="191"/>
      <c r="V1415" s="194"/>
      <c r="W1415" s="191"/>
      <c r="Y1415" s="191"/>
      <c r="Z1415" s="191"/>
      <c r="AA1415" s="191"/>
      <c r="AB1415" s="191"/>
      <c r="AC1415" s="191"/>
      <c r="AD1415" s="16"/>
      <c r="AE1415" s="16"/>
      <c r="AF1415" s="16"/>
      <c r="AG1415" s="16"/>
      <c r="AH1415" s="16"/>
      <c r="AI1415" s="16"/>
      <c r="AJ1415" s="16"/>
      <c r="AK1415" s="16"/>
      <c r="AL1415" s="16"/>
      <c r="AM1415" s="16"/>
      <c r="AN1415" s="16"/>
      <c r="AO1415" s="16"/>
      <c r="AP1415" s="16"/>
      <c r="AQ1415" s="16"/>
      <c r="AR1415" s="16"/>
      <c r="AS1415" s="16"/>
    </row>
    <row r="1416" spans="18:45" x14ac:dyDescent="0.35">
      <c r="R1416" s="191"/>
      <c r="S1416" s="191"/>
      <c r="T1416" s="193"/>
      <c r="U1416" s="191"/>
      <c r="V1416" s="194"/>
      <c r="W1416" s="191"/>
      <c r="Y1416" s="191"/>
      <c r="Z1416" s="191"/>
      <c r="AA1416" s="191"/>
      <c r="AB1416" s="191"/>
      <c r="AC1416" s="191"/>
      <c r="AD1416" s="16"/>
      <c r="AE1416" s="16"/>
      <c r="AF1416" s="16"/>
      <c r="AG1416" s="16"/>
      <c r="AH1416" s="16"/>
      <c r="AI1416" s="16"/>
      <c r="AJ1416" s="16"/>
      <c r="AK1416" s="16"/>
      <c r="AL1416" s="16"/>
      <c r="AM1416" s="16"/>
      <c r="AN1416" s="16"/>
      <c r="AO1416" s="16"/>
      <c r="AP1416" s="16"/>
      <c r="AQ1416" s="16"/>
      <c r="AR1416" s="16"/>
      <c r="AS1416" s="16"/>
    </row>
    <row r="1417" spans="18:45" x14ac:dyDescent="0.35">
      <c r="R1417" s="191"/>
      <c r="S1417" s="191"/>
      <c r="T1417" s="193"/>
      <c r="U1417" s="191"/>
      <c r="V1417" s="194"/>
      <c r="W1417" s="191"/>
      <c r="Y1417" s="191"/>
      <c r="Z1417" s="191"/>
      <c r="AA1417" s="191"/>
      <c r="AB1417" s="191"/>
      <c r="AC1417" s="191"/>
      <c r="AD1417" s="16"/>
      <c r="AE1417" s="16"/>
      <c r="AF1417" s="16"/>
      <c r="AG1417" s="16"/>
      <c r="AH1417" s="16"/>
      <c r="AI1417" s="16"/>
      <c r="AJ1417" s="16"/>
      <c r="AK1417" s="16"/>
      <c r="AL1417" s="16"/>
      <c r="AM1417" s="16"/>
      <c r="AN1417" s="16"/>
      <c r="AO1417" s="16"/>
      <c r="AP1417" s="16"/>
      <c r="AQ1417" s="16"/>
      <c r="AR1417" s="16"/>
      <c r="AS1417" s="16"/>
    </row>
    <row r="1418" spans="18:45" x14ac:dyDescent="0.35">
      <c r="R1418" s="191"/>
      <c r="S1418" s="191"/>
      <c r="T1418" s="193"/>
      <c r="U1418" s="191"/>
      <c r="V1418" s="194"/>
      <c r="W1418" s="191"/>
      <c r="Y1418" s="191"/>
      <c r="Z1418" s="191"/>
      <c r="AA1418" s="191"/>
      <c r="AB1418" s="191"/>
      <c r="AC1418" s="191"/>
      <c r="AD1418" s="16"/>
      <c r="AE1418" s="16"/>
      <c r="AF1418" s="16"/>
      <c r="AG1418" s="16"/>
      <c r="AH1418" s="16"/>
      <c r="AI1418" s="16"/>
      <c r="AJ1418" s="16"/>
      <c r="AK1418" s="16"/>
      <c r="AL1418" s="16"/>
      <c r="AM1418" s="16"/>
      <c r="AN1418" s="16"/>
      <c r="AO1418" s="16"/>
      <c r="AP1418" s="16"/>
      <c r="AQ1418" s="16"/>
      <c r="AR1418" s="16"/>
      <c r="AS1418" s="16"/>
    </row>
    <row r="1419" spans="18:45" x14ac:dyDescent="0.35">
      <c r="R1419" s="191"/>
      <c r="S1419" s="191"/>
      <c r="T1419" s="193"/>
      <c r="U1419" s="191"/>
      <c r="V1419" s="194"/>
      <c r="W1419" s="191"/>
      <c r="Y1419" s="191"/>
      <c r="Z1419" s="191"/>
      <c r="AA1419" s="191"/>
      <c r="AB1419" s="191"/>
      <c r="AC1419" s="191"/>
      <c r="AD1419" s="16"/>
      <c r="AE1419" s="16"/>
      <c r="AF1419" s="16"/>
      <c r="AG1419" s="16"/>
      <c r="AH1419" s="16"/>
      <c r="AI1419" s="16"/>
      <c r="AJ1419" s="16"/>
      <c r="AK1419" s="16"/>
      <c r="AL1419" s="16"/>
      <c r="AM1419" s="16"/>
      <c r="AN1419" s="16"/>
      <c r="AO1419" s="16"/>
      <c r="AP1419" s="16"/>
      <c r="AQ1419" s="16"/>
      <c r="AR1419" s="16"/>
      <c r="AS1419" s="16"/>
    </row>
    <row r="1420" spans="18:45" x14ac:dyDescent="0.35">
      <c r="R1420" s="191"/>
      <c r="S1420" s="191"/>
      <c r="T1420" s="193"/>
      <c r="U1420" s="191"/>
      <c r="V1420" s="194"/>
      <c r="W1420" s="191"/>
      <c r="Y1420" s="191"/>
      <c r="Z1420" s="191"/>
      <c r="AA1420" s="191"/>
      <c r="AB1420" s="191"/>
      <c r="AC1420" s="191"/>
      <c r="AD1420" s="16"/>
      <c r="AE1420" s="16"/>
      <c r="AF1420" s="16"/>
      <c r="AG1420" s="16"/>
      <c r="AH1420" s="16"/>
      <c r="AI1420" s="16"/>
      <c r="AJ1420" s="16"/>
      <c r="AK1420" s="16"/>
      <c r="AL1420" s="16"/>
      <c r="AM1420" s="16"/>
      <c r="AN1420" s="16"/>
      <c r="AO1420" s="16"/>
      <c r="AP1420" s="16"/>
      <c r="AQ1420" s="16"/>
      <c r="AR1420" s="16"/>
      <c r="AS1420" s="16"/>
    </row>
    <row r="1421" spans="18:45" x14ac:dyDescent="0.35">
      <c r="R1421" s="191"/>
      <c r="S1421" s="191"/>
      <c r="T1421" s="193"/>
      <c r="U1421" s="191"/>
      <c r="V1421" s="194"/>
      <c r="W1421" s="191"/>
      <c r="Y1421" s="191"/>
      <c r="Z1421" s="191"/>
      <c r="AA1421" s="191"/>
      <c r="AB1421" s="191"/>
      <c r="AC1421" s="191"/>
      <c r="AD1421" s="16"/>
      <c r="AE1421" s="16"/>
      <c r="AF1421" s="16"/>
      <c r="AG1421" s="16"/>
      <c r="AH1421" s="16"/>
      <c r="AI1421" s="16"/>
      <c r="AJ1421" s="16"/>
      <c r="AK1421" s="16"/>
      <c r="AL1421" s="16"/>
      <c r="AM1421" s="16"/>
      <c r="AN1421" s="16"/>
      <c r="AO1421" s="16"/>
      <c r="AP1421" s="16"/>
      <c r="AQ1421" s="16"/>
      <c r="AR1421" s="16"/>
      <c r="AS1421" s="16"/>
    </row>
    <row r="1422" spans="18:45" x14ac:dyDescent="0.35">
      <c r="R1422" s="191"/>
      <c r="S1422" s="191"/>
      <c r="T1422" s="193"/>
      <c r="U1422" s="191"/>
      <c r="V1422" s="194"/>
      <c r="W1422" s="191"/>
      <c r="Y1422" s="191"/>
      <c r="Z1422" s="191"/>
      <c r="AA1422" s="191"/>
      <c r="AB1422" s="191"/>
      <c r="AC1422" s="191"/>
      <c r="AD1422" s="16"/>
      <c r="AE1422" s="16"/>
      <c r="AF1422" s="16"/>
      <c r="AG1422" s="16"/>
      <c r="AH1422" s="16"/>
      <c r="AI1422" s="16"/>
      <c r="AJ1422" s="16"/>
      <c r="AK1422" s="16"/>
      <c r="AL1422" s="16"/>
      <c r="AM1422" s="16"/>
      <c r="AN1422" s="16"/>
      <c r="AO1422" s="16"/>
      <c r="AP1422" s="16"/>
      <c r="AQ1422" s="16"/>
      <c r="AR1422" s="16"/>
      <c r="AS1422" s="16"/>
    </row>
    <row r="1423" spans="18:45" x14ac:dyDescent="0.35">
      <c r="R1423" s="191"/>
      <c r="S1423" s="191"/>
      <c r="T1423" s="193"/>
      <c r="U1423" s="191"/>
      <c r="V1423" s="194"/>
      <c r="W1423" s="191"/>
      <c r="Y1423" s="191"/>
      <c r="Z1423" s="191"/>
      <c r="AA1423" s="191"/>
      <c r="AB1423" s="191"/>
      <c r="AC1423" s="191"/>
      <c r="AD1423" s="16"/>
      <c r="AE1423" s="16"/>
      <c r="AF1423" s="16"/>
      <c r="AG1423" s="16"/>
      <c r="AH1423" s="16"/>
      <c r="AI1423" s="16"/>
      <c r="AJ1423" s="16"/>
      <c r="AK1423" s="16"/>
      <c r="AL1423" s="16"/>
      <c r="AM1423" s="16"/>
      <c r="AN1423" s="16"/>
      <c r="AO1423" s="16"/>
      <c r="AP1423" s="16"/>
      <c r="AQ1423" s="16"/>
      <c r="AR1423" s="16"/>
      <c r="AS1423" s="16"/>
    </row>
    <row r="1424" spans="18:45" x14ac:dyDescent="0.35">
      <c r="R1424" s="191"/>
      <c r="S1424" s="191"/>
      <c r="T1424" s="193"/>
      <c r="U1424" s="191"/>
      <c r="V1424" s="194"/>
      <c r="W1424" s="191"/>
      <c r="Y1424" s="191"/>
      <c r="Z1424" s="191"/>
      <c r="AA1424" s="191"/>
      <c r="AB1424" s="191"/>
      <c r="AC1424" s="191"/>
      <c r="AD1424" s="16"/>
      <c r="AE1424" s="16"/>
      <c r="AF1424" s="16"/>
      <c r="AG1424" s="16"/>
      <c r="AH1424" s="16"/>
      <c r="AI1424" s="16"/>
      <c r="AJ1424" s="16"/>
      <c r="AK1424" s="16"/>
      <c r="AL1424" s="16"/>
      <c r="AM1424" s="16"/>
      <c r="AN1424" s="16"/>
      <c r="AO1424" s="16"/>
      <c r="AP1424" s="16"/>
      <c r="AQ1424" s="16"/>
      <c r="AR1424" s="16"/>
      <c r="AS1424" s="16"/>
    </row>
    <row r="1425" spans="18:45" x14ac:dyDescent="0.35">
      <c r="R1425" s="191"/>
      <c r="S1425" s="191"/>
      <c r="T1425" s="193"/>
      <c r="U1425" s="191"/>
      <c r="V1425" s="194"/>
      <c r="W1425" s="191"/>
      <c r="Y1425" s="191"/>
      <c r="Z1425" s="191"/>
      <c r="AA1425" s="191"/>
      <c r="AB1425" s="191"/>
      <c r="AC1425" s="191"/>
      <c r="AD1425" s="16"/>
      <c r="AE1425" s="16"/>
      <c r="AF1425" s="16"/>
      <c r="AG1425" s="16"/>
      <c r="AH1425" s="16"/>
      <c r="AI1425" s="16"/>
      <c r="AJ1425" s="16"/>
      <c r="AK1425" s="16"/>
      <c r="AL1425" s="16"/>
      <c r="AM1425" s="16"/>
      <c r="AN1425" s="16"/>
      <c r="AO1425" s="16"/>
      <c r="AP1425" s="16"/>
      <c r="AQ1425" s="16"/>
      <c r="AR1425" s="16"/>
      <c r="AS1425" s="16"/>
    </row>
    <row r="1426" spans="18:45" x14ac:dyDescent="0.35">
      <c r="R1426" s="191"/>
      <c r="S1426" s="191"/>
      <c r="T1426" s="193"/>
      <c r="U1426" s="191"/>
      <c r="V1426" s="194"/>
      <c r="W1426" s="191"/>
      <c r="Y1426" s="191"/>
      <c r="Z1426" s="191"/>
      <c r="AA1426" s="191"/>
      <c r="AB1426" s="191"/>
      <c r="AC1426" s="191"/>
      <c r="AD1426" s="16"/>
      <c r="AE1426" s="16"/>
      <c r="AF1426" s="16"/>
      <c r="AG1426" s="16"/>
      <c r="AH1426" s="16"/>
      <c r="AI1426" s="16"/>
      <c r="AJ1426" s="16"/>
      <c r="AK1426" s="16"/>
      <c r="AL1426" s="16"/>
      <c r="AM1426" s="16"/>
      <c r="AN1426" s="16"/>
      <c r="AO1426" s="16"/>
      <c r="AP1426" s="16"/>
      <c r="AQ1426" s="16"/>
      <c r="AR1426" s="16"/>
      <c r="AS1426" s="16"/>
    </row>
    <row r="1427" spans="18:45" x14ac:dyDescent="0.35">
      <c r="R1427" s="191"/>
      <c r="S1427" s="191"/>
      <c r="T1427" s="193"/>
      <c r="U1427" s="191"/>
      <c r="V1427" s="194"/>
      <c r="W1427" s="191"/>
      <c r="Y1427" s="191"/>
      <c r="Z1427" s="191"/>
      <c r="AA1427" s="191"/>
      <c r="AB1427" s="191"/>
      <c r="AC1427" s="191"/>
      <c r="AD1427" s="16"/>
      <c r="AE1427" s="16"/>
      <c r="AF1427" s="16"/>
      <c r="AG1427" s="16"/>
      <c r="AH1427" s="16"/>
      <c r="AI1427" s="16"/>
      <c r="AJ1427" s="16"/>
      <c r="AK1427" s="16"/>
      <c r="AL1427" s="16"/>
      <c r="AM1427" s="16"/>
      <c r="AN1427" s="16"/>
      <c r="AO1427" s="16"/>
      <c r="AP1427" s="16"/>
      <c r="AQ1427" s="16"/>
      <c r="AR1427" s="16"/>
      <c r="AS1427" s="16"/>
    </row>
    <row r="1428" spans="18:45" x14ac:dyDescent="0.35">
      <c r="R1428" s="191"/>
      <c r="S1428" s="191"/>
      <c r="T1428" s="193"/>
      <c r="U1428" s="191"/>
      <c r="V1428" s="194"/>
      <c r="W1428" s="191"/>
      <c r="Y1428" s="191"/>
      <c r="Z1428" s="191"/>
      <c r="AA1428" s="191"/>
      <c r="AB1428" s="191"/>
      <c r="AC1428" s="191"/>
      <c r="AD1428" s="16"/>
      <c r="AE1428" s="16"/>
      <c r="AF1428" s="16"/>
      <c r="AG1428" s="16"/>
      <c r="AH1428" s="16"/>
      <c r="AI1428" s="16"/>
      <c r="AJ1428" s="16"/>
      <c r="AK1428" s="16"/>
      <c r="AL1428" s="16"/>
      <c r="AM1428" s="16"/>
      <c r="AN1428" s="16"/>
      <c r="AO1428" s="16"/>
      <c r="AP1428" s="16"/>
      <c r="AQ1428" s="16"/>
      <c r="AR1428" s="16"/>
      <c r="AS1428" s="16"/>
    </row>
    <row r="1429" spans="18:45" x14ac:dyDescent="0.35">
      <c r="R1429" s="191"/>
      <c r="S1429" s="191"/>
      <c r="T1429" s="193"/>
      <c r="U1429" s="191"/>
      <c r="V1429" s="194"/>
      <c r="W1429" s="191"/>
      <c r="Y1429" s="191"/>
      <c r="Z1429" s="191"/>
      <c r="AA1429" s="191"/>
      <c r="AB1429" s="191"/>
      <c r="AC1429" s="191"/>
      <c r="AD1429" s="16"/>
      <c r="AE1429" s="16"/>
      <c r="AF1429" s="16"/>
      <c r="AG1429" s="16"/>
      <c r="AH1429" s="16"/>
      <c r="AI1429" s="16"/>
      <c r="AJ1429" s="16"/>
      <c r="AK1429" s="16"/>
      <c r="AL1429" s="16"/>
      <c r="AM1429" s="16"/>
      <c r="AN1429" s="16"/>
      <c r="AO1429" s="16"/>
      <c r="AP1429" s="16"/>
      <c r="AQ1429" s="16"/>
      <c r="AR1429" s="16"/>
      <c r="AS1429" s="16"/>
    </row>
    <row r="1430" spans="18:45" x14ac:dyDescent="0.35">
      <c r="R1430" s="191"/>
      <c r="S1430" s="191"/>
      <c r="T1430" s="193"/>
      <c r="U1430" s="191"/>
      <c r="V1430" s="194"/>
      <c r="W1430" s="191"/>
      <c r="Y1430" s="191"/>
      <c r="Z1430" s="191"/>
      <c r="AA1430" s="191"/>
      <c r="AB1430" s="191"/>
      <c r="AC1430" s="191"/>
      <c r="AD1430" s="16"/>
      <c r="AE1430" s="16"/>
      <c r="AF1430" s="16"/>
      <c r="AG1430" s="16"/>
      <c r="AH1430" s="16"/>
      <c r="AI1430" s="16"/>
      <c r="AJ1430" s="16"/>
      <c r="AK1430" s="16"/>
      <c r="AL1430" s="16"/>
      <c r="AM1430" s="16"/>
      <c r="AN1430" s="16"/>
      <c r="AO1430" s="16"/>
      <c r="AP1430" s="16"/>
      <c r="AQ1430" s="16"/>
      <c r="AR1430" s="16"/>
      <c r="AS1430" s="16"/>
    </row>
    <row r="1431" spans="18:45" x14ac:dyDescent="0.35">
      <c r="R1431" s="191"/>
      <c r="S1431" s="191"/>
      <c r="T1431" s="193"/>
      <c r="U1431" s="191"/>
      <c r="V1431" s="194"/>
      <c r="W1431" s="191"/>
      <c r="Y1431" s="191"/>
      <c r="Z1431" s="191"/>
      <c r="AA1431" s="191"/>
      <c r="AB1431" s="191"/>
      <c r="AC1431" s="191"/>
      <c r="AD1431" s="16"/>
      <c r="AE1431" s="16"/>
      <c r="AF1431" s="16"/>
      <c r="AG1431" s="16"/>
      <c r="AH1431" s="16"/>
      <c r="AI1431" s="16"/>
      <c r="AJ1431" s="16"/>
      <c r="AK1431" s="16"/>
      <c r="AL1431" s="16"/>
      <c r="AM1431" s="16"/>
      <c r="AN1431" s="16"/>
      <c r="AO1431" s="16"/>
      <c r="AP1431" s="16"/>
      <c r="AQ1431" s="16"/>
      <c r="AR1431" s="16"/>
      <c r="AS1431" s="16"/>
    </row>
    <row r="1432" spans="18:45" x14ac:dyDescent="0.35">
      <c r="R1432" s="191"/>
      <c r="S1432" s="191"/>
      <c r="T1432" s="193"/>
      <c r="U1432" s="191"/>
      <c r="V1432" s="194"/>
      <c r="W1432" s="191"/>
      <c r="Y1432" s="191"/>
      <c r="Z1432" s="191"/>
      <c r="AA1432" s="191"/>
      <c r="AB1432" s="191"/>
      <c r="AC1432" s="191"/>
      <c r="AD1432" s="16"/>
      <c r="AE1432" s="16"/>
      <c r="AF1432" s="16"/>
      <c r="AG1432" s="16"/>
      <c r="AH1432" s="16"/>
      <c r="AI1432" s="16"/>
      <c r="AJ1432" s="16"/>
      <c r="AK1432" s="16"/>
      <c r="AL1432" s="16"/>
      <c r="AM1432" s="16"/>
      <c r="AN1432" s="16"/>
      <c r="AO1432" s="16"/>
      <c r="AP1432" s="16"/>
      <c r="AQ1432" s="16"/>
      <c r="AR1432" s="16"/>
      <c r="AS1432" s="16"/>
    </row>
    <row r="1433" spans="18:45" x14ac:dyDescent="0.35">
      <c r="R1433" s="191"/>
      <c r="S1433" s="191"/>
      <c r="T1433" s="193"/>
      <c r="U1433" s="191"/>
      <c r="V1433" s="194"/>
      <c r="W1433" s="191"/>
      <c r="Y1433" s="191"/>
      <c r="Z1433" s="191"/>
      <c r="AA1433" s="191"/>
      <c r="AB1433" s="191"/>
      <c r="AC1433" s="191"/>
      <c r="AD1433" s="16"/>
      <c r="AE1433" s="16"/>
      <c r="AF1433" s="16"/>
      <c r="AG1433" s="16"/>
      <c r="AH1433" s="16"/>
      <c r="AI1433" s="16"/>
      <c r="AJ1433" s="16"/>
      <c r="AK1433" s="16"/>
      <c r="AL1433" s="16"/>
      <c r="AM1433" s="16"/>
      <c r="AN1433" s="16"/>
      <c r="AO1433" s="16"/>
      <c r="AP1433" s="16"/>
      <c r="AQ1433" s="16"/>
      <c r="AR1433" s="16"/>
      <c r="AS1433" s="16"/>
    </row>
    <row r="1434" spans="18:45" x14ac:dyDescent="0.35">
      <c r="R1434" s="191"/>
      <c r="S1434" s="191"/>
      <c r="T1434" s="193"/>
      <c r="U1434" s="191"/>
      <c r="V1434" s="194"/>
      <c r="W1434" s="191"/>
      <c r="Y1434" s="191"/>
      <c r="Z1434" s="191"/>
      <c r="AA1434" s="191"/>
      <c r="AB1434" s="191"/>
      <c r="AC1434" s="191"/>
      <c r="AD1434" s="16"/>
      <c r="AE1434" s="16"/>
      <c r="AF1434" s="16"/>
      <c r="AG1434" s="16"/>
      <c r="AH1434" s="16"/>
      <c r="AI1434" s="16"/>
      <c r="AJ1434" s="16"/>
      <c r="AK1434" s="16"/>
      <c r="AL1434" s="16"/>
      <c r="AM1434" s="16"/>
      <c r="AN1434" s="16"/>
      <c r="AO1434" s="16"/>
      <c r="AP1434" s="16"/>
      <c r="AQ1434" s="16"/>
      <c r="AR1434" s="16"/>
      <c r="AS1434" s="16"/>
    </row>
    <row r="1435" spans="18:45" x14ac:dyDescent="0.35">
      <c r="R1435" s="191"/>
      <c r="S1435" s="191"/>
      <c r="T1435" s="193"/>
      <c r="U1435" s="191"/>
      <c r="V1435" s="194"/>
      <c r="W1435" s="191"/>
      <c r="Y1435" s="191"/>
      <c r="Z1435" s="191"/>
      <c r="AA1435" s="191"/>
      <c r="AB1435" s="191"/>
      <c r="AC1435" s="191"/>
      <c r="AD1435" s="16"/>
      <c r="AE1435" s="16"/>
      <c r="AF1435" s="16"/>
      <c r="AG1435" s="16"/>
      <c r="AH1435" s="16"/>
      <c r="AI1435" s="16"/>
      <c r="AJ1435" s="16"/>
      <c r="AK1435" s="16"/>
      <c r="AL1435" s="16"/>
      <c r="AM1435" s="16"/>
      <c r="AN1435" s="16"/>
      <c r="AO1435" s="16"/>
      <c r="AP1435" s="16"/>
      <c r="AQ1435" s="16"/>
      <c r="AR1435" s="16"/>
      <c r="AS1435" s="16"/>
    </row>
    <row r="1436" spans="18:45" x14ac:dyDescent="0.35">
      <c r="R1436" s="191"/>
      <c r="S1436" s="191"/>
      <c r="T1436" s="193"/>
      <c r="U1436" s="191"/>
      <c r="V1436" s="194"/>
      <c r="W1436" s="191"/>
      <c r="Y1436" s="191"/>
      <c r="Z1436" s="191"/>
      <c r="AA1436" s="191"/>
      <c r="AB1436" s="191"/>
      <c r="AC1436" s="191"/>
      <c r="AD1436" s="16"/>
      <c r="AE1436" s="16"/>
      <c r="AF1436" s="16"/>
      <c r="AG1436" s="16"/>
      <c r="AH1436" s="16"/>
      <c r="AI1436" s="16"/>
      <c r="AJ1436" s="16"/>
      <c r="AK1436" s="16"/>
      <c r="AL1436" s="16"/>
      <c r="AM1436" s="16"/>
      <c r="AN1436" s="16"/>
      <c r="AO1436" s="16"/>
      <c r="AP1436" s="16"/>
      <c r="AQ1436" s="16"/>
      <c r="AR1436" s="16"/>
      <c r="AS1436" s="16"/>
    </row>
    <row r="1437" spans="18:45" x14ac:dyDescent="0.35">
      <c r="R1437" s="191"/>
      <c r="S1437" s="191"/>
      <c r="T1437" s="193"/>
      <c r="U1437" s="191"/>
      <c r="V1437" s="194"/>
      <c r="W1437" s="191"/>
      <c r="Y1437" s="191"/>
      <c r="Z1437" s="191"/>
      <c r="AA1437" s="191"/>
      <c r="AB1437" s="191"/>
      <c r="AC1437" s="191"/>
      <c r="AD1437" s="16"/>
      <c r="AE1437" s="16"/>
      <c r="AF1437" s="16"/>
      <c r="AG1437" s="16"/>
      <c r="AH1437" s="16"/>
      <c r="AI1437" s="16"/>
      <c r="AJ1437" s="16"/>
      <c r="AK1437" s="16"/>
      <c r="AL1437" s="16"/>
      <c r="AM1437" s="16"/>
      <c r="AN1437" s="16"/>
      <c r="AO1437" s="16"/>
      <c r="AP1437" s="16"/>
      <c r="AQ1437" s="16"/>
      <c r="AR1437" s="16"/>
      <c r="AS1437" s="16"/>
    </row>
    <row r="1438" spans="18:45" x14ac:dyDescent="0.35">
      <c r="R1438" s="191"/>
      <c r="S1438" s="191"/>
      <c r="T1438" s="193"/>
      <c r="U1438" s="191"/>
      <c r="V1438" s="194"/>
      <c r="W1438" s="191"/>
      <c r="Y1438" s="191"/>
      <c r="Z1438" s="191"/>
      <c r="AA1438" s="191"/>
      <c r="AB1438" s="191"/>
      <c r="AC1438" s="191"/>
      <c r="AD1438" s="16"/>
      <c r="AE1438" s="16"/>
      <c r="AF1438" s="16"/>
      <c r="AG1438" s="16"/>
      <c r="AH1438" s="16"/>
      <c r="AI1438" s="16"/>
      <c r="AJ1438" s="16"/>
      <c r="AK1438" s="16"/>
      <c r="AL1438" s="16"/>
      <c r="AM1438" s="16"/>
      <c r="AN1438" s="16"/>
      <c r="AO1438" s="16"/>
      <c r="AP1438" s="16"/>
      <c r="AQ1438" s="16"/>
      <c r="AR1438" s="16"/>
      <c r="AS1438" s="16"/>
    </row>
    <row r="1439" spans="18:45" x14ac:dyDescent="0.35">
      <c r="R1439" s="191"/>
      <c r="S1439" s="191"/>
      <c r="T1439" s="193"/>
      <c r="U1439" s="191"/>
      <c r="V1439" s="194"/>
      <c r="W1439" s="191"/>
      <c r="Y1439" s="191"/>
      <c r="Z1439" s="191"/>
      <c r="AA1439" s="191"/>
      <c r="AB1439" s="191"/>
      <c r="AC1439" s="191"/>
      <c r="AD1439" s="16"/>
      <c r="AE1439" s="16"/>
      <c r="AF1439" s="16"/>
      <c r="AG1439" s="16"/>
      <c r="AH1439" s="16"/>
      <c r="AI1439" s="16"/>
      <c r="AJ1439" s="16"/>
      <c r="AK1439" s="16"/>
      <c r="AL1439" s="16"/>
      <c r="AM1439" s="16"/>
      <c r="AN1439" s="16"/>
      <c r="AO1439" s="16"/>
      <c r="AP1439" s="16"/>
      <c r="AQ1439" s="16"/>
      <c r="AR1439" s="16"/>
      <c r="AS1439" s="16"/>
    </row>
    <row r="1440" spans="18:45" x14ac:dyDescent="0.35">
      <c r="R1440" s="191"/>
      <c r="S1440" s="191"/>
      <c r="T1440" s="193"/>
      <c r="U1440" s="191"/>
      <c r="V1440" s="194"/>
      <c r="W1440" s="191"/>
      <c r="Y1440" s="191"/>
      <c r="Z1440" s="191"/>
      <c r="AA1440" s="191"/>
      <c r="AB1440" s="191"/>
      <c r="AC1440" s="191"/>
      <c r="AD1440" s="16"/>
      <c r="AE1440" s="16"/>
      <c r="AF1440" s="16"/>
      <c r="AG1440" s="16"/>
      <c r="AH1440" s="16"/>
      <c r="AI1440" s="16"/>
      <c r="AJ1440" s="16"/>
      <c r="AK1440" s="16"/>
      <c r="AL1440" s="16"/>
      <c r="AM1440" s="16"/>
      <c r="AN1440" s="16"/>
      <c r="AO1440" s="16"/>
      <c r="AP1440" s="16"/>
      <c r="AQ1440" s="16"/>
      <c r="AR1440" s="16"/>
      <c r="AS1440" s="16"/>
    </row>
    <row r="1441" spans="18:45" x14ac:dyDescent="0.35">
      <c r="R1441" s="191"/>
      <c r="S1441" s="191"/>
      <c r="T1441" s="193"/>
      <c r="U1441" s="191"/>
      <c r="V1441" s="194"/>
      <c r="W1441" s="191"/>
      <c r="Y1441" s="191"/>
      <c r="Z1441" s="191"/>
      <c r="AA1441" s="191"/>
      <c r="AB1441" s="191"/>
      <c r="AC1441" s="191"/>
      <c r="AD1441" s="16"/>
      <c r="AE1441" s="16"/>
      <c r="AF1441" s="16"/>
      <c r="AG1441" s="16"/>
      <c r="AH1441" s="16"/>
      <c r="AI1441" s="16"/>
      <c r="AJ1441" s="16"/>
      <c r="AK1441" s="16"/>
      <c r="AL1441" s="16"/>
      <c r="AM1441" s="16"/>
      <c r="AN1441" s="16"/>
      <c r="AO1441" s="16"/>
      <c r="AP1441" s="16"/>
      <c r="AQ1441" s="16"/>
      <c r="AR1441" s="16"/>
      <c r="AS1441" s="16"/>
    </row>
    <row r="1442" spans="18:45" x14ac:dyDescent="0.35">
      <c r="R1442" s="191"/>
      <c r="S1442" s="191"/>
      <c r="T1442" s="193"/>
      <c r="U1442" s="191"/>
      <c r="V1442" s="194"/>
      <c r="W1442" s="191"/>
      <c r="Y1442" s="191"/>
      <c r="Z1442" s="191"/>
      <c r="AA1442" s="191"/>
      <c r="AB1442" s="191"/>
      <c r="AC1442" s="191"/>
      <c r="AD1442" s="16"/>
      <c r="AE1442" s="16"/>
      <c r="AF1442" s="16"/>
      <c r="AG1442" s="16"/>
      <c r="AH1442" s="16"/>
      <c r="AI1442" s="16"/>
      <c r="AJ1442" s="16"/>
      <c r="AK1442" s="16"/>
      <c r="AL1442" s="16"/>
      <c r="AM1442" s="16"/>
      <c r="AN1442" s="16"/>
      <c r="AO1442" s="16"/>
      <c r="AP1442" s="16"/>
      <c r="AQ1442" s="16"/>
      <c r="AR1442" s="16"/>
      <c r="AS1442" s="16"/>
    </row>
    <row r="1443" spans="18:45" x14ac:dyDescent="0.35">
      <c r="R1443" s="191"/>
      <c r="S1443" s="191"/>
      <c r="T1443" s="193"/>
      <c r="U1443" s="191"/>
      <c r="V1443" s="194"/>
      <c r="W1443" s="191"/>
      <c r="Y1443" s="191"/>
      <c r="Z1443" s="191"/>
      <c r="AA1443" s="191"/>
      <c r="AB1443" s="191"/>
      <c r="AC1443" s="191"/>
      <c r="AD1443" s="16"/>
      <c r="AE1443" s="16"/>
      <c r="AF1443" s="16"/>
      <c r="AG1443" s="16"/>
      <c r="AH1443" s="16"/>
      <c r="AI1443" s="16"/>
      <c r="AJ1443" s="16"/>
      <c r="AK1443" s="16"/>
      <c r="AL1443" s="16"/>
      <c r="AM1443" s="16"/>
      <c r="AN1443" s="16"/>
      <c r="AO1443" s="16"/>
      <c r="AP1443" s="16"/>
      <c r="AQ1443" s="16"/>
      <c r="AR1443" s="16"/>
      <c r="AS1443" s="16"/>
    </row>
    <row r="1444" spans="18:45" x14ac:dyDescent="0.35">
      <c r="R1444" s="191"/>
      <c r="S1444" s="191"/>
      <c r="T1444" s="193"/>
      <c r="U1444" s="191"/>
      <c r="V1444" s="194"/>
      <c r="W1444" s="191"/>
      <c r="Y1444" s="191"/>
      <c r="Z1444" s="191"/>
      <c r="AA1444" s="191"/>
      <c r="AB1444" s="191"/>
      <c r="AC1444" s="191"/>
      <c r="AD1444" s="16"/>
      <c r="AE1444" s="16"/>
      <c r="AF1444" s="16"/>
      <c r="AG1444" s="16"/>
      <c r="AH1444" s="16"/>
      <c r="AI1444" s="16"/>
      <c r="AJ1444" s="16"/>
      <c r="AK1444" s="16"/>
      <c r="AL1444" s="16"/>
      <c r="AM1444" s="16"/>
      <c r="AN1444" s="16"/>
      <c r="AO1444" s="16"/>
      <c r="AP1444" s="16"/>
      <c r="AQ1444" s="16"/>
      <c r="AR1444" s="16"/>
      <c r="AS1444" s="16"/>
    </row>
    <row r="1445" spans="18:45" x14ac:dyDescent="0.35">
      <c r="R1445" s="191"/>
      <c r="S1445" s="191"/>
      <c r="T1445" s="193"/>
      <c r="U1445" s="191"/>
      <c r="V1445" s="194"/>
      <c r="W1445" s="191"/>
      <c r="Y1445" s="191"/>
      <c r="Z1445" s="191"/>
      <c r="AA1445" s="191"/>
      <c r="AB1445" s="191"/>
      <c r="AC1445" s="191"/>
      <c r="AD1445" s="16"/>
      <c r="AE1445" s="16"/>
      <c r="AF1445" s="16"/>
      <c r="AG1445" s="16"/>
      <c r="AH1445" s="16"/>
      <c r="AI1445" s="16"/>
      <c r="AJ1445" s="16"/>
      <c r="AK1445" s="16"/>
      <c r="AL1445" s="16"/>
      <c r="AM1445" s="16"/>
      <c r="AN1445" s="16"/>
      <c r="AO1445" s="16"/>
      <c r="AP1445" s="16"/>
      <c r="AQ1445" s="16"/>
      <c r="AR1445" s="16"/>
      <c r="AS1445" s="16"/>
    </row>
    <row r="1446" spans="18:45" x14ac:dyDescent="0.35">
      <c r="R1446" s="191"/>
      <c r="S1446" s="191"/>
      <c r="T1446" s="193"/>
      <c r="U1446" s="191"/>
      <c r="V1446" s="194"/>
      <c r="W1446" s="191"/>
      <c r="Y1446" s="191"/>
      <c r="Z1446" s="191"/>
      <c r="AA1446" s="191"/>
      <c r="AB1446" s="191"/>
      <c r="AC1446" s="191"/>
      <c r="AD1446" s="16"/>
      <c r="AE1446" s="16"/>
      <c r="AF1446" s="16"/>
      <c r="AG1446" s="16"/>
      <c r="AH1446" s="16"/>
      <c r="AI1446" s="16"/>
      <c r="AJ1446" s="16"/>
      <c r="AK1446" s="16"/>
      <c r="AL1446" s="16"/>
      <c r="AM1446" s="16"/>
      <c r="AN1446" s="16"/>
      <c r="AO1446" s="16"/>
      <c r="AP1446" s="16"/>
      <c r="AQ1446" s="16"/>
      <c r="AR1446" s="16"/>
      <c r="AS1446" s="16"/>
    </row>
    <row r="1447" spans="18:45" x14ac:dyDescent="0.35">
      <c r="R1447" s="191"/>
      <c r="S1447" s="191"/>
      <c r="T1447" s="193"/>
      <c r="U1447" s="191"/>
      <c r="V1447" s="194"/>
      <c r="W1447" s="191"/>
      <c r="Y1447" s="191"/>
      <c r="Z1447" s="191"/>
      <c r="AA1447" s="191"/>
      <c r="AB1447" s="191"/>
      <c r="AC1447" s="191"/>
      <c r="AD1447" s="16"/>
      <c r="AE1447" s="16"/>
      <c r="AF1447" s="16"/>
      <c r="AG1447" s="16"/>
      <c r="AH1447" s="16"/>
      <c r="AI1447" s="16"/>
      <c r="AJ1447" s="16"/>
      <c r="AK1447" s="16"/>
      <c r="AL1447" s="16"/>
      <c r="AM1447" s="16"/>
      <c r="AN1447" s="16"/>
      <c r="AO1447" s="16"/>
      <c r="AP1447" s="16"/>
      <c r="AQ1447" s="16"/>
      <c r="AR1447" s="16"/>
      <c r="AS1447" s="16"/>
    </row>
    <row r="1448" spans="18:45" x14ac:dyDescent="0.35">
      <c r="R1448" s="191"/>
      <c r="S1448" s="191"/>
      <c r="T1448" s="193"/>
      <c r="U1448" s="191"/>
      <c r="V1448" s="194"/>
      <c r="W1448" s="191"/>
      <c r="Y1448" s="191"/>
      <c r="Z1448" s="191"/>
      <c r="AA1448" s="191"/>
      <c r="AB1448" s="191"/>
      <c r="AC1448" s="191"/>
      <c r="AD1448" s="16"/>
      <c r="AE1448" s="16"/>
      <c r="AF1448" s="16"/>
      <c r="AG1448" s="16"/>
      <c r="AH1448" s="16"/>
      <c r="AI1448" s="16"/>
      <c r="AJ1448" s="16"/>
      <c r="AK1448" s="16"/>
      <c r="AL1448" s="16"/>
      <c r="AM1448" s="16"/>
      <c r="AN1448" s="16"/>
      <c r="AO1448" s="16"/>
      <c r="AP1448" s="16"/>
      <c r="AQ1448" s="16"/>
      <c r="AR1448" s="16"/>
      <c r="AS1448" s="16"/>
    </row>
    <row r="1449" spans="18:45" x14ac:dyDescent="0.35">
      <c r="R1449" s="191"/>
      <c r="S1449" s="191"/>
      <c r="T1449" s="193"/>
      <c r="U1449" s="191"/>
      <c r="V1449" s="194"/>
      <c r="W1449" s="191"/>
      <c r="Y1449" s="191"/>
      <c r="Z1449" s="191"/>
      <c r="AA1449" s="191"/>
      <c r="AB1449" s="191"/>
      <c r="AC1449" s="191"/>
      <c r="AD1449" s="16"/>
      <c r="AE1449" s="16"/>
      <c r="AF1449" s="16"/>
      <c r="AG1449" s="16"/>
      <c r="AH1449" s="16"/>
      <c r="AI1449" s="16"/>
      <c r="AJ1449" s="16"/>
      <c r="AK1449" s="16"/>
      <c r="AL1449" s="16"/>
      <c r="AM1449" s="16"/>
      <c r="AN1449" s="16"/>
      <c r="AO1449" s="16"/>
      <c r="AP1449" s="16"/>
      <c r="AQ1449" s="16"/>
      <c r="AR1449" s="16"/>
      <c r="AS1449" s="16"/>
    </row>
    <row r="1450" spans="18:45" x14ac:dyDescent="0.35">
      <c r="R1450" s="191"/>
      <c r="S1450" s="191"/>
      <c r="T1450" s="193"/>
      <c r="U1450" s="191"/>
      <c r="V1450" s="194"/>
      <c r="W1450" s="191"/>
      <c r="Y1450" s="191"/>
      <c r="Z1450" s="191"/>
      <c r="AA1450" s="191"/>
      <c r="AB1450" s="191"/>
      <c r="AC1450" s="191"/>
      <c r="AD1450" s="16"/>
      <c r="AE1450" s="16"/>
      <c r="AF1450" s="16"/>
      <c r="AG1450" s="16"/>
      <c r="AH1450" s="16"/>
      <c r="AI1450" s="16"/>
      <c r="AJ1450" s="16"/>
      <c r="AK1450" s="16"/>
      <c r="AL1450" s="16"/>
      <c r="AM1450" s="16"/>
      <c r="AN1450" s="16"/>
      <c r="AO1450" s="16"/>
      <c r="AP1450" s="16"/>
      <c r="AQ1450" s="16"/>
      <c r="AR1450" s="16"/>
      <c r="AS1450" s="16"/>
    </row>
    <row r="1451" spans="18:45" x14ac:dyDescent="0.35">
      <c r="R1451" s="191"/>
      <c r="S1451" s="191"/>
      <c r="T1451" s="193"/>
      <c r="U1451" s="191"/>
      <c r="V1451" s="194"/>
      <c r="W1451" s="191"/>
      <c r="Y1451" s="191"/>
      <c r="Z1451" s="191"/>
      <c r="AA1451" s="191"/>
      <c r="AB1451" s="191"/>
      <c r="AC1451" s="191"/>
      <c r="AD1451" s="16"/>
      <c r="AE1451" s="16"/>
      <c r="AF1451" s="16"/>
      <c r="AG1451" s="16"/>
      <c r="AH1451" s="16"/>
      <c r="AI1451" s="16"/>
      <c r="AJ1451" s="16"/>
      <c r="AK1451" s="16"/>
      <c r="AL1451" s="16"/>
      <c r="AM1451" s="16"/>
      <c r="AN1451" s="16"/>
      <c r="AO1451" s="16"/>
      <c r="AP1451" s="16"/>
      <c r="AQ1451" s="16"/>
      <c r="AR1451" s="16"/>
      <c r="AS1451" s="16"/>
    </row>
    <row r="1452" spans="18:45" x14ac:dyDescent="0.35">
      <c r="R1452" s="191"/>
      <c r="S1452" s="191"/>
      <c r="T1452" s="193"/>
      <c r="U1452" s="191"/>
      <c r="V1452" s="194"/>
      <c r="W1452" s="191"/>
      <c r="Y1452" s="191"/>
      <c r="Z1452" s="191"/>
      <c r="AA1452" s="191"/>
      <c r="AB1452" s="191"/>
      <c r="AC1452" s="191"/>
      <c r="AD1452" s="16"/>
      <c r="AE1452" s="16"/>
      <c r="AF1452" s="16"/>
      <c r="AG1452" s="16"/>
      <c r="AH1452" s="16"/>
      <c r="AI1452" s="16"/>
      <c r="AJ1452" s="16"/>
      <c r="AK1452" s="16"/>
      <c r="AL1452" s="16"/>
      <c r="AM1452" s="16"/>
      <c r="AN1452" s="16"/>
      <c r="AO1452" s="16"/>
      <c r="AP1452" s="16"/>
      <c r="AQ1452" s="16"/>
      <c r="AR1452" s="16"/>
      <c r="AS1452" s="16"/>
    </row>
    <row r="1453" spans="18:45" x14ac:dyDescent="0.35">
      <c r="R1453" s="191"/>
      <c r="S1453" s="191"/>
      <c r="T1453" s="193"/>
      <c r="U1453" s="191"/>
      <c r="V1453" s="194"/>
      <c r="W1453" s="191"/>
      <c r="Y1453" s="191"/>
      <c r="Z1453" s="191"/>
      <c r="AA1453" s="191"/>
      <c r="AB1453" s="191"/>
      <c r="AC1453" s="191"/>
      <c r="AD1453" s="16"/>
      <c r="AE1453" s="16"/>
      <c r="AF1453" s="16"/>
      <c r="AG1453" s="16"/>
      <c r="AH1453" s="16"/>
      <c r="AI1453" s="16"/>
      <c r="AJ1453" s="16"/>
      <c r="AK1453" s="16"/>
      <c r="AL1453" s="16"/>
      <c r="AM1453" s="16"/>
      <c r="AN1453" s="16"/>
      <c r="AO1453" s="16"/>
      <c r="AP1453" s="16"/>
      <c r="AQ1453" s="16"/>
      <c r="AR1453" s="16"/>
      <c r="AS1453" s="16"/>
    </row>
    <row r="1454" spans="18:45" x14ac:dyDescent="0.35">
      <c r="R1454" s="191"/>
      <c r="S1454" s="191"/>
      <c r="T1454" s="193"/>
      <c r="U1454" s="191"/>
      <c r="V1454" s="194"/>
      <c r="W1454" s="191"/>
      <c r="Y1454" s="191"/>
      <c r="Z1454" s="191"/>
      <c r="AA1454" s="191"/>
      <c r="AB1454" s="191"/>
      <c r="AC1454" s="191"/>
      <c r="AD1454" s="16"/>
      <c r="AE1454" s="16"/>
      <c r="AF1454" s="16"/>
      <c r="AG1454" s="16"/>
      <c r="AH1454" s="16"/>
      <c r="AI1454" s="16"/>
      <c r="AJ1454" s="16"/>
      <c r="AK1454" s="16"/>
      <c r="AL1454" s="16"/>
      <c r="AM1454" s="16"/>
      <c r="AN1454" s="16"/>
      <c r="AO1454" s="16"/>
      <c r="AP1454" s="16"/>
      <c r="AQ1454" s="16"/>
      <c r="AR1454" s="16"/>
      <c r="AS1454" s="16"/>
    </row>
    <row r="1455" spans="18:45" x14ac:dyDescent="0.35">
      <c r="R1455" s="191"/>
      <c r="S1455" s="191"/>
      <c r="T1455" s="193"/>
      <c r="U1455" s="191"/>
      <c r="V1455" s="194"/>
      <c r="W1455" s="191"/>
      <c r="Y1455" s="191"/>
      <c r="Z1455" s="191"/>
      <c r="AA1455" s="191"/>
      <c r="AB1455" s="191"/>
      <c r="AC1455" s="191"/>
      <c r="AD1455" s="16"/>
      <c r="AE1455" s="16"/>
      <c r="AF1455" s="16"/>
      <c r="AG1455" s="16"/>
      <c r="AH1455" s="16"/>
      <c r="AI1455" s="16"/>
      <c r="AJ1455" s="16"/>
      <c r="AK1455" s="16"/>
      <c r="AL1455" s="16"/>
      <c r="AM1455" s="16"/>
      <c r="AN1455" s="16"/>
      <c r="AO1455" s="16"/>
      <c r="AP1455" s="16"/>
      <c r="AQ1455" s="16"/>
      <c r="AR1455" s="16"/>
      <c r="AS1455" s="16"/>
    </row>
    <row r="1456" spans="18:45" x14ac:dyDescent="0.35">
      <c r="R1456" s="191"/>
      <c r="S1456" s="191"/>
      <c r="T1456" s="193"/>
      <c r="U1456" s="191"/>
      <c r="V1456" s="194"/>
      <c r="W1456" s="191"/>
      <c r="Y1456" s="191"/>
      <c r="Z1456" s="191"/>
      <c r="AA1456" s="191"/>
      <c r="AB1456" s="191"/>
      <c r="AC1456" s="191"/>
      <c r="AD1456" s="16"/>
      <c r="AE1456" s="16"/>
      <c r="AF1456" s="16"/>
      <c r="AG1456" s="16"/>
      <c r="AH1456" s="16"/>
      <c r="AI1456" s="16"/>
      <c r="AJ1456" s="16"/>
      <c r="AK1456" s="16"/>
      <c r="AL1456" s="16"/>
      <c r="AM1456" s="16"/>
      <c r="AN1456" s="16"/>
      <c r="AO1456" s="16"/>
      <c r="AP1456" s="16"/>
      <c r="AQ1456" s="16"/>
      <c r="AR1456" s="16"/>
      <c r="AS1456" s="16"/>
    </row>
    <row r="1457" spans="18:45" x14ac:dyDescent="0.35">
      <c r="R1457" s="191"/>
      <c r="S1457" s="191"/>
      <c r="T1457" s="193"/>
      <c r="U1457" s="191"/>
      <c r="V1457" s="194"/>
      <c r="W1457" s="191"/>
      <c r="Y1457" s="191"/>
      <c r="Z1457" s="191"/>
      <c r="AA1457" s="191"/>
      <c r="AB1457" s="191"/>
      <c r="AC1457" s="191"/>
      <c r="AD1457" s="16"/>
      <c r="AE1457" s="16"/>
      <c r="AF1457" s="16"/>
      <c r="AG1457" s="16"/>
      <c r="AH1457" s="16"/>
      <c r="AI1457" s="16"/>
      <c r="AJ1457" s="16"/>
      <c r="AK1457" s="16"/>
      <c r="AL1457" s="16"/>
      <c r="AM1457" s="16"/>
      <c r="AN1457" s="16"/>
      <c r="AO1457" s="16"/>
      <c r="AP1457" s="16"/>
      <c r="AQ1457" s="16"/>
      <c r="AR1457" s="16"/>
      <c r="AS1457" s="16"/>
    </row>
    <row r="1458" spans="18:45" x14ac:dyDescent="0.35">
      <c r="R1458" s="191"/>
      <c r="S1458" s="191"/>
      <c r="T1458" s="193"/>
      <c r="U1458" s="191"/>
      <c r="V1458" s="194"/>
      <c r="W1458" s="191"/>
      <c r="Y1458" s="191"/>
      <c r="Z1458" s="191"/>
      <c r="AA1458" s="191"/>
      <c r="AB1458" s="191"/>
      <c r="AC1458" s="191"/>
      <c r="AD1458" s="16"/>
      <c r="AE1458" s="16"/>
      <c r="AF1458" s="16"/>
      <c r="AG1458" s="16"/>
      <c r="AH1458" s="16"/>
      <c r="AI1458" s="16"/>
      <c r="AJ1458" s="16"/>
      <c r="AK1458" s="16"/>
      <c r="AL1458" s="16"/>
      <c r="AM1458" s="16"/>
      <c r="AN1458" s="16"/>
      <c r="AO1458" s="16"/>
      <c r="AP1458" s="16"/>
      <c r="AQ1458" s="16"/>
      <c r="AR1458" s="16"/>
      <c r="AS1458" s="16"/>
    </row>
    <row r="1459" spans="18:45" x14ac:dyDescent="0.35">
      <c r="R1459" s="191"/>
      <c r="S1459" s="191"/>
      <c r="T1459" s="193"/>
      <c r="U1459" s="191"/>
      <c r="V1459" s="194"/>
      <c r="W1459" s="191"/>
      <c r="Y1459" s="191"/>
      <c r="Z1459" s="191"/>
      <c r="AA1459" s="191"/>
      <c r="AB1459" s="191"/>
      <c r="AC1459" s="191"/>
      <c r="AD1459" s="16"/>
      <c r="AE1459" s="16"/>
      <c r="AF1459" s="16"/>
      <c r="AG1459" s="16"/>
      <c r="AH1459" s="16"/>
      <c r="AI1459" s="16"/>
      <c r="AJ1459" s="16"/>
      <c r="AK1459" s="16"/>
      <c r="AL1459" s="16"/>
      <c r="AM1459" s="16"/>
      <c r="AN1459" s="16"/>
      <c r="AO1459" s="16"/>
      <c r="AP1459" s="16"/>
      <c r="AQ1459" s="16"/>
      <c r="AR1459" s="16"/>
      <c r="AS1459" s="16"/>
    </row>
    <row r="1460" spans="18:45" x14ac:dyDescent="0.35">
      <c r="R1460" s="191"/>
      <c r="S1460" s="191"/>
      <c r="T1460" s="193"/>
      <c r="U1460" s="191"/>
      <c r="V1460" s="194"/>
      <c r="W1460" s="191"/>
      <c r="Y1460" s="191"/>
      <c r="Z1460" s="191"/>
      <c r="AA1460" s="191"/>
      <c r="AB1460" s="191"/>
      <c r="AC1460" s="191"/>
      <c r="AD1460" s="16"/>
      <c r="AE1460" s="16"/>
      <c r="AF1460" s="16"/>
      <c r="AG1460" s="16"/>
      <c r="AH1460" s="16"/>
      <c r="AI1460" s="16"/>
      <c r="AJ1460" s="16"/>
      <c r="AK1460" s="16"/>
      <c r="AL1460" s="16"/>
      <c r="AM1460" s="16"/>
      <c r="AN1460" s="16"/>
      <c r="AO1460" s="16"/>
      <c r="AP1460" s="16"/>
      <c r="AQ1460" s="16"/>
      <c r="AR1460" s="16"/>
      <c r="AS1460" s="16"/>
    </row>
    <row r="1461" spans="18:45" x14ac:dyDescent="0.35">
      <c r="R1461" s="191"/>
      <c r="S1461" s="191"/>
      <c r="T1461" s="193"/>
      <c r="U1461" s="191"/>
      <c r="V1461" s="194"/>
      <c r="W1461" s="191"/>
      <c r="Y1461" s="191"/>
      <c r="Z1461" s="191"/>
      <c r="AA1461" s="191"/>
      <c r="AB1461" s="191"/>
      <c r="AC1461" s="191"/>
      <c r="AD1461" s="16"/>
      <c r="AE1461" s="16"/>
      <c r="AF1461" s="16"/>
      <c r="AG1461" s="16"/>
      <c r="AH1461" s="16"/>
      <c r="AI1461" s="16"/>
      <c r="AJ1461" s="16"/>
      <c r="AK1461" s="16"/>
      <c r="AL1461" s="16"/>
      <c r="AM1461" s="16"/>
      <c r="AN1461" s="16"/>
      <c r="AO1461" s="16"/>
      <c r="AP1461" s="16"/>
      <c r="AQ1461" s="16"/>
      <c r="AR1461" s="16"/>
      <c r="AS1461" s="16"/>
    </row>
    <row r="1462" spans="18:45" x14ac:dyDescent="0.35">
      <c r="R1462" s="191"/>
      <c r="S1462" s="191"/>
      <c r="T1462" s="193"/>
      <c r="U1462" s="191"/>
      <c r="V1462" s="194"/>
      <c r="W1462" s="191"/>
      <c r="Y1462" s="191"/>
      <c r="Z1462" s="191"/>
      <c r="AA1462" s="191"/>
      <c r="AB1462" s="191"/>
      <c r="AC1462" s="191"/>
      <c r="AD1462" s="16"/>
      <c r="AE1462" s="16"/>
      <c r="AF1462" s="16"/>
      <c r="AG1462" s="16"/>
      <c r="AH1462" s="16"/>
      <c r="AI1462" s="16"/>
      <c r="AJ1462" s="16"/>
      <c r="AK1462" s="16"/>
      <c r="AL1462" s="16"/>
      <c r="AM1462" s="16"/>
      <c r="AN1462" s="16"/>
      <c r="AO1462" s="16"/>
      <c r="AP1462" s="16"/>
      <c r="AQ1462" s="16"/>
      <c r="AR1462" s="16"/>
      <c r="AS1462" s="16"/>
    </row>
    <row r="1463" spans="18:45" x14ac:dyDescent="0.35">
      <c r="R1463" s="191"/>
      <c r="S1463" s="191"/>
      <c r="T1463" s="193"/>
      <c r="U1463" s="191"/>
      <c r="V1463" s="194"/>
      <c r="W1463" s="191"/>
      <c r="Y1463" s="191"/>
      <c r="Z1463" s="191"/>
      <c r="AA1463" s="191"/>
      <c r="AB1463" s="191"/>
      <c r="AC1463" s="191"/>
      <c r="AD1463" s="16"/>
      <c r="AE1463" s="16"/>
      <c r="AF1463" s="16"/>
      <c r="AG1463" s="16"/>
      <c r="AH1463" s="16"/>
      <c r="AI1463" s="16"/>
      <c r="AJ1463" s="16"/>
      <c r="AK1463" s="16"/>
      <c r="AL1463" s="16"/>
      <c r="AM1463" s="16"/>
      <c r="AN1463" s="16"/>
      <c r="AO1463" s="16"/>
      <c r="AP1463" s="16"/>
      <c r="AQ1463" s="16"/>
      <c r="AR1463" s="16"/>
      <c r="AS1463" s="16"/>
    </row>
    <row r="1464" spans="18:45" x14ac:dyDescent="0.35">
      <c r="R1464" s="191"/>
      <c r="S1464" s="191"/>
      <c r="T1464" s="193"/>
      <c r="U1464" s="191"/>
      <c r="V1464" s="194"/>
      <c r="W1464" s="191"/>
      <c r="Y1464" s="191"/>
      <c r="Z1464" s="191"/>
      <c r="AA1464" s="191"/>
      <c r="AB1464" s="191"/>
      <c r="AC1464" s="191"/>
      <c r="AD1464" s="16"/>
      <c r="AE1464" s="16"/>
      <c r="AF1464" s="16"/>
      <c r="AG1464" s="16"/>
      <c r="AH1464" s="16"/>
      <c r="AI1464" s="16"/>
      <c r="AJ1464" s="16"/>
      <c r="AK1464" s="16"/>
      <c r="AL1464" s="16"/>
      <c r="AM1464" s="16"/>
      <c r="AN1464" s="16"/>
      <c r="AO1464" s="16"/>
      <c r="AP1464" s="16"/>
      <c r="AQ1464" s="16"/>
      <c r="AR1464" s="16"/>
      <c r="AS1464" s="16"/>
    </row>
    <row r="1465" spans="18:45" x14ac:dyDescent="0.35">
      <c r="R1465" s="191"/>
      <c r="S1465" s="191"/>
      <c r="T1465" s="193"/>
      <c r="U1465" s="191"/>
      <c r="V1465" s="194"/>
      <c r="W1465" s="191"/>
      <c r="Y1465" s="191"/>
      <c r="Z1465" s="191"/>
      <c r="AA1465" s="191"/>
      <c r="AB1465" s="191"/>
      <c r="AC1465" s="191"/>
      <c r="AD1465" s="16"/>
      <c r="AE1465" s="16"/>
      <c r="AF1465" s="16"/>
      <c r="AG1465" s="16"/>
      <c r="AH1465" s="16"/>
      <c r="AI1465" s="16"/>
      <c r="AJ1465" s="16"/>
      <c r="AK1465" s="16"/>
      <c r="AL1465" s="16"/>
      <c r="AM1465" s="16"/>
      <c r="AN1465" s="16"/>
      <c r="AO1465" s="16"/>
      <c r="AP1465" s="16"/>
      <c r="AQ1465" s="16"/>
      <c r="AR1465" s="16"/>
      <c r="AS1465" s="16"/>
    </row>
    <row r="1466" spans="18:45" x14ac:dyDescent="0.35">
      <c r="R1466" s="191"/>
      <c r="S1466" s="191"/>
      <c r="T1466" s="193"/>
      <c r="U1466" s="191"/>
      <c r="V1466" s="194"/>
      <c r="W1466" s="191"/>
      <c r="Y1466" s="191"/>
      <c r="Z1466" s="191"/>
      <c r="AA1466" s="191"/>
      <c r="AB1466" s="191"/>
      <c r="AC1466" s="191"/>
      <c r="AD1466" s="16"/>
      <c r="AE1466" s="16"/>
      <c r="AF1466" s="16"/>
      <c r="AG1466" s="16"/>
      <c r="AH1466" s="16"/>
      <c r="AI1466" s="16"/>
      <c r="AJ1466" s="16"/>
      <c r="AK1466" s="16"/>
      <c r="AL1466" s="16"/>
      <c r="AM1466" s="16"/>
      <c r="AN1466" s="16"/>
      <c r="AO1466" s="16"/>
      <c r="AP1466" s="16"/>
      <c r="AQ1466" s="16"/>
      <c r="AR1466" s="16"/>
      <c r="AS1466" s="16"/>
    </row>
    <row r="1467" spans="18:45" x14ac:dyDescent="0.35">
      <c r="R1467" s="191"/>
      <c r="S1467" s="191"/>
      <c r="T1467" s="193"/>
      <c r="U1467" s="191"/>
      <c r="V1467" s="194"/>
      <c r="W1467" s="191"/>
      <c r="Y1467" s="191"/>
      <c r="Z1467" s="191"/>
      <c r="AA1467" s="191"/>
      <c r="AB1467" s="191"/>
      <c r="AC1467" s="191"/>
      <c r="AD1467" s="16"/>
      <c r="AE1467" s="16"/>
      <c r="AF1467" s="16"/>
      <c r="AG1467" s="16"/>
      <c r="AH1467" s="16"/>
      <c r="AI1467" s="16"/>
      <c r="AJ1467" s="16"/>
      <c r="AK1467" s="16"/>
      <c r="AL1467" s="16"/>
      <c r="AM1467" s="16"/>
      <c r="AN1467" s="16"/>
      <c r="AO1467" s="16"/>
      <c r="AP1467" s="16"/>
      <c r="AQ1467" s="16"/>
      <c r="AR1467" s="16"/>
      <c r="AS1467" s="16"/>
    </row>
    <row r="1468" spans="18:45" x14ac:dyDescent="0.35">
      <c r="R1468" s="191"/>
      <c r="S1468" s="191"/>
      <c r="T1468" s="193"/>
      <c r="U1468" s="191"/>
      <c r="V1468" s="194"/>
      <c r="W1468" s="191"/>
      <c r="Y1468" s="191"/>
      <c r="Z1468" s="191"/>
      <c r="AA1468" s="191"/>
      <c r="AB1468" s="191"/>
      <c r="AC1468" s="191"/>
      <c r="AD1468" s="16"/>
      <c r="AE1468" s="16"/>
      <c r="AF1468" s="16"/>
      <c r="AG1468" s="16"/>
      <c r="AH1468" s="16"/>
      <c r="AI1468" s="16"/>
      <c r="AJ1468" s="16"/>
      <c r="AK1468" s="16"/>
      <c r="AL1468" s="16"/>
      <c r="AM1468" s="16"/>
      <c r="AN1468" s="16"/>
      <c r="AO1468" s="16"/>
      <c r="AP1468" s="16"/>
      <c r="AQ1468" s="16"/>
      <c r="AR1468" s="16"/>
      <c r="AS1468" s="16"/>
    </row>
    <row r="1469" spans="18:45" x14ac:dyDescent="0.35">
      <c r="R1469" s="191"/>
      <c r="S1469" s="191"/>
      <c r="T1469" s="193"/>
      <c r="U1469" s="191"/>
      <c r="V1469" s="194"/>
      <c r="W1469" s="191"/>
      <c r="Y1469" s="191"/>
      <c r="Z1469" s="191"/>
      <c r="AA1469" s="191"/>
      <c r="AB1469" s="191"/>
      <c r="AC1469" s="191"/>
      <c r="AD1469" s="16"/>
      <c r="AE1469" s="16"/>
      <c r="AF1469" s="16"/>
      <c r="AG1469" s="16"/>
      <c r="AH1469" s="16"/>
      <c r="AI1469" s="16"/>
      <c r="AJ1469" s="16"/>
      <c r="AK1469" s="16"/>
      <c r="AL1469" s="16"/>
      <c r="AM1469" s="16"/>
      <c r="AN1469" s="16"/>
      <c r="AO1469" s="16"/>
      <c r="AP1469" s="16"/>
      <c r="AQ1469" s="16"/>
      <c r="AR1469" s="16"/>
      <c r="AS1469" s="16"/>
    </row>
    <row r="1470" spans="18:45" x14ac:dyDescent="0.35">
      <c r="R1470" s="191"/>
      <c r="S1470" s="191"/>
      <c r="T1470" s="193"/>
      <c r="U1470" s="191"/>
      <c r="V1470" s="194"/>
      <c r="W1470" s="191"/>
      <c r="Y1470" s="191"/>
      <c r="Z1470" s="191"/>
      <c r="AA1470" s="191"/>
      <c r="AB1470" s="191"/>
      <c r="AC1470" s="191"/>
      <c r="AD1470" s="16"/>
      <c r="AE1470" s="16"/>
      <c r="AF1470" s="16"/>
      <c r="AG1470" s="16"/>
      <c r="AH1470" s="16"/>
      <c r="AI1470" s="16"/>
      <c r="AJ1470" s="16"/>
      <c r="AK1470" s="16"/>
      <c r="AL1470" s="16"/>
      <c r="AM1470" s="16"/>
      <c r="AN1470" s="16"/>
      <c r="AO1470" s="16"/>
      <c r="AP1470" s="16"/>
      <c r="AQ1470" s="16"/>
      <c r="AR1470" s="16"/>
      <c r="AS1470" s="16"/>
    </row>
    <row r="1471" spans="18:45" x14ac:dyDescent="0.35">
      <c r="R1471" s="191"/>
      <c r="S1471" s="191"/>
      <c r="T1471" s="193"/>
      <c r="U1471" s="191"/>
      <c r="V1471" s="194"/>
      <c r="W1471" s="191"/>
      <c r="Y1471" s="191"/>
      <c r="Z1471" s="191"/>
      <c r="AA1471" s="191"/>
      <c r="AB1471" s="191"/>
      <c r="AC1471" s="191"/>
      <c r="AD1471" s="16"/>
      <c r="AE1471" s="16"/>
      <c r="AF1471" s="16"/>
      <c r="AG1471" s="16"/>
      <c r="AH1471" s="16"/>
      <c r="AI1471" s="16"/>
      <c r="AJ1471" s="16"/>
      <c r="AK1471" s="16"/>
      <c r="AL1471" s="16"/>
      <c r="AM1471" s="16"/>
      <c r="AN1471" s="16"/>
      <c r="AO1471" s="16"/>
      <c r="AP1471" s="16"/>
      <c r="AQ1471" s="16"/>
      <c r="AR1471" s="16"/>
      <c r="AS1471" s="16"/>
    </row>
    <row r="1472" spans="18:45" x14ac:dyDescent="0.35">
      <c r="R1472" s="191"/>
      <c r="S1472" s="191"/>
      <c r="T1472" s="193"/>
      <c r="U1472" s="191"/>
      <c r="V1472" s="194"/>
      <c r="W1472" s="191"/>
      <c r="Y1472" s="191"/>
      <c r="Z1472" s="191"/>
      <c r="AA1472" s="191"/>
      <c r="AB1472" s="191"/>
      <c r="AC1472" s="191"/>
      <c r="AD1472" s="16"/>
      <c r="AE1472" s="16"/>
      <c r="AF1472" s="16"/>
      <c r="AG1472" s="16"/>
      <c r="AH1472" s="16"/>
      <c r="AI1472" s="16"/>
      <c r="AJ1472" s="16"/>
      <c r="AK1472" s="16"/>
      <c r="AL1472" s="16"/>
      <c r="AM1472" s="16"/>
      <c r="AN1472" s="16"/>
      <c r="AO1472" s="16"/>
      <c r="AP1472" s="16"/>
      <c r="AQ1472" s="16"/>
      <c r="AR1472" s="16"/>
      <c r="AS1472" s="16"/>
    </row>
    <row r="1473" spans="18:45" x14ac:dyDescent="0.35">
      <c r="R1473" s="191"/>
      <c r="S1473" s="191"/>
      <c r="T1473" s="193"/>
      <c r="U1473" s="191"/>
      <c r="V1473" s="194"/>
      <c r="W1473" s="191"/>
      <c r="Y1473" s="191"/>
      <c r="Z1473" s="191"/>
      <c r="AA1473" s="191"/>
      <c r="AB1473" s="191"/>
      <c r="AC1473" s="191"/>
      <c r="AD1473" s="16"/>
      <c r="AE1473" s="16"/>
      <c r="AF1473" s="16"/>
      <c r="AG1473" s="16"/>
      <c r="AH1473" s="16"/>
      <c r="AI1473" s="16"/>
      <c r="AJ1473" s="16"/>
      <c r="AK1473" s="16"/>
      <c r="AL1473" s="16"/>
      <c r="AM1473" s="16"/>
      <c r="AN1473" s="16"/>
      <c r="AO1473" s="16"/>
      <c r="AP1473" s="16"/>
      <c r="AQ1473" s="16"/>
      <c r="AR1473" s="16"/>
      <c r="AS1473" s="16"/>
    </row>
    <row r="1474" spans="18:45" x14ac:dyDescent="0.35">
      <c r="R1474" s="191"/>
      <c r="S1474" s="191"/>
      <c r="T1474" s="193"/>
      <c r="U1474" s="191"/>
      <c r="V1474" s="194"/>
      <c r="W1474" s="191"/>
      <c r="Y1474" s="191"/>
      <c r="Z1474" s="191"/>
      <c r="AA1474" s="191"/>
      <c r="AB1474" s="191"/>
      <c r="AC1474" s="191"/>
      <c r="AD1474" s="16"/>
      <c r="AE1474" s="16"/>
      <c r="AF1474" s="16"/>
      <c r="AG1474" s="16"/>
      <c r="AH1474" s="16"/>
      <c r="AI1474" s="16"/>
      <c r="AJ1474" s="16"/>
      <c r="AK1474" s="16"/>
      <c r="AL1474" s="16"/>
      <c r="AM1474" s="16"/>
      <c r="AN1474" s="16"/>
      <c r="AO1474" s="16"/>
      <c r="AP1474" s="16"/>
      <c r="AQ1474" s="16"/>
      <c r="AR1474" s="16"/>
      <c r="AS1474" s="16"/>
    </row>
    <row r="1475" spans="18:45" x14ac:dyDescent="0.35">
      <c r="R1475" s="191"/>
      <c r="S1475" s="191"/>
      <c r="T1475" s="193"/>
      <c r="U1475" s="191"/>
      <c r="V1475" s="194"/>
      <c r="W1475" s="191"/>
      <c r="Y1475" s="191"/>
      <c r="Z1475" s="191"/>
      <c r="AA1475" s="191"/>
      <c r="AB1475" s="191"/>
      <c r="AC1475" s="191"/>
      <c r="AD1475" s="16"/>
      <c r="AE1475" s="16"/>
      <c r="AF1475" s="16"/>
      <c r="AG1475" s="16"/>
      <c r="AH1475" s="16"/>
      <c r="AI1475" s="16"/>
      <c r="AJ1475" s="16"/>
      <c r="AK1475" s="16"/>
      <c r="AL1475" s="16"/>
      <c r="AM1475" s="16"/>
      <c r="AN1475" s="16"/>
      <c r="AO1475" s="16"/>
      <c r="AP1475" s="16"/>
      <c r="AQ1475" s="16"/>
      <c r="AR1475" s="16"/>
      <c r="AS1475" s="16"/>
    </row>
    <row r="1476" spans="18:45" x14ac:dyDescent="0.35">
      <c r="R1476" s="191"/>
      <c r="S1476" s="191"/>
      <c r="T1476" s="193"/>
      <c r="U1476" s="191"/>
      <c r="V1476" s="194"/>
      <c r="W1476" s="191"/>
      <c r="Y1476" s="191"/>
      <c r="Z1476" s="191"/>
      <c r="AA1476" s="191"/>
      <c r="AB1476" s="191"/>
      <c r="AC1476" s="191"/>
      <c r="AD1476" s="16"/>
      <c r="AE1476" s="16"/>
      <c r="AF1476" s="16"/>
      <c r="AG1476" s="16"/>
      <c r="AH1476" s="16"/>
      <c r="AI1476" s="16"/>
      <c r="AJ1476" s="16"/>
      <c r="AK1476" s="16"/>
      <c r="AL1476" s="16"/>
      <c r="AM1476" s="16"/>
      <c r="AN1476" s="16"/>
      <c r="AO1476" s="16"/>
      <c r="AP1476" s="16"/>
      <c r="AQ1476" s="16"/>
      <c r="AR1476" s="16"/>
      <c r="AS1476" s="16"/>
    </row>
    <row r="1477" spans="18:45" x14ac:dyDescent="0.35">
      <c r="R1477" s="191"/>
      <c r="S1477" s="191"/>
      <c r="T1477" s="193"/>
      <c r="U1477" s="191"/>
      <c r="V1477" s="194"/>
      <c r="W1477" s="191"/>
      <c r="Y1477" s="191"/>
      <c r="Z1477" s="191"/>
      <c r="AA1477" s="191"/>
      <c r="AB1477" s="191"/>
      <c r="AC1477" s="191"/>
      <c r="AD1477" s="16"/>
      <c r="AE1477" s="16"/>
      <c r="AF1477" s="16"/>
      <c r="AG1477" s="16"/>
      <c r="AH1477" s="16"/>
      <c r="AI1477" s="16"/>
      <c r="AJ1477" s="16"/>
      <c r="AK1477" s="16"/>
      <c r="AL1477" s="16"/>
      <c r="AM1477" s="16"/>
      <c r="AN1477" s="16"/>
      <c r="AO1477" s="16"/>
      <c r="AP1477" s="16"/>
      <c r="AQ1477" s="16"/>
      <c r="AR1477" s="16"/>
      <c r="AS1477" s="16"/>
    </row>
    <row r="1478" spans="18:45" x14ac:dyDescent="0.35">
      <c r="R1478" s="191"/>
      <c r="S1478" s="191"/>
      <c r="T1478" s="193"/>
      <c r="U1478" s="191"/>
      <c r="V1478" s="194"/>
      <c r="W1478" s="191"/>
      <c r="Y1478" s="191"/>
      <c r="Z1478" s="191"/>
      <c r="AA1478" s="191"/>
      <c r="AB1478" s="191"/>
      <c r="AC1478" s="191"/>
      <c r="AD1478" s="16"/>
      <c r="AE1478" s="16"/>
      <c r="AF1478" s="16"/>
      <c r="AG1478" s="16"/>
      <c r="AH1478" s="16"/>
      <c r="AI1478" s="16"/>
      <c r="AJ1478" s="16"/>
      <c r="AK1478" s="16"/>
      <c r="AL1478" s="16"/>
      <c r="AM1478" s="16"/>
      <c r="AN1478" s="16"/>
      <c r="AO1478" s="16"/>
      <c r="AP1478" s="16"/>
      <c r="AQ1478" s="16"/>
      <c r="AR1478" s="16"/>
      <c r="AS1478" s="16"/>
    </row>
    <row r="1479" spans="18:45" x14ac:dyDescent="0.35">
      <c r="R1479" s="191"/>
      <c r="S1479" s="191"/>
      <c r="T1479" s="193"/>
      <c r="U1479" s="191"/>
      <c r="V1479" s="194"/>
      <c r="W1479" s="191"/>
      <c r="Y1479" s="191"/>
      <c r="Z1479" s="191"/>
      <c r="AA1479" s="191"/>
      <c r="AB1479" s="191"/>
      <c r="AC1479" s="191"/>
      <c r="AD1479" s="16"/>
      <c r="AE1479" s="16"/>
      <c r="AF1479" s="16"/>
      <c r="AG1479" s="16"/>
      <c r="AH1479" s="16"/>
      <c r="AI1479" s="16"/>
      <c r="AJ1479" s="16"/>
      <c r="AK1479" s="16"/>
      <c r="AL1479" s="16"/>
      <c r="AM1479" s="16"/>
      <c r="AN1479" s="16"/>
      <c r="AO1479" s="16"/>
      <c r="AP1479" s="16"/>
      <c r="AQ1479" s="16"/>
      <c r="AR1479" s="16"/>
      <c r="AS1479" s="16"/>
    </row>
    <row r="1480" spans="18:45" x14ac:dyDescent="0.35">
      <c r="R1480" s="191"/>
      <c r="S1480" s="191"/>
      <c r="T1480" s="193"/>
      <c r="U1480" s="191"/>
      <c r="V1480" s="194"/>
      <c r="W1480" s="191"/>
      <c r="Y1480" s="191"/>
      <c r="Z1480" s="191"/>
      <c r="AA1480" s="191"/>
      <c r="AB1480" s="191"/>
      <c r="AC1480" s="191"/>
      <c r="AD1480" s="16"/>
      <c r="AE1480" s="16"/>
      <c r="AF1480" s="16"/>
      <c r="AG1480" s="16"/>
      <c r="AH1480" s="16"/>
      <c r="AI1480" s="16"/>
      <c r="AJ1480" s="16"/>
      <c r="AK1480" s="16"/>
      <c r="AL1480" s="16"/>
      <c r="AM1480" s="16"/>
      <c r="AN1480" s="16"/>
      <c r="AO1480" s="16"/>
      <c r="AP1480" s="16"/>
      <c r="AQ1480" s="16"/>
      <c r="AR1480" s="16"/>
      <c r="AS1480" s="16"/>
    </row>
    <row r="1481" spans="18:45" x14ac:dyDescent="0.35">
      <c r="R1481" s="191"/>
      <c r="S1481" s="191"/>
      <c r="T1481" s="193"/>
      <c r="U1481" s="191"/>
      <c r="V1481" s="194"/>
      <c r="W1481" s="191"/>
      <c r="Y1481" s="191"/>
      <c r="Z1481" s="191"/>
      <c r="AA1481" s="191"/>
      <c r="AB1481" s="191"/>
      <c r="AC1481" s="191"/>
      <c r="AD1481" s="16"/>
      <c r="AE1481" s="16"/>
      <c r="AF1481" s="16"/>
      <c r="AG1481" s="16"/>
      <c r="AH1481" s="16"/>
      <c r="AI1481" s="16"/>
      <c r="AJ1481" s="16"/>
      <c r="AK1481" s="16"/>
      <c r="AL1481" s="16"/>
      <c r="AM1481" s="16"/>
      <c r="AN1481" s="16"/>
      <c r="AO1481" s="16"/>
      <c r="AP1481" s="16"/>
      <c r="AQ1481" s="16"/>
      <c r="AR1481" s="16"/>
      <c r="AS1481" s="16"/>
    </row>
    <row r="1482" spans="18:45" x14ac:dyDescent="0.35">
      <c r="R1482" s="191"/>
      <c r="S1482" s="191"/>
      <c r="T1482" s="193"/>
      <c r="U1482" s="191"/>
      <c r="V1482" s="194"/>
      <c r="W1482" s="191"/>
      <c r="Y1482" s="191"/>
      <c r="Z1482" s="191"/>
      <c r="AA1482" s="191"/>
      <c r="AB1482" s="191"/>
      <c r="AC1482" s="191"/>
      <c r="AD1482" s="16"/>
      <c r="AE1482" s="16"/>
      <c r="AF1482" s="16"/>
      <c r="AG1482" s="16"/>
      <c r="AH1482" s="16"/>
      <c r="AI1482" s="16"/>
      <c r="AJ1482" s="16"/>
      <c r="AK1482" s="16"/>
      <c r="AL1482" s="16"/>
      <c r="AM1482" s="16"/>
      <c r="AN1482" s="16"/>
      <c r="AO1482" s="16"/>
      <c r="AP1482" s="16"/>
      <c r="AQ1482" s="16"/>
      <c r="AR1482" s="16"/>
      <c r="AS1482" s="16"/>
    </row>
    <row r="1483" spans="18:45" x14ac:dyDescent="0.35">
      <c r="R1483" s="191"/>
      <c r="S1483" s="191"/>
      <c r="T1483" s="193"/>
      <c r="U1483" s="191"/>
      <c r="V1483" s="194"/>
      <c r="W1483" s="191"/>
      <c r="Y1483" s="191"/>
      <c r="Z1483" s="191"/>
      <c r="AA1483" s="191"/>
      <c r="AB1483" s="191"/>
      <c r="AC1483" s="191"/>
      <c r="AD1483" s="16"/>
      <c r="AE1483" s="16"/>
      <c r="AF1483" s="16"/>
      <c r="AG1483" s="16"/>
      <c r="AH1483" s="16"/>
      <c r="AI1483" s="16"/>
      <c r="AJ1483" s="16"/>
      <c r="AK1483" s="16"/>
      <c r="AL1483" s="16"/>
      <c r="AM1483" s="16"/>
      <c r="AN1483" s="16"/>
      <c r="AO1483" s="16"/>
      <c r="AP1483" s="16"/>
      <c r="AQ1483" s="16"/>
      <c r="AR1483" s="16"/>
      <c r="AS1483" s="16"/>
    </row>
    <row r="1484" spans="18:45" x14ac:dyDescent="0.35">
      <c r="R1484" s="191"/>
      <c r="S1484" s="191"/>
      <c r="T1484" s="193"/>
      <c r="U1484" s="191"/>
      <c r="V1484" s="194"/>
      <c r="W1484" s="191"/>
      <c r="Y1484" s="191"/>
      <c r="Z1484" s="191"/>
      <c r="AA1484" s="191"/>
      <c r="AB1484" s="191"/>
      <c r="AC1484" s="191"/>
      <c r="AD1484" s="16"/>
      <c r="AE1484" s="16"/>
      <c r="AF1484" s="16"/>
      <c r="AG1484" s="16"/>
      <c r="AH1484" s="16"/>
      <c r="AI1484" s="16"/>
      <c r="AJ1484" s="16"/>
      <c r="AK1484" s="16"/>
      <c r="AL1484" s="16"/>
      <c r="AM1484" s="16"/>
      <c r="AN1484" s="16"/>
      <c r="AO1484" s="16"/>
      <c r="AP1484" s="16"/>
      <c r="AQ1484" s="16"/>
      <c r="AR1484" s="16"/>
      <c r="AS1484" s="16"/>
    </row>
    <row r="1485" spans="18:45" x14ac:dyDescent="0.35">
      <c r="R1485" s="191"/>
      <c r="S1485" s="191"/>
      <c r="T1485" s="193"/>
      <c r="U1485" s="191"/>
      <c r="V1485" s="194"/>
      <c r="W1485" s="191"/>
      <c r="Y1485" s="191"/>
      <c r="Z1485" s="191"/>
      <c r="AA1485" s="191"/>
      <c r="AB1485" s="191"/>
      <c r="AC1485" s="191"/>
      <c r="AD1485" s="16"/>
      <c r="AE1485" s="16"/>
      <c r="AF1485" s="16"/>
      <c r="AG1485" s="16"/>
      <c r="AH1485" s="16"/>
      <c r="AI1485" s="16"/>
      <c r="AJ1485" s="16"/>
      <c r="AK1485" s="16"/>
      <c r="AL1485" s="16"/>
      <c r="AM1485" s="16"/>
      <c r="AN1485" s="16"/>
      <c r="AO1485" s="16"/>
      <c r="AP1485" s="16"/>
      <c r="AQ1485" s="16"/>
      <c r="AR1485" s="16"/>
      <c r="AS1485" s="16"/>
    </row>
    <row r="1486" spans="18:45" x14ac:dyDescent="0.35">
      <c r="R1486" s="191"/>
      <c r="S1486" s="191"/>
      <c r="T1486" s="193"/>
      <c r="U1486" s="191"/>
      <c r="V1486" s="194"/>
      <c r="W1486" s="191"/>
      <c r="Y1486" s="191"/>
      <c r="Z1486" s="191"/>
      <c r="AA1486" s="191"/>
      <c r="AB1486" s="191"/>
      <c r="AC1486" s="191"/>
      <c r="AD1486" s="16"/>
      <c r="AE1486" s="16"/>
      <c r="AF1486" s="16"/>
      <c r="AG1486" s="16"/>
      <c r="AH1486" s="16"/>
      <c r="AI1486" s="16"/>
      <c r="AJ1486" s="16"/>
      <c r="AK1486" s="16"/>
      <c r="AL1486" s="16"/>
      <c r="AM1486" s="16"/>
      <c r="AN1486" s="16"/>
      <c r="AO1486" s="16"/>
      <c r="AP1486" s="16"/>
      <c r="AQ1486" s="16"/>
      <c r="AR1486" s="16"/>
      <c r="AS1486" s="16"/>
    </row>
    <row r="1487" spans="18:45" x14ac:dyDescent="0.35">
      <c r="R1487" s="191"/>
      <c r="S1487" s="191"/>
      <c r="T1487" s="193"/>
      <c r="U1487" s="191"/>
      <c r="V1487" s="194"/>
      <c r="W1487" s="191"/>
      <c r="Y1487" s="191"/>
      <c r="Z1487" s="191"/>
      <c r="AA1487" s="191"/>
      <c r="AB1487" s="191"/>
      <c r="AC1487" s="191"/>
      <c r="AD1487" s="16"/>
      <c r="AE1487" s="16"/>
      <c r="AF1487" s="16"/>
      <c r="AG1487" s="16"/>
      <c r="AH1487" s="16"/>
      <c r="AI1487" s="16"/>
      <c r="AJ1487" s="16"/>
      <c r="AK1487" s="16"/>
      <c r="AL1487" s="16"/>
      <c r="AM1487" s="16"/>
      <c r="AN1487" s="16"/>
      <c r="AO1487" s="16"/>
      <c r="AP1487" s="16"/>
      <c r="AQ1487" s="16"/>
      <c r="AR1487" s="16"/>
      <c r="AS1487" s="16"/>
    </row>
    <row r="1488" spans="18:45" x14ac:dyDescent="0.35">
      <c r="R1488" s="191"/>
      <c r="S1488" s="191"/>
      <c r="T1488" s="193"/>
      <c r="U1488" s="191"/>
      <c r="V1488" s="194"/>
      <c r="W1488" s="191"/>
      <c r="Y1488" s="191"/>
      <c r="Z1488" s="191"/>
      <c r="AA1488" s="191"/>
      <c r="AB1488" s="191"/>
      <c r="AC1488" s="191"/>
      <c r="AD1488" s="16"/>
      <c r="AE1488" s="16"/>
      <c r="AF1488" s="16"/>
      <c r="AG1488" s="16"/>
      <c r="AH1488" s="16"/>
      <c r="AI1488" s="16"/>
      <c r="AJ1488" s="16"/>
      <c r="AK1488" s="16"/>
      <c r="AL1488" s="16"/>
      <c r="AM1488" s="16"/>
      <c r="AN1488" s="16"/>
      <c r="AO1488" s="16"/>
      <c r="AP1488" s="16"/>
      <c r="AQ1488" s="16"/>
      <c r="AR1488" s="16"/>
      <c r="AS1488" s="16"/>
    </row>
    <row r="1489" spans="18:45" x14ac:dyDescent="0.35">
      <c r="R1489" s="191"/>
      <c r="S1489" s="191"/>
      <c r="T1489" s="193"/>
      <c r="U1489" s="191"/>
      <c r="V1489" s="194"/>
      <c r="W1489" s="191"/>
      <c r="Y1489" s="191"/>
      <c r="Z1489" s="191"/>
      <c r="AA1489" s="191"/>
      <c r="AB1489" s="191"/>
      <c r="AC1489" s="191"/>
      <c r="AD1489" s="16"/>
      <c r="AE1489" s="16"/>
      <c r="AF1489" s="16"/>
      <c r="AG1489" s="16"/>
      <c r="AH1489" s="16"/>
      <c r="AI1489" s="16"/>
      <c r="AJ1489" s="16"/>
      <c r="AK1489" s="16"/>
      <c r="AL1489" s="16"/>
      <c r="AM1489" s="16"/>
      <c r="AN1489" s="16"/>
      <c r="AO1489" s="16"/>
      <c r="AP1489" s="16"/>
      <c r="AQ1489" s="16"/>
      <c r="AR1489" s="16"/>
      <c r="AS1489" s="16"/>
    </row>
    <row r="1490" spans="18:45" x14ac:dyDescent="0.35">
      <c r="R1490" s="191"/>
      <c r="S1490" s="191"/>
      <c r="T1490" s="193"/>
      <c r="U1490" s="191"/>
      <c r="V1490" s="194"/>
      <c r="W1490" s="191"/>
      <c r="Y1490" s="191"/>
      <c r="Z1490" s="191"/>
      <c r="AA1490" s="191"/>
      <c r="AB1490" s="191"/>
      <c r="AC1490" s="191"/>
      <c r="AD1490" s="16"/>
      <c r="AE1490" s="16"/>
      <c r="AF1490" s="16"/>
      <c r="AG1490" s="16"/>
      <c r="AH1490" s="16"/>
      <c r="AI1490" s="16"/>
      <c r="AJ1490" s="16"/>
      <c r="AK1490" s="16"/>
      <c r="AL1490" s="16"/>
      <c r="AM1490" s="16"/>
      <c r="AN1490" s="16"/>
      <c r="AO1490" s="16"/>
      <c r="AP1490" s="16"/>
      <c r="AQ1490" s="16"/>
      <c r="AR1490" s="16"/>
      <c r="AS1490" s="16"/>
    </row>
    <row r="1491" spans="18:45" x14ac:dyDescent="0.35">
      <c r="R1491" s="191"/>
      <c r="S1491" s="191"/>
      <c r="T1491" s="193"/>
      <c r="U1491" s="191"/>
      <c r="V1491" s="194"/>
      <c r="W1491" s="191"/>
      <c r="Y1491" s="191"/>
      <c r="Z1491" s="191"/>
      <c r="AA1491" s="191"/>
      <c r="AB1491" s="191"/>
      <c r="AC1491" s="191"/>
      <c r="AD1491" s="16"/>
      <c r="AE1491" s="16"/>
      <c r="AF1491" s="16"/>
      <c r="AG1491" s="16"/>
      <c r="AH1491" s="16"/>
      <c r="AI1491" s="16"/>
      <c r="AJ1491" s="16"/>
      <c r="AK1491" s="16"/>
      <c r="AL1491" s="16"/>
      <c r="AM1491" s="16"/>
      <c r="AN1491" s="16"/>
      <c r="AO1491" s="16"/>
      <c r="AP1491" s="16"/>
      <c r="AQ1491" s="16"/>
      <c r="AR1491" s="16"/>
      <c r="AS1491" s="16"/>
    </row>
    <row r="1492" spans="18:45" x14ac:dyDescent="0.35">
      <c r="R1492" s="191"/>
      <c r="S1492" s="191"/>
      <c r="T1492" s="193"/>
      <c r="U1492" s="191"/>
      <c r="V1492" s="194"/>
      <c r="W1492" s="191"/>
      <c r="Y1492" s="191"/>
      <c r="Z1492" s="191"/>
      <c r="AA1492" s="191"/>
      <c r="AB1492" s="191"/>
      <c r="AC1492" s="191"/>
      <c r="AD1492" s="16"/>
      <c r="AE1492" s="16"/>
      <c r="AF1492" s="16"/>
      <c r="AG1492" s="16"/>
      <c r="AH1492" s="16"/>
      <c r="AI1492" s="16"/>
      <c r="AJ1492" s="16"/>
      <c r="AK1492" s="16"/>
      <c r="AL1492" s="16"/>
      <c r="AM1492" s="16"/>
      <c r="AN1492" s="16"/>
      <c r="AO1492" s="16"/>
      <c r="AP1492" s="16"/>
      <c r="AQ1492" s="16"/>
      <c r="AR1492" s="16"/>
      <c r="AS1492" s="16"/>
    </row>
    <row r="1493" spans="18:45" x14ac:dyDescent="0.35">
      <c r="R1493" s="191"/>
      <c r="S1493" s="191"/>
      <c r="T1493" s="193"/>
      <c r="U1493" s="191"/>
      <c r="V1493" s="194"/>
      <c r="W1493" s="191"/>
      <c r="Y1493" s="191"/>
      <c r="Z1493" s="191"/>
      <c r="AA1493" s="191"/>
      <c r="AB1493" s="191"/>
      <c r="AC1493" s="191"/>
      <c r="AD1493" s="16"/>
      <c r="AE1493" s="16"/>
      <c r="AF1493" s="16"/>
      <c r="AG1493" s="16"/>
      <c r="AH1493" s="16"/>
      <c r="AI1493" s="16"/>
      <c r="AJ1493" s="16"/>
      <c r="AK1493" s="16"/>
      <c r="AL1493" s="16"/>
      <c r="AM1493" s="16"/>
      <c r="AN1493" s="16"/>
      <c r="AO1493" s="16"/>
      <c r="AP1493" s="16"/>
      <c r="AQ1493" s="16"/>
      <c r="AR1493" s="16"/>
      <c r="AS1493" s="16"/>
    </row>
    <row r="1494" spans="18:45" x14ac:dyDescent="0.35">
      <c r="R1494" s="191"/>
      <c r="S1494" s="191"/>
      <c r="T1494" s="193"/>
      <c r="U1494" s="191"/>
      <c r="V1494" s="194"/>
      <c r="W1494" s="191"/>
      <c r="Y1494" s="191"/>
      <c r="Z1494" s="191"/>
      <c r="AA1494" s="191"/>
      <c r="AB1494" s="191"/>
      <c r="AC1494" s="191"/>
      <c r="AD1494" s="16"/>
      <c r="AE1494" s="16"/>
      <c r="AF1494" s="16"/>
      <c r="AG1494" s="16"/>
      <c r="AH1494" s="16"/>
      <c r="AI1494" s="16"/>
      <c r="AJ1494" s="16"/>
      <c r="AK1494" s="16"/>
      <c r="AL1494" s="16"/>
      <c r="AM1494" s="16"/>
      <c r="AN1494" s="16"/>
      <c r="AO1494" s="16"/>
      <c r="AP1494" s="16"/>
      <c r="AQ1494" s="16"/>
      <c r="AR1494" s="16"/>
      <c r="AS1494" s="16"/>
    </row>
    <row r="1495" spans="18:45" x14ac:dyDescent="0.35">
      <c r="R1495" s="191"/>
      <c r="S1495" s="191"/>
      <c r="T1495" s="193"/>
      <c r="U1495" s="191"/>
      <c r="V1495" s="194"/>
      <c r="W1495" s="191"/>
      <c r="Y1495" s="191"/>
      <c r="Z1495" s="191"/>
      <c r="AA1495" s="191"/>
      <c r="AB1495" s="191"/>
      <c r="AC1495" s="191"/>
      <c r="AD1495" s="16"/>
      <c r="AE1495" s="16"/>
      <c r="AF1495" s="16"/>
      <c r="AG1495" s="16"/>
      <c r="AH1495" s="16"/>
      <c r="AI1495" s="16"/>
      <c r="AJ1495" s="16"/>
      <c r="AK1495" s="16"/>
      <c r="AL1495" s="16"/>
      <c r="AM1495" s="16"/>
      <c r="AN1495" s="16"/>
      <c r="AO1495" s="16"/>
      <c r="AP1495" s="16"/>
      <c r="AQ1495" s="16"/>
      <c r="AR1495" s="16"/>
      <c r="AS1495" s="16"/>
    </row>
    <row r="1496" spans="18:45" x14ac:dyDescent="0.35">
      <c r="R1496" s="191"/>
      <c r="S1496" s="191"/>
      <c r="T1496" s="193"/>
      <c r="U1496" s="191"/>
      <c r="V1496" s="194"/>
      <c r="W1496" s="191"/>
      <c r="Y1496" s="191"/>
      <c r="Z1496" s="191"/>
      <c r="AA1496" s="191"/>
      <c r="AB1496" s="191"/>
      <c r="AC1496" s="191"/>
      <c r="AD1496" s="16"/>
      <c r="AE1496" s="16"/>
      <c r="AF1496" s="16"/>
      <c r="AG1496" s="16"/>
      <c r="AH1496" s="16"/>
      <c r="AI1496" s="16"/>
      <c r="AJ1496" s="16"/>
      <c r="AK1496" s="16"/>
      <c r="AL1496" s="16"/>
      <c r="AM1496" s="16"/>
      <c r="AN1496" s="16"/>
      <c r="AO1496" s="16"/>
      <c r="AP1496" s="16"/>
      <c r="AQ1496" s="16"/>
      <c r="AR1496" s="16"/>
      <c r="AS1496" s="16"/>
    </row>
    <row r="1497" spans="18:45" x14ac:dyDescent="0.35">
      <c r="R1497" s="191"/>
      <c r="S1497" s="191"/>
      <c r="T1497" s="193"/>
      <c r="U1497" s="191"/>
      <c r="V1497" s="194"/>
      <c r="W1497" s="191"/>
      <c r="Y1497" s="191"/>
      <c r="Z1497" s="191"/>
      <c r="AA1497" s="191"/>
      <c r="AB1497" s="191"/>
      <c r="AC1497" s="191"/>
      <c r="AD1497" s="16"/>
      <c r="AE1497" s="16"/>
      <c r="AF1497" s="16"/>
      <c r="AG1497" s="16"/>
      <c r="AH1497" s="16"/>
      <c r="AI1497" s="16"/>
      <c r="AJ1497" s="16"/>
      <c r="AK1497" s="16"/>
      <c r="AL1497" s="16"/>
      <c r="AM1497" s="16"/>
      <c r="AN1497" s="16"/>
      <c r="AO1497" s="16"/>
      <c r="AP1497" s="16"/>
      <c r="AQ1497" s="16"/>
      <c r="AR1497" s="16"/>
      <c r="AS1497" s="16"/>
    </row>
    <row r="1498" spans="18:45" x14ac:dyDescent="0.35">
      <c r="R1498" s="191"/>
      <c r="S1498" s="191"/>
      <c r="T1498" s="193"/>
      <c r="U1498" s="191"/>
      <c r="V1498" s="194"/>
      <c r="W1498" s="191"/>
      <c r="Y1498" s="191"/>
      <c r="Z1498" s="191"/>
      <c r="AA1498" s="191"/>
      <c r="AB1498" s="191"/>
      <c r="AC1498" s="191"/>
      <c r="AD1498" s="16"/>
      <c r="AE1498" s="16"/>
      <c r="AF1498" s="16"/>
      <c r="AG1498" s="16"/>
      <c r="AH1498" s="16"/>
      <c r="AI1498" s="16"/>
      <c r="AJ1498" s="16"/>
      <c r="AK1498" s="16"/>
      <c r="AL1498" s="16"/>
      <c r="AM1498" s="16"/>
      <c r="AN1498" s="16"/>
      <c r="AO1498" s="16"/>
      <c r="AP1498" s="16"/>
      <c r="AQ1498" s="16"/>
      <c r="AR1498" s="16"/>
      <c r="AS1498" s="16"/>
    </row>
    <row r="1499" spans="18:45" x14ac:dyDescent="0.35">
      <c r="R1499" s="191"/>
      <c r="S1499" s="191"/>
      <c r="T1499" s="193"/>
      <c r="U1499" s="191"/>
      <c r="V1499" s="194"/>
      <c r="W1499" s="191"/>
      <c r="Y1499" s="191"/>
      <c r="Z1499" s="191"/>
      <c r="AA1499" s="191"/>
      <c r="AB1499" s="191"/>
      <c r="AC1499" s="191"/>
      <c r="AD1499" s="16"/>
      <c r="AE1499" s="16"/>
      <c r="AF1499" s="16"/>
      <c r="AG1499" s="16"/>
      <c r="AH1499" s="16"/>
      <c r="AI1499" s="16"/>
      <c r="AJ1499" s="16"/>
      <c r="AK1499" s="16"/>
      <c r="AL1499" s="16"/>
      <c r="AM1499" s="16"/>
      <c r="AN1499" s="16"/>
      <c r="AO1499" s="16"/>
      <c r="AP1499" s="16"/>
      <c r="AQ1499" s="16"/>
      <c r="AR1499" s="16"/>
      <c r="AS1499" s="16"/>
    </row>
    <row r="1500" spans="18:45" x14ac:dyDescent="0.35">
      <c r="R1500" s="191"/>
      <c r="S1500" s="191"/>
      <c r="T1500" s="193"/>
      <c r="U1500" s="191"/>
      <c r="V1500" s="194"/>
      <c r="W1500" s="191"/>
      <c r="Y1500" s="191"/>
      <c r="Z1500" s="191"/>
      <c r="AA1500" s="191"/>
      <c r="AB1500" s="191"/>
      <c r="AC1500" s="191"/>
      <c r="AD1500" s="16"/>
      <c r="AE1500" s="16"/>
      <c r="AF1500" s="16"/>
      <c r="AG1500" s="16"/>
      <c r="AH1500" s="16"/>
      <c r="AI1500" s="16"/>
      <c r="AJ1500" s="16"/>
      <c r="AK1500" s="16"/>
      <c r="AL1500" s="16"/>
      <c r="AM1500" s="16"/>
      <c r="AN1500" s="16"/>
      <c r="AO1500" s="16"/>
      <c r="AP1500" s="16"/>
      <c r="AQ1500" s="16"/>
      <c r="AR1500" s="16"/>
      <c r="AS1500" s="16"/>
    </row>
    <row r="1501" spans="18:45" x14ac:dyDescent="0.35">
      <c r="R1501" s="191"/>
      <c r="S1501" s="191"/>
      <c r="T1501" s="193"/>
      <c r="U1501" s="191"/>
      <c r="V1501" s="194"/>
      <c r="W1501" s="191"/>
      <c r="Y1501" s="191"/>
      <c r="Z1501" s="191"/>
      <c r="AA1501" s="191"/>
      <c r="AB1501" s="191"/>
      <c r="AC1501" s="191"/>
      <c r="AD1501" s="16"/>
      <c r="AE1501" s="16"/>
      <c r="AF1501" s="16"/>
      <c r="AG1501" s="16"/>
      <c r="AH1501" s="16"/>
      <c r="AI1501" s="16"/>
      <c r="AJ1501" s="16"/>
      <c r="AK1501" s="16"/>
      <c r="AL1501" s="16"/>
      <c r="AM1501" s="16"/>
      <c r="AN1501" s="16"/>
      <c r="AO1501" s="16"/>
      <c r="AP1501" s="16"/>
      <c r="AQ1501" s="16"/>
      <c r="AR1501" s="16"/>
      <c r="AS1501" s="16"/>
    </row>
    <row r="1502" spans="18:45" x14ac:dyDescent="0.35">
      <c r="R1502" s="191"/>
      <c r="S1502" s="191"/>
      <c r="T1502" s="193"/>
      <c r="U1502" s="191"/>
      <c r="V1502" s="194"/>
      <c r="W1502" s="191"/>
      <c r="Y1502" s="191"/>
      <c r="Z1502" s="191"/>
      <c r="AA1502" s="191"/>
      <c r="AB1502" s="191"/>
      <c r="AC1502" s="191"/>
      <c r="AD1502" s="16"/>
      <c r="AE1502" s="16"/>
      <c r="AF1502" s="16"/>
      <c r="AG1502" s="16"/>
      <c r="AH1502" s="16"/>
      <c r="AI1502" s="16"/>
      <c r="AJ1502" s="16"/>
      <c r="AK1502" s="16"/>
      <c r="AL1502" s="16"/>
      <c r="AM1502" s="16"/>
      <c r="AN1502" s="16"/>
      <c r="AO1502" s="16"/>
      <c r="AP1502" s="16"/>
      <c r="AQ1502" s="16"/>
      <c r="AR1502" s="16"/>
      <c r="AS1502" s="16"/>
    </row>
    <row r="1503" spans="18:45" x14ac:dyDescent="0.35">
      <c r="R1503" s="191"/>
      <c r="S1503" s="191"/>
      <c r="T1503" s="193"/>
      <c r="U1503" s="191"/>
      <c r="V1503" s="194"/>
      <c r="W1503" s="191"/>
      <c r="Y1503" s="191"/>
      <c r="Z1503" s="191"/>
      <c r="AA1503" s="191"/>
      <c r="AB1503" s="191"/>
      <c r="AC1503" s="191"/>
      <c r="AD1503" s="16"/>
      <c r="AE1503" s="16"/>
      <c r="AF1503" s="16"/>
      <c r="AG1503" s="16"/>
      <c r="AH1503" s="16"/>
      <c r="AI1503" s="16"/>
      <c r="AJ1503" s="16"/>
      <c r="AK1503" s="16"/>
      <c r="AL1503" s="16"/>
      <c r="AM1503" s="16"/>
      <c r="AN1503" s="16"/>
      <c r="AO1503" s="16"/>
      <c r="AP1503" s="16"/>
      <c r="AQ1503" s="16"/>
      <c r="AR1503" s="16"/>
      <c r="AS1503" s="16"/>
    </row>
    <row r="1504" spans="18:45" x14ac:dyDescent="0.35">
      <c r="R1504" s="191"/>
      <c r="S1504" s="191"/>
      <c r="T1504" s="193"/>
      <c r="U1504" s="191"/>
      <c r="V1504" s="194"/>
      <c r="W1504" s="191"/>
      <c r="Y1504" s="191"/>
      <c r="Z1504" s="191"/>
      <c r="AA1504" s="191"/>
      <c r="AB1504" s="191"/>
      <c r="AC1504" s="191"/>
      <c r="AD1504" s="16"/>
      <c r="AE1504" s="16"/>
      <c r="AF1504" s="16"/>
      <c r="AG1504" s="16"/>
      <c r="AH1504" s="16"/>
      <c r="AI1504" s="16"/>
      <c r="AJ1504" s="16"/>
      <c r="AK1504" s="16"/>
      <c r="AL1504" s="16"/>
      <c r="AM1504" s="16"/>
      <c r="AN1504" s="16"/>
      <c r="AO1504" s="16"/>
      <c r="AP1504" s="16"/>
      <c r="AQ1504" s="16"/>
      <c r="AR1504" s="16"/>
      <c r="AS1504" s="16"/>
    </row>
    <row r="1505" spans="18:45" x14ac:dyDescent="0.35">
      <c r="R1505" s="191"/>
      <c r="S1505" s="191"/>
      <c r="T1505" s="193"/>
      <c r="U1505" s="191"/>
      <c r="V1505" s="194"/>
      <c r="W1505" s="191"/>
      <c r="Y1505" s="191"/>
      <c r="Z1505" s="191"/>
      <c r="AA1505" s="191"/>
      <c r="AB1505" s="191"/>
      <c r="AC1505" s="191"/>
      <c r="AD1505" s="16"/>
      <c r="AE1505" s="16"/>
      <c r="AF1505" s="16"/>
      <c r="AG1505" s="16"/>
      <c r="AH1505" s="16"/>
      <c r="AI1505" s="16"/>
      <c r="AJ1505" s="16"/>
      <c r="AK1505" s="16"/>
      <c r="AL1505" s="16"/>
      <c r="AM1505" s="16"/>
      <c r="AN1505" s="16"/>
      <c r="AO1505" s="16"/>
      <c r="AP1505" s="16"/>
      <c r="AQ1505" s="16"/>
      <c r="AR1505" s="16"/>
      <c r="AS1505" s="16"/>
    </row>
    <row r="1506" spans="18:45" x14ac:dyDescent="0.35">
      <c r="R1506" s="191"/>
      <c r="S1506" s="191"/>
      <c r="T1506" s="193"/>
      <c r="U1506" s="191"/>
      <c r="V1506" s="194"/>
      <c r="W1506" s="191"/>
      <c r="Y1506" s="191"/>
      <c r="Z1506" s="191"/>
      <c r="AA1506" s="191"/>
      <c r="AB1506" s="191"/>
      <c r="AC1506" s="191"/>
      <c r="AD1506" s="16"/>
      <c r="AE1506" s="16"/>
      <c r="AF1506" s="16"/>
      <c r="AG1506" s="16"/>
      <c r="AH1506" s="16"/>
      <c r="AI1506" s="16"/>
      <c r="AJ1506" s="16"/>
      <c r="AK1506" s="16"/>
      <c r="AL1506" s="16"/>
      <c r="AM1506" s="16"/>
      <c r="AN1506" s="16"/>
      <c r="AO1506" s="16"/>
      <c r="AP1506" s="16"/>
      <c r="AQ1506" s="16"/>
      <c r="AR1506" s="16"/>
      <c r="AS1506" s="16"/>
    </row>
    <row r="1507" spans="18:45" x14ac:dyDescent="0.35">
      <c r="R1507" s="191"/>
      <c r="S1507" s="191"/>
      <c r="T1507" s="193"/>
      <c r="U1507" s="191"/>
      <c r="V1507" s="194"/>
      <c r="W1507" s="191"/>
      <c r="Y1507" s="191"/>
      <c r="Z1507" s="191"/>
      <c r="AA1507" s="191"/>
      <c r="AB1507" s="191"/>
      <c r="AC1507" s="191"/>
      <c r="AD1507" s="16"/>
      <c r="AE1507" s="16"/>
      <c r="AF1507" s="16"/>
      <c r="AG1507" s="16"/>
      <c r="AH1507" s="16"/>
      <c r="AI1507" s="16"/>
      <c r="AJ1507" s="16"/>
      <c r="AK1507" s="16"/>
      <c r="AL1507" s="16"/>
      <c r="AM1507" s="16"/>
      <c r="AN1507" s="16"/>
      <c r="AO1507" s="16"/>
      <c r="AP1507" s="16"/>
      <c r="AQ1507" s="16"/>
      <c r="AR1507" s="16"/>
      <c r="AS1507" s="16"/>
    </row>
    <row r="1508" spans="18:45" x14ac:dyDescent="0.35">
      <c r="R1508" s="191"/>
      <c r="S1508" s="191"/>
      <c r="T1508" s="193"/>
      <c r="U1508" s="191"/>
      <c r="V1508" s="194"/>
      <c r="W1508" s="191"/>
      <c r="Y1508" s="191"/>
      <c r="Z1508" s="191"/>
      <c r="AA1508" s="191"/>
      <c r="AB1508" s="191"/>
      <c r="AC1508" s="191"/>
      <c r="AD1508" s="16"/>
      <c r="AE1508" s="16"/>
      <c r="AF1508" s="16"/>
      <c r="AG1508" s="16"/>
      <c r="AH1508" s="16"/>
      <c r="AI1508" s="16"/>
      <c r="AJ1508" s="16"/>
      <c r="AK1508" s="16"/>
      <c r="AL1508" s="16"/>
      <c r="AM1508" s="16"/>
      <c r="AN1508" s="16"/>
      <c r="AO1508" s="16"/>
      <c r="AP1508" s="16"/>
      <c r="AQ1508" s="16"/>
      <c r="AR1508" s="16"/>
      <c r="AS1508" s="16"/>
    </row>
    <row r="1509" spans="18:45" x14ac:dyDescent="0.35">
      <c r="R1509" s="191"/>
      <c r="S1509" s="191"/>
      <c r="T1509" s="193"/>
      <c r="U1509" s="191"/>
      <c r="V1509" s="194"/>
      <c r="W1509" s="191"/>
      <c r="Y1509" s="191"/>
      <c r="Z1509" s="191"/>
      <c r="AA1509" s="191"/>
      <c r="AB1509" s="191"/>
      <c r="AC1509" s="191"/>
      <c r="AD1509" s="16"/>
      <c r="AE1509" s="16"/>
      <c r="AF1509" s="16"/>
      <c r="AG1509" s="16"/>
      <c r="AH1509" s="16"/>
      <c r="AI1509" s="16"/>
      <c r="AJ1509" s="16"/>
      <c r="AK1509" s="16"/>
      <c r="AL1509" s="16"/>
      <c r="AM1509" s="16"/>
      <c r="AN1509" s="16"/>
      <c r="AO1509" s="16"/>
      <c r="AP1509" s="16"/>
      <c r="AQ1509" s="16"/>
      <c r="AR1509" s="16"/>
      <c r="AS1509" s="16"/>
    </row>
    <row r="1510" spans="18:45" x14ac:dyDescent="0.35">
      <c r="R1510" s="191"/>
      <c r="S1510" s="191"/>
      <c r="T1510" s="193"/>
      <c r="U1510" s="191"/>
      <c r="V1510" s="194"/>
      <c r="W1510" s="191"/>
      <c r="Y1510" s="191"/>
      <c r="Z1510" s="191"/>
      <c r="AA1510" s="191"/>
      <c r="AB1510" s="191"/>
      <c r="AC1510" s="191"/>
      <c r="AD1510" s="16"/>
      <c r="AE1510" s="16"/>
      <c r="AF1510" s="16"/>
      <c r="AG1510" s="16"/>
      <c r="AH1510" s="16"/>
      <c r="AI1510" s="16"/>
      <c r="AJ1510" s="16"/>
      <c r="AK1510" s="16"/>
      <c r="AL1510" s="16"/>
      <c r="AM1510" s="16"/>
      <c r="AN1510" s="16"/>
      <c r="AO1510" s="16"/>
      <c r="AP1510" s="16"/>
      <c r="AQ1510" s="16"/>
      <c r="AR1510" s="16"/>
      <c r="AS1510" s="16"/>
    </row>
    <row r="1511" spans="18:45" x14ac:dyDescent="0.35">
      <c r="R1511" s="191"/>
      <c r="S1511" s="191"/>
      <c r="T1511" s="193"/>
      <c r="U1511" s="191"/>
      <c r="V1511" s="194"/>
      <c r="W1511" s="191"/>
      <c r="Y1511" s="191"/>
      <c r="Z1511" s="191"/>
      <c r="AA1511" s="191"/>
      <c r="AB1511" s="191"/>
      <c r="AC1511" s="191"/>
      <c r="AD1511" s="16"/>
      <c r="AE1511" s="16"/>
      <c r="AF1511" s="16"/>
      <c r="AG1511" s="16"/>
      <c r="AH1511" s="16"/>
      <c r="AI1511" s="16"/>
      <c r="AJ1511" s="16"/>
      <c r="AK1511" s="16"/>
      <c r="AL1511" s="16"/>
      <c r="AM1511" s="16"/>
      <c r="AN1511" s="16"/>
      <c r="AO1511" s="16"/>
      <c r="AP1511" s="16"/>
      <c r="AQ1511" s="16"/>
      <c r="AR1511" s="16"/>
      <c r="AS1511" s="16"/>
    </row>
    <row r="1512" spans="18:45" x14ac:dyDescent="0.35">
      <c r="R1512" s="191"/>
      <c r="S1512" s="191"/>
      <c r="T1512" s="193"/>
      <c r="U1512" s="191"/>
      <c r="V1512" s="194"/>
      <c r="W1512" s="191"/>
      <c r="Y1512" s="191"/>
      <c r="Z1512" s="191"/>
      <c r="AA1512" s="191"/>
      <c r="AB1512" s="191"/>
      <c r="AC1512" s="191"/>
      <c r="AD1512" s="16"/>
      <c r="AE1512" s="16"/>
      <c r="AF1512" s="16"/>
      <c r="AG1512" s="16"/>
      <c r="AH1512" s="16"/>
      <c r="AI1512" s="16"/>
      <c r="AJ1512" s="16"/>
      <c r="AK1512" s="16"/>
      <c r="AL1512" s="16"/>
      <c r="AM1512" s="16"/>
      <c r="AN1512" s="16"/>
      <c r="AO1512" s="16"/>
      <c r="AP1512" s="16"/>
      <c r="AQ1512" s="16"/>
      <c r="AR1512" s="16"/>
      <c r="AS1512" s="16"/>
    </row>
    <row r="1513" spans="18:45" x14ac:dyDescent="0.35">
      <c r="R1513" s="191"/>
      <c r="S1513" s="191"/>
      <c r="T1513" s="193"/>
      <c r="U1513" s="191"/>
      <c r="V1513" s="194"/>
      <c r="W1513" s="191"/>
      <c r="Y1513" s="191"/>
      <c r="Z1513" s="191"/>
      <c r="AA1513" s="191"/>
      <c r="AB1513" s="191"/>
      <c r="AC1513" s="191"/>
      <c r="AD1513" s="16"/>
      <c r="AE1513" s="16"/>
      <c r="AF1513" s="16"/>
      <c r="AG1513" s="16"/>
      <c r="AH1513" s="16"/>
      <c r="AI1513" s="16"/>
      <c r="AJ1513" s="16"/>
      <c r="AK1513" s="16"/>
      <c r="AL1513" s="16"/>
      <c r="AM1513" s="16"/>
      <c r="AN1513" s="16"/>
      <c r="AO1513" s="16"/>
      <c r="AP1513" s="16"/>
      <c r="AQ1513" s="16"/>
      <c r="AR1513" s="16"/>
      <c r="AS1513" s="16"/>
    </row>
    <row r="1514" spans="18:45" x14ac:dyDescent="0.35">
      <c r="R1514" s="191"/>
      <c r="S1514" s="191"/>
      <c r="T1514" s="193"/>
      <c r="U1514" s="191"/>
      <c r="V1514" s="194"/>
      <c r="W1514" s="191"/>
      <c r="Y1514" s="191"/>
      <c r="Z1514" s="191"/>
      <c r="AA1514" s="191"/>
      <c r="AB1514" s="191"/>
      <c r="AC1514" s="191"/>
      <c r="AD1514" s="16"/>
      <c r="AE1514" s="16"/>
      <c r="AF1514" s="16"/>
      <c r="AG1514" s="16"/>
      <c r="AH1514" s="16"/>
      <c r="AI1514" s="16"/>
      <c r="AJ1514" s="16"/>
      <c r="AK1514" s="16"/>
      <c r="AL1514" s="16"/>
      <c r="AM1514" s="16"/>
      <c r="AN1514" s="16"/>
      <c r="AO1514" s="16"/>
      <c r="AP1514" s="16"/>
      <c r="AQ1514" s="16"/>
      <c r="AR1514" s="16"/>
      <c r="AS1514" s="16"/>
    </row>
    <row r="1515" spans="18:45" x14ac:dyDescent="0.35">
      <c r="R1515" s="191"/>
      <c r="S1515" s="191"/>
      <c r="T1515" s="193"/>
      <c r="U1515" s="191"/>
      <c r="V1515" s="194"/>
      <c r="W1515" s="191"/>
      <c r="Y1515" s="191"/>
      <c r="Z1515" s="191"/>
      <c r="AA1515" s="191"/>
      <c r="AB1515" s="191"/>
      <c r="AC1515" s="191"/>
      <c r="AD1515" s="16"/>
      <c r="AE1515" s="16"/>
      <c r="AF1515" s="16"/>
      <c r="AG1515" s="16"/>
      <c r="AH1515" s="16"/>
      <c r="AI1515" s="16"/>
      <c r="AJ1515" s="16"/>
      <c r="AK1515" s="16"/>
      <c r="AL1515" s="16"/>
      <c r="AM1515" s="16"/>
      <c r="AN1515" s="16"/>
      <c r="AO1515" s="16"/>
      <c r="AP1515" s="16"/>
      <c r="AQ1515" s="16"/>
      <c r="AR1515" s="16"/>
      <c r="AS1515" s="16"/>
    </row>
    <row r="1516" spans="18:45" x14ac:dyDescent="0.35">
      <c r="R1516" s="191"/>
      <c r="S1516" s="191"/>
      <c r="T1516" s="193"/>
      <c r="U1516" s="191"/>
      <c r="V1516" s="194"/>
      <c r="W1516" s="191"/>
      <c r="Y1516" s="191"/>
      <c r="Z1516" s="191"/>
      <c r="AA1516" s="191"/>
      <c r="AB1516" s="191"/>
      <c r="AC1516" s="191"/>
      <c r="AD1516" s="16"/>
      <c r="AE1516" s="16"/>
      <c r="AF1516" s="16"/>
      <c r="AG1516" s="16"/>
      <c r="AH1516" s="16"/>
      <c r="AI1516" s="16"/>
      <c r="AJ1516" s="16"/>
      <c r="AK1516" s="16"/>
      <c r="AL1516" s="16"/>
      <c r="AM1516" s="16"/>
      <c r="AN1516" s="16"/>
      <c r="AO1516" s="16"/>
      <c r="AP1516" s="16"/>
      <c r="AQ1516" s="16"/>
      <c r="AR1516" s="16"/>
      <c r="AS1516" s="16"/>
    </row>
    <row r="1517" spans="18:45" x14ac:dyDescent="0.35">
      <c r="R1517" s="191"/>
      <c r="S1517" s="191"/>
      <c r="T1517" s="193"/>
      <c r="U1517" s="191"/>
      <c r="V1517" s="194"/>
      <c r="W1517" s="191"/>
      <c r="Y1517" s="191"/>
      <c r="Z1517" s="191"/>
      <c r="AA1517" s="191"/>
      <c r="AB1517" s="191"/>
      <c r="AC1517" s="191"/>
      <c r="AD1517" s="16"/>
      <c r="AE1517" s="16"/>
      <c r="AF1517" s="16"/>
      <c r="AG1517" s="16"/>
      <c r="AH1517" s="16"/>
      <c r="AI1517" s="16"/>
      <c r="AJ1517" s="16"/>
      <c r="AK1517" s="16"/>
      <c r="AL1517" s="16"/>
      <c r="AM1517" s="16"/>
      <c r="AN1517" s="16"/>
      <c r="AO1517" s="16"/>
      <c r="AP1517" s="16"/>
      <c r="AQ1517" s="16"/>
      <c r="AR1517" s="16"/>
      <c r="AS1517" s="16"/>
    </row>
    <row r="1518" spans="18:45" x14ac:dyDescent="0.35">
      <c r="R1518" s="191"/>
      <c r="S1518" s="191"/>
      <c r="T1518" s="193"/>
      <c r="U1518" s="191"/>
      <c r="V1518" s="194"/>
      <c r="W1518" s="191"/>
      <c r="Y1518" s="191"/>
      <c r="Z1518" s="191"/>
      <c r="AA1518" s="191"/>
      <c r="AB1518" s="191"/>
      <c r="AC1518" s="191"/>
      <c r="AD1518" s="16"/>
      <c r="AE1518" s="16"/>
      <c r="AF1518" s="16"/>
      <c r="AG1518" s="16"/>
      <c r="AH1518" s="16"/>
      <c r="AI1518" s="16"/>
      <c r="AJ1518" s="16"/>
      <c r="AK1518" s="16"/>
      <c r="AL1518" s="16"/>
      <c r="AM1518" s="16"/>
      <c r="AN1518" s="16"/>
      <c r="AO1518" s="16"/>
      <c r="AP1518" s="16"/>
      <c r="AQ1518" s="16"/>
      <c r="AR1518" s="16"/>
      <c r="AS1518" s="16"/>
    </row>
    <row r="1519" spans="18:45" x14ac:dyDescent="0.35">
      <c r="R1519" s="191"/>
      <c r="S1519" s="191"/>
      <c r="T1519" s="193"/>
      <c r="U1519" s="191"/>
      <c r="V1519" s="194"/>
      <c r="W1519" s="191"/>
      <c r="Y1519" s="191"/>
      <c r="Z1519" s="191"/>
      <c r="AA1519" s="191"/>
      <c r="AB1519" s="191"/>
      <c r="AC1519" s="191"/>
      <c r="AD1519" s="16"/>
      <c r="AE1519" s="16"/>
      <c r="AF1519" s="16"/>
      <c r="AG1519" s="16"/>
      <c r="AH1519" s="16"/>
      <c r="AI1519" s="16"/>
      <c r="AJ1519" s="16"/>
      <c r="AK1519" s="16"/>
      <c r="AL1519" s="16"/>
      <c r="AM1519" s="16"/>
      <c r="AN1519" s="16"/>
      <c r="AO1519" s="16"/>
      <c r="AP1519" s="16"/>
      <c r="AQ1519" s="16"/>
      <c r="AR1519" s="16"/>
      <c r="AS1519" s="16"/>
    </row>
    <row r="1520" spans="18:45" x14ac:dyDescent="0.35">
      <c r="R1520" s="191"/>
      <c r="S1520" s="191"/>
      <c r="T1520" s="193"/>
      <c r="U1520" s="191"/>
      <c r="V1520" s="194"/>
      <c r="W1520" s="191"/>
      <c r="Y1520" s="191"/>
      <c r="Z1520" s="191"/>
      <c r="AA1520" s="191"/>
      <c r="AB1520" s="191"/>
      <c r="AC1520" s="191"/>
      <c r="AD1520" s="16"/>
      <c r="AE1520" s="16"/>
      <c r="AF1520" s="16"/>
      <c r="AG1520" s="16"/>
      <c r="AH1520" s="16"/>
      <c r="AI1520" s="16"/>
      <c r="AJ1520" s="16"/>
      <c r="AK1520" s="16"/>
      <c r="AL1520" s="16"/>
      <c r="AM1520" s="16"/>
      <c r="AN1520" s="16"/>
      <c r="AO1520" s="16"/>
      <c r="AP1520" s="16"/>
      <c r="AQ1520" s="16"/>
      <c r="AR1520" s="16"/>
      <c r="AS1520" s="16"/>
    </row>
    <row r="1521" spans="18:45" x14ac:dyDescent="0.35">
      <c r="R1521" s="191"/>
      <c r="S1521" s="191"/>
      <c r="T1521" s="193"/>
      <c r="U1521" s="191"/>
      <c r="V1521" s="194"/>
      <c r="W1521" s="191"/>
      <c r="Y1521" s="191"/>
      <c r="Z1521" s="191"/>
      <c r="AA1521" s="191"/>
      <c r="AB1521" s="191"/>
      <c r="AC1521" s="191"/>
      <c r="AD1521" s="16"/>
      <c r="AE1521" s="16"/>
      <c r="AF1521" s="16"/>
      <c r="AG1521" s="16"/>
      <c r="AH1521" s="16"/>
      <c r="AI1521" s="16"/>
      <c r="AJ1521" s="16"/>
      <c r="AK1521" s="16"/>
      <c r="AL1521" s="16"/>
      <c r="AM1521" s="16"/>
      <c r="AN1521" s="16"/>
      <c r="AO1521" s="16"/>
      <c r="AP1521" s="16"/>
      <c r="AQ1521" s="16"/>
      <c r="AR1521" s="16"/>
      <c r="AS1521" s="16"/>
    </row>
    <row r="1522" spans="18:45" x14ac:dyDescent="0.35">
      <c r="R1522" s="191"/>
      <c r="S1522" s="191"/>
      <c r="T1522" s="193"/>
      <c r="U1522" s="191"/>
      <c r="V1522" s="194"/>
      <c r="W1522" s="191"/>
      <c r="Y1522" s="191"/>
      <c r="Z1522" s="191"/>
      <c r="AA1522" s="191"/>
      <c r="AB1522" s="191"/>
      <c r="AC1522" s="191"/>
      <c r="AD1522" s="16"/>
      <c r="AE1522" s="16"/>
      <c r="AF1522" s="16"/>
      <c r="AG1522" s="16"/>
      <c r="AH1522" s="16"/>
      <c r="AI1522" s="16"/>
      <c r="AJ1522" s="16"/>
      <c r="AK1522" s="16"/>
      <c r="AL1522" s="16"/>
      <c r="AM1522" s="16"/>
      <c r="AN1522" s="16"/>
      <c r="AO1522" s="16"/>
      <c r="AP1522" s="16"/>
      <c r="AQ1522" s="16"/>
      <c r="AR1522" s="16"/>
      <c r="AS1522" s="16"/>
    </row>
    <row r="1523" spans="18:45" x14ac:dyDescent="0.35">
      <c r="R1523" s="191"/>
      <c r="S1523" s="191"/>
      <c r="T1523" s="193"/>
      <c r="U1523" s="191"/>
      <c r="V1523" s="194"/>
      <c r="W1523" s="191"/>
      <c r="Y1523" s="191"/>
      <c r="Z1523" s="191"/>
      <c r="AA1523" s="191"/>
      <c r="AB1523" s="191"/>
      <c r="AC1523" s="191"/>
      <c r="AD1523" s="16"/>
      <c r="AE1523" s="16"/>
      <c r="AF1523" s="16"/>
      <c r="AG1523" s="16"/>
      <c r="AH1523" s="16"/>
      <c r="AI1523" s="16"/>
      <c r="AJ1523" s="16"/>
      <c r="AK1523" s="16"/>
      <c r="AL1523" s="16"/>
      <c r="AM1523" s="16"/>
      <c r="AN1523" s="16"/>
      <c r="AO1523" s="16"/>
      <c r="AP1523" s="16"/>
      <c r="AQ1523" s="16"/>
      <c r="AR1523" s="16"/>
      <c r="AS1523" s="16"/>
    </row>
    <row r="1524" spans="18:45" x14ac:dyDescent="0.35">
      <c r="R1524" s="191"/>
      <c r="S1524" s="191"/>
      <c r="T1524" s="193"/>
      <c r="U1524" s="191"/>
      <c r="V1524" s="194"/>
      <c r="W1524" s="191"/>
      <c r="Y1524" s="191"/>
      <c r="Z1524" s="191"/>
      <c r="AA1524" s="191"/>
      <c r="AB1524" s="191"/>
      <c r="AC1524" s="191"/>
      <c r="AD1524" s="16"/>
      <c r="AE1524" s="16"/>
      <c r="AF1524" s="16"/>
      <c r="AG1524" s="16"/>
      <c r="AH1524" s="16"/>
      <c r="AI1524" s="16"/>
      <c r="AJ1524" s="16"/>
      <c r="AK1524" s="16"/>
      <c r="AL1524" s="16"/>
      <c r="AM1524" s="16"/>
      <c r="AN1524" s="16"/>
      <c r="AO1524" s="16"/>
      <c r="AP1524" s="16"/>
      <c r="AQ1524" s="16"/>
      <c r="AR1524" s="16"/>
      <c r="AS1524" s="16"/>
    </row>
    <row r="1525" spans="18:45" x14ac:dyDescent="0.35">
      <c r="R1525" s="191"/>
      <c r="S1525" s="191"/>
      <c r="T1525" s="193"/>
      <c r="U1525" s="191"/>
      <c r="V1525" s="194"/>
      <c r="W1525" s="191"/>
      <c r="Y1525" s="191"/>
      <c r="Z1525" s="191"/>
      <c r="AA1525" s="191"/>
      <c r="AB1525" s="191"/>
      <c r="AC1525" s="191"/>
      <c r="AD1525" s="16"/>
      <c r="AE1525" s="16"/>
      <c r="AF1525" s="16"/>
      <c r="AG1525" s="16"/>
      <c r="AH1525" s="16"/>
      <c r="AI1525" s="16"/>
      <c r="AJ1525" s="16"/>
      <c r="AK1525" s="16"/>
      <c r="AL1525" s="16"/>
      <c r="AM1525" s="16"/>
      <c r="AN1525" s="16"/>
      <c r="AO1525" s="16"/>
      <c r="AP1525" s="16"/>
      <c r="AQ1525" s="16"/>
      <c r="AR1525" s="16"/>
      <c r="AS1525" s="16"/>
    </row>
    <row r="1526" spans="18:45" x14ac:dyDescent="0.35">
      <c r="R1526" s="191"/>
      <c r="S1526" s="191"/>
      <c r="T1526" s="193"/>
      <c r="U1526" s="191"/>
      <c r="V1526" s="194"/>
      <c r="W1526" s="191"/>
      <c r="Y1526" s="191"/>
      <c r="Z1526" s="191"/>
      <c r="AA1526" s="191"/>
      <c r="AB1526" s="191"/>
      <c r="AC1526" s="191"/>
      <c r="AD1526" s="16"/>
      <c r="AE1526" s="16"/>
      <c r="AF1526" s="16"/>
      <c r="AG1526" s="16"/>
      <c r="AH1526" s="16"/>
      <c r="AI1526" s="16"/>
      <c r="AJ1526" s="16"/>
      <c r="AK1526" s="16"/>
      <c r="AL1526" s="16"/>
      <c r="AM1526" s="16"/>
      <c r="AN1526" s="16"/>
      <c r="AO1526" s="16"/>
      <c r="AP1526" s="16"/>
      <c r="AQ1526" s="16"/>
      <c r="AR1526" s="16"/>
      <c r="AS1526" s="16"/>
    </row>
    <row r="1527" spans="18:45" x14ac:dyDescent="0.35">
      <c r="R1527" s="191"/>
      <c r="S1527" s="191"/>
      <c r="T1527" s="193"/>
      <c r="U1527" s="191"/>
      <c r="V1527" s="194"/>
      <c r="W1527" s="191"/>
      <c r="Y1527" s="191"/>
      <c r="Z1527" s="191"/>
      <c r="AA1527" s="191"/>
      <c r="AB1527" s="191"/>
      <c r="AC1527" s="191"/>
      <c r="AD1527" s="16"/>
      <c r="AE1527" s="16"/>
      <c r="AF1527" s="16"/>
      <c r="AG1527" s="16"/>
      <c r="AH1527" s="16"/>
      <c r="AI1527" s="16"/>
      <c r="AJ1527" s="16"/>
      <c r="AK1527" s="16"/>
      <c r="AL1527" s="16"/>
      <c r="AM1527" s="16"/>
      <c r="AN1527" s="16"/>
      <c r="AO1527" s="16"/>
      <c r="AP1527" s="16"/>
      <c r="AQ1527" s="16"/>
      <c r="AR1527" s="16"/>
      <c r="AS1527" s="16"/>
    </row>
    <row r="1528" spans="18:45" x14ac:dyDescent="0.35">
      <c r="R1528" s="191"/>
      <c r="S1528" s="191"/>
      <c r="T1528" s="193"/>
      <c r="U1528" s="191"/>
      <c r="V1528" s="194"/>
      <c r="W1528" s="191"/>
      <c r="Y1528" s="191"/>
      <c r="Z1528" s="191"/>
      <c r="AA1528" s="191"/>
      <c r="AB1528" s="191"/>
      <c r="AC1528" s="191"/>
      <c r="AD1528" s="16"/>
      <c r="AE1528" s="16"/>
      <c r="AF1528" s="16"/>
      <c r="AG1528" s="16"/>
      <c r="AH1528" s="16"/>
      <c r="AI1528" s="16"/>
      <c r="AJ1528" s="16"/>
      <c r="AK1528" s="16"/>
      <c r="AL1528" s="16"/>
      <c r="AM1528" s="16"/>
      <c r="AN1528" s="16"/>
      <c r="AO1528" s="16"/>
      <c r="AP1528" s="16"/>
      <c r="AQ1528" s="16"/>
      <c r="AR1528" s="16"/>
      <c r="AS1528" s="16"/>
    </row>
    <row r="1529" spans="18:45" x14ac:dyDescent="0.35">
      <c r="R1529" s="191"/>
      <c r="S1529" s="191"/>
      <c r="T1529" s="193"/>
      <c r="U1529" s="191"/>
      <c r="V1529" s="194"/>
      <c r="W1529" s="191"/>
      <c r="Y1529" s="191"/>
      <c r="Z1529" s="191"/>
      <c r="AA1529" s="191"/>
      <c r="AB1529" s="191"/>
      <c r="AC1529" s="191"/>
      <c r="AD1529" s="16"/>
      <c r="AE1529" s="16"/>
      <c r="AF1529" s="16"/>
      <c r="AG1529" s="16"/>
      <c r="AH1529" s="16"/>
      <c r="AI1529" s="16"/>
      <c r="AJ1529" s="16"/>
      <c r="AK1529" s="16"/>
      <c r="AL1529" s="16"/>
      <c r="AM1529" s="16"/>
      <c r="AN1529" s="16"/>
      <c r="AO1529" s="16"/>
      <c r="AP1529" s="16"/>
      <c r="AQ1529" s="16"/>
      <c r="AR1529" s="16"/>
      <c r="AS1529" s="16"/>
    </row>
    <row r="1530" spans="18:45" x14ac:dyDescent="0.35">
      <c r="R1530" s="191"/>
      <c r="S1530" s="191"/>
      <c r="T1530" s="193"/>
      <c r="U1530" s="191"/>
      <c r="V1530" s="194"/>
      <c r="W1530" s="191"/>
      <c r="Y1530" s="191"/>
      <c r="Z1530" s="191"/>
      <c r="AA1530" s="191"/>
      <c r="AB1530" s="191"/>
      <c r="AC1530" s="191"/>
      <c r="AD1530" s="16"/>
      <c r="AE1530" s="16"/>
      <c r="AF1530" s="16"/>
      <c r="AG1530" s="16"/>
      <c r="AH1530" s="16"/>
      <c r="AI1530" s="16"/>
      <c r="AJ1530" s="16"/>
      <c r="AK1530" s="16"/>
      <c r="AL1530" s="16"/>
      <c r="AM1530" s="16"/>
      <c r="AN1530" s="16"/>
      <c r="AO1530" s="16"/>
      <c r="AP1530" s="16"/>
      <c r="AQ1530" s="16"/>
      <c r="AR1530" s="16"/>
      <c r="AS1530" s="16"/>
    </row>
    <row r="1531" spans="18:45" x14ac:dyDescent="0.35">
      <c r="R1531" s="191"/>
      <c r="S1531" s="191"/>
      <c r="T1531" s="193"/>
      <c r="U1531" s="191"/>
      <c r="V1531" s="194"/>
      <c r="W1531" s="191"/>
      <c r="Y1531" s="191"/>
      <c r="Z1531" s="191"/>
      <c r="AA1531" s="191"/>
      <c r="AB1531" s="191"/>
      <c r="AC1531" s="191"/>
      <c r="AD1531" s="16"/>
      <c r="AE1531" s="16"/>
      <c r="AF1531" s="16"/>
      <c r="AG1531" s="16"/>
      <c r="AH1531" s="16"/>
      <c r="AI1531" s="16"/>
      <c r="AJ1531" s="16"/>
      <c r="AK1531" s="16"/>
      <c r="AL1531" s="16"/>
      <c r="AM1531" s="16"/>
      <c r="AN1531" s="16"/>
      <c r="AO1531" s="16"/>
      <c r="AP1531" s="16"/>
      <c r="AQ1531" s="16"/>
      <c r="AR1531" s="16"/>
      <c r="AS1531" s="16"/>
    </row>
    <row r="1532" spans="18:45" x14ac:dyDescent="0.35">
      <c r="R1532" s="191"/>
      <c r="S1532" s="191"/>
      <c r="T1532" s="193"/>
      <c r="U1532" s="191"/>
      <c r="V1532" s="194"/>
      <c r="W1532" s="191"/>
      <c r="Y1532" s="191"/>
      <c r="Z1532" s="191"/>
      <c r="AA1532" s="191"/>
      <c r="AB1532" s="191"/>
      <c r="AC1532" s="191"/>
      <c r="AD1532" s="16"/>
      <c r="AE1532" s="16"/>
      <c r="AF1532" s="16"/>
      <c r="AG1532" s="16"/>
      <c r="AH1532" s="16"/>
      <c r="AI1532" s="16"/>
      <c r="AJ1532" s="16"/>
      <c r="AK1532" s="16"/>
      <c r="AL1532" s="16"/>
      <c r="AM1532" s="16"/>
      <c r="AN1532" s="16"/>
      <c r="AO1532" s="16"/>
      <c r="AP1532" s="16"/>
      <c r="AQ1532" s="16"/>
      <c r="AR1532" s="16"/>
      <c r="AS1532" s="16"/>
    </row>
    <row r="1533" spans="18:45" x14ac:dyDescent="0.35">
      <c r="R1533" s="191"/>
      <c r="S1533" s="191"/>
      <c r="T1533" s="193"/>
      <c r="U1533" s="191"/>
      <c r="V1533" s="194"/>
      <c r="W1533" s="191"/>
      <c r="Y1533" s="191"/>
      <c r="Z1533" s="191"/>
      <c r="AA1533" s="191"/>
      <c r="AB1533" s="191"/>
      <c r="AC1533" s="191"/>
      <c r="AD1533" s="16"/>
      <c r="AE1533" s="16"/>
      <c r="AF1533" s="16"/>
      <c r="AG1533" s="16"/>
      <c r="AH1533" s="16"/>
      <c r="AI1533" s="16"/>
      <c r="AJ1533" s="16"/>
      <c r="AK1533" s="16"/>
      <c r="AL1533" s="16"/>
      <c r="AM1533" s="16"/>
      <c r="AN1533" s="16"/>
      <c r="AO1533" s="16"/>
      <c r="AP1533" s="16"/>
      <c r="AQ1533" s="16"/>
      <c r="AR1533" s="16"/>
      <c r="AS1533" s="16"/>
    </row>
    <row r="1534" spans="18:45" x14ac:dyDescent="0.35">
      <c r="R1534" s="191"/>
      <c r="S1534" s="191"/>
      <c r="T1534" s="193"/>
      <c r="U1534" s="191"/>
      <c r="V1534" s="194"/>
      <c r="W1534" s="191"/>
      <c r="Y1534" s="191"/>
      <c r="Z1534" s="191"/>
      <c r="AA1534" s="191"/>
      <c r="AB1534" s="191"/>
      <c r="AC1534" s="191"/>
      <c r="AD1534" s="16"/>
      <c r="AE1534" s="16"/>
      <c r="AF1534" s="16"/>
      <c r="AG1534" s="16"/>
      <c r="AH1534" s="16"/>
      <c r="AI1534" s="16"/>
      <c r="AJ1534" s="16"/>
      <c r="AK1534" s="16"/>
      <c r="AL1534" s="16"/>
      <c r="AM1534" s="16"/>
      <c r="AN1534" s="16"/>
      <c r="AO1534" s="16"/>
      <c r="AP1534" s="16"/>
      <c r="AQ1534" s="16"/>
      <c r="AR1534" s="16"/>
      <c r="AS1534" s="16"/>
    </row>
    <row r="1535" spans="18:45" x14ac:dyDescent="0.35">
      <c r="R1535" s="191"/>
      <c r="S1535" s="191"/>
      <c r="T1535" s="193"/>
      <c r="U1535" s="191"/>
      <c r="V1535" s="194"/>
      <c r="W1535" s="191"/>
      <c r="Y1535" s="191"/>
      <c r="Z1535" s="191"/>
      <c r="AA1535" s="191"/>
      <c r="AB1535" s="191"/>
      <c r="AC1535" s="191"/>
      <c r="AD1535" s="16"/>
      <c r="AE1535" s="16"/>
      <c r="AF1535" s="16"/>
      <c r="AG1535" s="16"/>
      <c r="AH1535" s="16"/>
      <c r="AI1535" s="16"/>
      <c r="AJ1535" s="16"/>
      <c r="AK1535" s="16"/>
      <c r="AL1535" s="16"/>
      <c r="AM1535" s="16"/>
      <c r="AN1535" s="16"/>
      <c r="AO1535" s="16"/>
      <c r="AP1535" s="16"/>
      <c r="AQ1535" s="16"/>
      <c r="AR1535" s="16"/>
      <c r="AS1535" s="16"/>
    </row>
    <row r="1536" spans="18:45" x14ac:dyDescent="0.35">
      <c r="R1536" s="191"/>
      <c r="S1536" s="191"/>
      <c r="T1536" s="193"/>
      <c r="U1536" s="191"/>
      <c r="V1536" s="194"/>
      <c r="W1536" s="191"/>
      <c r="Y1536" s="191"/>
      <c r="Z1536" s="191"/>
      <c r="AA1536" s="191"/>
      <c r="AB1536" s="191"/>
      <c r="AC1536" s="191"/>
      <c r="AD1536" s="16"/>
      <c r="AE1536" s="16"/>
      <c r="AF1536" s="16"/>
      <c r="AG1536" s="16"/>
      <c r="AH1536" s="16"/>
      <c r="AI1536" s="16"/>
      <c r="AJ1536" s="16"/>
      <c r="AK1536" s="16"/>
      <c r="AL1536" s="16"/>
      <c r="AM1536" s="16"/>
      <c r="AN1536" s="16"/>
      <c r="AO1536" s="16"/>
      <c r="AP1536" s="16"/>
      <c r="AQ1536" s="16"/>
      <c r="AR1536" s="16"/>
      <c r="AS1536" s="16"/>
    </row>
    <row r="1537" spans="18:45" x14ac:dyDescent="0.35">
      <c r="R1537" s="191"/>
      <c r="S1537" s="191"/>
      <c r="T1537" s="193"/>
      <c r="U1537" s="191"/>
      <c r="V1537" s="194"/>
      <c r="W1537" s="191"/>
      <c r="Y1537" s="191"/>
      <c r="Z1537" s="191"/>
      <c r="AA1537" s="191"/>
      <c r="AB1537" s="191"/>
      <c r="AC1537" s="191"/>
      <c r="AD1537" s="16"/>
      <c r="AE1537" s="16"/>
      <c r="AF1537" s="16"/>
      <c r="AG1537" s="16"/>
      <c r="AH1537" s="16"/>
      <c r="AI1537" s="16"/>
      <c r="AJ1537" s="16"/>
      <c r="AK1537" s="16"/>
      <c r="AL1537" s="16"/>
      <c r="AM1537" s="16"/>
      <c r="AN1537" s="16"/>
      <c r="AO1537" s="16"/>
      <c r="AP1537" s="16"/>
      <c r="AQ1537" s="16"/>
      <c r="AR1537" s="16"/>
      <c r="AS1537" s="16"/>
    </row>
    <row r="1538" spans="18:45" x14ac:dyDescent="0.35">
      <c r="R1538" s="191"/>
      <c r="S1538" s="191"/>
      <c r="T1538" s="193"/>
      <c r="U1538" s="191"/>
      <c r="V1538" s="194"/>
      <c r="W1538" s="191"/>
      <c r="Y1538" s="191"/>
      <c r="Z1538" s="191"/>
      <c r="AA1538" s="191"/>
      <c r="AB1538" s="191"/>
      <c r="AC1538" s="191"/>
      <c r="AD1538" s="16"/>
      <c r="AE1538" s="16"/>
      <c r="AF1538" s="16"/>
      <c r="AG1538" s="16"/>
      <c r="AH1538" s="16"/>
      <c r="AI1538" s="16"/>
      <c r="AJ1538" s="16"/>
      <c r="AK1538" s="16"/>
      <c r="AL1538" s="16"/>
      <c r="AM1538" s="16"/>
      <c r="AN1538" s="16"/>
      <c r="AO1538" s="16"/>
      <c r="AP1538" s="16"/>
      <c r="AQ1538" s="16"/>
      <c r="AR1538" s="16"/>
      <c r="AS1538" s="16"/>
    </row>
    <row r="1539" spans="18:45" x14ac:dyDescent="0.35">
      <c r="R1539" s="191"/>
      <c r="S1539" s="191"/>
      <c r="T1539" s="193"/>
      <c r="U1539" s="191"/>
      <c r="V1539" s="194"/>
      <c r="W1539" s="191"/>
      <c r="Y1539" s="191"/>
      <c r="Z1539" s="191"/>
      <c r="AA1539" s="191"/>
      <c r="AB1539" s="191"/>
      <c r="AC1539" s="191"/>
      <c r="AD1539" s="16"/>
      <c r="AE1539" s="16"/>
      <c r="AF1539" s="16"/>
      <c r="AG1539" s="16"/>
      <c r="AH1539" s="16"/>
      <c r="AI1539" s="16"/>
      <c r="AJ1539" s="16"/>
      <c r="AK1539" s="16"/>
      <c r="AL1539" s="16"/>
      <c r="AM1539" s="16"/>
      <c r="AN1539" s="16"/>
      <c r="AO1539" s="16"/>
      <c r="AP1539" s="16"/>
      <c r="AQ1539" s="16"/>
      <c r="AR1539" s="16"/>
      <c r="AS1539" s="16"/>
    </row>
    <row r="1540" spans="18:45" x14ac:dyDescent="0.35">
      <c r="R1540" s="191"/>
      <c r="S1540" s="191"/>
      <c r="T1540" s="193"/>
      <c r="U1540" s="191"/>
      <c r="V1540" s="194"/>
      <c r="W1540" s="191"/>
      <c r="Y1540" s="191"/>
      <c r="Z1540" s="191"/>
      <c r="AA1540" s="191"/>
      <c r="AB1540" s="191"/>
      <c r="AC1540" s="191"/>
      <c r="AD1540" s="16"/>
      <c r="AE1540" s="16"/>
      <c r="AF1540" s="16"/>
      <c r="AG1540" s="16"/>
      <c r="AH1540" s="16"/>
      <c r="AI1540" s="16"/>
      <c r="AJ1540" s="16"/>
      <c r="AK1540" s="16"/>
      <c r="AL1540" s="16"/>
      <c r="AM1540" s="16"/>
      <c r="AN1540" s="16"/>
      <c r="AO1540" s="16"/>
      <c r="AP1540" s="16"/>
      <c r="AQ1540" s="16"/>
      <c r="AR1540" s="16"/>
      <c r="AS1540" s="16"/>
    </row>
    <row r="1541" spans="18:45" x14ac:dyDescent="0.35">
      <c r="R1541" s="191"/>
      <c r="S1541" s="191"/>
      <c r="T1541" s="193"/>
      <c r="U1541" s="191"/>
      <c r="V1541" s="194"/>
      <c r="W1541" s="191"/>
      <c r="Y1541" s="191"/>
      <c r="Z1541" s="191"/>
      <c r="AA1541" s="191"/>
      <c r="AB1541" s="191"/>
      <c r="AC1541" s="191"/>
      <c r="AD1541" s="16"/>
      <c r="AE1541" s="16"/>
      <c r="AF1541" s="16"/>
      <c r="AG1541" s="16"/>
      <c r="AH1541" s="16"/>
      <c r="AI1541" s="16"/>
      <c r="AJ1541" s="16"/>
      <c r="AK1541" s="16"/>
      <c r="AL1541" s="16"/>
      <c r="AM1541" s="16"/>
      <c r="AN1541" s="16"/>
      <c r="AO1541" s="16"/>
      <c r="AP1541" s="16"/>
      <c r="AQ1541" s="16"/>
      <c r="AR1541" s="16"/>
      <c r="AS1541" s="16"/>
    </row>
    <row r="1542" spans="18:45" x14ac:dyDescent="0.35">
      <c r="R1542" s="191"/>
      <c r="S1542" s="191"/>
      <c r="T1542" s="193"/>
      <c r="U1542" s="191"/>
      <c r="V1542" s="194"/>
      <c r="W1542" s="191"/>
      <c r="Y1542" s="191"/>
      <c r="Z1542" s="191"/>
      <c r="AA1542" s="191"/>
      <c r="AB1542" s="191"/>
      <c r="AC1542" s="191"/>
      <c r="AD1542" s="16"/>
      <c r="AE1542" s="16"/>
      <c r="AF1542" s="16"/>
      <c r="AG1542" s="16"/>
      <c r="AH1542" s="16"/>
      <c r="AI1542" s="16"/>
      <c r="AJ1542" s="16"/>
      <c r="AK1542" s="16"/>
      <c r="AL1542" s="16"/>
      <c r="AM1542" s="16"/>
      <c r="AN1542" s="16"/>
      <c r="AO1542" s="16"/>
      <c r="AP1542" s="16"/>
      <c r="AQ1542" s="16"/>
      <c r="AR1542" s="16"/>
      <c r="AS1542" s="16"/>
    </row>
    <row r="1543" spans="18:45" x14ac:dyDescent="0.35">
      <c r="R1543" s="191"/>
      <c r="S1543" s="191"/>
      <c r="T1543" s="193"/>
      <c r="U1543" s="191"/>
      <c r="V1543" s="194"/>
      <c r="W1543" s="191"/>
      <c r="Y1543" s="191"/>
      <c r="Z1543" s="191"/>
      <c r="AA1543" s="191"/>
      <c r="AB1543" s="191"/>
      <c r="AC1543" s="191"/>
      <c r="AD1543" s="16"/>
      <c r="AE1543" s="16"/>
      <c r="AF1543" s="16"/>
      <c r="AG1543" s="16"/>
      <c r="AH1543" s="16"/>
      <c r="AI1543" s="16"/>
      <c r="AJ1543" s="16"/>
      <c r="AK1543" s="16"/>
      <c r="AL1543" s="16"/>
      <c r="AM1543" s="16"/>
      <c r="AN1543" s="16"/>
      <c r="AO1543" s="16"/>
      <c r="AP1543" s="16"/>
      <c r="AQ1543" s="16"/>
      <c r="AR1543" s="16"/>
      <c r="AS1543" s="16"/>
    </row>
    <row r="1544" spans="18:45" x14ac:dyDescent="0.35">
      <c r="R1544" s="191"/>
      <c r="S1544" s="191"/>
      <c r="T1544" s="193"/>
      <c r="U1544" s="191"/>
      <c r="V1544" s="194"/>
      <c r="W1544" s="191"/>
      <c r="Y1544" s="191"/>
      <c r="Z1544" s="191"/>
      <c r="AA1544" s="191"/>
      <c r="AB1544" s="191"/>
      <c r="AC1544" s="191"/>
      <c r="AD1544" s="16"/>
      <c r="AE1544" s="16"/>
      <c r="AF1544" s="16"/>
      <c r="AG1544" s="16"/>
      <c r="AH1544" s="16"/>
      <c r="AI1544" s="16"/>
      <c r="AJ1544" s="16"/>
      <c r="AK1544" s="16"/>
      <c r="AL1544" s="16"/>
      <c r="AM1544" s="16"/>
      <c r="AN1544" s="16"/>
      <c r="AO1544" s="16"/>
      <c r="AP1544" s="16"/>
      <c r="AQ1544" s="16"/>
      <c r="AR1544" s="16"/>
      <c r="AS1544" s="16"/>
    </row>
    <row r="1545" spans="18:45" x14ac:dyDescent="0.35">
      <c r="R1545" s="191"/>
      <c r="S1545" s="191"/>
      <c r="T1545" s="193"/>
      <c r="U1545" s="191"/>
      <c r="V1545" s="194"/>
      <c r="W1545" s="191"/>
      <c r="Y1545" s="191"/>
      <c r="Z1545" s="191"/>
      <c r="AA1545" s="191"/>
      <c r="AB1545" s="191"/>
      <c r="AC1545" s="191"/>
      <c r="AD1545" s="16"/>
      <c r="AE1545" s="16"/>
      <c r="AF1545" s="16"/>
      <c r="AG1545" s="16"/>
      <c r="AH1545" s="16"/>
      <c r="AI1545" s="16"/>
      <c r="AJ1545" s="16"/>
      <c r="AK1545" s="16"/>
      <c r="AL1545" s="16"/>
      <c r="AM1545" s="16"/>
      <c r="AN1545" s="16"/>
      <c r="AO1545" s="16"/>
      <c r="AP1545" s="16"/>
      <c r="AQ1545" s="16"/>
      <c r="AR1545" s="16"/>
      <c r="AS1545" s="16"/>
    </row>
    <row r="1546" spans="18:45" x14ac:dyDescent="0.35">
      <c r="R1546" s="191"/>
      <c r="S1546" s="191"/>
      <c r="T1546" s="193"/>
      <c r="U1546" s="191"/>
      <c r="V1546" s="194"/>
      <c r="W1546" s="191"/>
      <c r="Y1546" s="191"/>
      <c r="Z1546" s="191"/>
      <c r="AA1546" s="191"/>
      <c r="AB1546" s="191"/>
      <c r="AC1546" s="191"/>
      <c r="AD1546" s="16"/>
      <c r="AE1546" s="16"/>
      <c r="AF1546" s="16"/>
      <c r="AG1546" s="16"/>
      <c r="AH1546" s="16"/>
      <c r="AI1546" s="16"/>
      <c r="AJ1546" s="16"/>
      <c r="AK1546" s="16"/>
      <c r="AL1546" s="16"/>
      <c r="AM1546" s="16"/>
      <c r="AN1546" s="16"/>
      <c r="AO1546" s="16"/>
      <c r="AP1546" s="16"/>
      <c r="AQ1546" s="16"/>
      <c r="AR1546" s="16"/>
      <c r="AS1546" s="16"/>
    </row>
    <row r="1547" spans="18:45" x14ac:dyDescent="0.35">
      <c r="R1547" s="191"/>
      <c r="S1547" s="191"/>
      <c r="T1547" s="193"/>
      <c r="U1547" s="191"/>
      <c r="V1547" s="194"/>
      <c r="W1547" s="191"/>
      <c r="Y1547" s="191"/>
      <c r="Z1547" s="191"/>
      <c r="AA1547" s="191"/>
      <c r="AB1547" s="191"/>
      <c r="AC1547" s="191"/>
      <c r="AD1547" s="16"/>
      <c r="AE1547" s="16"/>
      <c r="AF1547" s="16"/>
      <c r="AG1547" s="16"/>
      <c r="AH1547" s="16"/>
      <c r="AI1547" s="16"/>
      <c r="AJ1547" s="16"/>
      <c r="AK1547" s="16"/>
      <c r="AL1547" s="16"/>
      <c r="AM1547" s="16"/>
      <c r="AN1547" s="16"/>
      <c r="AO1547" s="16"/>
      <c r="AP1547" s="16"/>
      <c r="AQ1547" s="16"/>
      <c r="AR1547" s="16"/>
      <c r="AS1547" s="16"/>
    </row>
    <row r="1548" spans="18:45" x14ac:dyDescent="0.35">
      <c r="R1548" s="191"/>
      <c r="S1548" s="191"/>
      <c r="T1548" s="193"/>
      <c r="U1548" s="191"/>
      <c r="V1548" s="194"/>
      <c r="W1548" s="191"/>
      <c r="Y1548" s="191"/>
      <c r="Z1548" s="191"/>
      <c r="AA1548" s="191"/>
      <c r="AB1548" s="191"/>
      <c r="AC1548" s="191"/>
      <c r="AD1548" s="16"/>
      <c r="AE1548" s="16"/>
      <c r="AF1548" s="16"/>
      <c r="AG1548" s="16"/>
      <c r="AH1548" s="16"/>
      <c r="AI1548" s="16"/>
      <c r="AJ1548" s="16"/>
      <c r="AK1548" s="16"/>
      <c r="AL1548" s="16"/>
      <c r="AM1548" s="16"/>
      <c r="AN1548" s="16"/>
      <c r="AO1548" s="16"/>
      <c r="AP1548" s="16"/>
      <c r="AQ1548" s="16"/>
      <c r="AR1548" s="16"/>
      <c r="AS1548" s="16"/>
    </row>
    <row r="1549" spans="18:45" x14ac:dyDescent="0.35">
      <c r="R1549" s="191"/>
      <c r="S1549" s="191"/>
      <c r="T1549" s="193"/>
      <c r="U1549" s="191"/>
      <c r="V1549" s="194"/>
      <c r="W1549" s="191"/>
      <c r="Y1549" s="191"/>
      <c r="Z1549" s="191"/>
      <c r="AA1549" s="191"/>
      <c r="AB1549" s="191"/>
      <c r="AC1549" s="191"/>
      <c r="AD1549" s="16"/>
      <c r="AE1549" s="16"/>
      <c r="AF1549" s="16"/>
      <c r="AG1549" s="16"/>
      <c r="AH1549" s="16"/>
      <c r="AI1549" s="16"/>
      <c r="AJ1549" s="16"/>
      <c r="AK1549" s="16"/>
      <c r="AL1549" s="16"/>
      <c r="AM1549" s="16"/>
      <c r="AN1549" s="16"/>
      <c r="AO1549" s="16"/>
      <c r="AP1549" s="16"/>
      <c r="AQ1549" s="16"/>
      <c r="AR1549" s="16"/>
      <c r="AS1549" s="16"/>
    </row>
    <row r="1550" spans="18:45" x14ac:dyDescent="0.35">
      <c r="R1550" s="191"/>
      <c r="S1550" s="191"/>
      <c r="T1550" s="193"/>
      <c r="U1550" s="191"/>
      <c r="V1550" s="194"/>
      <c r="W1550" s="191"/>
      <c r="Y1550" s="191"/>
      <c r="Z1550" s="191"/>
      <c r="AA1550" s="191"/>
      <c r="AB1550" s="191"/>
      <c r="AC1550" s="191"/>
      <c r="AD1550" s="16"/>
      <c r="AE1550" s="16"/>
      <c r="AF1550" s="16"/>
      <c r="AG1550" s="16"/>
      <c r="AH1550" s="16"/>
      <c r="AI1550" s="16"/>
      <c r="AJ1550" s="16"/>
      <c r="AK1550" s="16"/>
      <c r="AL1550" s="16"/>
      <c r="AM1550" s="16"/>
      <c r="AN1550" s="16"/>
      <c r="AO1550" s="16"/>
      <c r="AP1550" s="16"/>
      <c r="AQ1550" s="16"/>
      <c r="AR1550" s="16"/>
      <c r="AS1550" s="16"/>
    </row>
    <row r="1551" spans="18:45" x14ac:dyDescent="0.35">
      <c r="R1551" s="191"/>
      <c r="S1551" s="191"/>
      <c r="T1551" s="193"/>
      <c r="U1551" s="191"/>
      <c r="V1551" s="194"/>
      <c r="W1551" s="191"/>
      <c r="Y1551" s="191"/>
      <c r="Z1551" s="191"/>
      <c r="AA1551" s="191"/>
      <c r="AB1551" s="191"/>
      <c r="AC1551" s="191"/>
      <c r="AD1551" s="16"/>
      <c r="AE1551" s="16"/>
      <c r="AF1551" s="16"/>
      <c r="AG1551" s="16"/>
      <c r="AH1551" s="16"/>
      <c r="AI1551" s="16"/>
      <c r="AJ1551" s="16"/>
      <c r="AK1551" s="16"/>
      <c r="AL1551" s="16"/>
      <c r="AM1551" s="16"/>
      <c r="AN1551" s="16"/>
      <c r="AO1551" s="16"/>
      <c r="AP1551" s="16"/>
      <c r="AQ1551" s="16"/>
      <c r="AR1551" s="16"/>
      <c r="AS1551" s="16"/>
    </row>
    <row r="1552" spans="18:45" x14ac:dyDescent="0.35">
      <c r="R1552" s="191"/>
      <c r="S1552" s="191"/>
      <c r="T1552" s="193"/>
      <c r="U1552" s="191"/>
      <c r="V1552" s="194"/>
      <c r="W1552" s="191"/>
      <c r="Y1552" s="191"/>
      <c r="Z1552" s="191"/>
      <c r="AA1552" s="191"/>
      <c r="AB1552" s="191"/>
      <c r="AC1552" s="191"/>
      <c r="AD1552" s="16"/>
      <c r="AE1552" s="16"/>
      <c r="AF1552" s="16"/>
      <c r="AG1552" s="16"/>
      <c r="AH1552" s="16"/>
      <c r="AI1552" s="16"/>
      <c r="AJ1552" s="16"/>
      <c r="AK1552" s="16"/>
      <c r="AL1552" s="16"/>
      <c r="AM1552" s="16"/>
      <c r="AN1552" s="16"/>
      <c r="AO1552" s="16"/>
      <c r="AP1552" s="16"/>
      <c r="AQ1552" s="16"/>
      <c r="AR1552" s="16"/>
      <c r="AS1552" s="16"/>
    </row>
    <row r="1553" spans="18:45" x14ac:dyDescent="0.35">
      <c r="R1553" s="191"/>
      <c r="S1553" s="191"/>
      <c r="T1553" s="193"/>
      <c r="U1553" s="191"/>
      <c r="V1553" s="194"/>
      <c r="W1553" s="191"/>
      <c r="Y1553" s="191"/>
      <c r="Z1553" s="191"/>
      <c r="AA1553" s="191"/>
      <c r="AB1553" s="191"/>
      <c r="AC1553" s="191"/>
      <c r="AD1553" s="16"/>
      <c r="AE1553" s="16"/>
      <c r="AF1553" s="16"/>
      <c r="AG1553" s="16"/>
      <c r="AH1553" s="16"/>
      <c r="AI1553" s="16"/>
      <c r="AJ1553" s="16"/>
      <c r="AK1553" s="16"/>
      <c r="AL1553" s="16"/>
      <c r="AM1553" s="16"/>
      <c r="AN1553" s="16"/>
      <c r="AO1553" s="16"/>
      <c r="AP1553" s="16"/>
      <c r="AQ1553" s="16"/>
      <c r="AR1553" s="16"/>
      <c r="AS1553" s="16"/>
    </row>
    <row r="1554" spans="18:45" x14ac:dyDescent="0.35">
      <c r="R1554" s="191"/>
      <c r="S1554" s="191"/>
      <c r="T1554" s="193"/>
      <c r="U1554" s="191"/>
      <c r="V1554" s="194"/>
      <c r="W1554" s="191"/>
      <c r="Y1554" s="191"/>
      <c r="Z1554" s="191"/>
      <c r="AA1554" s="191"/>
      <c r="AB1554" s="191"/>
      <c r="AC1554" s="191"/>
      <c r="AD1554" s="16"/>
      <c r="AE1554" s="16"/>
      <c r="AF1554" s="16"/>
      <c r="AG1554" s="16"/>
      <c r="AH1554" s="16"/>
      <c r="AI1554" s="16"/>
      <c r="AJ1554" s="16"/>
      <c r="AK1554" s="16"/>
      <c r="AL1554" s="16"/>
      <c r="AM1554" s="16"/>
      <c r="AN1554" s="16"/>
      <c r="AO1554" s="16"/>
      <c r="AP1554" s="16"/>
      <c r="AQ1554" s="16"/>
      <c r="AR1554" s="16"/>
      <c r="AS1554" s="16"/>
    </row>
    <row r="1555" spans="18:45" x14ac:dyDescent="0.35">
      <c r="R1555" s="191"/>
      <c r="S1555" s="191"/>
      <c r="T1555" s="193"/>
      <c r="U1555" s="191"/>
      <c r="V1555" s="194"/>
      <c r="W1555" s="191"/>
      <c r="Y1555" s="191"/>
      <c r="Z1555" s="191"/>
      <c r="AA1555" s="191"/>
      <c r="AB1555" s="191"/>
      <c r="AC1555" s="191"/>
      <c r="AD1555" s="16"/>
      <c r="AE1555" s="16"/>
      <c r="AF1555" s="16"/>
      <c r="AG1555" s="16"/>
      <c r="AH1555" s="16"/>
      <c r="AI1555" s="16"/>
      <c r="AJ1555" s="16"/>
      <c r="AK1555" s="16"/>
      <c r="AL1555" s="16"/>
      <c r="AM1555" s="16"/>
      <c r="AN1555" s="16"/>
      <c r="AO1555" s="16"/>
      <c r="AP1555" s="16"/>
      <c r="AQ1555" s="16"/>
      <c r="AR1555" s="16"/>
      <c r="AS1555" s="16"/>
    </row>
    <row r="1556" spans="18:45" x14ac:dyDescent="0.35">
      <c r="R1556" s="191"/>
      <c r="S1556" s="191"/>
      <c r="T1556" s="193"/>
      <c r="U1556" s="191"/>
      <c r="V1556" s="194"/>
      <c r="W1556" s="191"/>
      <c r="Y1556" s="191"/>
      <c r="Z1556" s="191"/>
      <c r="AA1556" s="191"/>
      <c r="AB1556" s="191"/>
      <c r="AC1556" s="191"/>
      <c r="AD1556" s="16"/>
      <c r="AE1556" s="16"/>
      <c r="AF1556" s="16"/>
      <c r="AG1556" s="16"/>
      <c r="AH1556" s="16"/>
      <c r="AI1556" s="16"/>
      <c r="AJ1556" s="16"/>
      <c r="AK1556" s="16"/>
      <c r="AL1556" s="16"/>
      <c r="AM1556" s="16"/>
      <c r="AN1556" s="16"/>
      <c r="AO1556" s="16"/>
      <c r="AP1556" s="16"/>
      <c r="AQ1556" s="16"/>
      <c r="AR1556" s="16"/>
      <c r="AS1556" s="16"/>
    </row>
    <row r="1557" spans="18:45" x14ac:dyDescent="0.35">
      <c r="R1557" s="191"/>
      <c r="S1557" s="191"/>
      <c r="T1557" s="193"/>
      <c r="U1557" s="191"/>
      <c r="V1557" s="194"/>
      <c r="W1557" s="191"/>
      <c r="Y1557" s="191"/>
      <c r="Z1557" s="191"/>
      <c r="AA1557" s="191"/>
      <c r="AB1557" s="191"/>
      <c r="AC1557" s="191"/>
      <c r="AD1557" s="16"/>
      <c r="AE1557" s="16"/>
      <c r="AF1557" s="16"/>
      <c r="AG1557" s="16"/>
      <c r="AH1557" s="16"/>
      <c r="AI1557" s="16"/>
      <c r="AJ1557" s="16"/>
      <c r="AK1557" s="16"/>
      <c r="AL1557" s="16"/>
      <c r="AM1557" s="16"/>
      <c r="AN1557" s="16"/>
      <c r="AO1557" s="16"/>
      <c r="AP1557" s="16"/>
      <c r="AQ1557" s="16"/>
      <c r="AR1557" s="16"/>
      <c r="AS1557" s="16"/>
    </row>
    <row r="1558" spans="18:45" x14ac:dyDescent="0.35">
      <c r="R1558" s="191"/>
      <c r="S1558" s="191"/>
      <c r="T1558" s="193"/>
      <c r="U1558" s="191"/>
      <c r="V1558" s="194"/>
      <c r="W1558" s="191"/>
      <c r="Y1558" s="191"/>
      <c r="Z1558" s="191"/>
      <c r="AA1558" s="191"/>
      <c r="AB1558" s="191"/>
      <c r="AC1558" s="191"/>
      <c r="AD1558" s="16"/>
      <c r="AE1558" s="16"/>
      <c r="AF1558" s="16"/>
      <c r="AG1558" s="16"/>
      <c r="AH1558" s="16"/>
      <c r="AI1558" s="16"/>
      <c r="AJ1558" s="16"/>
      <c r="AK1558" s="16"/>
      <c r="AL1558" s="16"/>
      <c r="AM1558" s="16"/>
      <c r="AN1558" s="16"/>
      <c r="AO1558" s="16"/>
      <c r="AP1558" s="16"/>
      <c r="AQ1558" s="16"/>
      <c r="AR1558" s="16"/>
      <c r="AS1558" s="16"/>
    </row>
    <row r="1559" spans="18:45" x14ac:dyDescent="0.35">
      <c r="R1559" s="191"/>
      <c r="S1559" s="191"/>
      <c r="T1559" s="193"/>
      <c r="U1559" s="191"/>
      <c r="V1559" s="194"/>
      <c r="W1559" s="191"/>
      <c r="Y1559" s="191"/>
      <c r="Z1559" s="191"/>
      <c r="AA1559" s="191"/>
      <c r="AB1559" s="191"/>
      <c r="AC1559" s="191"/>
      <c r="AD1559" s="16"/>
      <c r="AE1559" s="16"/>
      <c r="AF1559" s="16"/>
      <c r="AG1559" s="16"/>
      <c r="AH1559" s="16"/>
      <c r="AI1559" s="16"/>
      <c r="AJ1559" s="16"/>
      <c r="AK1559" s="16"/>
      <c r="AL1559" s="16"/>
      <c r="AM1559" s="16"/>
      <c r="AN1559" s="16"/>
      <c r="AO1559" s="16"/>
      <c r="AP1559" s="16"/>
      <c r="AQ1559" s="16"/>
      <c r="AR1559" s="16"/>
      <c r="AS1559" s="16"/>
    </row>
    <row r="1560" spans="18:45" x14ac:dyDescent="0.35">
      <c r="R1560" s="191"/>
      <c r="S1560" s="191"/>
      <c r="T1560" s="193"/>
      <c r="U1560" s="191"/>
      <c r="V1560" s="194"/>
      <c r="W1560" s="191"/>
      <c r="Y1560" s="191"/>
      <c r="Z1560" s="191"/>
      <c r="AA1560" s="191"/>
      <c r="AB1560" s="191"/>
      <c r="AC1560" s="191"/>
      <c r="AD1560" s="16"/>
      <c r="AE1560" s="16"/>
      <c r="AF1560" s="16"/>
      <c r="AG1560" s="16"/>
      <c r="AH1560" s="16"/>
      <c r="AI1560" s="16"/>
      <c r="AJ1560" s="16"/>
      <c r="AK1560" s="16"/>
      <c r="AL1560" s="16"/>
      <c r="AM1560" s="16"/>
      <c r="AN1560" s="16"/>
      <c r="AO1560" s="16"/>
      <c r="AP1560" s="16"/>
      <c r="AQ1560" s="16"/>
      <c r="AR1560" s="16"/>
      <c r="AS1560" s="16"/>
    </row>
    <row r="1561" spans="18:45" x14ac:dyDescent="0.35">
      <c r="R1561" s="191"/>
      <c r="S1561" s="191"/>
      <c r="T1561" s="193"/>
      <c r="U1561" s="191"/>
      <c r="V1561" s="194"/>
      <c r="W1561" s="191"/>
      <c r="Y1561" s="191"/>
      <c r="Z1561" s="191"/>
      <c r="AA1561" s="191"/>
      <c r="AB1561" s="191"/>
      <c r="AC1561" s="191"/>
      <c r="AD1561" s="16"/>
      <c r="AE1561" s="16"/>
      <c r="AF1561" s="16"/>
      <c r="AG1561" s="16"/>
      <c r="AH1561" s="16"/>
      <c r="AI1561" s="16"/>
      <c r="AJ1561" s="16"/>
      <c r="AK1561" s="16"/>
      <c r="AL1561" s="16"/>
      <c r="AM1561" s="16"/>
      <c r="AN1561" s="16"/>
      <c r="AO1561" s="16"/>
      <c r="AP1561" s="16"/>
      <c r="AQ1561" s="16"/>
      <c r="AR1561" s="16"/>
      <c r="AS1561" s="16"/>
    </row>
    <row r="1562" spans="18:45" x14ac:dyDescent="0.35">
      <c r="R1562" s="191"/>
      <c r="S1562" s="191"/>
      <c r="T1562" s="193"/>
      <c r="U1562" s="191"/>
      <c r="V1562" s="194"/>
      <c r="W1562" s="191"/>
      <c r="Y1562" s="191"/>
      <c r="Z1562" s="191"/>
      <c r="AA1562" s="191"/>
      <c r="AB1562" s="191"/>
      <c r="AC1562" s="191"/>
      <c r="AD1562" s="16"/>
      <c r="AE1562" s="16"/>
      <c r="AF1562" s="16"/>
      <c r="AG1562" s="16"/>
      <c r="AH1562" s="16"/>
      <c r="AI1562" s="16"/>
      <c r="AJ1562" s="16"/>
      <c r="AK1562" s="16"/>
      <c r="AL1562" s="16"/>
      <c r="AM1562" s="16"/>
      <c r="AN1562" s="16"/>
      <c r="AO1562" s="16"/>
      <c r="AP1562" s="16"/>
      <c r="AQ1562" s="16"/>
      <c r="AR1562" s="16"/>
      <c r="AS1562" s="16"/>
    </row>
    <row r="1563" spans="18:45" x14ac:dyDescent="0.35">
      <c r="R1563" s="191"/>
      <c r="S1563" s="191"/>
      <c r="T1563" s="193"/>
      <c r="U1563" s="191"/>
      <c r="V1563" s="194"/>
      <c r="W1563" s="191"/>
      <c r="Y1563" s="191"/>
      <c r="Z1563" s="191"/>
      <c r="AA1563" s="191"/>
      <c r="AB1563" s="191"/>
      <c r="AC1563" s="191"/>
      <c r="AD1563" s="16"/>
      <c r="AE1563" s="16"/>
      <c r="AF1563" s="16"/>
      <c r="AG1563" s="16"/>
      <c r="AH1563" s="16"/>
      <c r="AI1563" s="16"/>
      <c r="AJ1563" s="16"/>
      <c r="AK1563" s="16"/>
      <c r="AL1563" s="16"/>
      <c r="AM1563" s="16"/>
      <c r="AN1563" s="16"/>
      <c r="AO1563" s="16"/>
      <c r="AP1563" s="16"/>
      <c r="AQ1563" s="16"/>
      <c r="AR1563" s="16"/>
      <c r="AS1563" s="16"/>
    </row>
    <row r="1564" spans="18:45" x14ac:dyDescent="0.35">
      <c r="R1564" s="191"/>
      <c r="S1564" s="191"/>
      <c r="T1564" s="193"/>
      <c r="U1564" s="191"/>
      <c r="V1564" s="194"/>
      <c r="W1564" s="191"/>
      <c r="Y1564" s="191"/>
      <c r="Z1564" s="191"/>
      <c r="AA1564" s="191"/>
      <c r="AB1564" s="191"/>
      <c r="AC1564" s="191"/>
      <c r="AD1564" s="16"/>
      <c r="AE1564" s="16"/>
      <c r="AF1564" s="16"/>
      <c r="AG1564" s="16"/>
      <c r="AH1564" s="16"/>
      <c r="AI1564" s="16"/>
      <c r="AJ1564" s="16"/>
      <c r="AK1564" s="16"/>
      <c r="AL1564" s="16"/>
      <c r="AM1564" s="16"/>
      <c r="AN1564" s="16"/>
      <c r="AO1564" s="16"/>
      <c r="AP1564" s="16"/>
      <c r="AQ1564" s="16"/>
      <c r="AR1564" s="16"/>
      <c r="AS1564" s="16"/>
    </row>
    <row r="1565" spans="18:45" x14ac:dyDescent="0.35">
      <c r="R1565" s="191"/>
      <c r="S1565" s="191"/>
      <c r="T1565" s="193"/>
      <c r="U1565" s="191"/>
      <c r="V1565" s="194"/>
      <c r="W1565" s="191"/>
      <c r="Y1565" s="191"/>
      <c r="Z1565" s="191"/>
      <c r="AA1565" s="191"/>
      <c r="AB1565" s="191"/>
      <c r="AC1565" s="191"/>
      <c r="AD1565" s="16"/>
      <c r="AE1565" s="16"/>
      <c r="AF1565" s="16"/>
      <c r="AG1565" s="16"/>
      <c r="AH1565" s="16"/>
      <c r="AI1565" s="16"/>
      <c r="AJ1565" s="16"/>
      <c r="AK1565" s="16"/>
      <c r="AL1565" s="16"/>
      <c r="AM1565" s="16"/>
      <c r="AN1565" s="16"/>
      <c r="AO1565" s="16"/>
      <c r="AP1565" s="16"/>
      <c r="AQ1565" s="16"/>
      <c r="AR1565" s="16"/>
      <c r="AS1565" s="16"/>
    </row>
    <row r="1566" spans="18:45" x14ac:dyDescent="0.35">
      <c r="R1566" s="191"/>
      <c r="S1566" s="191"/>
      <c r="T1566" s="193"/>
      <c r="U1566" s="191"/>
      <c r="V1566" s="194"/>
      <c r="W1566" s="191"/>
      <c r="Y1566" s="191"/>
      <c r="Z1566" s="191"/>
      <c r="AA1566" s="191"/>
      <c r="AB1566" s="191"/>
      <c r="AC1566" s="191"/>
      <c r="AD1566" s="16"/>
      <c r="AE1566" s="16"/>
      <c r="AF1566" s="16"/>
      <c r="AG1566" s="16"/>
      <c r="AH1566" s="16"/>
      <c r="AI1566" s="16"/>
      <c r="AJ1566" s="16"/>
      <c r="AK1566" s="16"/>
      <c r="AL1566" s="16"/>
      <c r="AM1566" s="16"/>
      <c r="AN1566" s="16"/>
      <c r="AO1566" s="16"/>
      <c r="AP1566" s="16"/>
      <c r="AQ1566" s="16"/>
      <c r="AR1566" s="16"/>
      <c r="AS1566" s="16"/>
    </row>
    <row r="1567" spans="18:45" x14ac:dyDescent="0.35">
      <c r="R1567" s="191"/>
      <c r="S1567" s="191"/>
      <c r="T1567" s="193"/>
      <c r="U1567" s="191"/>
      <c r="V1567" s="194"/>
      <c r="W1567" s="191"/>
      <c r="Y1567" s="191"/>
      <c r="Z1567" s="191"/>
      <c r="AA1567" s="191"/>
      <c r="AB1567" s="191"/>
      <c r="AC1567" s="191"/>
      <c r="AD1567" s="16"/>
      <c r="AE1567" s="16"/>
      <c r="AF1567" s="16"/>
      <c r="AG1567" s="16"/>
      <c r="AH1567" s="16"/>
      <c r="AI1567" s="16"/>
      <c r="AJ1567" s="16"/>
      <c r="AK1567" s="16"/>
      <c r="AL1567" s="16"/>
      <c r="AM1567" s="16"/>
      <c r="AN1567" s="16"/>
      <c r="AO1567" s="16"/>
      <c r="AP1567" s="16"/>
      <c r="AQ1567" s="16"/>
      <c r="AR1567" s="16"/>
      <c r="AS1567" s="16"/>
    </row>
    <row r="1568" spans="18:45" x14ac:dyDescent="0.35">
      <c r="R1568" s="191"/>
      <c r="S1568" s="191"/>
      <c r="T1568" s="193"/>
      <c r="U1568" s="191"/>
      <c r="V1568" s="194"/>
      <c r="W1568" s="191"/>
      <c r="Y1568" s="191"/>
      <c r="Z1568" s="191"/>
      <c r="AA1568" s="191"/>
      <c r="AB1568" s="191"/>
      <c r="AC1568" s="191"/>
      <c r="AD1568" s="16"/>
      <c r="AE1568" s="16"/>
      <c r="AF1568" s="16"/>
      <c r="AG1568" s="16"/>
      <c r="AH1568" s="16"/>
      <c r="AI1568" s="16"/>
      <c r="AJ1568" s="16"/>
      <c r="AK1568" s="16"/>
      <c r="AL1568" s="16"/>
      <c r="AM1568" s="16"/>
      <c r="AN1568" s="16"/>
      <c r="AO1568" s="16"/>
      <c r="AP1568" s="16"/>
      <c r="AQ1568" s="16"/>
      <c r="AR1568" s="16"/>
      <c r="AS1568" s="16"/>
    </row>
    <row r="1569" spans="18:45" x14ac:dyDescent="0.35">
      <c r="R1569" s="191"/>
      <c r="S1569" s="191"/>
      <c r="T1569" s="193"/>
      <c r="U1569" s="191"/>
      <c r="V1569" s="194"/>
      <c r="W1569" s="191"/>
      <c r="Y1569" s="191"/>
      <c r="Z1569" s="191"/>
      <c r="AA1569" s="191"/>
      <c r="AB1569" s="191"/>
      <c r="AC1569" s="191"/>
      <c r="AD1569" s="16"/>
      <c r="AE1569" s="16"/>
      <c r="AF1569" s="16"/>
      <c r="AG1569" s="16"/>
      <c r="AH1569" s="16"/>
      <c r="AI1569" s="16"/>
      <c r="AJ1569" s="16"/>
      <c r="AK1569" s="16"/>
      <c r="AL1569" s="16"/>
      <c r="AM1569" s="16"/>
      <c r="AN1569" s="16"/>
      <c r="AO1569" s="16"/>
      <c r="AP1569" s="16"/>
      <c r="AQ1569" s="16"/>
      <c r="AR1569" s="16"/>
      <c r="AS1569" s="16"/>
    </row>
    <row r="1570" spans="18:45" x14ac:dyDescent="0.35">
      <c r="R1570" s="191"/>
      <c r="S1570" s="191"/>
      <c r="T1570" s="193"/>
      <c r="U1570" s="191"/>
      <c r="V1570" s="194"/>
      <c r="W1570" s="191"/>
      <c r="Y1570" s="191"/>
      <c r="Z1570" s="191"/>
      <c r="AA1570" s="191"/>
      <c r="AB1570" s="191"/>
      <c r="AC1570" s="191"/>
      <c r="AD1570" s="16"/>
      <c r="AE1570" s="16"/>
      <c r="AF1570" s="16"/>
      <c r="AG1570" s="16"/>
      <c r="AH1570" s="16"/>
      <c r="AI1570" s="16"/>
      <c r="AJ1570" s="16"/>
      <c r="AK1570" s="16"/>
      <c r="AL1570" s="16"/>
      <c r="AM1570" s="16"/>
      <c r="AN1570" s="16"/>
      <c r="AO1570" s="16"/>
      <c r="AP1570" s="16"/>
      <c r="AQ1570" s="16"/>
      <c r="AR1570" s="16"/>
      <c r="AS1570" s="16"/>
    </row>
    <row r="1571" spans="18:45" x14ac:dyDescent="0.35">
      <c r="R1571" s="191"/>
      <c r="S1571" s="191"/>
      <c r="T1571" s="193"/>
      <c r="U1571" s="191"/>
      <c r="V1571" s="194"/>
      <c r="W1571" s="191"/>
      <c r="Y1571" s="191"/>
      <c r="Z1571" s="191"/>
      <c r="AA1571" s="191"/>
      <c r="AB1571" s="191"/>
      <c r="AC1571" s="191"/>
      <c r="AD1571" s="16"/>
      <c r="AE1571" s="16"/>
      <c r="AF1571" s="16"/>
      <c r="AG1571" s="16"/>
      <c r="AH1571" s="16"/>
      <c r="AI1571" s="16"/>
      <c r="AJ1571" s="16"/>
      <c r="AK1571" s="16"/>
      <c r="AL1571" s="16"/>
      <c r="AM1571" s="16"/>
      <c r="AN1571" s="16"/>
      <c r="AO1571" s="16"/>
      <c r="AP1571" s="16"/>
      <c r="AQ1571" s="16"/>
      <c r="AR1571" s="16"/>
      <c r="AS1571" s="16"/>
    </row>
    <row r="1572" spans="18:45" x14ac:dyDescent="0.35">
      <c r="R1572" s="191"/>
      <c r="S1572" s="191"/>
      <c r="T1572" s="193"/>
      <c r="U1572" s="191"/>
      <c r="V1572" s="194"/>
      <c r="W1572" s="191"/>
      <c r="Y1572" s="191"/>
      <c r="Z1572" s="191"/>
      <c r="AA1572" s="191"/>
      <c r="AB1572" s="191"/>
      <c r="AC1572" s="191"/>
      <c r="AD1572" s="16"/>
      <c r="AE1572" s="16"/>
      <c r="AF1572" s="16"/>
      <c r="AG1572" s="16"/>
      <c r="AH1572" s="16"/>
      <c r="AI1572" s="16"/>
      <c r="AJ1572" s="16"/>
      <c r="AK1572" s="16"/>
      <c r="AL1572" s="16"/>
      <c r="AM1572" s="16"/>
      <c r="AN1572" s="16"/>
      <c r="AO1572" s="16"/>
      <c r="AP1572" s="16"/>
      <c r="AQ1572" s="16"/>
      <c r="AR1572" s="16"/>
      <c r="AS1572" s="16"/>
    </row>
    <row r="1573" spans="18:45" x14ac:dyDescent="0.35">
      <c r="R1573" s="191"/>
      <c r="S1573" s="191"/>
      <c r="T1573" s="193"/>
      <c r="U1573" s="191"/>
      <c r="V1573" s="194"/>
      <c r="W1573" s="191"/>
      <c r="Y1573" s="191"/>
      <c r="Z1573" s="191"/>
      <c r="AA1573" s="191"/>
      <c r="AB1573" s="191"/>
      <c r="AC1573" s="191"/>
      <c r="AD1573" s="16"/>
      <c r="AE1573" s="16"/>
      <c r="AF1573" s="16"/>
      <c r="AG1573" s="16"/>
      <c r="AH1573" s="16"/>
      <c r="AI1573" s="16"/>
      <c r="AJ1573" s="16"/>
      <c r="AK1573" s="16"/>
      <c r="AL1573" s="16"/>
      <c r="AM1573" s="16"/>
      <c r="AN1573" s="16"/>
      <c r="AO1573" s="16"/>
      <c r="AP1573" s="16"/>
      <c r="AQ1573" s="16"/>
      <c r="AR1573" s="16"/>
      <c r="AS1573" s="16"/>
    </row>
    <row r="1574" spans="18:45" x14ac:dyDescent="0.35">
      <c r="R1574" s="191"/>
      <c r="S1574" s="191"/>
      <c r="T1574" s="193"/>
      <c r="U1574" s="191"/>
      <c r="V1574" s="194"/>
      <c r="W1574" s="191"/>
      <c r="Y1574" s="191"/>
      <c r="Z1574" s="191"/>
      <c r="AA1574" s="191"/>
      <c r="AB1574" s="191"/>
      <c r="AC1574" s="191"/>
      <c r="AD1574" s="16"/>
      <c r="AE1574" s="16"/>
      <c r="AF1574" s="16"/>
      <c r="AG1574" s="16"/>
      <c r="AH1574" s="16"/>
      <c r="AI1574" s="16"/>
      <c r="AJ1574" s="16"/>
      <c r="AK1574" s="16"/>
      <c r="AL1574" s="16"/>
      <c r="AM1574" s="16"/>
      <c r="AN1574" s="16"/>
      <c r="AO1574" s="16"/>
      <c r="AP1574" s="16"/>
      <c r="AQ1574" s="16"/>
      <c r="AR1574" s="16"/>
      <c r="AS1574" s="16"/>
    </row>
    <row r="1575" spans="18:45" x14ac:dyDescent="0.35">
      <c r="R1575" s="191"/>
      <c r="S1575" s="191"/>
      <c r="T1575" s="193"/>
      <c r="U1575" s="191"/>
      <c r="V1575" s="194"/>
      <c r="W1575" s="191"/>
      <c r="Y1575" s="191"/>
      <c r="Z1575" s="191"/>
      <c r="AA1575" s="191"/>
      <c r="AB1575" s="191"/>
      <c r="AC1575" s="191"/>
      <c r="AD1575" s="16"/>
      <c r="AE1575" s="16"/>
      <c r="AF1575" s="16"/>
      <c r="AG1575" s="16"/>
      <c r="AH1575" s="16"/>
      <c r="AI1575" s="16"/>
      <c r="AJ1575" s="16"/>
      <c r="AK1575" s="16"/>
      <c r="AL1575" s="16"/>
      <c r="AM1575" s="16"/>
      <c r="AN1575" s="16"/>
      <c r="AO1575" s="16"/>
      <c r="AP1575" s="16"/>
      <c r="AQ1575" s="16"/>
      <c r="AR1575" s="16"/>
      <c r="AS1575" s="16"/>
    </row>
    <row r="1576" spans="18:45" x14ac:dyDescent="0.35">
      <c r="R1576" s="191"/>
      <c r="S1576" s="191"/>
      <c r="T1576" s="193"/>
      <c r="U1576" s="191"/>
      <c r="V1576" s="194"/>
      <c r="W1576" s="191"/>
      <c r="Y1576" s="191"/>
      <c r="Z1576" s="191"/>
      <c r="AA1576" s="191"/>
      <c r="AB1576" s="191"/>
      <c r="AC1576" s="191"/>
      <c r="AD1576" s="16"/>
      <c r="AE1576" s="16"/>
      <c r="AF1576" s="16"/>
      <c r="AG1576" s="16"/>
      <c r="AH1576" s="16"/>
      <c r="AI1576" s="16"/>
      <c r="AJ1576" s="16"/>
      <c r="AK1576" s="16"/>
      <c r="AL1576" s="16"/>
      <c r="AM1576" s="16"/>
      <c r="AN1576" s="16"/>
      <c r="AO1576" s="16"/>
      <c r="AP1576" s="16"/>
      <c r="AQ1576" s="16"/>
      <c r="AR1576" s="16"/>
      <c r="AS1576" s="16"/>
    </row>
    <row r="1577" spans="18:45" x14ac:dyDescent="0.35">
      <c r="R1577" s="191"/>
      <c r="S1577" s="191"/>
      <c r="T1577" s="193"/>
      <c r="U1577" s="191"/>
      <c r="V1577" s="194"/>
      <c r="W1577" s="191"/>
      <c r="Y1577" s="191"/>
      <c r="Z1577" s="191"/>
      <c r="AA1577" s="191"/>
      <c r="AB1577" s="191"/>
      <c r="AC1577" s="191"/>
      <c r="AD1577" s="16"/>
      <c r="AE1577" s="16"/>
      <c r="AF1577" s="16"/>
      <c r="AG1577" s="16"/>
      <c r="AH1577" s="16"/>
      <c r="AI1577" s="16"/>
      <c r="AJ1577" s="16"/>
      <c r="AK1577" s="16"/>
      <c r="AL1577" s="16"/>
      <c r="AM1577" s="16"/>
      <c r="AN1577" s="16"/>
      <c r="AO1577" s="16"/>
      <c r="AP1577" s="16"/>
      <c r="AQ1577" s="16"/>
      <c r="AR1577" s="16"/>
      <c r="AS1577" s="16"/>
    </row>
    <row r="1578" spans="18:45" x14ac:dyDescent="0.35">
      <c r="R1578" s="191"/>
      <c r="S1578" s="191"/>
      <c r="T1578" s="193"/>
      <c r="U1578" s="191"/>
      <c r="V1578" s="194"/>
      <c r="W1578" s="191"/>
      <c r="Y1578" s="191"/>
      <c r="Z1578" s="191"/>
      <c r="AA1578" s="191"/>
      <c r="AB1578" s="191"/>
      <c r="AC1578" s="191"/>
      <c r="AD1578" s="16"/>
      <c r="AE1578" s="16"/>
      <c r="AF1578" s="16"/>
      <c r="AG1578" s="16"/>
      <c r="AH1578" s="16"/>
      <c r="AI1578" s="16"/>
      <c r="AJ1578" s="16"/>
      <c r="AK1578" s="16"/>
      <c r="AL1578" s="16"/>
      <c r="AM1578" s="16"/>
      <c r="AN1578" s="16"/>
      <c r="AO1578" s="16"/>
      <c r="AP1578" s="16"/>
      <c r="AQ1578" s="16"/>
      <c r="AR1578" s="16"/>
      <c r="AS1578" s="16"/>
    </row>
    <row r="1579" spans="18:45" x14ac:dyDescent="0.35">
      <c r="R1579" s="191"/>
      <c r="S1579" s="191"/>
      <c r="T1579" s="193"/>
      <c r="U1579" s="191"/>
      <c r="V1579" s="194"/>
      <c r="W1579" s="191"/>
      <c r="Y1579" s="191"/>
      <c r="Z1579" s="191"/>
      <c r="AA1579" s="191"/>
      <c r="AB1579" s="191"/>
      <c r="AC1579" s="191"/>
      <c r="AD1579" s="16"/>
      <c r="AE1579" s="16"/>
      <c r="AF1579" s="16"/>
      <c r="AG1579" s="16"/>
      <c r="AH1579" s="16"/>
      <c r="AI1579" s="16"/>
      <c r="AJ1579" s="16"/>
      <c r="AK1579" s="16"/>
      <c r="AL1579" s="16"/>
      <c r="AM1579" s="16"/>
      <c r="AN1579" s="16"/>
      <c r="AO1579" s="16"/>
      <c r="AP1579" s="16"/>
      <c r="AQ1579" s="16"/>
      <c r="AR1579" s="16"/>
      <c r="AS1579" s="16"/>
    </row>
    <row r="1580" spans="18:45" x14ac:dyDescent="0.35">
      <c r="R1580" s="191"/>
      <c r="S1580" s="191"/>
      <c r="T1580" s="193"/>
      <c r="U1580" s="191"/>
      <c r="V1580" s="194"/>
      <c r="W1580" s="191"/>
      <c r="Y1580" s="191"/>
      <c r="Z1580" s="191"/>
      <c r="AA1580" s="191"/>
      <c r="AB1580" s="191"/>
      <c r="AC1580" s="191"/>
      <c r="AD1580" s="16"/>
      <c r="AE1580" s="16"/>
      <c r="AF1580" s="16"/>
      <c r="AG1580" s="16"/>
      <c r="AH1580" s="16"/>
      <c r="AI1580" s="16"/>
      <c r="AJ1580" s="16"/>
      <c r="AK1580" s="16"/>
      <c r="AL1580" s="16"/>
      <c r="AM1580" s="16"/>
      <c r="AN1580" s="16"/>
      <c r="AO1580" s="16"/>
      <c r="AP1580" s="16"/>
      <c r="AQ1580" s="16"/>
      <c r="AR1580" s="16"/>
      <c r="AS1580" s="16"/>
    </row>
    <row r="1581" spans="18:45" x14ac:dyDescent="0.35">
      <c r="R1581" s="191"/>
      <c r="S1581" s="191"/>
      <c r="T1581" s="193"/>
      <c r="U1581" s="191"/>
      <c r="V1581" s="194"/>
      <c r="W1581" s="191"/>
      <c r="Y1581" s="191"/>
      <c r="Z1581" s="191"/>
      <c r="AA1581" s="191"/>
      <c r="AB1581" s="191"/>
      <c r="AC1581" s="191"/>
      <c r="AD1581" s="16"/>
      <c r="AE1581" s="16"/>
      <c r="AF1581" s="16"/>
      <c r="AG1581" s="16"/>
      <c r="AH1581" s="16"/>
      <c r="AI1581" s="16"/>
      <c r="AJ1581" s="16"/>
      <c r="AK1581" s="16"/>
      <c r="AL1581" s="16"/>
      <c r="AM1581" s="16"/>
      <c r="AN1581" s="16"/>
      <c r="AO1581" s="16"/>
      <c r="AP1581" s="16"/>
      <c r="AQ1581" s="16"/>
      <c r="AR1581" s="16"/>
      <c r="AS1581" s="16"/>
    </row>
    <row r="1582" spans="18:45" x14ac:dyDescent="0.35">
      <c r="R1582" s="191"/>
      <c r="S1582" s="191"/>
      <c r="T1582" s="193"/>
      <c r="U1582" s="191"/>
      <c r="V1582" s="194"/>
      <c r="W1582" s="191"/>
      <c r="Y1582" s="191"/>
      <c r="Z1582" s="191"/>
      <c r="AA1582" s="191"/>
      <c r="AB1582" s="191"/>
      <c r="AC1582" s="191"/>
      <c r="AD1582" s="16"/>
      <c r="AE1582" s="16"/>
      <c r="AF1582" s="16"/>
      <c r="AG1582" s="16"/>
      <c r="AH1582" s="16"/>
      <c r="AI1582" s="16"/>
      <c r="AJ1582" s="16"/>
      <c r="AK1582" s="16"/>
      <c r="AL1582" s="16"/>
      <c r="AM1582" s="16"/>
      <c r="AN1582" s="16"/>
      <c r="AO1582" s="16"/>
      <c r="AP1582" s="16"/>
      <c r="AQ1582" s="16"/>
      <c r="AR1582" s="16"/>
      <c r="AS1582" s="16"/>
    </row>
    <row r="1583" spans="18:45" x14ac:dyDescent="0.35">
      <c r="R1583" s="191"/>
      <c r="S1583" s="191"/>
      <c r="T1583" s="193"/>
      <c r="U1583" s="191"/>
      <c r="V1583" s="194"/>
      <c r="W1583" s="191"/>
      <c r="Y1583" s="191"/>
      <c r="Z1583" s="191"/>
      <c r="AA1583" s="191"/>
      <c r="AB1583" s="191"/>
      <c r="AC1583" s="191"/>
      <c r="AD1583" s="16"/>
      <c r="AE1583" s="16"/>
      <c r="AF1583" s="16"/>
      <c r="AG1583" s="16"/>
      <c r="AH1583" s="16"/>
      <c r="AI1583" s="16"/>
      <c r="AJ1583" s="16"/>
      <c r="AK1583" s="16"/>
      <c r="AL1583" s="16"/>
      <c r="AM1583" s="16"/>
      <c r="AN1583" s="16"/>
      <c r="AO1583" s="16"/>
      <c r="AP1583" s="16"/>
      <c r="AQ1583" s="16"/>
      <c r="AR1583" s="16"/>
      <c r="AS1583" s="16"/>
    </row>
    <row r="1584" spans="18:45" x14ac:dyDescent="0.35">
      <c r="R1584" s="191"/>
      <c r="S1584" s="191"/>
      <c r="T1584" s="193"/>
      <c r="U1584" s="191"/>
      <c r="V1584" s="194"/>
      <c r="W1584" s="191"/>
      <c r="Y1584" s="191"/>
      <c r="Z1584" s="191"/>
      <c r="AA1584" s="191"/>
      <c r="AB1584" s="191"/>
      <c r="AC1584" s="191"/>
      <c r="AD1584" s="16"/>
      <c r="AE1584" s="16"/>
      <c r="AF1584" s="16"/>
      <c r="AG1584" s="16"/>
      <c r="AH1584" s="16"/>
      <c r="AI1584" s="16"/>
      <c r="AJ1584" s="16"/>
      <c r="AK1584" s="16"/>
      <c r="AL1584" s="16"/>
      <c r="AM1584" s="16"/>
      <c r="AN1584" s="16"/>
      <c r="AO1584" s="16"/>
      <c r="AP1584" s="16"/>
      <c r="AQ1584" s="16"/>
      <c r="AR1584" s="16"/>
      <c r="AS1584" s="16"/>
    </row>
    <row r="1585" spans="18:45" x14ac:dyDescent="0.35">
      <c r="R1585" s="191"/>
      <c r="S1585" s="191"/>
      <c r="T1585" s="193"/>
      <c r="U1585" s="191"/>
      <c r="V1585" s="194"/>
      <c r="W1585" s="191"/>
      <c r="Y1585" s="191"/>
      <c r="Z1585" s="191"/>
      <c r="AA1585" s="191"/>
      <c r="AB1585" s="191"/>
      <c r="AC1585" s="191"/>
      <c r="AD1585" s="16"/>
      <c r="AE1585" s="16"/>
      <c r="AF1585" s="16"/>
      <c r="AG1585" s="16"/>
      <c r="AH1585" s="16"/>
      <c r="AI1585" s="16"/>
      <c r="AJ1585" s="16"/>
      <c r="AK1585" s="16"/>
      <c r="AL1585" s="16"/>
      <c r="AM1585" s="16"/>
      <c r="AN1585" s="16"/>
      <c r="AO1585" s="16"/>
      <c r="AP1585" s="16"/>
      <c r="AQ1585" s="16"/>
      <c r="AR1585" s="16"/>
      <c r="AS1585" s="16"/>
    </row>
    <row r="1586" spans="18:45" x14ac:dyDescent="0.35">
      <c r="R1586" s="191"/>
      <c r="S1586" s="191"/>
      <c r="T1586" s="193"/>
      <c r="U1586" s="191"/>
      <c r="V1586" s="194"/>
      <c r="W1586" s="191"/>
      <c r="Y1586" s="191"/>
      <c r="Z1586" s="191"/>
      <c r="AA1586" s="191"/>
      <c r="AB1586" s="191"/>
      <c r="AC1586" s="191"/>
      <c r="AD1586" s="16"/>
      <c r="AE1586" s="16"/>
      <c r="AF1586" s="16"/>
      <c r="AG1586" s="16"/>
      <c r="AH1586" s="16"/>
      <c r="AI1586" s="16"/>
      <c r="AJ1586" s="16"/>
      <c r="AK1586" s="16"/>
      <c r="AL1586" s="16"/>
      <c r="AM1586" s="16"/>
      <c r="AN1586" s="16"/>
      <c r="AO1586" s="16"/>
      <c r="AP1586" s="16"/>
      <c r="AQ1586" s="16"/>
      <c r="AR1586" s="16"/>
      <c r="AS1586" s="16"/>
    </row>
    <row r="1587" spans="18:45" x14ac:dyDescent="0.35">
      <c r="R1587" s="191"/>
      <c r="S1587" s="191"/>
      <c r="T1587" s="193"/>
      <c r="U1587" s="191"/>
      <c r="V1587" s="194"/>
      <c r="W1587" s="191"/>
      <c r="Y1587" s="191"/>
      <c r="Z1587" s="191"/>
      <c r="AA1587" s="191"/>
      <c r="AB1587" s="191"/>
      <c r="AC1587" s="191"/>
      <c r="AD1587" s="16"/>
      <c r="AE1587" s="16"/>
      <c r="AF1587" s="16"/>
      <c r="AG1587" s="16"/>
      <c r="AH1587" s="16"/>
      <c r="AI1587" s="16"/>
      <c r="AJ1587" s="16"/>
      <c r="AK1587" s="16"/>
      <c r="AL1587" s="16"/>
      <c r="AM1587" s="16"/>
      <c r="AN1587" s="16"/>
      <c r="AO1587" s="16"/>
      <c r="AP1587" s="16"/>
      <c r="AQ1587" s="16"/>
      <c r="AR1587" s="16"/>
      <c r="AS1587" s="16"/>
    </row>
    <row r="1588" spans="18:45" x14ac:dyDescent="0.35">
      <c r="R1588" s="191"/>
      <c r="S1588" s="191"/>
      <c r="T1588" s="193"/>
      <c r="U1588" s="191"/>
      <c r="V1588" s="194"/>
      <c r="W1588" s="191"/>
      <c r="Y1588" s="191"/>
      <c r="Z1588" s="191"/>
      <c r="AA1588" s="191"/>
      <c r="AB1588" s="191"/>
      <c r="AC1588" s="191"/>
      <c r="AD1588" s="16"/>
      <c r="AE1588" s="16"/>
      <c r="AF1588" s="16"/>
      <c r="AG1588" s="16"/>
      <c r="AH1588" s="16"/>
      <c r="AI1588" s="16"/>
      <c r="AJ1588" s="16"/>
      <c r="AK1588" s="16"/>
      <c r="AL1588" s="16"/>
      <c r="AM1588" s="16"/>
      <c r="AN1588" s="16"/>
      <c r="AO1588" s="16"/>
      <c r="AP1588" s="16"/>
      <c r="AQ1588" s="16"/>
      <c r="AR1588" s="16"/>
      <c r="AS1588" s="16"/>
    </row>
    <row r="1589" spans="18:45" x14ac:dyDescent="0.35">
      <c r="R1589" s="191"/>
      <c r="S1589" s="191"/>
      <c r="T1589" s="193"/>
      <c r="U1589" s="191"/>
      <c r="V1589" s="194"/>
      <c r="W1589" s="191"/>
      <c r="Y1589" s="191"/>
      <c r="Z1589" s="191"/>
      <c r="AA1589" s="191"/>
      <c r="AB1589" s="191"/>
      <c r="AC1589" s="191"/>
      <c r="AD1589" s="16"/>
      <c r="AE1589" s="16"/>
      <c r="AF1589" s="16"/>
      <c r="AG1589" s="16"/>
      <c r="AH1589" s="16"/>
      <c r="AI1589" s="16"/>
      <c r="AJ1589" s="16"/>
      <c r="AK1589" s="16"/>
      <c r="AL1589" s="16"/>
      <c r="AM1589" s="16"/>
      <c r="AN1589" s="16"/>
      <c r="AO1589" s="16"/>
      <c r="AP1589" s="16"/>
      <c r="AQ1589" s="16"/>
      <c r="AR1589" s="16"/>
      <c r="AS1589" s="16"/>
    </row>
    <row r="1590" spans="18:45" x14ac:dyDescent="0.35">
      <c r="R1590" s="191"/>
      <c r="S1590" s="191"/>
      <c r="T1590" s="193"/>
      <c r="U1590" s="191"/>
      <c r="V1590" s="194"/>
      <c r="W1590" s="191"/>
      <c r="Y1590" s="191"/>
      <c r="Z1590" s="191"/>
      <c r="AA1590" s="191"/>
      <c r="AB1590" s="191"/>
      <c r="AC1590" s="191"/>
      <c r="AD1590" s="16"/>
      <c r="AE1590" s="16"/>
      <c r="AF1590" s="16"/>
      <c r="AG1590" s="16"/>
      <c r="AH1590" s="16"/>
      <c r="AI1590" s="16"/>
      <c r="AJ1590" s="16"/>
      <c r="AK1590" s="16"/>
      <c r="AL1590" s="16"/>
      <c r="AM1590" s="16"/>
      <c r="AN1590" s="16"/>
      <c r="AO1590" s="16"/>
      <c r="AP1590" s="16"/>
      <c r="AQ1590" s="16"/>
      <c r="AR1590" s="16"/>
      <c r="AS1590" s="16"/>
    </row>
    <row r="1591" spans="18:45" x14ac:dyDescent="0.35">
      <c r="R1591" s="191"/>
      <c r="S1591" s="191"/>
      <c r="T1591" s="193"/>
      <c r="U1591" s="191"/>
      <c r="V1591" s="194"/>
      <c r="W1591" s="191"/>
      <c r="Y1591" s="191"/>
      <c r="Z1591" s="191"/>
      <c r="AA1591" s="191"/>
      <c r="AB1591" s="191"/>
      <c r="AC1591" s="191"/>
      <c r="AD1591" s="16"/>
      <c r="AE1591" s="16"/>
      <c r="AF1591" s="16"/>
      <c r="AG1591" s="16"/>
      <c r="AH1591" s="16"/>
      <c r="AI1591" s="16"/>
      <c r="AJ1591" s="16"/>
      <c r="AK1591" s="16"/>
      <c r="AL1591" s="16"/>
      <c r="AM1591" s="16"/>
      <c r="AN1591" s="16"/>
      <c r="AO1591" s="16"/>
      <c r="AP1591" s="16"/>
      <c r="AQ1591" s="16"/>
      <c r="AR1591" s="16"/>
      <c r="AS1591" s="16"/>
    </row>
    <row r="1592" spans="18:45" x14ac:dyDescent="0.35">
      <c r="R1592" s="191"/>
      <c r="S1592" s="191"/>
      <c r="T1592" s="193"/>
      <c r="U1592" s="191"/>
      <c r="V1592" s="194"/>
      <c r="W1592" s="191"/>
      <c r="Y1592" s="191"/>
      <c r="Z1592" s="191"/>
      <c r="AA1592" s="191"/>
      <c r="AB1592" s="191"/>
      <c r="AC1592" s="191"/>
      <c r="AD1592" s="16"/>
      <c r="AE1592" s="16"/>
      <c r="AF1592" s="16"/>
      <c r="AG1592" s="16"/>
      <c r="AH1592" s="16"/>
      <c r="AI1592" s="16"/>
      <c r="AJ1592" s="16"/>
      <c r="AK1592" s="16"/>
      <c r="AL1592" s="16"/>
      <c r="AM1592" s="16"/>
      <c r="AN1592" s="16"/>
      <c r="AO1592" s="16"/>
      <c r="AP1592" s="16"/>
      <c r="AQ1592" s="16"/>
      <c r="AR1592" s="16"/>
      <c r="AS1592" s="16"/>
    </row>
    <row r="1593" spans="18:45" x14ac:dyDescent="0.35">
      <c r="R1593" s="191"/>
      <c r="S1593" s="191"/>
      <c r="T1593" s="193"/>
      <c r="U1593" s="191"/>
      <c r="V1593" s="194"/>
      <c r="W1593" s="191"/>
      <c r="Y1593" s="191"/>
      <c r="Z1593" s="191"/>
      <c r="AA1593" s="191"/>
      <c r="AB1593" s="191"/>
      <c r="AC1593" s="191"/>
      <c r="AD1593" s="16"/>
      <c r="AE1593" s="16"/>
      <c r="AF1593" s="16"/>
      <c r="AG1593" s="16"/>
      <c r="AH1593" s="16"/>
      <c r="AI1593" s="16"/>
      <c r="AJ1593" s="16"/>
      <c r="AK1593" s="16"/>
      <c r="AL1593" s="16"/>
      <c r="AM1593" s="16"/>
      <c r="AN1593" s="16"/>
      <c r="AO1593" s="16"/>
      <c r="AP1593" s="16"/>
      <c r="AQ1593" s="16"/>
      <c r="AR1593" s="16"/>
      <c r="AS1593" s="16"/>
    </row>
    <row r="1594" spans="18:45" x14ac:dyDescent="0.35">
      <c r="R1594" s="191"/>
      <c r="S1594" s="191"/>
      <c r="T1594" s="193"/>
      <c r="U1594" s="191"/>
      <c r="V1594" s="194"/>
      <c r="W1594" s="191"/>
      <c r="Y1594" s="191"/>
      <c r="Z1594" s="191"/>
      <c r="AA1594" s="191"/>
      <c r="AB1594" s="191"/>
      <c r="AC1594" s="191"/>
      <c r="AD1594" s="16"/>
      <c r="AE1594" s="16"/>
      <c r="AF1594" s="16"/>
      <c r="AG1594" s="16"/>
      <c r="AH1594" s="16"/>
      <c r="AI1594" s="16"/>
      <c r="AJ1594" s="16"/>
      <c r="AK1594" s="16"/>
      <c r="AL1594" s="16"/>
      <c r="AM1594" s="16"/>
      <c r="AN1594" s="16"/>
      <c r="AO1594" s="16"/>
      <c r="AP1594" s="16"/>
      <c r="AQ1594" s="16"/>
      <c r="AR1594" s="16"/>
      <c r="AS1594" s="16"/>
    </row>
    <row r="1595" spans="18:45" x14ac:dyDescent="0.35">
      <c r="R1595" s="191"/>
      <c r="S1595" s="191"/>
      <c r="T1595" s="193"/>
      <c r="U1595" s="191"/>
      <c r="V1595" s="194"/>
      <c r="W1595" s="191"/>
      <c r="Y1595" s="191"/>
      <c r="Z1595" s="191"/>
      <c r="AA1595" s="191"/>
      <c r="AB1595" s="191"/>
      <c r="AC1595" s="191"/>
      <c r="AD1595" s="16"/>
      <c r="AE1595" s="16"/>
      <c r="AF1595" s="16"/>
      <c r="AG1595" s="16"/>
      <c r="AH1595" s="16"/>
      <c r="AI1595" s="16"/>
      <c r="AJ1595" s="16"/>
      <c r="AK1595" s="16"/>
      <c r="AL1595" s="16"/>
      <c r="AM1595" s="16"/>
      <c r="AN1595" s="16"/>
      <c r="AO1595" s="16"/>
      <c r="AP1595" s="16"/>
      <c r="AQ1595" s="16"/>
      <c r="AR1595" s="16"/>
      <c r="AS1595" s="16"/>
    </row>
    <row r="1596" spans="18:45" x14ac:dyDescent="0.35">
      <c r="R1596" s="191"/>
      <c r="S1596" s="191"/>
      <c r="T1596" s="193"/>
      <c r="U1596" s="191"/>
      <c r="V1596" s="194"/>
      <c r="W1596" s="191"/>
      <c r="Y1596" s="191"/>
      <c r="Z1596" s="191"/>
      <c r="AA1596" s="191"/>
      <c r="AB1596" s="191"/>
      <c r="AC1596" s="191"/>
      <c r="AD1596" s="16"/>
      <c r="AE1596" s="16"/>
      <c r="AF1596" s="16"/>
      <c r="AG1596" s="16"/>
      <c r="AH1596" s="16"/>
      <c r="AI1596" s="16"/>
      <c r="AJ1596" s="16"/>
      <c r="AK1596" s="16"/>
      <c r="AL1596" s="16"/>
      <c r="AM1596" s="16"/>
      <c r="AN1596" s="16"/>
      <c r="AO1596" s="16"/>
      <c r="AP1596" s="16"/>
      <c r="AQ1596" s="16"/>
      <c r="AR1596" s="16"/>
      <c r="AS1596" s="16"/>
    </row>
    <row r="1597" spans="18:45" x14ac:dyDescent="0.35">
      <c r="R1597" s="191"/>
      <c r="S1597" s="191"/>
      <c r="T1597" s="193"/>
      <c r="U1597" s="191"/>
      <c r="V1597" s="194"/>
      <c r="W1597" s="191"/>
      <c r="Y1597" s="191"/>
      <c r="Z1597" s="191"/>
      <c r="AA1597" s="191"/>
      <c r="AB1597" s="191"/>
      <c r="AC1597" s="191"/>
      <c r="AD1597" s="16"/>
      <c r="AE1597" s="16"/>
      <c r="AF1597" s="16"/>
      <c r="AG1597" s="16"/>
      <c r="AH1597" s="16"/>
      <c r="AI1597" s="16"/>
      <c r="AJ1597" s="16"/>
      <c r="AK1597" s="16"/>
      <c r="AL1597" s="16"/>
      <c r="AM1597" s="16"/>
      <c r="AN1597" s="16"/>
      <c r="AO1597" s="16"/>
      <c r="AP1597" s="16"/>
      <c r="AQ1597" s="16"/>
      <c r="AR1597" s="16"/>
      <c r="AS1597" s="16"/>
    </row>
    <row r="1598" spans="18:45" x14ac:dyDescent="0.35">
      <c r="R1598" s="191"/>
      <c r="S1598" s="191"/>
      <c r="T1598" s="193"/>
      <c r="U1598" s="191"/>
      <c r="V1598" s="194"/>
      <c r="W1598" s="191"/>
      <c r="Y1598" s="191"/>
      <c r="Z1598" s="191"/>
      <c r="AA1598" s="191"/>
      <c r="AB1598" s="191"/>
      <c r="AC1598" s="191"/>
      <c r="AD1598" s="16"/>
      <c r="AE1598" s="16"/>
      <c r="AF1598" s="16"/>
      <c r="AG1598" s="16"/>
      <c r="AH1598" s="16"/>
      <c r="AI1598" s="16"/>
      <c r="AJ1598" s="16"/>
      <c r="AK1598" s="16"/>
      <c r="AL1598" s="16"/>
      <c r="AM1598" s="16"/>
      <c r="AN1598" s="16"/>
      <c r="AO1598" s="16"/>
      <c r="AP1598" s="16"/>
      <c r="AQ1598" s="16"/>
      <c r="AR1598" s="16"/>
      <c r="AS1598" s="16"/>
    </row>
    <row r="1599" spans="18:45" x14ac:dyDescent="0.35">
      <c r="R1599" s="191"/>
      <c r="S1599" s="191"/>
      <c r="T1599" s="193"/>
      <c r="U1599" s="191"/>
      <c r="V1599" s="194"/>
      <c r="W1599" s="191"/>
      <c r="Y1599" s="191"/>
      <c r="Z1599" s="191"/>
      <c r="AA1599" s="191"/>
      <c r="AB1599" s="191"/>
      <c r="AC1599" s="191"/>
      <c r="AD1599" s="16"/>
      <c r="AE1599" s="16"/>
      <c r="AF1599" s="16"/>
      <c r="AG1599" s="16"/>
      <c r="AH1599" s="16"/>
      <c r="AI1599" s="16"/>
      <c r="AJ1599" s="16"/>
      <c r="AK1599" s="16"/>
      <c r="AL1599" s="16"/>
      <c r="AM1599" s="16"/>
      <c r="AN1599" s="16"/>
      <c r="AO1599" s="16"/>
      <c r="AP1599" s="16"/>
      <c r="AQ1599" s="16"/>
      <c r="AR1599" s="16"/>
      <c r="AS1599" s="16"/>
    </row>
    <row r="1600" spans="18:45" x14ac:dyDescent="0.35">
      <c r="R1600" s="191"/>
      <c r="S1600" s="191"/>
      <c r="T1600" s="193"/>
      <c r="U1600" s="191"/>
      <c r="V1600" s="194"/>
      <c r="W1600" s="191"/>
      <c r="Y1600" s="191"/>
      <c r="Z1600" s="191"/>
      <c r="AA1600" s="191"/>
      <c r="AB1600" s="191"/>
      <c r="AC1600" s="191"/>
      <c r="AD1600" s="16"/>
      <c r="AE1600" s="16"/>
      <c r="AF1600" s="16"/>
      <c r="AG1600" s="16"/>
      <c r="AH1600" s="16"/>
      <c r="AI1600" s="16"/>
      <c r="AJ1600" s="16"/>
      <c r="AK1600" s="16"/>
      <c r="AL1600" s="16"/>
      <c r="AM1600" s="16"/>
      <c r="AN1600" s="16"/>
      <c r="AO1600" s="16"/>
      <c r="AP1600" s="16"/>
      <c r="AQ1600" s="16"/>
      <c r="AR1600" s="16"/>
      <c r="AS1600" s="16"/>
    </row>
    <row r="1601" spans="18:45" x14ac:dyDescent="0.35">
      <c r="R1601" s="191"/>
      <c r="S1601" s="191"/>
      <c r="T1601" s="193"/>
      <c r="U1601" s="191"/>
      <c r="V1601" s="194"/>
      <c r="W1601" s="191"/>
      <c r="Y1601" s="191"/>
      <c r="Z1601" s="191"/>
      <c r="AA1601" s="191"/>
      <c r="AB1601" s="191"/>
      <c r="AC1601" s="191"/>
      <c r="AD1601" s="16"/>
      <c r="AE1601" s="16"/>
      <c r="AF1601" s="16"/>
      <c r="AG1601" s="16"/>
      <c r="AH1601" s="16"/>
      <c r="AI1601" s="16"/>
      <c r="AJ1601" s="16"/>
      <c r="AK1601" s="16"/>
      <c r="AL1601" s="16"/>
      <c r="AM1601" s="16"/>
      <c r="AN1601" s="16"/>
      <c r="AO1601" s="16"/>
      <c r="AP1601" s="16"/>
      <c r="AQ1601" s="16"/>
      <c r="AR1601" s="16"/>
      <c r="AS1601" s="16"/>
    </row>
    <row r="1602" spans="18:45" x14ac:dyDescent="0.35">
      <c r="R1602" s="191"/>
      <c r="S1602" s="191"/>
      <c r="T1602" s="193"/>
      <c r="U1602" s="191"/>
      <c r="V1602" s="194"/>
      <c r="W1602" s="191"/>
      <c r="Y1602" s="191"/>
      <c r="Z1602" s="191"/>
      <c r="AA1602" s="191"/>
      <c r="AB1602" s="191"/>
      <c r="AC1602" s="191"/>
      <c r="AD1602" s="16"/>
      <c r="AE1602" s="16"/>
      <c r="AF1602" s="16"/>
      <c r="AG1602" s="16"/>
      <c r="AH1602" s="16"/>
      <c r="AI1602" s="16"/>
      <c r="AJ1602" s="16"/>
      <c r="AK1602" s="16"/>
      <c r="AL1602" s="16"/>
      <c r="AM1602" s="16"/>
      <c r="AN1602" s="16"/>
      <c r="AO1602" s="16"/>
      <c r="AP1602" s="16"/>
      <c r="AQ1602" s="16"/>
      <c r="AR1602" s="16"/>
      <c r="AS1602" s="16"/>
    </row>
    <row r="1603" spans="18:45" x14ac:dyDescent="0.35">
      <c r="R1603" s="191"/>
      <c r="S1603" s="191"/>
      <c r="T1603" s="193"/>
      <c r="U1603" s="191"/>
      <c r="V1603" s="194"/>
      <c r="W1603" s="191"/>
      <c r="Y1603" s="191"/>
      <c r="Z1603" s="191"/>
      <c r="AA1603" s="191"/>
      <c r="AB1603" s="191"/>
      <c r="AC1603" s="191"/>
      <c r="AD1603" s="16"/>
      <c r="AE1603" s="16"/>
      <c r="AF1603" s="16"/>
      <c r="AG1603" s="16"/>
      <c r="AH1603" s="16"/>
      <c r="AI1603" s="16"/>
      <c r="AJ1603" s="16"/>
      <c r="AK1603" s="16"/>
      <c r="AL1603" s="16"/>
      <c r="AM1603" s="16"/>
      <c r="AN1603" s="16"/>
      <c r="AO1603" s="16"/>
      <c r="AP1603" s="16"/>
      <c r="AQ1603" s="16"/>
      <c r="AR1603" s="16"/>
      <c r="AS1603" s="16"/>
    </row>
    <row r="1604" spans="18:45" x14ac:dyDescent="0.35">
      <c r="R1604" s="191"/>
      <c r="S1604" s="191"/>
      <c r="T1604" s="193"/>
      <c r="U1604" s="191"/>
      <c r="V1604" s="194"/>
      <c r="W1604" s="191"/>
      <c r="Y1604" s="191"/>
      <c r="Z1604" s="191"/>
      <c r="AA1604" s="191"/>
      <c r="AB1604" s="191"/>
      <c r="AC1604" s="191"/>
      <c r="AD1604" s="16"/>
      <c r="AE1604" s="16"/>
      <c r="AF1604" s="16"/>
      <c r="AG1604" s="16"/>
      <c r="AH1604" s="16"/>
      <c r="AI1604" s="16"/>
      <c r="AJ1604" s="16"/>
      <c r="AK1604" s="16"/>
      <c r="AL1604" s="16"/>
      <c r="AM1604" s="16"/>
      <c r="AN1604" s="16"/>
      <c r="AO1604" s="16"/>
      <c r="AP1604" s="16"/>
      <c r="AQ1604" s="16"/>
      <c r="AR1604" s="16"/>
      <c r="AS1604" s="16"/>
    </row>
    <row r="1605" spans="18:45" x14ac:dyDescent="0.35">
      <c r="R1605" s="191"/>
      <c r="S1605" s="191"/>
      <c r="T1605" s="193"/>
      <c r="U1605" s="191"/>
      <c r="V1605" s="194"/>
      <c r="W1605" s="191"/>
      <c r="Y1605" s="191"/>
      <c r="Z1605" s="191"/>
      <c r="AA1605" s="191"/>
      <c r="AB1605" s="191"/>
      <c r="AC1605" s="191"/>
      <c r="AD1605" s="16"/>
      <c r="AE1605" s="16"/>
      <c r="AF1605" s="16"/>
      <c r="AG1605" s="16"/>
      <c r="AH1605" s="16"/>
      <c r="AI1605" s="16"/>
      <c r="AJ1605" s="16"/>
      <c r="AK1605" s="16"/>
      <c r="AL1605" s="16"/>
      <c r="AM1605" s="16"/>
      <c r="AN1605" s="16"/>
      <c r="AO1605" s="16"/>
      <c r="AP1605" s="16"/>
      <c r="AQ1605" s="16"/>
      <c r="AR1605" s="16"/>
      <c r="AS1605" s="16"/>
    </row>
    <row r="1606" spans="18:45" x14ac:dyDescent="0.35">
      <c r="R1606" s="191"/>
      <c r="S1606" s="191"/>
      <c r="T1606" s="193"/>
      <c r="U1606" s="191"/>
      <c r="V1606" s="194"/>
      <c r="W1606" s="191"/>
      <c r="Y1606" s="191"/>
      <c r="Z1606" s="191"/>
      <c r="AA1606" s="191"/>
      <c r="AB1606" s="191"/>
      <c r="AC1606" s="191"/>
      <c r="AD1606" s="16"/>
      <c r="AE1606" s="16"/>
      <c r="AF1606" s="16"/>
      <c r="AG1606" s="16"/>
      <c r="AH1606" s="16"/>
      <c r="AI1606" s="16"/>
      <c r="AJ1606" s="16"/>
      <c r="AK1606" s="16"/>
      <c r="AL1606" s="16"/>
      <c r="AM1606" s="16"/>
      <c r="AN1606" s="16"/>
      <c r="AO1606" s="16"/>
      <c r="AP1606" s="16"/>
      <c r="AQ1606" s="16"/>
      <c r="AR1606" s="16"/>
      <c r="AS1606" s="16"/>
    </row>
    <row r="1607" spans="18:45" x14ac:dyDescent="0.35">
      <c r="R1607" s="191"/>
      <c r="S1607" s="191"/>
      <c r="T1607" s="193"/>
      <c r="U1607" s="191"/>
      <c r="V1607" s="194"/>
      <c r="W1607" s="191"/>
      <c r="Y1607" s="191"/>
      <c r="Z1607" s="191"/>
      <c r="AA1607" s="191"/>
      <c r="AB1607" s="191"/>
      <c r="AC1607" s="191"/>
      <c r="AD1607" s="16"/>
      <c r="AE1607" s="16"/>
      <c r="AF1607" s="16"/>
      <c r="AG1607" s="16"/>
      <c r="AH1607" s="16"/>
      <c r="AI1607" s="16"/>
      <c r="AJ1607" s="16"/>
      <c r="AK1607" s="16"/>
      <c r="AL1607" s="16"/>
      <c r="AM1607" s="16"/>
      <c r="AN1607" s="16"/>
      <c r="AO1607" s="16"/>
      <c r="AP1607" s="16"/>
      <c r="AQ1607" s="16"/>
      <c r="AR1607" s="16"/>
      <c r="AS1607" s="16"/>
    </row>
    <row r="1608" spans="18:45" x14ac:dyDescent="0.35">
      <c r="R1608" s="191"/>
      <c r="S1608" s="191"/>
      <c r="T1608" s="193"/>
      <c r="U1608" s="191"/>
      <c r="V1608" s="194"/>
      <c r="W1608" s="191"/>
      <c r="Y1608" s="191"/>
      <c r="Z1608" s="191"/>
      <c r="AA1608" s="191"/>
      <c r="AB1608" s="191"/>
      <c r="AC1608" s="191"/>
      <c r="AD1608" s="16"/>
      <c r="AE1608" s="16"/>
      <c r="AF1608" s="16"/>
      <c r="AG1608" s="16"/>
      <c r="AH1608" s="16"/>
      <c r="AI1608" s="16"/>
      <c r="AJ1608" s="16"/>
      <c r="AK1608" s="16"/>
      <c r="AL1608" s="16"/>
      <c r="AM1608" s="16"/>
      <c r="AN1608" s="16"/>
      <c r="AO1608" s="16"/>
      <c r="AP1608" s="16"/>
      <c r="AQ1608" s="16"/>
      <c r="AR1608" s="16"/>
      <c r="AS1608" s="16"/>
    </row>
    <row r="1609" spans="18:45" x14ac:dyDescent="0.35">
      <c r="R1609" s="191"/>
      <c r="S1609" s="191"/>
      <c r="T1609" s="193"/>
      <c r="U1609" s="191"/>
      <c r="V1609" s="194"/>
      <c r="W1609" s="191"/>
      <c r="Y1609" s="191"/>
      <c r="Z1609" s="191"/>
      <c r="AA1609" s="191"/>
      <c r="AB1609" s="191"/>
      <c r="AC1609" s="191"/>
      <c r="AD1609" s="16"/>
      <c r="AE1609" s="16"/>
      <c r="AF1609" s="16"/>
      <c r="AG1609" s="16"/>
      <c r="AH1609" s="16"/>
      <c r="AI1609" s="16"/>
      <c r="AJ1609" s="16"/>
      <c r="AK1609" s="16"/>
      <c r="AL1609" s="16"/>
      <c r="AM1609" s="16"/>
      <c r="AN1609" s="16"/>
      <c r="AO1609" s="16"/>
      <c r="AP1609" s="16"/>
      <c r="AQ1609" s="16"/>
      <c r="AR1609" s="16"/>
      <c r="AS1609" s="16"/>
    </row>
    <row r="1610" spans="18:45" x14ac:dyDescent="0.35">
      <c r="R1610" s="191"/>
      <c r="S1610" s="191"/>
      <c r="T1610" s="193"/>
      <c r="U1610" s="191"/>
      <c r="V1610" s="194"/>
      <c r="W1610" s="191"/>
      <c r="Y1610" s="191"/>
      <c r="Z1610" s="191"/>
      <c r="AA1610" s="191"/>
      <c r="AB1610" s="191"/>
      <c r="AC1610" s="191"/>
      <c r="AD1610" s="16"/>
      <c r="AE1610" s="16"/>
      <c r="AF1610" s="16"/>
      <c r="AG1610" s="16"/>
      <c r="AH1610" s="16"/>
      <c r="AI1610" s="16"/>
      <c r="AJ1610" s="16"/>
      <c r="AK1610" s="16"/>
      <c r="AL1610" s="16"/>
      <c r="AM1610" s="16"/>
      <c r="AN1610" s="16"/>
      <c r="AO1610" s="16"/>
      <c r="AP1610" s="16"/>
      <c r="AQ1610" s="16"/>
      <c r="AR1610" s="16"/>
      <c r="AS1610" s="16"/>
    </row>
    <row r="1611" spans="18:45" x14ac:dyDescent="0.35">
      <c r="R1611" s="191"/>
      <c r="S1611" s="191"/>
      <c r="T1611" s="193"/>
      <c r="U1611" s="191"/>
      <c r="V1611" s="194"/>
      <c r="W1611" s="191"/>
      <c r="Y1611" s="191"/>
      <c r="Z1611" s="191"/>
      <c r="AA1611" s="191"/>
      <c r="AB1611" s="191"/>
      <c r="AC1611" s="191"/>
      <c r="AD1611" s="16"/>
      <c r="AE1611" s="16"/>
      <c r="AF1611" s="16"/>
      <c r="AG1611" s="16"/>
      <c r="AH1611" s="16"/>
      <c r="AI1611" s="16"/>
      <c r="AJ1611" s="16"/>
      <c r="AK1611" s="16"/>
      <c r="AL1611" s="16"/>
      <c r="AM1611" s="16"/>
      <c r="AN1611" s="16"/>
      <c r="AO1611" s="16"/>
      <c r="AP1611" s="16"/>
      <c r="AQ1611" s="16"/>
      <c r="AR1611" s="16"/>
      <c r="AS1611" s="16"/>
    </row>
    <row r="1612" spans="18:45" x14ac:dyDescent="0.35">
      <c r="R1612" s="191"/>
      <c r="S1612" s="191"/>
      <c r="T1612" s="193"/>
      <c r="U1612" s="191"/>
      <c r="V1612" s="194"/>
      <c r="W1612" s="191"/>
      <c r="Y1612" s="191"/>
      <c r="Z1612" s="191"/>
      <c r="AA1612" s="191"/>
      <c r="AB1612" s="191"/>
      <c r="AC1612" s="191"/>
      <c r="AD1612" s="16"/>
      <c r="AE1612" s="16"/>
      <c r="AF1612" s="16"/>
      <c r="AG1612" s="16"/>
      <c r="AH1612" s="16"/>
      <c r="AI1612" s="16"/>
      <c r="AJ1612" s="16"/>
      <c r="AK1612" s="16"/>
      <c r="AL1612" s="16"/>
      <c r="AM1612" s="16"/>
      <c r="AN1612" s="16"/>
      <c r="AO1612" s="16"/>
      <c r="AP1612" s="16"/>
      <c r="AQ1612" s="16"/>
      <c r="AR1612" s="16"/>
      <c r="AS1612" s="16"/>
    </row>
    <row r="1613" spans="18:45" x14ac:dyDescent="0.35">
      <c r="R1613" s="191"/>
      <c r="S1613" s="191"/>
      <c r="T1613" s="193"/>
      <c r="U1613" s="191"/>
      <c r="V1613" s="194"/>
      <c r="W1613" s="191"/>
      <c r="Y1613" s="191"/>
      <c r="Z1613" s="191"/>
      <c r="AA1613" s="191"/>
      <c r="AB1613" s="191"/>
      <c r="AC1613" s="191"/>
      <c r="AD1613" s="16"/>
      <c r="AE1613" s="16"/>
      <c r="AF1613" s="16"/>
      <c r="AG1613" s="16"/>
      <c r="AH1613" s="16"/>
      <c r="AI1613" s="16"/>
      <c r="AJ1613" s="16"/>
      <c r="AK1613" s="16"/>
      <c r="AL1613" s="16"/>
      <c r="AM1613" s="16"/>
      <c r="AN1613" s="16"/>
      <c r="AO1613" s="16"/>
      <c r="AP1613" s="16"/>
      <c r="AQ1613" s="16"/>
      <c r="AR1613" s="16"/>
      <c r="AS1613" s="16"/>
    </row>
    <row r="1614" spans="18:45" x14ac:dyDescent="0.35">
      <c r="R1614" s="191"/>
      <c r="S1614" s="191"/>
      <c r="T1614" s="193"/>
      <c r="U1614" s="191"/>
      <c r="V1614" s="194"/>
      <c r="W1614" s="191"/>
      <c r="Y1614" s="191"/>
      <c r="Z1614" s="191"/>
      <c r="AA1614" s="191"/>
      <c r="AB1614" s="191"/>
      <c r="AC1614" s="191"/>
      <c r="AD1614" s="16"/>
      <c r="AE1614" s="16"/>
      <c r="AF1614" s="16"/>
      <c r="AG1614" s="16"/>
      <c r="AH1614" s="16"/>
      <c r="AI1614" s="16"/>
      <c r="AJ1614" s="16"/>
      <c r="AK1614" s="16"/>
      <c r="AL1614" s="16"/>
      <c r="AM1614" s="16"/>
      <c r="AN1614" s="16"/>
      <c r="AO1614" s="16"/>
      <c r="AP1614" s="16"/>
      <c r="AQ1614" s="16"/>
      <c r="AR1614" s="16"/>
      <c r="AS1614" s="16"/>
    </row>
    <row r="1615" spans="18:45" x14ac:dyDescent="0.35">
      <c r="R1615" s="191"/>
      <c r="S1615" s="191"/>
      <c r="T1615" s="193"/>
      <c r="U1615" s="191"/>
      <c r="V1615" s="194"/>
      <c r="W1615" s="191"/>
      <c r="Y1615" s="191"/>
      <c r="Z1615" s="191"/>
      <c r="AA1615" s="191"/>
      <c r="AB1615" s="191"/>
      <c r="AC1615" s="191"/>
      <c r="AD1615" s="16"/>
      <c r="AE1615" s="16"/>
      <c r="AF1615" s="16"/>
      <c r="AG1615" s="16"/>
      <c r="AH1615" s="16"/>
      <c r="AI1615" s="16"/>
      <c r="AJ1615" s="16"/>
      <c r="AK1615" s="16"/>
      <c r="AL1615" s="16"/>
      <c r="AM1615" s="16"/>
      <c r="AN1615" s="16"/>
      <c r="AO1615" s="16"/>
      <c r="AP1615" s="16"/>
      <c r="AQ1615" s="16"/>
      <c r="AR1615" s="16"/>
      <c r="AS1615" s="16"/>
    </row>
    <row r="1616" spans="18:45" x14ac:dyDescent="0.35">
      <c r="R1616" s="191"/>
      <c r="S1616" s="191"/>
      <c r="T1616" s="193"/>
      <c r="U1616" s="191"/>
      <c r="V1616" s="194"/>
      <c r="W1616" s="191"/>
      <c r="Y1616" s="191"/>
      <c r="Z1616" s="191"/>
      <c r="AA1616" s="191"/>
      <c r="AB1616" s="191"/>
      <c r="AC1616" s="191"/>
      <c r="AD1616" s="16"/>
      <c r="AE1616" s="16"/>
      <c r="AF1616" s="16"/>
      <c r="AG1616" s="16"/>
      <c r="AH1616" s="16"/>
      <c r="AI1616" s="16"/>
      <c r="AJ1616" s="16"/>
      <c r="AK1616" s="16"/>
      <c r="AL1616" s="16"/>
      <c r="AM1616" s="16"/>
      <c r="AN1616" s="16"/>
      <c r="AO1616" s="16"/>
      <c r="AP1616" s="16"/>
      <c r="AQ1616" s="16"/>
      <c r="AR1616" s="16"/>
      <c r="AS1616" s="16"/>
    </row>
    <row r="1617" spans="18:45" x14ac:dyDescent="0.35">
      <c r="R1617" s="191"/>
      <c r="S1617" s="191"/>
      <c r="T1617" s="193"/>
      <c r="U1617" s="191"/>
      <c r="V1617" s="194"/>
      <c r="W1617" s="191"/>
      <c r="Y1617" s="191"/>
      <c r="Z1617" s="191"/>
      <c r="AA1617" s="191"/>
      <c r="AB1617" s="191"/>
      <c r="AC1617" s="191"/>
      <c r="AD1617" s="16"/>
      <c r="AE1617" s="16"/>
      <c r="AF1617" s="16"/>
      <c r="AG1617" s="16"/>
      <c r="AH1617" s="16"/>
      <c r="AI1617" s="16"/>
      <c r="AJ1617" s="16"/>
      <c r="AK1617" s="16"/>
      <c r="AL1617" s="16"/>
      <c r="AM1617" s="16"/>
      <c r="AN1617" s="16"/>
      <c r="AO1617" s="16"/>
      <c r="AP1617" s="16"/>
      <c r="AQ1617" s="16"/>
      <c r="AR1617" s="16"/>
      <c r="AS1617" s="16"/>
    </row>
    <row r="1618" spans="18:45" x14ac:dyDescent="0.35">
      <c r="R1618" s="191"/>
      <c r="S1618" s="191"/>
      <c r="T1618" s="193"/>
      <c r="U1618" s="191"/>
      <c r="V1618" s="194"/>
      <c r="W1618" s="191"/>
      <c r="Y1618" s="191"/>
      <c r="Z1618" s="191"/>
      <c r="AA1618" s="191"/>
      <c r="AB1618" s="191"/>
      <c r="AC1618" s="191"/>
      <c r="AD1618" s="16"/>
      <c r="AE1618" s="16"/>
      <c r="AF1618" s="16"/>
      <c r="AG1618" s="16"/>
      <c r="AH1618" s="16"/>
      <c r="AI1618" s="16"/>
      <c r="AJ1618" s="16"/>
      <c r="AK1618" s="16"/>
      <c r="AL1618" s="16"/>
      <c r="AM1618" s="16"/>
      <c r="AN1618" s="16"/>
      <c r="AO1618" s="16"/>
      <c r="AP1618" s="16"/>
      <c r="AQ1618" s="16"/>
      <c r="AR1618" s="16"/>
      <c r="AS1618" s="16"/>
    </row>
    <row r="1619" spans="18:45" x14ac:dyDescent="0.35">
      <c r="R1619" s="191"/>
      <c r="S1619" s="191"/>
      <c r="T1619" s="193"/>
      <c r="U1619" s="191"/>
      <c r="V1619" s="194"/>
      <c r="W1619" s="191"/>
      <c r="Y1619" s="191"/>
      <c r="Z1619" s="191"/>
      <c r="AA1619" s="191"/>
      <c r="AB1619" s="191"/>
      <c r="AC1619" s="191"/>
      <c r="AD1619" s="16"/>
      <c r="AE1619" s="16"/>
      <c r="AF1619" s="16"/>
      <c r="AG1619" s="16"/>
      <c r="AH1619" s="16"/>
      <c r="AI1619" s="16"/>
      <c r="AJ1619" s="16"/>
      <c r="AK1619" s="16"/>
      <c r="AL1619" s="16"/>
      <c r="AM1619" s="16"/>
      <c r="AN1619" s="16"/>
      <c r="AO1619" s="16"/>
      <c r="AP1619" s="16"/>
      <c r="AQ1619" s="16"/>
      <c r="AR1619" s="16"/>
      <c r="AS1619" s="16"/>
    </row>
    <row r="1620" spans="18:45" x14ac:dyDescent="0.35">
      <c r="R1620" s="191"/>
      <c r="S1620" s="191"/>
      <c r="T1620" s="193"/>
      <c r="U1620" s="191"/>
      <c r="V1620" s="194"/>
      <c r="W1620" s="191"/>
      <c r="Y1620" s="191"/>
      <c r="Z1620" s="191"/>
      <c r="AA1620" s="191"/>
      <c r="AB1620" s="191"/>
      <c r="AC1620" s="191"/>
      <c r="AD1620" s="16"/>
      <c r="AE1620" s="16"/>
      <c r="AF1620" s="16"/>
      <c r="AG1620" s="16"/>
      <c r="AH1620" s="16"/>
      <c r="AI1620" s="16"/>
      <c r="AJ1620" s="16"/>
      <c r="AK1620" s="16"/>
      <c r="AL1620" s="16"/>
      <c r="AM1620" s="16"/>
      <c r="AN1620" s="16"/>
      <c r="AO1620" s="16"/>
      <c r="AP1620" s="16"/>
      <c r="AQ1620" s="16"/>
      <c r="AR1620" s="16"/>
      <c r="AS1620" s="16"/>
    </row>
    <row r="1621" spans="18:45" x14ac:dyDescent="0.35">
      <c r="R1621" s="191"/>
      <c r="S1621" s="191"/>
      <c r="T1621" s="193"/>
      <c r="U1621" s="191"/>
      <c r="V1621" s="194"/>
      <c r="W1621" s="191"/>
      <c r="Y1621" s="191"/>
      <c r="Z1621" s="191"/>
      <c r="AA1621" s="191"/>
      <c r="AB1621" s="191"/>
      <c r="AC1621" s="191"/>
      <c r="AD1621" s="16"/>
      <c r="AE1621" s="16"/>
      <c r="AF1621" s="16"/>
      <c r="AG1621" s="16"/>
      <c r="AH1621" s="16"/>
      <c r="AI1621" s="16"/>
      <c r="AJ1621" s="16"/>
      <c r="AK1621" s="16"/>
      <c r="AL1621" s="16"/>
      <c r="AM1621" s="16"/>
      <c r="AN1621" s="16"/>
      <c r="AO1621" s="16"/>
      <c r="AP1621" s="16"/>
      <c r="AQ1621" s="16"/>
      <c r="AR1621" s="16"/>
      <c r="AS1621" s="16"/>
    </row>
    <row r="1622" spans="18:45" x14ac:dyDescent="0.35">
      <c r="R1622" s="191"/>
      <c r="S1622" s="191"/>
      <c r="T1622" s="193"/>
      <c r="U1622" s="191"/>
      <c r="V1622" s="194"/>
      <c r="W1622" s="191"/>
      <c r="Y1622" s="191"/>
      <c r="Z1622" s="191"/>
      <c r="AA1622" s="191"/>
      <c r="AB1622" s="191"/>
      <c r="AC1622" s="191"/>
      <c r="AD1622" s="16"/>
      <c r="AE1622" s="16"/>
      <c r="AF1622" s="16"/>
      <c r="AG1622" s="16"/>
      <c r="AH1622" s="16"/>
      <c r="AI1622" s="16"/>
      <c r="AJ1622" s="16"/>
      <c r="AK1622" s="16"/>
      <c r="AL1622" s="16"/>
      <c r="AM1622" s="16"/>
      <c r="AN1622" s="16"/>
      <c r="AO1622" s="16"/>
      <c r="AP1622" s="16"/>
      <c r="AQ1622" s="16"/>
      <c r="AR1622" s="16"/>
      <c r="AS1622" s="16"/>
    </row>
    <row r="1623" spans="18:45" x14ac:dyDescent="0.35">
      <c r="R1623" s="191"/>
      <c r="S1623" s="191"/>
      <c r="T1623" s="193"/>
      <c r="U1623" s="191"/>
      <c r="V1623" s="194"/>
      <c r="W1623" s="191"/>
      <c r="Y1623" s="191"/>
      <c r="Z1623" s="191"/>
      <c r="AA1623" s="191"/>
      <c r="AB1623" s="191"/>
      <c r="AC1623" s="191"/>
      <c r="AD1623" s="16"/>
      <c r="AE1623" s="16"/>
      <c r="AF1623" s="16"/>
      <c r="AG1623" s="16"/>
      <c r="AH1623" s="16"/>
      <c r="AI1623" s="16"/>
      <c r="AJ1623" s="16"/>
      <c r="AK1623" s="16"/>
      <c r="AL1623" s="16"/>
      <c r="AM1623" s="16"/>
      <c r="AN1623" s="16"/>
      <c r="AO1623" s="16"/>
      <c r="AP1623" s="16"/>
      <c r="AQ1623" s="16"/>
      <c r="AR1623" s="16"/>
      <c r="AS1623" s="16"/>
    </row>
    <row r="1624" spans="18:45" x14ac:dyDescent="0.35">
      <c r="R1624" s="191"/>
      <c r="S1624" s="191"/>
      <c r="T1624" s="193"/>
      <c r="U1624" s="191"/>
      <c r="V1624" s="194"/>
      <c r="W1624" s="191"/>
      <c r="Y1624" s="191"/>
      <c r="Z1624" s="191"/>
      <c r="AA1624" s="191"/>
      <c r="AB1624" s="191"/>
      <c r="AC1624" s="191"/>
      <c r="AD1624" s="16"/>
      <c r="AE1624" s="16"/>
      <c r="AF1624" s="16"/>
      <c r="AG1624" s="16"/>
      <c r="AH1624" s="16"/>
      <c r="AI1624" s="16"/>
      <c r="AJ1624" s="16"/>
      <c r="AK1624" s="16"/>
      <c r="AL1624" s="16"/>
      <c r="AM1624" s="16"/>
      <c r="AN1624" s="16"/>
      <c r="AO1624" s="16"/>
      <c r="AP1624" s="16"/>
      <c r="AQ1624" s="16"/>
      <c r="AR1624" s="16"/>
      <c r="AS1624" s="16"/>
    </row>
    <row r="1625" spans="18:45" x14ac:dyDescent="0.35">
      <c r="R1625" s="191"/>
      <c r="S1625" s="191"/>
      <c r="T1625" s="193"/>
      <c r="U1625" s="191"/>
      <c r="V1625" s="194"/>
      <c r="W1625" s="191"/>
      <c r="Y1625" s="191"/>
      <c r="Z1625" s="191"/>
      <c r="AA1625" s="191"/>
      <c r="AB1625" s="191"/>
      <c r="AC1625" s="191"/>
      <c r="AD1625" s="16"/>
      <c r="AE1625" s="16"/>
      <c r="AF1625" s="16"/>
      <c r="AG1625" s="16"/>
      <c r="AH1625" s="16"/>
      <c r="AI1625" s="16"/>
      <c r="AJ1625" s="16"/>
      <c r="AK1625" s="16"/>
      <c r="AL1625" s="16"/>
      <c r="AM1625" s="16"/>
      <c r="AN1625" s="16"/>
      <c r="AO1625" s="16"/>
      <c r="AP1625" s="16"/>
      <c r="AQ1625" s="16"/>
      <c r="AR1625" s="16"/>
      <c r="AS1625" s="16"/>
    </row>
    <row r="1626" spans="18:45" x14ac:dyDescent="0.35">
      <c r="R1626" s="191"/>
      <c r="S1626" s="191"/>
      <c r="T1626" s="193"/>
      <c r="U1626" s="191"/>
      <c r="V1626" s="194"/>
      <c r="W1626" s="191"/>
      <c r="Y1626" s="191"/>
      <c r="Z1626" s="191"/>
      <c r="AA1626" s="191"/>
      <c r="AB1626" s="191"/>
      <c r="AC1626" s="191"/>
      <c r="AD1626" s="16"/>
      <c r="AE1626" s="16"/>
      <c r="AF1626" s="16"/>
      <c r="AG1626" s="16"/>
      <c r="AH1626" s="16"/>
      <c r="AI1626" s="16"/>
      <c r="AJ1626" s="16"/>
      <c r="AK1626" s="16"/>
      <c r="AL1626" s="16"/>
      <c r="AM1626" s="16"/>
      <c r="AN1626" s="16"/>
      <c r="AO1626" s="16"/>
      <c r="AP1626" s="16"/>
      <c r="AQ1626" s="16"/>
      <c r="AR1626" s="16"/>
      <c r="AS1626" s="16"/>
    </row>
    <row r="1627" spans="18:45" x14ac:dyDescent="0.35">
      <c r="R1627" s="191"/>
      <c r="S1627" s="191"/>
      <c r="T1627" s="193"/>
      <c r="U1627" s="191"/>
      <c r="V1627" s="194"/>
      <c r="W1627" s="191"/>
      <c r="Y1627" s="191"/>
      <c r="Z1627" s="191"/>
      <c r="AA1627" s="191"/>
      <c r="AB1627" s="191"/>
      <c r="AC1627" s="191"/>
      <c r="AD1627" s="16"/>
      <c r="AE1627" s="16"/>
      <c r="AF1627" s="16"/>
      <c r="AG1627" s="16"/>
      <c r="AH1627" s="16"/>
      <c r="AI1627" s="16"/>
      <c r="AJ1627" s="16"/>
      <c r="AK1627" s="16"/>
      <c r="AL1627" s="16"/>
      <c r="AM1627" s="16"/>
      <c r="AN1627" s="16"/>
      <c r="AO1627" s="16"/>
      <c r="AP1627" s="16"/>
      <c r="AQ1627" s="16"/>
      <c r="AR1627" s="16"/>
      <c r="AS1627" s="16"/>
    </row>
    <row r="1628" spans="18:45" x14ac:dyDescent="0.35">
      <c r="R1628" s="191"/>
      <c r="S1628" s="191"/>
      <c r="T1628" s="193"/>
      <c r="U1628" s="191"/>
      <c r="V1628" s="194"/>
      <c r="W1628" s="191"/>
      <c r="Y1628" s="191"/>
      <c r="Z1628" s="191"/>
      <c r="AA1628" s="191"/>
      <c r="AB1628" s="191"/>
      <c r="AC1628" s="191"/>
      <c r="AD1628" s="16"/>
      <c r="AE1628" s="16"/>
      <c r="AF1628" s="16"/>
      <c r="AG1628" s="16"/>
      <c r="AH1628" s="16"/>
      <c r="AI1628" s="16"/>
      <c r="AJ1628" s="16"/>
      <c r="AK1628" s="16"/>
      <c r="AL1628" s="16"/>
      <c r="AM1628" s="16"/>
      <c r="AN1628" s="16"/>
      <c r="AO1628" s="16"/>
      <c r="AP1628" s="16"/>
      <c r="AQ1628" s="16"/>
      <c r="AR1628" s="16"/>
      <c r="AS1628" s="16"/>
    </row>
    <row r="1629" spans="18:45" x14ac:dyDescent="0.35">
      <c r="R1629" s="191"/>
      <c r="S1629" s="191"/>
      <c r="T1629" s="193"/>
      <c r="U1629" s="191"/>
      <c r="V1629" s="194"/>
      <c r="W1629" s="191"/>
      <c r="Y1629" s="191"/>
      <c r="Z1629" s="191"/>
      <c r="AA1629" s="191"/>
      <c r="AB1629" s="191"/>
      <c r="AC1629" s="191"/>
      <c r="AD1629" s="16"/>
      <c r="AE1629" s="16"/>
      <c r="AF1629" s="16"/>
      <c r="AG1629" s="16"/>
      <c r="AH1629" s="16"/>
      <c r="AI1629" s="16"/>
      <c r="AJ1629" s="16"/>
      <c r="AK1629" s="16"/>
      <c r="AL1629" s="16"/>
      <c r="AM1629" s="16"/>
      <c r="AN1629" s="16"/>
      <c r="AO1629" s="16"/>
      <c r="AP1629" s="16"/>
      <c r="AQ1629" s="16"/>
      <c r="AR1629" s="16"/>
      <c r="AS1629" s="16"/>
    </row>
    <row r="1630" spans="18:45" x14ac:dyDescent="0.35">
      <c r="R1630" s="191"/>
      <c r="S1630" s="191"/>
      <c r="T1630" s="193"/>
      <c r="U1630" s="191"/>
      <c r="V1630" s="194"/>
      <c r="W1630" s="191"/>
      <c r="Y1630" s="191"/>
      <c r="Z1630" s="191"/>
      <c r="AA1630" s="191"/>
      <c r="AB1630" s="191"/>
      <c r="AC1630" s="191"/>
      <c r="AD1630" s="16"/>
      <c r="AE1630" s="16"/>
      <c r="AF1630" s="16"/>
      <c r="AG1630" s="16"/>
      <c r="AH1630" s="16"/>
      <c r="AI1630" s="16"/>
      <c r="AJ1630" s="16"/>
      <c r="AK1630" s="16"/>
      <c r="AL1630" s="16"/>
      <c r="AM1630" s="16"/>
      <c r="AN1630" s="16"/>
      <c r="AO1630" s="16"/>
      <c r="AP1630" s="16"/>
      <c r="AQ1630" s="16"/>
      <c r="AR1630" s="16"/>
      <c r="AS1630" s="16"/>
    </row>
    <row r="1631" spans="18:45" x14ac:dyDescent="0.35">
      <c r="R1631" s="191"/>
      <c r="S1631" s="191"/>
      <c r="T1631" s="193"/>
      <c r="U1631" s="191"/>
      <c r="V1631" s="194"/>
      <c r="W1631" s="191"/>
      <c r="Y1631" s="191"/>
      <c r="Z1631" s="191"/>
      <c r="AA1631" s="191"/>
      <c r="AB1631" s="191"/>
      <c r="AC1631" s="191"/>
      <c r="AD1631" s="16"/>
      <c r="AE1631" s="16"/>
      <c r="AF1631" s="16"/>
      <c r="AG1631" s="16"/>
      <c r="AH1631" s="16"/>
      <c r="AI1631" s="16"/>
      <c r="AJ1631" s="16"/>
      <c r="AK1631" s="16"/>
      <c r="AL1631" s="16"/>
      <c r="AM1631" s="16"/>
      <c r="AN1631" s="16"/>
      <c r="AO1631" s="16"/>
      <c r="AP1631" s="16"/>
      <c r="AQ1631" s="16"/>
      <c r="AR1631" s="16"/>
      <c r="AS1631" s="16"/>
    </row>
    <row r="1632" spans="18:45" x14ac:dyDescent="0.35">
      <c r="R1632" s="191"/>
      <c r="S1632" s="191"/>
      <c r="T1632" s="193"/>
      <c r="U1632" s="191"/>
      <c r="V1632" s="194"/>
      <c r="W1632" s="191"/>
      <c r="Y1632" s="191"/>
      <c r="Z1632" s="191"/>
      <c r="AA1632" s="191"/>
      <c r="AB1632" s="191"/>
      <c r="AC1632" s="191"/>
      <c r="AD1632" s="16"/>
      <c r="AE1632" s="16"/>
      <c r="AF1632" s="16"/>
      <c r="AG1632" s="16"/>
      <c r="AH1632" s="16"/>
      <c r="AI1632" s="16"/>
      <c r="AJ1632" s="16"/>
      <c r="AK1632" s="16"/>
      <c r="AL1632" s="16"/>
      <c r="AM1632" s="16"/>
      <c r="AN1632" s="16"/>
      <c r="AO1632" s="16"/>
      <c r="AP1632" s="16"/>
      <c r="AQ1632" s="16"/>
      <c r="AR1632" s="16"/>
      <c r="AS1632" s="16"/>
    </row>
    <row r="1633" spans="18:45" x14ac:dyDescent="0.35">
      <c r="R1633" s="191"/>
      <c r="S1633" s="191"/>
      <c r="T1633" s="193"/>
      <c r="U1633" s="191"/>
      <c r="V1633" s="194"/>
      <c r="W1633" s="191"/>
      <c r="Y1633" s="191"/>
      <c r="Z1633" s="191"/>
      <c r="AA1633" s="191"/>
      <c r="AB1633" s="191"/>
      <c r="AC1633" s="191"/>
      <c r="AD1633" s="16"/>
      <c r="AE1633" s="16"/>
      <c r="AF1633" s="16"/>
      <c r="AG1633" s="16"/>
      <c r="AH1633" s="16"/>
      <c r="AI1633" s="16"/>
      <c r="AJ1633" s="16"/>
      <c r="AK1633" s="16"/>
      <c r="AL1633" s="16"/>
      <c r="AM1633" s="16"/>
      <c r="AN1633" s="16"/>
      <c r="AO1633" s="16"/>
      <c r="AP1633" s="16"/>
      <c r="AQ1633" s="16"/>
      <c r="AR1633" s="16"/>
      <c r="AS1633" s="16"/>
    </row>
    <row r="1634" spans="18:45" x14ac:dyDescent="0.35">
      <c r="R1634" s="191"/>
      <c r="S1634" s="191"/>
      <c r="T1634" s="193"/>
      <c r="U1634" s="191"/>
      <c r="V1634" s="194"/>
      <c r="W1634" s="191"/>
      <c r="Y1634" s="191"/>
      <c r="Z1634" s="191"/>
      <c r="AA1634" s="191"/>
      <c r="AB1634" s="191"/>
      <c r="AC1634" s="191"/>
      <c r="AD1634" s="16"/>
      <c r="AE1634" s="16"/>
      <c r="AF1634" s="16"/>
      <c r="AG1634" s="16"/>
      <c r="AH1634" s="16"/>
      <c r="AI1634" s="16"/>
      <c r="AJ1634" s="16"/>
      <c r="AK1634" s="16"/>
      <c r="AL1634" s="16"/>
      <c r="AM1634" s="16"/>
      <c r="AN1634" s="16"/>
      <c r="AO1634" s="16"/>
      <c r="AP1634" s="16"/>
      <c r="AQ1634" s="16"/>
      <c r="AR1634" s="16"/>
      <c r="AS1634" s="16"/>
    </row>
    <row r="1635" spans="18:45" x14ac:dyDescent="0.35">
      <c r="R1635" s="191"/>
      <c r="S1635" s="191"/>
      <c r="T1635" s="193"/>
      <c r="U1635" s="191"/>
      <c r="V1635" s="194"/>
      <c r="W1635" s="191"/>
      <c r="Y1635" s="191"/>
      <c r="Z1635" s="191"/>
      <c r="AA1635" s="191"/>
      <c r="AB1635" s="191"/>
      <c r="AC1635" s="191"/>
      <c r="AD1635" s="16"/>
      <c r="AE1635" s="16"/>
      <c r="AF1635" s="16"/>
      <c r="AG1635" s="16"/>
      <c r="AH1635" s="16"/>
      <c r="AI1635" s="16"/>
      <c r="AJ1635" s="16"/>
      <c r="AK1635" s="16"/>
      <c r="AL1635" s="16"/>
      <c r="AM1635" s="16"/>
      <c r="AN1635" s="16"/>
      <c r="AO1635" s="16"/>
      <c r="AP1635" s="16"/>
      <c r="AQ1635" s="16"/>
      <c r="AR1635" s="16"/>
      <c r="AS1635" s="16"/>
    </row>
    <row r="1636" spans="18:45" x14ac:dyDescent="0.35">
      <c r="R1636" s="191"/>
      <c r="S1636" s="191"/>
      <c r="T1636" s="193"/>
      <c r="U1636" s="191"/>
      <c r="V1636" s="194"/>
      <c r="W1636" s="191"/>
      <c r="Y1636" s="191"/>
      <c r="Z1636" s="191"/>
      <c r="AA1636" s="191"/>
      <c r="AB1636" s="191"/>
      <c r="AC1636" s="191"/>
      <c r="AD1636" s="16"/>
      <c r="AE1636" s="16"/>
      <c r="AF1636" s="16"/>
      <c r="AG1636" s="16"/>
      <c r="AH1636" s="16"/>
      <c r="AI1636" s="16"/>
      <c r="AJ1636" s="16"/>
      <c r="AK1636" s="16"/>
      <c r="AL1636" s="16"/>
      <c r="AM1636" s="16"/>
      <c r="AN1636" s="16"/>
      <c r="AO1636" s="16"/>
      <c r="AP1636" s="16"/>
      <c r="AQ1636" s="16"/>
      <c r="AR1636" s="16"/>
      <c r="AS1636" s="16"/>
    </row>
    <row r="1637" spans="18:45" x14ac:dyDescent="0.35">
      <c r="R1637" s="191"/>
      <c r="S1637" s="191"/>
      <c r="T1637" s="193"/>
      <c r="U1637" s="191"/>
      <c r="V1637" s="194"/>
      <c r="W1637" s="191"/>
      <c r="Y1637" s="191"/>
      <c r="Z1637" s="191"/>
      <c r="AA1637" s="191"/>
      <c r="AB1637" s="191"/>
      <c r="AC1637" s="191"/>
      <c r="AD1637" s="16"/>
      <c r="AE1637" s="16"/>
      <c r="AF1637" s="16"/>
      <c r="AG1637" s="16"/>
      <c r="AH1637" s="16"/>
      <c r="AI1637" s="16"/>
      <c r="AJ1637" s="16"/>
      <c r="AK1637" s="16"/>
      <c r="AL1637" s="16"/>
      <c r="AM1637" s="16"/>
      <c r="AN1637" s="16"/>
      <c r="AO1637" s="16"/>
      <c r="AP1637" s="16"/>
      <c r="AQ1637" s="16"/>
      <c r="AR1637" s="16"/>
      <c r="AS1637" s="16"/>
    </row>
    <row r="1638" spans="18:45" x14ac:dyDescent="0.35">
      <c r="R1638" s="191"/>
      <c r="S1638" s="191"/>
      <c r="T1638" s="193"/>
      <c r="U1638" s="191"/>
      <c r="V1638" s="194"/>
      <c r="W1638" s="191"/>
      <c r="Y1638" s="191"/>
      <c r="Z1638" s="191"/>
      <c r="AA1638" s="191"/>
      <c r="AB1638" s="191"/>
      <c r="AC1638" s="191"/>
      <c r="AD1638" s="16"/>
      <c r="AE1638" s="16"/>
      <c r="AF1638" s="16"/>
      <c r="AG1638" s="16"/>
      <c r="AH1638" s="16"/>
      <c r="AI1638" s="16"/>
      <c r="AJ1638" s="16"/>
      <c r="AK1638" s="16"/>
      <c r="AL1638" s="16"/>
      <c r="AM1638" s="16"/>
      <c r="AN1638" s="16"/>
      <c r="AO1638" s="16"/>
      <c r="AP1638" s="16"/>
      <c r="AQ1638" s="16"/>
      <c r="AR1638" s="16"/>
      <c r="AS1638" s="16"/>
    </row>
    <row r="1639" spans="18:45" x14ac:dyDescent="0.35">
      <c r="R1639" s="191"/>
      <c r="S1639" s="191"/>
      <c r="T1639" s="193"/>
      <c r="U1639" s="191"/>
      <c r="V1639" s="194"/>
      <c r="W1639" s="191"/>
      <c r="Y1639" s="191"/>
      <c r="Z1639" s="191"/>
      <c r="AA1639" s="191"/>
      <c r="AB1639" s="191"/>
      <c r="AC1639" s="191"/>
      <c r="AD1639" s="16"/>
      <c r="AE1639" s="16"/>
      <c r="AF1639" s="16"/>
      <c r="AG1639" s="16"/>
      <c r="AH1639" s="16"/>
      <c r="AI1639" s="16"/>
      <c r="AJ1639" s="16"/>
      <c r="AK1639" s="16"/>
      <c r="AL1639" s="16"/>
      <c r="AM1639" s="16"/>
      <c r="AN1639" s="16"/>
      <c r="AO1639" s="16"/>
      <c r="AP1639" s="16"/>
      <c r="AQ1639" s="16"/>
      <c r="AR1639" s="16"/>
      <c r="AS1639" s="16"/>
    </row>
    <row r="1640" spans="18:45" x14ac:dyDescent="0.35">
      <c r="R1640" s="191"/>
      <c r="S1640" s="191"/>
      <c r="T1640" s="193"/>
      <c r="U1640" s="191"/>
      <c r="V1640" s="194"/>
      <c r="W1640" s="191"/>
      <c r="Y1640" s="191"/>
      <c r="Z1640" s="191"/>
      <c r="AA1640" s="191"/>
      <c r="AB1640" s="191"/>
      <c r="AC1640" s="191"/>
      <c r="AD1640" s="16"/>
      <c r="AE1640" s="16"/>
      <c r="AF1640" s="16"/>
      <c r="AG1640" s="16"/>
      <c r="AH1640" s="16"/>
      <c r="AI1640" s="16"/>
      <c r="AJ1640" s="16"/>
      <c r="AK1640" s="16"/>
      <c r="AL1640" s="16"/>
      <c r="AM1640" s="16"/>
      <c r="AN1640" s="16"/>
      <c r="AO1640" s="16"/>
      <c r="AP1640" s="16"/>
      <c r="AQ1640" s="16"/>
      <c r="AR1640" s="16"/>
      <c r="AS1640" s="16"/>
    </row>
    <row r="1641" spans="18:45" x14ac:dyDescent="0.35">
      <c r="R1641" s="191"/>
      <c r="S1641" s="191"/>
      <c r="T1641" s="193"/>
      <c r="U1641" s="191"/>
      <c r="V1641" s="194"/>
      <c r="W1641" s="191"/>
      <c r="Y1641" s="191"/>
      <c r="Z1641" s="191"/>
      <c r="AA1641" s="191"/>
      <c r="AB1641" s="191"/>
      <c r="AC1641" s="191"/>
      <c r="AD1641" s="16"/>
      <c r="AE1641" s="16"/>
      <c r="AF1641" s="16"/>
      <c r="AG1641" s="16"/>
      <c r="AH1641" s="16"/>
      <c r="AI1641" s="16"/>
      <c r="AJ1641" s="16"/>
      <c r="AK1641" s="16"/>
      <c r="AL1641" s="16"/>
      <c r="AM1641" s="16"/>
      <c r="AN1641" s="16"/>
      <c r="AO1641" s="16"/>
      <c r="AP1641" s="16"/>
      <c r="AQ1641" s="16"/>
      <c r="AR1641" s="16"/>
      <c r="AS1641" s="16"/>
    </row>
    <row r="1642" spans="18:45" x14ac:dyDescent="0.35">
      <c r="R1642" s="191"/>
      <c r="S1642" s="191"/>
      <c r="T1642" s="193"/>
      <c r="U1642" s="191"/>
      <c r="V1642" s="194"/>
      <c r="W1642" s="191"/>
      <c r="Y1642" s="191"/>
      <c r="Z1642" s="191"/>
      <c r="AA1642" s="191"/>
      <c r="AB1642" s="191"/>
      <c r="AC1642" s="191"/>
      <c r="AD1642" s="16"/>
      <c r="AE1642" s="16"/>
      <c r="AF1642" s="16"/>
      <c r="AG1642" s="16"/>
      <c r="AH1642" s="16"/>
      <c r="AI1642" s="16"/>
      <c r="AJ1642" s="16"/>
      <c r="AK1642" s="16"/>
      <c r="AL1642" s="16"/>
      <c r="AM1642" s="16"/>
      <c r="AN1642" s="16"/>
      <c r="AO1642" s="16"/>
      <c r="AP1642" s="16"/>
      <c r="AQ1642" s="16"/>
      <c r="AR1642" s="16"/>
      <c r="AS1642" s="16"/>
    </row>
    <row r="1643" spans="18:45" x14ac:dyDescent="0.35">
      <c r="R1643" s="191"/>
      <c r="S1643" s="191"/>
      <c r="T1643" s="193"/>
      <c r="U1643" s="191"/>
      <c r="V1643" s="194"/>
      <c r="W1643" s="191"/>
      <c r="Y1643" s="191"/>
      <c r="Z1643" s="191"/>
      <c r="AA1643" s="191"/>
      <c r="AB1643" s="191"/>
      <c r="AC1643" s="191"/>
      <c r="AD1643" s="16"/>
      <c r="AE1643" s="16"/>
      <c r="AF1643" s="16"/>
      <c r="AG1643" s="16"/>
      <c r="AH1643" s="16"/>
      <c r="AI1643" s="16"/>
      <c r="AJ1643" s="16"/>
      <c r="AK1643" s="16"/>
      <c r="AL1643" s="16"/>
      <c r="AM1643" s="16"/>
      <c r="AN1643" s="16"/>
      <c r="AO1643" s="16"/>
      <c r="AP1643" s="16"/>
      <c r="AQ1643" s="16"/>
      <c r="AR1643" s="16"/>
      <c r="AS1643" s="16"/>
    </row>
    <row r="1644" spans="18:45" x14ac:dyDescent="0.35">
      <c r="R1644" s="191"/>
      <c r="S1644" s="191"/>
      <c r="T1644" s="193"/>
      <c r="U1644" s="191"/>
      <c r="V1644" s="194"/>
      <c r="W1644" s="191"/>
      <c r="Y1644" s="191"/>
      <c r="Z1644" s="191"/>
      <c r="AA1644" s="191"/>
      <c r="AB1644" s="191"/>
      <c r="AC1644" s="191"/>
      <c r="AD1644" s="16"/>
      <c r="AE1644" s="16"/>
      <c r="AF1644" s="16"/>
      <c r="AG1644" s="16"/>
      <c r="AH1644" s="16"/>
      <c r="AI1644" s="16"/>
      <c r="AJ1644" s="16"/>
      <c r="AK1644" s="16"/>
      <c r="AL1644" s="16"/>
      <c r="AM1644" s="16"/>
      <c r="AN1644" s="16"/>
      <c r="AO1644" s="16"/>
      <c r="AP1644" s="16"/>
      <c r="AQ1644" s="16"/>
      <c r="AR1644" s="16"/>
      <c r="AS1644" s="16"/>
    </row>
    <row r="1645" spans="18:45" x14ac:dyDescent="0.35">
      <c r="R1645" s="191"/>
      <c r="S1645" s="191"/>
      <c r="T1645" s="193"/>
      <c r="U1645" s="191"/>
      <c r="V1645" s="194"/>
      <c r="W1645" s="191"/>
      <c r="Y1645" s="191"/>
      <c r="Z1645" s="191"/>
      <c r="AA1645" s="191"/>
      <c r="AB1645" s="191"/>
      <c r="AC1645" s="191"/>
      <c r="AD1645" s="16"/>
      <c r="AE1645" s="16"/>
      <c r="AF1645" s="16"/>
      <c r="AG1645" s="16"/>
      <c r="AH1645" s="16"/>
      <c r="AI1645" s="16"/>
      <c r="AJ1645" s="16"/>
      <c r="AK1645" s="16"/>
      <c r="AL1645" s="16"/>
      <c r="AM1645" s="16"/>
      <c r="AN1645" s="16"/>
      <c r="AO1645" s="16"/>
      <c r="AP1645" s="16"/>
      <c r="AQ1645" s="16"/>
      <c r="AR1645" s="16"/>
      <c r="AS1645" s="16"/>
    </row>
    <row r="1646" spans="18:45" x14ac:dyDescent="0.35">
      <c r="R1646" s="191"/>
      <c r="S1646" s="191"/>
      <c r="T1646" s="193"/>
      <c r="U1646" s="191"/>
      <c r="V1646" s="194"/>
      <c r="W1646" s="191"/>
      <c r="Y1646" s="191"/>
      <c r="Z1646" s="191"/>
      <c r="AA1646" s="191"/>
      <c r="AB1646" s="191"/>
      <c r="AC1646" s="191"/>
      <c r="AD1646" s="16"/>
      <c r="AE1646" s="16"/>
      <c r="AF1646" s="16"/>
      <c r="AG1646" s="16"/>
      <c r="AH1646" s="16"/>
      <c r="AI1646" s="16"/>
      <c r="AJ1646" s="16"/>
      <c r="AK1646" s="16"/>
      <c r="AL1646" s="16"/>
      <c r="AM1646" s="16"/>
      <c r="AN1646" s="16"/>
      <c r="AO1646" s="16"/>
      <c r="AP1646" s="16"/>
      <c r="AQ1646" s="16"/>
      <c r="AR1646" s="16"/>
      <c r="AS1646" s="16"/>
    </row>
    <row r="1647" spans="18:45" x14ac:dyDescent="0.35">
      <c r="R1647" s="191"/>
      <c r="S1647" s="191"/>
      <c r="T1647" s="193"/>
      <c r="U1647" s="191"/>
      <c r="V1647" s="194"/>
      <c r="W1647" s="191"/>
      <c r="Y1647" s="191"/>
      <c r="Z1647" s="191"/>
      <c r="AA1647" s="191"/>
      <c r="AB1647" s="191"/>
      <c r="AC1647" s="191"/>
      <c r="AD1647" s="16"/>
      <c r="AE1647" s="16"/>
      <c r="AF1647" s="16"/>
      <c r="AG1647" s="16"/>
      <c r="AH1647" s="16"/>
      <c r="AI1647" s="16"/>
      <c r="AJ1647" s="16"/>
      <c r="AK1647" s="16"/>
      <c r="AL1647" s="16"/>
      <c r="AM1647" s="16"/>
      <c r="AN1647" s="16"/>
      <c r="AO1647" s="16"/>
      <c r="AP1647" s="16"/>
      <c r="AQ1647" s="16"/>
      <c r="AR1647" s="16"/>
      <c r="AS1647" s="16"/>
    </row>
    <row r="1648" spans="18:45" x14ac:dyDescent="0.35">
      <c r="R1648" s="191"/>
      <c r="S1648" s="191"/>
      <c r="T1648" s="193"/>
      <c r="U1648" s="191"/>
      <c r="V1648" s="194"/>
      <c r="W1648" s="191"/>
      <c r="Y1648" s="191"/>
      <c r="Z1648" s="191"/>
      <c r="AA1648" s="191"/>
      <c r="AB1648" s="191"/>
      <c r="AC1648" s="191"/>
      <c r="AD1648" s="16"/>
      <c r="AE1648" s="16"/>
      <c r="AF1648" s="16"/>
      <c r="AG1648" s="16"/>
      <c r="AH1648" s="16"/>
      <c r="AI1648" s="16"/>
      <c r="AJ1648" s="16"/>
      <c r="AK1648" s="16"/>
      <c r="AL1648" s="16"/>
      <c r="AM1648" s="16"/>
      <c r="AN1648" s="16"/>
      <c r="AO1648" s="16"/>
      <c r="AP1648" s="16"/>
      <c r="AQ1648" s="16"/>
      <c r="AR1648" s="16"/>
      <c r="AS1648" s="16"/>
    </row>
    <row r="1649" spans="18:45" x14ac:dyDescent="0.35">
      <c r="R1649" s="191"/>
      <c r="S1649" s="191"/>
      <c r="T1649" s="193"/>
      <c r="U1649" s="191"/>
      <c r="V1649" s="194"/>
      <c r="W1649" s="191"/>
      <c r="Y1649" s="191"/>
      <c r="Z1649" s="191"/>
      <c r="AA1649" s="191"/>
      <c r="AB1649" s="191"/>
      <c r="AC1649" s="191"/>
      <c r="AD1649" s="16"/>
      <c r="AE1649" s="16"/>
      <c r="AF1649" s="16"/>
      <c r="AG1649" s="16"/>
      <c r="AH1649" s="16"/>
      <c r="AI1649" s="16"/>
      <c r="AJ1649" s="16"/>
      <c r="AK1649" s="16"/>
      <c r="AL1649" s="16"/>
      <c r="AM1649" s="16"/>
      <c r="AN1649" s="16"/>
      <c r="AO1649" s="16"/>
      <c r="AP1649" s="16"/>
      <c r="AQ1649" s="16"/>
      <c r="AR1649" s="16"/>
      <c r="AS1649" s="16"/>
    </row>
    <row r="1650" spans="18:45" x14ac:dyDescent="0.35">
      <c r="R1650" s="191"/>
      <c r="S1650" s="191"/>
      <c r="T1650" s="193"/>
      <c r="U1650" s="191"/>
      <c r="V1650" s="194"/>
      <c r="W1650" s="191"/>
      <c r="Y1650" s="191"/>
      <c r="Z1650" s="191"/>
      <c r="AA1650" s="191"/>
      <c r="AB1650" s="191"/>
      <c r="AC1650" s="191"/>
      <c r="AD1650" s="16"/>
      <c r="AE1650" s="16"/>
      <c r="AF1650" s="16"/>
      <c r="AG1650" s="16"/>
      <c r="AH1650" s="16"/>
      <c r="AI1650" s="16"/>
      <c r="AJ1650" s="16"/>
      <c r="AK1650" s="16"/>
      <c r="AL1650" s="16"/>
      <c r="AM1650" s="16"/>
      <c r="AN1650" s="16"/>
      <c r="AO1650" s="16"/>
      <c r="AP1650" s="16"/>
      <c r="AQ1650" s="16"/>
      <c r="AR1650" s="16"/>
      <c r="AS1650" s="16"/>
    </row>
    <row r="1651" spans="18:45" x14ac:dyDescent="0.35">
      <c r="R1651" s="191"/>
      <c r="S1651" s="191"/>
      <c r="T1651" s="193"/>
      <c r="U1651" s="191"/>
      <c r="V1651" s="194"/>
      <c r="W1651" s="191"/>
      <c r="Y1651" s="191"/>
      <c r="Z1651" s="191"/>
      <c r="AA1651" s="191"/>
      <c r="AB1651" s="191"/>
      <c r="AC1651" s="191"/>
      <c r="AD1651" s="16"/>
      <c r="AE1651" s="16"/>
      <c r="AF1651" s="16"/>
      <c r="AG1651" s="16"/>
      <c r="AH1651" s="16"/>
      <c r="AI1651" s="16"/>
      <c r="AJ1651" s="16"/>
      <c r="AK1651" s="16"/>
      <c r="AL1651" s="16"/>
      <c r="AM1651" s="16"/>
      <c r="AN1651" s="16"/>
      <c r="AO1651" s="16"/>
      <c r="AP1651" s="16"/>
      <c r="AQ1651" s="16"/>
      <c r="AR1651" s="16"/>
      <c r="AS1651" s="16"/>
    </row>
    <row r="1652" spans="18:45" x14ac:dyDescent="0.35">
      <c r="R1652" s="191"/>
      <c r="S1652" s="191"/>
      <c r="T1652" s="193"/>
      <c r="U1652" s="191"/>
      <c r="V1652" s="194"/>
      <c r="W1652" s="191"/>
      <c r="Y1652" s="191"/>
      <c r="Z1652" s="191"/>
      <c r="AA1652" s="191"/>
      <c r="AB1652" s="191"/>
      <c r="AC1652" s="191"/>
      <c r="AD1652" s="16"/>
      <c r="AE1652" s="16"/>
      <c r="AF1652" s="16"/>
      <c r="AG1652" s="16"/>
      <c r="AH1652" s="16"/>
      <c r="AI1652" s="16"/>
      <c r="AJ1652" s="16"/>
      <c r="AK1652" s="16"/>
      <c r="AL1652" s="16"/>
      <c r="AM1652" s="16"/>
      <c r="AN1652" s="16"/>
      <c r="AO1652" s="16"/>
      <c r="AP1652" s="16"/>
      <c r="AQ1652" s="16"/>
      <c r="AR1652" s="16"/>
      <c r="AS1652" s="16"/>
    </row>
    <row r="1653" spans="18:45" x14ac:dyDescent="0.35">
      <c r="R1653" s="191"/>
      <c r="S1653" s="191"/>
      <c r="T1653" s="193"/>
      <c r="U1653" s="191"/>
      <c r="V1653" s="194"/>
      <c r="W1653" s="191"/>
      <c r="Y1653" s="191"/>
      <c r="Z1653" s="191"/>
      <c r="AA1653" s="191"/>
      <c r="AB1653" s="191"/>
      <c r="AC1653" s="191"/>
      <c r="AD1653" s="16"/>
      <c r="AE1653" s="16"/>
      <c r="AF1653" s="16"/>
      <c r="AG1653" s="16"/>
      <c r="AH1653" s="16"/>
      <c r="AI1653" s="16"/>
      <c r="AJ1653" s="16"/>
      <c r="AK1653" s="16"/>
      <c r="AL1653" s="16"/>
      <c r="AM1653" s="16"/>
      <c r="AN1653" s="16"/>
      <c r="AO1653" s="16"/>
      <c r="AP1653" s="16"/>
      <c r="AQ1653" s="16"/>
      <c r="AR1653" s="16"/>
      <c r="AS1653" s="16"/>
    </row>
    <row r="1654" spans="18:45" x14ac:dyDescent="0.35">
      <c r="R1654" s="191"/>
      <c r="S1654" s="191"/>
      <c r="T1654" s="193"/>
      <c r="U1654" s="191"/>
      <c r="V1654" s="194"/>
      <c r="W1654" s="191"/>
      <c r="Y1654" s="191"/>
      <c r="Z1654" s="191"/>
      <c r="AA1654" s="191"/>
      <c r="AB1654" s="191"/>
      <c r="AC1654" s="191"/>
      <c r="AD1654" s="16"/>
      <c r="AE1654" s="16"/>
      <c r="AF1654" s="16"/>
      <c r="AG1654" s="16"/>
      <c r="AH1654" s="16"/>
      <c r="AI1654" s="16"/>
      <c r="AJ1654" s="16"/>
      <c r="AK1654" s="16"/>
      <c r="AL1654" s="16"/>
      <c r="AM1654" s="16"/>
      <c r="AN1654" s="16"/>
      <c r="AO1654" s="16"/>
      <c r="AP1654" s="16"/>
      <c r="AQ1654" s="16"/>
      <c r="AR1654" s="16"/>
      <c r="AS1654" s="16"/>
    </row>
    <row r="1655" spans="18:45" x14ac:dyDescent="0.35">
      <c r="R1655" s="191"/>
      <c r="S1655" s="191"/>
      <c r="T1655" s="193"/>
      <c r="U1655" s="191"/>
      <c r="V1655" s="194"/>
      <c r="W1655" s="191"/>
      <c r="Y1655" s="191"/>
      <c r="Z1655" s="191"/>
      <c r="AA1655" s="191"/>
      <c r="AB1655" s="191"/>
      <c r="AC1655" s="191"/>
      <c r="AD1655" s="16"/>
      <c r="AE1655" s="16"/>
      <c r="AF1655" s="16"/>
      <c r="AG1655" s="16"/>
      <c r="AH1655" s="16"/>
      <c r="AI1655" s="16"/>
      <c r="AJ1655" s="16"/>
      <c r="AK1655" s="16"/>
      <c r="AL1655" s="16"/>
      <c r="AM1655" s="16"/>
      <c r="AN1655" s="16"/>
      <c r="AO1655" s="16"/>
      <c r="AP1655" s="16"/>
      <c r="AQ1655" s="16"/>
      <c r="AR1655" s="16"/>
      <c r="AS1655" s="16"/>
    </row>
    <row r="1656" spans="18:45" x14ac:dyDescent="0.35">
      <c r="R1656" s="191"/>
      <c r="S1656" s="191"/>
      <c r="T1656" s="193"/>
      <c r="U1656" s="191"/>
      <c r="V1656" s="194"/>
      <c r="W1656" s="191"/>
      <c r="Y1656" s="191"/>
      <c r="Z1656" s="191"/>
      <c r="AA1656" s="191"/>
      <c r="AB1656" s="191"/>
      <c r="AC1656" s="191"/>
      <c r="AD1656" s="16"/>
      <c r="AE1656" s="16"/>
      <c r="AF1656" s="16"/>
      <c r="AG1656" s="16"/>
      <c r="AH1656" s="16"/>
      <c r="AI1656" s="16"/>
      <c r="AJ1656" s="16"/>
      <c r="AK1656" s="16"/>
      <c r="AL1656" s="16"/>
      <c r="AM1656" s="16"/>
      <c r="AN1656" s="16"/>
      <c r="AO1656" s="16"/>
      <c r="AP1656" s="16"/>
      <c r="AQ1656" s="16"/>
      <c r="AR1656" s="16"/>
      <c r="AS1656" s="16"/>
    </row>
    <row r="1657" spans="18:45" x14ac:dyDescent="0.35">
      <c r="R1657" s="191"/>
      <c r="S1657" s="191"/>
      <c r="T1657" s="193"/>
      <c r="U1657" s="191"/>
      <c r="V1657" s="194"/>
      <c r="W1657" s="191"/>
      <c r="Y1657" s="191"/>
      <c r="Z1657" s="191"/>
      <c r="AA1657" s="191"/>
      <c r="AB1657" s="191"/>
      <c r="AC1657" s="191"/>
      <c r="AD1657" s="16"/>
      <c r="AE1657" s="16"/>
      <c r="AF1657" s="16"/>
      <c r="AG1657" s="16"/>
      <c r="AH1657" s="16"/>
      <c r="AI1657" s="16"/>
      <c r="AJ1657" s="16"/>
      <c r="AK1657" s="16"/>
      <c r="AL1657" s="16"/>
      <c r="AM1657" s="16"/>
      <c r="AN1657" s="16"/>
      <c r="AO1657" s="16"/>
      <c r="AP1657" s="16"/>
      <c r="AQ1657" s="16"/>
      <c r="AR1657" s="16"/>
      <c r="AS1657" s="16"/>
    </row>
    <row r="1658" spans="18:45" x14ac:dyDescent="0.35">
      <c r="R1658" s="191"/>
      <c r="S1658" s="191"/>
      <c r="T1658" s="193"/>
      <c r="U1658" s="191"/>
      <c r="V1658" s="194"/>
      <c r="W1658" s="191"/>
      <c r="Y1658" s="191"/>
      <c r="Z1658" s="191"/>
      <c r="AA1658" s="191"/>
      <c r="AB1658" s="191"/>
      <c r="AC1658" s="191"/>
      <c r="AD1658" s="16"/>
      <c r="AE1658" s="16"/>
      <c r="AF1658" s="16"/>
      <c r="AG1658" s="16"/>
      <c r="AH1658" s="16"/>
      <c r="AI1658" s="16"/>
      <c r="AJ1658" s="16"/>
      <c r="AK1658" s="16"/>
      <c r="AL1658" s="16"/>
      <c r="AM1658" s="16"/>
      <c r="AN1658" s="16"/>
      <c r="AO1658" s="16"/>
      <c r="AP1658" s="16"/>
      <c r="AQ1658" s="16"/>
      <c r="AR1658" s="16"/>
      <c r="AS1658" s="16"/>
    </row>
    <row r="1659" spans="18:45" x14ac:dyDescent="0.35">
      <c r="R1659" s="191"/>
      <c r="S1659" s="191"/>
      <c r="T1659" s="193"/>
      <c r="U1659" s="191"/>
      <c r="V1659" s="194"/>
      <c r="W1659" s="191"/>
      <c r="Y1659" s="191"/>
      <c r="Z1659" s="191"/>
      <c r="AA1659" s="191"/>
      <c r="AB1659" s="191"/>
      <c r="AC1659" s="191"/>
      <c r="AD1659" s="16"/>
      <c r="AE1659" s="16"/>
      <c r="AF1659" s="16"/>
      <c r="AG1659" s="16"/>
      <c r="AH1659" s="16"/>
      <c r="AI1659" s="16"/>
      <c r="AJ1659" s="16"/>
      <c r="AK1659" s="16"/>
      <c r="AL1659" s="16"/>
      <c r="AM1659" s="16"/>
      <c r="AN1659" s="16"/>
      <c r="AO1659" s="16"/>
      <c r="AP1659" s="16"/>
      <c r="AQ1659" s="16"/>
      <c r="AR1659" s="16"/>
      <c r="AS1659" s="16"/>
    </row>
    <row r="1660" spans="18:45" x14ac:dyDescent="0.35">
      <c r="R1660" s="191"/>
      <c r="S1660" s="191"/>
      <c r="T1660" s="193"/>
      <c r="U1660" s="191"/>
      <c r="V1660" s="194"/>
      <c r="W1660" s="191"/>
      <c r="Y1660" s="191"/>
      <c r="Z1660" s="191"/>
      <c r="AA1660" s="191"/>
      <c r="AB1660" s="191"/>
      <c r="AC1660" s="191"/>
      <c r="AD1660" s="16"/>
      <c r="AE1660" s="16"/>
      <c r="AF1660" s="16"/>
      <c r="AG1660" s="16"/>
      <c r="AH1660" s="16"/>
      <c r="AI1660" s="16"/>
      <c r="AJ1660" s="16"/>
      <c r="AK1660" s="16"/>
      <c r="AL1660" s="16"/>
      <c r="AM1660" s="16"/>
      <c r="AN1660" s="16"/>
      <c r="AO1660" s="16"/>
      <c r="AP1660" s="16"/>
      <c r="AQ1660" s="16"/>
      <c r="AR1660" s="16"/>
      <c r="AS1660" s="16"/>
    </row>
    <row r="1661" spans="18:45" x14ac:dyDescent="0.35">
      <c r="R1661" s="191"/>
      <c r="S1661" s="191"/>
      <c r="T1661" s="193"/>
      <c r="U1661" s="191"/>
      <c r="V1661" s="194"/>
      <c r="W1661" s="191"/>
      <c r="Y1661" s="191"/>
      <c r="Z1661" s="191"/>
      <c r="AA1661" s="191"/>
      <c r="AB1661" s="191"/>
      <c r="AC1661" s="191"/>
      <c r="AD1661" s="16"/>
      <c r="AE1661" s="16"/>
      <c r="AF1661" s="16"/>
      <c r="AG1661" s="16"/>
      <c r="AH1661" s="16"/>
      <c r="AI1661" s="16"/>
      <c r="AJ1661" s="16"/>
      <c r="AK1661" s="16"/>
      <c r="AL1661" s="16"/>
      <c r="AM1661" s="16"/>
      <c r="AN1661" s="16"/>
      <c r="AO1661" s="16"/>
      <c r="AP1661" s="16"/>
      <c r="AQ1661" s="16"/>
      <c r="AR1661" s="16"/>
      <c r="AS1661" s="16"/>
    </row>
    <row r="1662" spans="18:45" x14ac:dyDescent="0.35">
      <c r="R1662" s="191"/>
      <c r="S1662" s="191"/>
      <c r="T1662" s="193"/>
      <c r="U1662" s="191"/>
      <c r="V1662" s="194"/>
      <c r="W1662" s="191"/>
      <c r="Y1662" s="191"/>
      <c r="Z1662" s="191"/>
      <c r="AA1662" s="191"/>
      <c r="AB1662" s="191"/>
      <c r="AC1662" s="191"/>
      <c r="AD1662" s="16"/>
      <c r="AE1662" s="16"/>
      <c r="AF1662" s="16"/>
      <c r="AG1662" s="16"/>
      <c r="AH1662" s="16"/>
      <c r="AI1662" s="16"/>
      <c r="AJ1662" s="16"/>
      <c r="AK1662" s="16"/>
      <c r="AL1662" s="16"/>
      <c r="AM1662" s="16"/>
      <c r="AN1662" s="16"/>
      <c r="AO1662" s="16"/>
      <c r="AP1662" s="16"/>
      <c r="AQ1662" s="16"/>
      <c r="AR1662" s="16"/>
      <c r="AS1662" s="16"/>
    </row>
    <row r="1663" spans="18:45" x14ac:dyDescent="0.35">
      <c r="R1663" s="191"/>
      <c r="S1663" s="191"/>
      <c r="T1663" s="193"/>
      <c r="U1663" s="191"/>
      <c r="V1663" s="194"/>
      <c r="W1663" s="191"/>
      <c r="Y1663" s="191"/>
      <c r="Z1663" s="191"/>
      <c r="AA1663" s="191"/>
      <c r="AB1663" s="191"/>
      <c r="AC1663" s="191"/>
      <c r="AD1663" s="16"/>
      <c r="AE1663" s="16"/>
      <c r="AF1663" s="16"/>
      <c r="AG1663" s="16"/>
      <c r="AH1663" s="16"/>
      <c r="AI1663" s="16"/>
      <c r="AJ1663" s="16"/>
      <c r="AK1663" s="16"/>
      <c r="AL1663" s="16"/>
      <c r="AM1663" s="16"/>
      <c r="AN1663" s="16"/>
      <c r="AO1663" s="16"/>
      <c r="AP1663" s="16"/>
      <c r="AQ1663" s="16"/>
      <c r="AR1663" s="16"/>
      <c r="AS1663" s="16"/>
    </row>
    <row r="1664" spans="18:45" x14ac:dyDescent="0.35">
      <c r="R1664" s="191"/>
      <c r="S1664" s="191"/>
      <c r="T1664" s="193"/>
      <c r="U1664" s="191"/>
      <c r="V1664" s="194"/>
      <c r="W1664" s="191"/>
      <c r="Y1664" s="191"/>
      <c r="Z1664" s="191"/>
      <c r="AA1664" s="191"/>
      <c r="AB1664" s="191"/>
      <c r="AC1664" s="191"/>
      <c r="AD1664" s="16"/>
      <c r="AE1664" s="16"/>
      <c r="AF1664" s="16"/>
      <c r="AG1664" s="16"/>
      <c r="AH1664" s="16"/>
      <c r="AI1664" s="16"/>
      <c r="AJ1664" s="16"/>
      <c r="AK1664" s="16"/>
      <c r="AL1664" s="16"/>
      <c r="AM1664" s="16"/>
      <c r="AN1664" s="16"/>
      <c r="AO1664" s="16"/>
      <c r="AP1664" s="16"/>
      <c r="AQ1664" s="16"/>
      <c r="AR1664" s="16"/>
      <c r="AS1664" s="16"/>
    </row>
    <row r="1665" spans="18:45" x14ac:dyDescent="0.35">
      <c r="R1665" s="191"/>
      <c r="S1665" s="191"/>
      <c r="T1665" s="193"/>
      <c r="U1665" s="191"/>
      <c r="V1665" s="194"/>
      <c r="W1665" s="191"/>
      <c r="Y1665" s="191"/>
      <c r="Z1665" s="191"/>
      <c r="AA1665" s="191"/>
      <c r="AB1665" s="191"/>
      <c r="AC1665" s="191"/>
      <c r="AD1665" s="16"/>
      <c r="AE1665" s="16"/>
      <c r="AF1665" s="16"/>
      <c r="AG1665" s="16"/>
      <c r="AH1665" s="16"/>
      <c r="AI1665" s="16"/>
      <c r="AJ1665" s="16"/>
      <c r="AK1665" s="16"/>
      <c r="AL1665" s="16"/>
      <c r="AM1665" s="16"/>
      <c r="AN1665" s="16"/>
      <c r="AO1665" s="16"/>
      <c r="AP1665" s="16"/>
      <c r="AQ1665" s="16"/>
      <c r="AR1665" s="16"/>
      <c r="AS1665" s="16"/>
    </row>
    <row r="1666" spans="18:45" x14ac:dyDescent="0.35">
      <c r="R1666" s="191"/>
      <c r="S1666" s="191"/>
      <c r="T1666" s="193"/>
      <c r="U1666" s="191"/>
      <c r="V1666" s="194"/>
      <c r="W1666" s="191"/>
      <c r="Y1666" s="191"/>
      <c r="Z1666" s="191"/>
      <c r="AA1666" s="191"/>
      <c r="AB1666" s="191"/>
      <c r="AC1666" s="191"/>
      <c r="AD1666" s="16"/>
      <c r="AE1666" s="16"/>
      <c r="AF1666" s="16"/>
      <c r="AG1666" s="16"/>
      <c r="AH1666" s="16"/>
      <c r="AI1666" s="16"/>
      <c r="AJ1666" s="16"/>
      <c r="AK1666" s="16"/>
      <c r="AL1666" s="16"/>
      <c r="AM1666" s="16"/>
      <c r="AN1666" s="16"/>
      <c r="AO1666" s="16"/>
      <c r="AP1666" s="16"/>
      <c r="AQ1666" s="16"/>
      <c r="AR1666" s="16"/>
      <c r="AS1666" s="16"/>
    </row>
    <row r="1667" spans="18:45" x14ac:dyDescent="0.35">
      <c r="R1667" s="191"/>
      <c r="S1667" s="191"/>
      <c r="T1667" s="193"/>
      <c r="U1667" s="191"/>
      <c r="V1667" s="194"/>
      <c r="W1667" s="191"/>
      <c r="Y1667" s="191"/>
      <c r="Z1667" s="191"/>
      <c r="AA1667" s="191"/>
      <c r="AB1667" s="191"/>
      <c r="AC1667" s="191"/>
      <c r="AD1667" s="16"/>
      <c r="AE1667" s="16"/>
      <c r="AF1667" s="16"/>
      <c r="AG1667" s="16"/>
      <c r="AH1667" s="16"/>
      <c r="AI1667" s="16"/>
      <c r="AJ1667" s="16"/>
      <c r="AK1667" s="16"/>
      <c r="AL1667" s="16"/>
      <c r="AM1667" s="16"/>
      <c r="AN1667" s="16"/>
      <c r="AO1667" s="16"/>
      <c r="AP1667" s="16"/>
      <c r="AQ1667" s="16"/>
      <c r="AR1667" s="16"/>
      <c r="AS1667" s="16"/>
    </row>
    <row r="1668" spans="18:45" x14ac:dyDescent="0.35">
      <c r="R1668" s="191"/>
      <c r="S1668" s="191"/>
      <c r="T1668" s="193"/>
      <c r="U1668" s="191"/>
      <c r="V1668" s="194"/>
      <c r="W1668" s="191"/>
      <c r="Y1668" s="191"/>
      <c r="Z1668" s="191"/>
      <c r="AA1668" s="191"/>
      <c r="AB1668" s="191"/>
      <c r="AC1668" s="191"/>
      <c r="AD1668" s="16"/>
      <c r="AE1668" s="16"/>
      <c r="AF1668" s="16"/>
      <c r="AG1668" s="16"/>
      <c r="AH1668" s="16"/>
      <c r="AI1668" s="16"/>
      <c r="AJ1668" s="16"/>
      <c r="AK1668" s="16"/>
      <c r="AL1668" s="16"/>
      <c r="AM1668" s="16"/>
      <c r="AN1668" s="16"/>
      <c r="AO1668" s="16"/>
      <c r="AP1668" s="16"/>
      <c r="AQ1668" s="16"/>
      <c r="AR1668" s="16"/>
      <c r="AS1668" s="16"/>
    </row>
    <row r="1669" spans="18:45" x14ac:dyDescent="0.35">
      <c r="R1669" s="191"/>
      <c r="S1669" s="191"/>
      <c r="T1669" s="193"/>
      <c r="U1669" s="191"/>
      <c r="V1669" s="194"/>
      <c r="W1669" s="191"/>
      <c r="Y1669" s="191"/>
      <c r="Z1669" s="191"/>
      <c r="AA1669" s="191"/>
      <c r="AB1669" s="191"/>
      <c r="AC1669" s="191"/>
      <c r="AD1669" s="16"/>
      <c r="AE1669" s="16"/>
      <c r="AF1669" s="16"/>
      <c r="AG1669" s="16"/>
      <c r="AH1669" s="16"/>
      <c r="AI1669" s="16"/>
      <c r="AJ1669" s="16"/>
      <c r="AK1669" s="16"/>
      <c r="AL1669" s="16"/>
      <c r="AM1669" s="16"/>
      <c r="AN1669" s="16"/>
      <c r="AO1669" s="16"/>
      <c r="AP1669" s="16"/>
      <c r="AQ1669" s="16"/>
      <c r="AR1669" s="16"/>
      <c r="AS1669" s="16"/>
    </row>
    <row r="1670" spans="18:45" x14ac:dyDescent="0.35">
      <c r="R1670" s="191"/>
      <c r="S1670" s="191"/>
      <c r="T1670" s="193"/>
      <c r="U1670" s="191"/>
      <c r="V1670" s="194"/>
      <c r="W1670" s="191"/>
      <c r="Y1670" s="191"/>
      <c r="Z1670" s="191"/>
      <c r="AA1670" s="191"/>
      <c r="AB1670" s="191"/>
      <c r="AC1670" s="191"/>
      <c r="AD1670" s="16"/>
      <c r="AE1670" s="16"/>
      <c r="AF1670" s="16"/>
      <c r="AG1670" s="16"/>
      <c r="AH1670" s="16"/>
      <c r="AI1670" s="16"/>
      <c r="AJ1670" s="16"/>
      <c r="AK1670" s="16"/>
      <c r="AL1670" s="16"/>
      <c r="AM1670" s="16"/>
      <c r="AN1670" s="16"/>
      <c r="AO1670" s="16"/>
      <c r="AP1670" s="16"/>
      <c r="AQ1670" s="16"/>
      <c r="AR1670" s="16"/>
      <c r="AS1670" s="16"/>
    </row>
    <row r="1671" spans="18:45" x14ac:dyDescent="0.35">
      <c r="R1671" s="191"/>
      <c r="S1671" s="191"/>
      <c r="T1671" s="193"/>
      <c r="U1671" s="191"/>
      <c r="V1671" s="194"/>
      <c r="W1671" s="191"/>
      <c r="Y1671" s="191"/>
      <c r="Z1671" s="191"/>
      <c r="AA1671" s="191"/>
      <c r="AB1671" s="191"/>
      <c r="AC1671" s="191"/>
      <c r="AD1671" s="16"/>
      <c r="AE1671" s="16"/>
      <c r="AF1671" s="16"/>
      <c r="AG1671" s="16"/>
      <c r="AH1671" s="16"/>
      <c r="AI1671" s="16"/>
      <c r="AJ1671" s="16"/>
      <c r="AK1671" s="16"/>
      <c r="AL1671" s="16"/>
      <c r="AM1671" s="16"/>
      <c r="AN1671" s="16"/>
      <c r="AO1671" s="16"/>
      <c r="AP1671" s="16"/>
      <c r="AQ1671" s="16"/>
      <c r="AR1671" s="16"/>
      <c r="AS1671" s="16"/>
    </row>
    <row r="1672" spans="18:45" x14ac:dyDescent="0.35">
      <c r="R1672" s="191"/>
      <c r="S1672" s="191"/>
      <c r="T1672" s="193"/>
      <c r="U1672" s="191"/>
      <c r="V1672" s="194"/>
      <c r="W1672" s="191"/>
      <c r="Y1672" s="191"/>
      <c r="Z1672" s="191"/>
      <c r="AA1672" s="191"/>
      <c r="AB1672" s="191"/>
      <c r="AC1672" s="191"/>
      <c r="AD1672" s="16"/>
      <c r="AE1672" s="16"/>
      <c r="AF1672" s="16"/>
      <c r="AG1672" s="16"/>
      <c r="AH1672" s="16"/>
      <c r="AI1672" s="16"/>
      <c r="AJ1672" s="16"/>
      <c r="AK1672" s="16"/>
      <c r="AL1672" s="16"/>
      <c r="AM1672" s="16"/>
      <c r="AN1672" s="16"/>
      <c r="AO1672" s="16"/>
      <c r="AP1672" s="16"/>
      <c r="AQ1672" s="16"/>
      <c r="AR1672" s="16"/>
      <c r="AS1672" s="16"/>
    </row>
    <row r="1673" spans="18:45" x14ac:dyDescent="0.35">
      <c r="R1673" s="191"/>
      <c r="S1673" s="191"/>
      <c r="T1673" s="193"/>
      <c r="U1673" s="191"/>
      <c r="V1673" s="194"/>
      <c r="W1673" s="191"/>
      <c r="Y1673" s="191"/>
      <c r="Z1673" s="191"/>
      <c r="AA1673" s="191"/>
      <c r="AB1673" s="191"/>
      <c r="AC1673" s="191"/>
      <c r="AD1673" s="16"/>
      <c r="AE1673" s="16"/>
      <c r="AF1673" s="16"/>
      <c r="AG1673" s="16"/>
      <c r="AH1673" s="16"/>
      <c r="AI1673" s="16"/>
      <c r="AJ1673" s="16"/>
      <c r="AK1673" s="16"/>
      <c r="AL1673" s="16"/>
      <c r="AM1673" s="16"/>
      <c r="AN1673" s="16"/>
      <c r="AO1673" s="16"/>
      <c r="AP1673" s="16"/>
      <c r="AQ1673" s="16"/>
      <c r="AR1673" s="16"/>
      <c r="AS1673" s="16"/>
    </row>
    <row r="1674" spans="18:45" x14ac:dyDescent="0.35">
      <c r="R1674" s="191"/>
      <c r="S1674" s="191"/>
      <c r="T1674" s="193"/>
      <c r="U1674" s="191"/>
      <c r="V1674" s="194"/>
      <c r="W1674" s="191"/>
      <c r="Y1674" s="191"/>
      <c r="Z1674" s="191"/>
      <c r="AA1674" s="191"/>
      <c r="AB1674" s="191"/>
      <c r="AC1674" s="191"/>
      <c r="AD1674" s="16"/>
      <c r="AE1674" s="16"/>
      <c r="AF1674" s="16"/>
      <c r="AG1674" s="16"/>
      <c r="AH1674" s="16"/>
      <c r="AI1674" s="16"/>
      <c r="AJ1674" s="16"/>
      <c r="AK1674" s="16"/>
      <c r="AL1674" s="16"/>
      <c r="AM1674" s="16"/>
      <c r="AN1674" s="16"/>
      <c r="AO1674" s="16"/>
      <c r="AP1674" s="16"/>
      <c r="AQ1674" s="16"/>
      <c r="AR1674" s="16"/>
      <c r="AS1674" s="16"/>
    </row>
    <row r="1675" spans="18:45" x14ac:dyDescent="0.35">
      <c r="R1675" s="191"/>
      <c r="S1675" s="191"/>
      <c r="T1675" s="193"/>
      <c r="U1675" s="191"/>
      <c r="V1675" s="194"/>
      <c r="W1675" s="191"/>
      <c r="Y1675" s="191"/>
      <c r="Z1675" s="191"/>
      <c r="AA1675" s="191"/>
      <c r="AB1675" s="191"/>
      <c r="AC1675" s="191"/>
      <c r="AD1675" s="16"/>
      <c r="AE1675" s="16"/>
      <c r="AF1675" s="16"/>
      <c r="AG1675" s="16"/>
      <c r="AH1675" s="16"/>
      <c r="AI1675" s="16"/>
      <c r="AJ1675" s="16"/>
      <c r="AK1675" s="16"/>
      <c r="AL1675" s="16"/>
      <c r="AM1675" s="16"/>
      <c r="AN1675" s="16"/>
      <c r="AO1675" s="16"/>
      <c r="AP1675" s="16"/>
      <c r="AQ1675" s="16"/>
      <c r="AR1675" s="16"/>
      <c r="AS1675" s="16"/>
    </row>
    <row r="1676" spans="18:45" x14ac:dyDescent="0.35">
      <c r="R1676" s="191"/>
      <c r="S1676" s="191"/>
      <c r="T1676" s="193"/>
      <c r="U1676" s="191"/>
      <c r="V1676" s="194"/>
      <c r="W1676" s="191"/>
      <c r="Y1676" s="191"/>
      <c r="Z1676" s="191"/>
      <c r="AA1676" s="191"/>
      <c r="AB1676" s="191"/>
      <c r="AC1676" s="191"/>
      <c r="AD1676" s="16"/>
      <c r="AE1676" s="16"/>
      <c r="AF1676" s="16"/>
      <c r="AG1676" s="16"/>
      <c r="AH1676" s="16"/>
      <c r="AI1676" s="16"/>
      <c r="AJ1676" s="16"/>
      <c r="AK1676" s="16"/>
      <c r="AL1676" s="16"/>
      <c r="AM1676" s="16"/>
      <c r="AN1676" s="16"/>
      <c r="AO1676" s="16"/>
      <c r="AP1676" s="16"/>
      <c r="AQ1676" s="16"/>
      <c r="AR1676" s="16"/>
      <c r="AS1676" s="16"/>
    </row>
    <row r="1677" spans="18:45" x14ac:dyDescent="0.35">
      <c r="R1677" s="191"/>
      <c r="S1677" s="191"/>
      <c r="T1677" s="193"/>
      <c r="U1677" s="191"/>
      <c r="V1677" s="194"/>
      <c r="W1677" s="191"/>
      <c r="Y1677" s="191"/>
      <c r="Z1677" s="191"/>
      <c r="AA1677" s="191"/>
      <c r="AB1677" s="191"/>
      <c r="AC1677" s="191"/>
      <c r="AD1677" s="16"/>
      <c r="AE1677" s="16"/>
      <c r="AF1677" s="16"/>
      <c r="AG1677" s="16"/>
      <c r="AH1677" s="16"/>
      <c r="AI1677" s="16"/>
      <c r="AJ1677" s="16"/>
      <c r="AK1677" s="16"/>
      <c r="AL1677" s="16"/>
      <c r="AM1677" s="16"/>
      <c r="AN1677" s="16"/>
      <c r="AO1677" s="16"/>
      <c r="AP1677" s="16"/>
      <c r="AQ1677" s="16"/>
      <c r="AR1677" s="16"/>
      <c r="AS1677" s="16"/>
    </row>
    <row r="1678" spans="18:45" x14ac:dyDescent="0.35">
      <c r="R1678" s="191"/>
      <c r="S1678" s="191"/>
      <c r="T1678" s="193"/>
      <c r="U1678" s="191"/>
      <c r="V1678" s="194"/>
      <c r="W1678" s="191"/>
      <c r="Y1678" s="191"/>
      <c r="Z1678" s="191"/>
      <c r="AA1678" s="191"/>
      <c r="AB1678" s="191"/>
      <c r="AC1678" s="191"/>
      <c r="AD1678" s="16"/>
      <c r="AE1678" s="16"/>
      <c r="AF1678" s="16"/>
      <c r="AG1678" s="16"/>
      <c r="AH1678" s="16"/>
      <c r="AI1678" s="16"/>
      <c r="AJ1678" s="16"/>
      <c r="AK1678" s="16"/>
      <c r="AL1678" s="16"/>
      <c r="AM1678" s="16"/>
      <c r="AN1678" s="16"/>
      <c r="AO1678" s="16"/>
      <c r="AP1678" s="16"/>
      <c r="AQ1678" s="16"/>
      <c r="AR1678" s="16"/>
      <c r="AS1678" s="16"/>
    </row>
    <row r="1679" spans="18:45" x14ac:dyDescent="0.35">
      <c r="R1679" s="191"/>
      <c r="S1679" s="191"/>
      <c r="T1679" s="193"/>
      <c r="U1679" s="191"/>
      <c r="V1679" s="194"/>
      <c r="W1679" s="191"/>
      <c r="Y1679" s="191"/>
      <c r="Z1679" s="191"/>
      <c r="AA1679" s="191"/>
      <c r="AB1679" s="191"/>
      <c r="AC1679" s="191"/>
      <c r="AD1679" s="16"/>
      <c r="AE1679" s="16"/>
      <c r="AF1679" s="16"/>
      <c r="AG1679" s="16"/>
      <c r="AH1679" s="16"/>
      <c r="AI1679" s="16"/>
      <c r="AJ1679" s="16"/>
      <c r="AK1679" s="16"/>
      <c r="AL1679" s="16"/>
      <c r="AM1679" s="16"/>
      <c r="AN1679" s="16"/>
      <c r="AO1679" s="16"/>
      <c r="AP1679" s="16"/>
      <c r="AQ1679" s="16"/>
      <c r="AR1679" s="16"/>
      <c r="AS1679" s="16"/>
    </row>
    <row r="1680" spans="18:45" x14ac:dyDescent="0.35">
      <c r="R1680" s="191"/>
      <c r="S1680" s="191"/>
      <c r="T1680" s="193"/>
      <c r="U1680" s="191"/>
      <c r="V1680" s="194"/>
      <c r="W1680" s="191"/>
      <c r="Y1680" s="191"/>
      <c r="Z1680" s="191"/>
      <c r="AA1680" s="191"/>
      <c r="AB1680" s="191"/>
      <c r="AC1680" s="191"/>
      <c r="AD1680" s="16"/>
      <c r="AE1680" s="16"/>
      <c r="AF1680" s="16"/>
      <c r="AG1680" s="16"/>
      <c r="AH1680" s="16"/>
      <c r="AI1680" s="16"/>
      <c r="AJ1680" s="16"/>
      <c r="AK1680" s="16"/>
      <c r="AL1680" s="16"/>
      <c r="AM1680" s="16"/>
      <c r="AN1680" s="16"/>
      <c r="AO1680" s="16"/>
      <c r="AP1680" s="16"/>
      <c r="AQ1680" s="16"/>
      <c r="AR1680" s="16"/>
      <c r="AS1680" s="16"/>
    </row>
    <row r="1681" spans="18:45" x14ac:dyDescent="0.35">
      <c r="R1681" s="191"/>
      <c r="S1681" s="191"/>
      <c r="T1681" s="193"/>
      <c r="U1681" s="191"/>
      <c r="V1681" s="194"/>
      <c r="W1681" s="191"/>
      <c r="Y1681" s="191"/>
      <c r="Z1681" s="191"/>
      <c r="AA1681" s="191"/>
      <c r="AB1681" s="191"/>
      <c r="AC1681" s="191"/>
      <c r="AD1681" s="16"/>
      <c r="AE1681" s="16"/>
      <c r="AF1681" s="16"/>
      <c r="AG1681" s="16"/>
      <c r="AH1681" s="16"/>
      <c r="AI1681" s="16"/>
      <c r="AJ1681" s="16"/>
      <c r="AK1681" s="16"/>
      <c r="AL1681" s="16"/>
      <c r="AM1681" s="16"/>
      <c r="AN1681" s="16"/>
      <c r="AO1681" s="16"/>
      <c r="AP1681" s="16"/>
      <c r="AQ1681" s="16"/>
      <c r="AR1681" s="16"/>
      <c r="AS1681" s="16"/>
    </row>
    <row r="1682" spans="18:45" x14ac:dyDescent="0.35">
      <c r="R1682" s="191"/>
      <c r="S1682" s="191"/>
      <c r="T1682" s="193"/>
      <c r="U1682" s="191"/>
      <c r="V1682" s="194"/>
      <c r="W1682" s="191"/>
      <c r="Y1682" s="191"/>
      <c r="Z1682" s="191"/>
      <c r="AA1682" s="191"/>
      <c r="AB1682" s="191"/>
      <c r="AC1682" s="191"/>
      <c r="AD1682" s="16"/>
      <c r="AE1682" s="16"/>
      <c r="AF1682" s="16"/>
      <c r="AG1682" s="16"/>
      <c r="AH1682" s="16"/>
      <c r="AI1682" s="16"/>
      <c r="AJ1682" s="16"/>
      <c r="AK1682" s="16"/>
      <c r="AL1682" s="16"/>
      <c r="AM1682" s="16"/>
      <c r="AN1682" s="16"/>
      <c r="AO1682" s="16"/>
      <c r="AP1682" s="16"/>
      <c r="AQ1682" s="16"/>
      <c r="AR1682" s="16"/>
      <c r="AS1682" s="16"/>
    </row>
    <row r="1683" spans="18:45" x14ac:dyDescent="0.35">
      <c r="R1683" s="191"/>
      <c r="S1683" s="191"/>
      <c r="T1683" s="193"/>
      <c r="U1683" s="191"/>
      <c r="V1683" s="194"/>
      <c r="W1683" s="191"/>
      <c r="Y1683" s="191"/>
      <c r="Z1683" s="191"/>
      <c r="AA1683" s="191"/>
      <c r="AB1683" s="191"/>
      <c r="AC1683" s="191"/>
      <c r="AD1683" s="16"/>
      <c r="AE1683" s="16"/>
      <c r="AF1683" s="16"/>
      <c r="AG1683" s="16"/>
      <c r="AH1683" s="16"/>
      <c r="AI1683" s="16"/>
      <c r="AJ1683" s="16"/>
      <c r="AK1683" s="16"/>
      <c r="AL1683" s="16"/>
      <c r="AM1683" s="16"/>
      <c r="AN1683" s="16"/>
      <c r="AO1683" s="16"/>
      <c r="AP1683" s="16"/>
      <c r="AQ1683" s="16"/>
      <c r="AR1683" s="16"/>
      <c r="AS1683" s="16"/>
    </row>
    <row r="1684" spans="18:45" x14ac:dyDescent="0.35">
      <c r="R1684" s="191"/>
      <c r="S1684" s="191"/>
      <c r="T1684" s="193"/>
      <c r="U1684" s="191"/>
      <c r="V1684" s="194"/>
      <c r="W1684" s="191"/>
      <c r="Y1684" s="191"/>
      <c r="Z1684" s="191"/>
      <c r="AA1684" s="191"/>
      <c r="AB1684" s="191"/>
      <c r="AC1684" s="191"/>
      <c r="AD1684" s="16"/>
      <c r="AE1684" s="16"/>
      <c r="AF1684" s="16"/>
      <c r="AG1684" s="16"/>
      <c r="AH1684" s="16"/>
      <c r="AI1684" s="16"/>
      <c r="AJ1684" s="16"/>
      <c r="AK1684" s="16"/>
      <c r="AL1684" s="16"/>
      <c r="AM1684" s="16"/>
      <c r="AN1684" s="16"/>
      <c r="AO1684" s="16"/>
      <c r="AP1684" s="16"/>
      <c r="AQ1684" s="16"/>
      <c r="AR1684" s="16"/>
      <c r="AS1684" s="16"/>
    </row>
    <row r="1685" spans="18:45" x14ac:dyDescent="0.35">
      <c r="R1685" s="191"/>
      <c r="S1685" s="191"/>
      <c r="T1685" s="193"/>
      <c r="U1685" s="191"/>
      <c r="V1685" s="194"/>
      <c r="W1685" s="191"/>
      <c r="Y1685" s="191"/>
      <c r="Z1685" s="191"/>
      <c r="AA1685" s="191"/>
      <c r="AB1685" s="191"/>
      <c r="AC1685" s="191"/>
      <c r="AD1685" s="16"/>
      <c r="AE1685" s="16"/>
      <c r="AF1685" s="16"/>
      <c r="AG1685" s="16"/>
      <c r="AH1685" s="16"/>
      <c r="AI1685" s="16"/>
      <c r="AJ1685" s="16"/>
      <c r="AK1685" s="16"/>
      <c r="AL1685" s="16"/>
      <c r="AM1685" s="16"/>
      <c r="AN1685" s="16"/>
      <c r="AO1685" s="16"/>
      <c r="AP1685" s="16"/>
      <c r="AQ1685" s="16"/>
      <c r="AR1685" s="16"/>
      <c r="AS1685" s="16"/>
    </row>
    <row r="1686" spans="18:45" x14ac:dyDescent="0.35">
      <c r="R1686" s="191"/>
      <c r="S1686" s="191"/>
      <c r="T1686" s="193"/>
      <c r="U1686" s="191"/>
      <c r="V1686" s="194"/>
      <c r="W1686" s="191"/>
      <c r="Y1686" s="191"/>
      <c r="Z1686" s="191"/>
      <c r="AA1686" s="191"/>
      <c r="AB1686" s="191"/>
      <c r="AC1686" s="191"/>
      <c r="AD1686" s="16"/>
      <c r="AE1686" s="16"/>
      <c r="AF1686" s="16"/>
      <c r="AG1686" s="16"/>
      <c r="AH1686" s="16"/>
      <c r="AI1686" s="16"/>
      <c r="AJ1686" s="16"/>
      <c r="AK1686" s="16"/>
      <c r="AL1686" s="16"/>
      <c r="AM1686" s="16"/>
      <c r="AN1686" s="16"/>
      <c r="AO1686" s="16"/>
      <c r="AP1686" s="16"/>
      <c r="AQ1686" s="16"/>
      <c r="AR1686" s="16"/>
      <c r="AS1686" s="16"/>
    </row>
    <row r="1687" spans="18:45" x14ac:dyDescent="0.35">
      <c r="R1687" s="191"/>
      <c r="S1687" s="191"/>
      <c r="T1687" s="193"/>
      <c r="U1687" s="191"/>
      <c r="V1687" s="194"/>
      <c r="W1687" s="191"/>
      <c r="Y1687" s="191"/>
      <c r="Z1687" s="191"/>
      <c r="AA1687" s="191"/>
      <c r="AB1687" s="191"/>
      <c r="AC1687" s="191"/>
      <c r="AD1687" s="16"/>
      <c r="AE1687" s="16"/>
      <c r="AF1687" s="16"/>
      <c r="AG1687" s="16"/>
      <c r="AH1687" s="16"/>
      <c r="AI1687" s="16"/>
      <c r="AJ1687" s="16"/>
      <c r="AK1687" s="16"/>
      <c r="AL1687" s="16"/>
      <c r="AM1687" s="16"/>
      <c r="AN1687" s="16"/>
      <c r="AO1687" s="16"/>
      <c r="AP1687" s="16"/>
      <c r="AQ1687" s="16"/>
      <c r="AR1687" s="16"/>
      <c r="AS1687" s="16"/>
    </row>
    <row r="1688" spans="18:45" x14ac:dyDescent="0.35">
      <c r="R1688" s="191"/>
      <c r="S1688" s="191"/>
      <c r="T1688" s="193"/>
      <c r="U1688" s="191"/>
      <c r="V1688" s="194"/>
      <c r="W1688" s="191"/>
      <c r="Y1688" s="191"/>
      <c r="Z1688" s="191"/>
      <c r="AA1688" s="191"/>
      <c r="AB1688" s="191"/>
      <c r="AC1688" s="191"/>
      <c r="AD1688" s="16"/>
      <c r="AE1688" s="16"/>
      <c r="AF1688" s="16"/>
      <c r="AG1688" s="16"/>
      <c r="AH1688" s="16"/>
      <c r="AI1688" s="16"/>
      <c r="AJ1688" s="16"/>
      <c r="AK1688" s="16"/>
      <c r="AL1688" s="16"/>
      <c r="AM1688" s="16"/>
      <c r="AN1688" s="16"/>
      <c r="AO1688" s="16"/>
      <c r="AP1688" s="16"/>
      <c r="AQ1688" s="16"/>
      <c r="AR1688" s="16"/>
      <c r="AS1688" s="16"/>
    </row>
    <row r="1689" spans="18:45" x14ac:dyDescent="0.35">
      <c r="R1689" s="191"/>
      <c r="S1689" s="191"/>
      <c r="T1689" s="193"/>
      <c r="U1689" s="191"/>
      <c r="V1689" s="194"/>
      <c r="W1689" s="191"/>
      <c r="Y1689" s="191"/>
      <c r="Z1689" s="191"/>
      <c r="AA1689" s="191"/>
      <c r="AB1689" s="191"/>
      <c r="AC1689" s="191"/>
      <c r="AD1689" s="16"/>
      <c r="AE1689" s="16"/>
      <c r="AF1689" s="16"/>
      <c r="AG1689" s="16"/>
      <c r="AH1689" s="16"/>
      <c r="AI1689" s="16"/>
      <c r="AJ1689" s="16"/>
      <c r="AK1689" s="16"/>
      <c r="AL1689" s="16"/>
      <c r="AM1689" s="16"/>
      <c r="AN1689" s="16"/>
      <c r="AO1689" s="16"/>
      <c r="AP1689" s="16"/>
      <c r="AQ1689" s="16"/>
      <c r="AR1689" s="16"/>
      <c r="AS1689" s="16"/>
    </row>
    <row r="1690" spans="18:45" x14ac:dyDescent="0.35">
      <c r="R1690" s="191"/>
      <c r="S1690" s="191"/>
      <c r="T1690" s="193"/>
      <c r="U1690" s="191"/>
      <c r="V1690" s="194"/>
      <c r="W1690" s="191"/>
      <c r="Y1690" s="191"/>
      <c r="Z1690" s="191"/>
      <c r="AA1690" s="191"/>
      <c r="AB1690" s="191"/>
      <c r="AC1690" s="191"/>
      <c r="AD1690" s="16"/>
      <c r="AE1690" s="16"/>
      <c r="AF1690" s="16"/>
      <c r="AG1690" s="16"/>
      <c r="AH1690" s="16"/>
      <c r="AI1690" s="16"/>
      <c r="AJ1690" s="16"/>
      <c r="AK1690" s="16"/>
      <c r="AL1690" s="16"/>
      <c r="AM1690" s="16"/>
      <c r="AN1690" s="16"/>
      <c r="AO1690" s="16"/>
      <c r="AP1690" s="16"/>
      <c r="AQ1690" s="16"/>
      <c r="AR1690" s="16"/>
      <c r="AS1690" s="16"/>
    </row>
    <row r="1691" spans="18:45" x14ac:dyDescent="0.35">
      <c r="R1691" s="191"/>
      <c r="S1691" s="191"/>
      <c r="T1691" s="193"/>
      <c r="U1691" s="191"/>
      <c r="V1691" s="194"/>
      <c r="W1691" s="191"/>
      <c r="Y1691" s="191"/>
      <c r="Z1691" s="191"/>
      <c r="AA1691" s="191"/>
      <c r="AB1691" s="191"/>
      <c r="AC1691" s="191"/>
      <c r="AD1691" s="16"/>
      <c r="AE1691" s="16"/>
      <c r="AF1691" s="16"/>
      <c r="AG1691" s="16"/>
      <c r="AH1691" s="16"/>
      <c r="AI1691" s="16"/>
      <c r="AJ1691" s="16"/>
      <c r="AK1691" s="16"/>
      <c r="AL1691" s="16"/>
      <c r="AM1691" s="16"/>
      <c r="AN1691" s="16"/>
      <c r="AO1691" s="16"/>
      <c r="AP1691" s="16"/>
      <c r="AQ1691" s="16"/>
      <c r="AR1691" s="16"/>
      <c r="AS1691" s="16"/>
    </row>
    <row r="1692" spans="18:45" x14ac:dyDescent="0.35">
      <c r="R1692" s="191"/>
      <c r="S1692" s="191"/>
      <c r="T1692" s="193"/>
      <c r="U1692" s="191"/>
      <c r="V1692" s="194"/>
      <c r="W1692" s="191"/>
      <c r="Y1692" s="191"/>
      <c r="Z1692" s="191"/>
      <c r="AA1692" s="191"/>
      <c r="AB1692" s="191"/>
      <c r="AC1692" s="191"/>
      <c r="AD1692" s="16"/>
      <c r="AE1692" s="16"/>
      <c r="AF1692" s="16"/>
      <c r="AG1692" s="16"/>
      <c r="AH1692" s="16"/>
      <c r="AI1692" s="16"/>
      <c r="AJ1692" s="16"/>
      <c r="AK1692" s="16"/>
      <c r="AL1692" s="16"/>
      <c r="AM1692" s="16"/>
      <c r="AN1692" s="16"/>
      <c r="AO1692" s="16"/>
      <c r="AP1692" s="16"/>
      <c r="AQ1692" s="16"/>
      <c r="AR1692" s="16"/>
      <c r="AS1692" s="16"/>
    </row>
    <row r="1693" spans="18:45" x14ac:dyDescent="0.35">
      <c r="R1693" s="191"/>
      <c r="S1693" s="191"/>
      <c r="T1693" s="193"/>
      <c r="U1693" s="191"/>
      <c r="V1693" s="194"/>
      <c r="W1693" s="191"/>
      <c r="Y1693" s="191"/>
      <c r="Z1693" s="191"/>
      <c r="AA1693" s="191"/>
      <c r="AB1693" s="191"/>
      <c r="AC1693" s="191"/>
      <c r="AD1693" s="16"/>
      <c r="AE1693" s="16"/>
      <c r="AF1693" s="16"/>
      <c r="AG1693" s="16"/>
      <c r="AH1693" s="16"/>
      <c r="AI1693" s="16"/>
      <c r="AJ1693" s="16"/>
      <c r="AK1693" s="16"/>
      <c r="AL1693" s="16"/>
      <c r="AM1693" s="16"/>
      <c r="AN1693" s="16"/>
      <c r="AO1693" s="16"/>
      <c r="AP1693" s="16"/>
      <c r="AQ1693" s="16"/>
      <c r="AR1693" s="16"/>
      <c r="AS1693" s="16"/>
    </row>
    <row r="1694" spans="18:45" x14ac:dyDescent="0.35">
      <c r="R1694" s="191"/>
      <c r="S1694" s="191"/>
      <c r="T1694" s="193"/>
      <c r="U1694" s="191"/>
      <c r="V1694" s="194"/>
      <c r="W1694" s="191"/>
      <c r="Y1694" s="191"/>
      <c r="Z1694" s="191"/>
      <c r="AA1694" s="191"/>
      <c r="AB1694" s="191"/>
      <c r="AC1694" s="191"/>
      <c r="AD1694" s="16"/>
      <c r="AE1694" s="16"/>
      <c r="AF1694" s="16"/>
      <c r="AG1694" s="16"/>
      <c r="AH1694" s="16"/>
      <c r="AI1694" s="16"/>
      <c r="AJ1694" s="16"/>
      <c r="AK1694" s="16"/>
      <c r="AL1694" s="16"/>
      <c r="AM1694" s="16"/>
      <c r="AN1694" s="16"/>
      <c r="AO1694" s="16"/>
      <c r="AP1694" s="16"/>
      <c r="AQ1694" s="16"/>
      <c r="AR1694" s="16"/>
      <c r="AS1694" s="16"/>
    </row>
    <row r="1695" spans="18:45" x14ac:dyDescent="0.35">
      <c r="R1695" s="191"/>
      <c r="S1695" s="191"/>
      <c r="T1695" s="193"/>
      <c r="U1695" s="191"/>
      <c r="V1695" s="194"/>
      <c r="W1695" s="191"/>
      <c r="Y1695" s="191"/>
      <c r="Z1695" s="191"/>
      <c r="AA1695" s="191"/>
      <c r="AB1695" s="191"/>
      <c r="AC1695" s="191"/>
      <c r="AD1695" s="16"/>
      <c r="AE1695" s="16"/>
      <c r="AF1695" s="16"/>
      <c r="AG1695" s="16"/>
      <c r="AH1695" s="16"/>
      <c r="AI1695" s="16"/>
      <c r="AJ1695" s="16"/>
      <c r="AK1695" s="16"/>
      <c r="AL1695" s="16"/>
      <c r="AM1695" s="16"/>
      <c r="AN1695" s="16"/>
      <c r="AO1695" s="16"/>
      <c r="AP1695" s="16"/>
      <c r="AQ1695" s="16"/>
      <c r="AR1695" s="16"/>
      <c r="AS1695" s="16"/>
    </row>
    <row r="1696" spans="18:45" x14ac:dyDescent="0.35">
      <c r="R1696" s="191"/>
      <c r="S1696" s="191"/>
      <c r="T1696" s="193"/>
      <c r="U1696" s="191"/>
      <c r="V1696" s="194"/>
      <c r="W1696" s="191"/>
      <c r="Y1696" s="191"/>
      <c r="Z1696" s="191"/>
      <c r="AA1696" s="191"/>
      <c r="AB1696" s="191"/>
      <c r="AC1696" s="191"/>
      <c r="AD1696" s="16"/>
      <c r="AE1696" s="16"/>
      <c r="AF1696" s="16"/>
      <c r="AG1696" s="16"/>
      <c r="AH1696" s="16"/>
      <c r="AI1696" s="16"/>
      <c r="AJ1696" s="16"/>
      <c r="AK1696" s="16"/>
      <c r="AL1696" s="16"/>
      <c r="AM1696" s="16"/>
      <c r="AN1696" s="16"/>
      <c r="AO1696" s="16"/>
      <c r="AP1696" s="16"/>
      <c r="AQ1696" s="16"/>
      <c r="AR1696" s="16"/>
      <c r="AS1696" s="16"/>
    </row>
    <row r="1697" spans="18:45" x14ac:dyDescent="0.35">
      <c r="R1697" s="191"/>
      <c r="S1697" s="191"/>
      <c r="T1697" s="193"/>
      <c r="U1697" s="191"/>
      <c r="V1697" s="194"/>
      <c r="W1697" s="191"/>
      <c r="Y1697" s="191"/>
      <c r="Z1697" s="191"/>
      <c r="AA1697" s="191"/>
      <c r="AB1697" s="191"/>
      <c r="AC1697" s="191"/>
      <c r="AD1697" s="16"/>
      <c r="AE1697" s="16"/>
      <c r="AF1697" s="16"/>
      <c r="AG1697" s="16"/>
      <c r="AH1697" s="16"/>
      <c r="AI1697" s="16"/>
      <c r="AJ1697" s="16"/>
      <c r="AK1697" s="16"/>
      <c r="AL1697" s="16"/>
      <c r="AM1697" s="16"/>
      <c r="AN1697" s="16"/>
      <c r="AO1697" s="16"/>
      <c r="AP1697" s="16"/>
      <c r="AQ1697" s="16"/>
      <c r="AR1697" s="16"/>
      <c r="AS1697" s="16"/>
    </row>
    <row r="1698" spans="18:45" x14ac:dyDescent="0.35">
      <c r="R1698" s="191"/>
      <c r="S1698" s="191"/>
      <c r="T1698" s="193"/>
      <c r="U1698" s="191"/>
      <c r="V1698" s="194"/>
      <c r="W1698" s="191"/>
      <c r="Y1698" s="191"/>
      <c r="Z1698" s="191"/>
      <c r="AA1698" s="191"/>
      <c r="AB1698" s="191"/>
      <c r="AC1698" s="191"/>
      <c r="AD1698" s="16"/>
      <c r="AE1698" s="16"/>
      <c r="AF1698" s="16"/>
      <c r="AG1698" s="16"/>
      <c r="AH1698" s="16"/>
      <c r="AI1698" s="16"/>
      <c r="AJ1698" s="16"/>
      <c r="AK1698" s="16"/>
      <c r="AL1698" s="16"/>
      <c r="AM1698" s="16"/>
      <c r="AN1698" s="16"/>
      <c r="AO1698" s="16"/>
      <c r="AP1698" s="16"/>
      <c r="AQ1698" s="16"/>
      <c r="AR1698" s="16"/>
      <c r="AS1698" s="16"/>
    </row>
    <row r="1699" spans="18:45" x14ac:dyDescent="0.35">
      <c r="R1699" s="191"/>
      <c r="S1699" s="191"/>
      <c r="T1699" s="193"/>
      <c r="U1699" s="191"/>
      <c r="V1699" s="194"/>
      <c r="W1699" s="191"/>
      <c r="Y1699" s="191"/>
      <c r="Z1699" s="191"/>
      <c r="AA1699" s="191"/>
      <c r="AB1699" s="191"/>
      <c r="AC1699" s="191"/>
      <c r="AD1699" s="16"/>
      <c r="AE1699" s="16"/>
      <c r="AF1699" s="16"/>
      <c r="AG1699" s="16"/>
      <c r="AH1699" s="16"/>
      <c r="AI1699" s="16"/>
      <c r="AJ1699" s="16"/>
      <c r="AK1699" s="16"/>
      <c r="AL1699" s="16"/>
      <c r="AM1699" s="16"/>
      <c r="AN1699" s="16"/>
      <c r="AO1699" s="16"/>
      <c r="AP1699" s="16"/>
      <c r="AQ1699" s="16"/>
      <c r="AR1699" s="16"/>
      <c r="AS1699" s="16"/>
    </row>
    <row r="1700" spans="18:45" x14ac:dyDescent="0.35">
      <c r="R1700" s="191"/>
      <c r="S1700" s="191"/>
      <c r="T1700" s="193"/>
      <c r="U1700" s="191"/>
      <c r="V1700" s="194"/>
      <c r="W1700" s="191"/>
      <c r="Y1700" s="191"/>
      <c r="Z1700" s="191"/>
      <c r="AA1700" s="191"/>
      <c r="AB1700" s="191"/>
      <c r="AC1700" s="191"/>
      <c r="AD1700" s="16"/>
      <c r="AE1700" s="16"/>
      <c r="AF1700" s="16"/>
      <c r="AG1700" s="16"/>
      <c r="AH1700" s="16"/>
      <c r="AI1700" s="16"/>
      <c r="AJ1700" s="16"/>
      <c r="AK1700" s="16"/>
      <c r="AL1700" s="16"/>
      <c r="AM1700" s="16"/>
      <c r="AN1700" s="16"/>
      <c r="AO1700" s="16"/>
      <c r="AP1700" s="16"/>
      <c r="AQ1700" s="16"/>
      <c r="AR1700" s="16"/>
      <c r="AS1700" s="16"/>
    </row>
    <row r="1701" spans="18:45" x14ac:dyDescent="0.35">
      <c r="R1701" s="191"/>
      <c r="S1701" s="191"/>
      <c r="T1701" s="193"/>
      <c r="U1701" s="191"/>
      <c r="V1701" s="194"/>
      <c r="W1701" s="191"/>
      <c r="Y1701" s="191"/>
      <c r="Z1701" s="191"/>
      <c r="AA1701" s="191"/>
      <c r="AB1701" s="191"/>
      <c r="AC1701" s="191"/>
      <c r="AD1701" s="16"/>
      <c r="AE1701" s="16"/>
      <c r="AF1701" s="16"/>
      <c r="AG1701" s="16"/>
      <c r="AH1701" s="16"/>
      <c r="AI1701" s="16"/>
      <c r="AJ1701" s="16"/>
      <c r="AK1701" s="16"/>
      <c r="AL1701" s="16"/>
      <c r="AM1701" s="16"/>
      <c r="AN1701" s="16"/>
      <c r="AO1701" s="16"/>
      <c r="AP1701" s="16"/>
      <c r="AQ1701" s="16"/>
      <c r="AR1701" s="16"/>
      <c r="AS1701" s="16"/>
    </row>
    <row r="1702" spans="18:45" x14ac:dyDescent="0.35">
      <c r="R1702" s="191"/>
      <c r="S1702" s="191"/>
      <c r="T1702" s="193"/>
      <c r="U1702" s="191"/>
      <c r="V1702" s="194"/>
      <c r="W1702" s="191"/>
      <c r="Y1702" s="191"/>
      <c r="Z1702" s="191"/>
      <c r="AA1702" s="191"/>
      <c r="AB1702" s="191"/>
      <c r="AC1702" s="191"/>
      <c r="AD1702" s="16"/>
      <c r="AE1702" s="16"/>
      <c r="AF1702" s="16"/>
      <c r="AG1702" s="16"/>
      <c r="AH1702" s="16"/>
      <c r="AI1702" s="16"/>
      <c r="AJ1702" s="16"/>
      <c r="AK1702" s="16"/>
      <c r="AL1702" s="16"/>
      <c r="AM1702" s="16"/>
      <c r="AN1702" s="16"/>
      <c r="AO1702" s="16"/>
      <c r="AP1702" s="16"/>
      <c r="AQ1702" s="16"/>
      <c r="AR1702" s="16"/>
      <c r="AS1702" s="16"/>
    </row>
    <row r="1703" spans="18:45" x14ac:dyDescent="0.35">
      <c r="R1703" s="191"/>
      <c r="S1703" s="191"/>
      <c r="T1703" s="193"/>
      <c r="U1703" s="191"/>
      <c r="V1703" s="194"/>
      <c r="W1703" s="191"/>
      <c r="Y1703" s="191"/>
      <c r="Z1703" s="191"/>
      <c r="AA1703" s="191"/>
      <c r="AB1703" s="191"/>
      <c r="AC1703" s="191"/>
      <c r="AD1703" s="16"/>
      <c r="AE1703" s="16"/>
      <c r="AF1703" s="16"/>
      <c r="AG1703" s="16"/>
      <c r="AH1703" s="16"/>
      <c r="AI1703" s="16"/>
      <c r="AJ1703" s="16"/>
      <c r="AK1703" s="16"/>
      <c r="AL1703" s="16"/>
      <c r="AM1703" s="16"/>
      <c r="AN1703" s="16"/>
      <c r="AO1703" s="16"/>
      <c r="AP1703" s="16"/>
      <c r="AQ1703" s="16"/>
      <c r="AR1703" s="16"/>
      <c r="AS1703" s="16"/>
    </row>
    <row r="1704" spans="18:45" x14ac:dyDescent="0.35">
      <c r="R1704" s="191"/>
      <c r="S1704" s="191"/>
      <c r="T1704" s="193"/>
      <c r="U1704" s="191"/>
      <c r="V1704" s="194"/>
      <c r="W1704" s="191"/>
      <c r="Y1704" s="191"/>
      <c r="Z1704" s="191"/>
      <c r="AA1704" s="191"/>
      <c r="AB1704" s="191"/>
      <c r="AC1704" s="191"/>
      <c r="AD1704" s="16"/>
      <c r="AE1704" s="16"/>
      <c r="AF1704" s="16"/>
      <c r="AG1704" s="16"/>
      <c r="AH1704" s="16"/>
      <c r="AI1704" s="16"/>
      <c r="AJ1704" s="16"/>
      <c r="AK1704" s="16"/>
      <c r="AL1704" s="16"/>
      <c r="AM1704" s="16"/>
      <c r="AN1704" s="16"/>
      <c r="AO1704" s="16"/>
      <c r="AP1704" s="16"/>
      <c r="AQ1704" s="16"/>
      <c r="AR1704" s="16"/>
      <c r="AS1704" s="16"/>
    </row>
    <row r="1705" spans="18:45" x14ac:dyDescent="0.35">
      <c r="R1705" s="191"/>
      <c r="S1705" s="191"/>
      <c r="T1705" s="193"/>
      <c r="U1705" s="191"/>
      <c r="V1705" s="194"/>
      <c r="W1705" s="191"/>
      <c r="Y1705" s="191"/>
      <c r="Z1705" s="191"/>
      <c r="AA1705" s="191"/>
      <c r="AB1705" s="191"/>
      <c r="AC1705" s="191"/>
      <c r="AD1705" s="16"/>
      <c r="AE1705" s="16"/>
      <c r="AF1705" s="16"/>
      <c r="AG1705" s="16"/>
      <c r="AH1705" s="16"/>
      <c r="AI1705" s="16"/>
      <c r="AJ1705" s="16"/>
      <c r="AK1705" s="16"/>
      <c r="AL1705" s="16"/>
      <c r="AM1705" s="16"/>
      <c r="AN1705" s="16"/>
      <c r="AO1705" s="16"/>
      <c r="AP1705" s="16"/>
      <c r="AQ1705" s="16"/>
      <c r="AR1705" s="16"/>
      <c r="AS1705" s="16"/>
    </row>
    <row r="1706" spans="18:45" x14ac:dyDescent="0.35">
      <c r="R1706" s="191"/>
      <c r="S1706" s="191"/>
      <c r="T1706" s="193"/>
      <c r="U1706" s="191"/>
      <c r="V1706" s="194"/>
      <c r="W1706" s="191"/>
      <c r="Y1706" s="191"/>
      <c r="Z1706" s="191"/>
      <c r="AA1706" s="191"/>
      <c r="AB1706" s="191"/>
      <c r="AC1706" s="191"/>
      <c r="AD1706" s="16"/>
      <c r="AE1706" s="16"/>
      <c r="AF1706" s="16"/>
      <c r="AG1706" s="16"/>
      <c r="AH1706" s="16"/>
      <c r="AI1706" s="16"/>
      <c r="AJ1706" s="16"/>
      <c r="AK1706" s="16"/>
      <c r="AL1706" s="16"/>
      <c r="AM1706" s="16"/>
      <c r="AN1706" s="16"/>
      <c r="AO1706" s="16"/>
      <c r="AP1706" s="16"/>
      <c r="AQ1706" s="16"/>
      <c r="AR1706" s="16"/>
      <c r="AS1706" s="16"/>
    </row>
    <row r="1707" spans="18:45" x14ac:dyDescent="0.35">
      <c r="R1707" s="191"/>
      <c r="S1707" s="191"/>
      <c r="T1707" s="193"/>
      <c r="U1707" s="191"/>
      <c r="V1707" s="194"/>
      <c r="W1707" s="191"/>
      <c r="Y1707" s="191"/>
      <c r="Z1707" s="191"/>
      <c r="AA1707" s="191"/>
      <c r="AB1707" s="191"/>
      <c r="AC1707" s="191"/>
      <c r="AD1707" s="16"/>
      <c r="AE1707" s="16"/>
      <c r="AF1707" s="16"/>
      <c r="AG1707" s="16"/>
      <c r="AH1707" s="16"/>
      <c r="AI1707" s="16"/>
      <c r="AJ1707" s="16"/>
      <c r="AK1707" s="16"/>
      <c r="AL1707" s="16"/>
      <c r="AM1707" s="16"/>
      <c r="AN1707" s="16"/>
      <c r="AO1707" s="16"/>
      <c r="AP1707" s="16"/>
      <c r="AQ1707" s="16"/>
      <c r="AR1707" s="16"/>
      <c r="AS1707" s="16"/>
    </row>
    <row r="1708" spans="18:45" x14ac:dyDescent="0.35">
      <c r="R1708" s="191"/>
      <c r="S1708" s="191"/>
      <c r="T1708" s="193"/>
      <c r="U1708" s="191"/>
      <c r="V1708" s="194"/>
      <c r="W1708" s="191"/>
      <c r="Y1708" s="191"/>
      <c r="Z1708" s="191"/>
      <c r="AA1708" s="191"/>
      <c r="AB1708" s="191"/>
      <c r="AC1708" s="191"/>
      <c r="AD1708" s="16"/>
      <c r="AE1708" s="16"/>
      <c r="AF1708" s="16"/>
      <c r="AG1708" s="16"/>
      <c r="AH1708" s="16"/>
      <c r="AI1708" s="16"/>
      <c r="AJ1708" s="16"/>
      <c r="AK1708" s="16"/>
      <c r="AL1708" s="16"/>
      <c r="AM1708" s="16"/>
      <c r="AN1708" s="16"/>
      <c r="AO1708" s="16"/>
      <c r="AP1708" s="16"/>
      <c r="AQ1708" s="16"/>
      <c r="AR1708" s="16"/>
      <c r="AS1708" s="16"/>
    </row>
    <row r="1709" spans="18:45" x14ac:dyDescent="0.35">
      <c r="R1709" s="191"/>
      <c r="S1709" s="191"/>
      <c r="T1709" s="193"/>
      <c r="U1709" s="191"/>
      <c r="V1709" s="194"/>
      <c r="W1709" s="191"/>
      <c r="Y1709" s="191"/>
      <c r="Z1709" s="191"/>
      <c r="AA1709" s="191"/>
      <c r="AB1709" s="191"/>
      <c r="AC1709" s="191"/>
      <c r="AD1709" s="16"/>
      <c r="AE1709" s="16"/>
      <c r="AF1709" s="16"/>
      <c r="AG1709" s="16"/>
      <c r="AH1709" s="16"/>
      <c r="AI1709" s="16"/>
      <c r="AJ1709" s="16"/>
      <c r="AK1709" s="16"/>
      <c r="AL1709" s="16"/>
      <c r="AM1709" s="16"/>
      <c r="AN1709" s="16"/>
      <c r="AO1709" s="16"/>
      <c r="AP1709" s="16"/>
      <c r="AQ1709" s="16"/>
      <c r="AR1709" s="16"/>
      <c r="AS1709" s="16"/>
    </row>
    <row r="1710" spans="18:45" x14ac:dyDescent="0.35">
      <c r="R1710" s="191"/>
      <c r="S1710" s="191"/>
      <c r="T1710" s="193"/>
      <c r="U1710" s="191"/>
      <c r="V1710" s="194"/>
      <c r="W1710" s="191"/>
      <c r="Y1710" s="191"/>
      <c r="Z1710" s="191"/>
      <c r="AA1710" s="191"/>
      <c r="AB1710" s="191"/>
      <c r="AC1710" s="191"/>
      <c r="AD1710" s="16"/>
      <c r="AE1710" s="16"/>
      <c r="AF1710" s="16"/>
      <c r="AG1710" s="16"/>
      <c r="AH1710" s="16"/>
      <c r="AI1710" s="16"/>
      <c r="AJ1710" s="16"/>
      <c r="AK1710" s="16"/>
      <c r="AL1710" s="16"/>
      <c r="AM1710" s="16"/>
      <c r="AN1710" s="16"/>
      <c r="AO1710" s="16"/>
      <c r="AP1710" s="16"/>
      <c r="AQ1710" s="16"/>
      <c r="AR1710" s="16"/>
      <c r="AS1710" s="16"/>
    </row>
    <row r="1711" spans="18:45" x14ac:dyDescent="0.35">
      <c r="R1711" s="191"/>
      <c r="S1711" s="191"/>
      <c r="T1711" s="193"/>
      <c r="U1711" s="191"/>
      <c r="V1711" s="194"/>
      <c r="W1711" s="191"/>
      <c r="Y1711" s="191"/>
      <c r="Z1711" s="191"/>
      <c r="AA1711" s="191"/>
      <c r="AB1711" s="191"/>
      <c r="AC1711" s="191"/>
      <c r="AD1711" s="16"/>
      <c r="AE1711" s="16"/>
      <c r="AF1711" s="16"/>
      <c r="AG1711" s="16"/>
      <c r="AH1711" s="16"/>
      <c r="AI1711" s="16"/>
      <c r="AJ1711" s="16"/>
      <c r="AK1711" s="16"/>
      <c r="AL1711" s="16"/>
      <c r="AM1711" s="16"/>
      <c r="AN1711" s="16"/>
      <c r="AO1711" s="16"/>
      <c r="AP1711" s="16"/>
      <c r="AQ1711" s="16"/>
      <c r="AR1711" s="16"/>
      <c r="AS1711" s="16"/>
    </row>
    <row r="1712" spans="18:45" x14ac:dyDescent="0.35">
      <c r="R1712" s="191"/>
      <c r="S1712" s="191"/>
      <c r="T1712" s="193"/>
      <c r="U1712" s="191"/>
      <c r="V1712" s="194"/>
      <c r="W1712" s="191"/>
      <c r="Y1712" s="191"/>
      <c r="Z1712" s="191"/>
      <c r="AA1712" s="191"/>
      <c r="AB1712" s="191"/>
      <c r="AC1712" s="191"/>
      <c r="AD1712" s="16"/>
      <c r="AE1712" s="16"/>
      <c r="AF1712" s="16"/>
      <c r="AG1712" s="16"/>
      <c r="AH1712" s="16"/>
      <c r="AI1712" s="16"/>
      <c r="AJ1712" s="16"/>
      <c r="AK1712" s="16"/>
      <c r="AL1712" s="16"/>
      <c r="AM1712" s="16"/>
      <c r="AN1712" s="16"/>
      <c r="AO1712" s="16"/>
      <c r="AP1712" s="16"/>
      <c r="AQ1712" s="16"/>
      <c r="AR1712" s="16"/>
      <c r="AS1712" s="16"/>
    </row>
    <row r="1713" spans="18:45" x14ac:dyDescent="0.35">
      <c r="R1713" s="191"/>
      <c r="S1713" s="191"/>
      <c r="T1713" s="193"/>
      <c r="U1713" s="191"/>
      <c r="V1713" s="194"/>
      <c r="W1713" s="191"/>
      <c r="Y1713" s="191"/>
      <c r="Z1713" s="191"/>
      <c r="AA1713" s="191"/>
      <c r="AB1713" s="191"/>
      <c r="AC1713" s="191"/>
      <c r="AD1713" s="16"/>
      <c r="AE1713" s="16"/>
      <c r="AF1713" s="16"/>
      <c r="AG1713" s="16"/>
      <c r="AH1713" s="16"/>
      <c r="AI1713" s="16"/>
      <c r="AJ1713" s="16"/>
      <c r="AK1713" s="16"/>
      <c r="AL1713" s="16"/>
      <c r="AM1713" s="16"/>
      <c r="AN1713" s="16"/>
      <c r="AO1713" s="16"/>
      <c r="AP1713" s="16"/>
      <c r="AQ1713" s="16"/>
      <c r="AR1713" s="16"/>
      <c r="AS1713" s="16"/>
    </row>
    <row r="1714" spans="18:45" x14ac:dyDescent="0.35">
      <c r="R1714" s="191"/>
      <c r="S1714" s="191"/>
      <c r="T1714" s="193"/>
      <c r="U1714" s="191"/>
      <c r="V1714" s="194"/>
      <c r="W1714" s="191"/>
      <c r="Y1714" s="191"/>
      <c r="Z1714" s="191"/>
      <c r="AA1714" s="191"/>
      <c r="AB1714" s="191"/>
      <c r="AC1714" s="191"/>
      <c r="AD1714" s="16"/>
      <c r="AE1714" s="16"/>
      <c r="AF1714" s="16"/>
      <c r="AG1714" s="16"/>
      <c r="AH1714" s="16"/>
      <c r="AI1714" s="16"/>
      <c r="AJ1714" s="16"/>
      <c r="AK1714" s="16"/>
      <c r="AL1714" s="16"/>
      <c r="AM1714" s="16"/>
      <c r="AN1714" s="16"/>
      <c r="AO1714" s="16"/>
      <c r="AP1714" s="16"/>
      <c r="AQ1714" s="16"/>
      <c r="AR1714" s="16"/>
      <c r="AS1714" s="16"/>
    </row>
    <row r="1715" spans="18:45" x14ac:dyDescent="0.35">
      <c r="R1715" s="191"/>
      <c r="S1715" s="191"/>
      <c r="T1715" s="193"/>
      <c r="U1715" s="191"/>
      <c r="V1715" s="194"/>
      <c r="W1715" s="191"/>
      <c r="Y1715" s="191"/>
      <c r="Z1715" s="191"/>
      <c r="AA1715" s="191"/>
      <c r="AB1715" s="191"/>
      <c r="AC1715" s="191"/>
      <c r="AD1715" s="16"/>
      <c r="AE1715" s="16"/>
      <c r="AF1715" s="16"/>
      <c r="AG1715" s="16"/>
      <c r="AH1715" s="16"/>
      <c r="AI1715" s="16"/>
      <c r="AJ1715" s="16"/>
      <c r="AK1715" s="16"/>
      <c r="AL1715" s="16"/>
      <c r="AM1715" s="16"/>
      <c r="AN1715" s="16"/>
      <c r="AO1715" s="16"/>
      <c r="AP1715" s="16"/>
      <c r="AQ1715" s="16"/>
      <c r="AR1715" s="16"/>
      <c r="AS1715" s="16"/>
    </row>
    <row r="1716" spans="18:45" x14ac:dyDescent="0.35">
      <c r="R1716" s="191"/>
      <c r="S1716" s="191"/>
      <c r="T1716" s="193"/>
      <c r="U1716" s="191"/>
      <c r="V1716" s="194"/>
      <c r="W1716" s="191"/>
      <c r="Y1716" s="191"/>
      <c r="Z1716" s="191"/>
      <c r="AA1716" s="191"/>
      <c r="AB1716" s="191"/>
      <c r="AC1716" s="191"/>
      <c r="AD1716" s="16"/>
      <c r="AE1716" s="16"/>
      <c r="AF1716" s="16"/>
      <c r="AG1716" s="16"/>
      <c r="AH1716" s="16"/>
      <c r="AI1716" s="16"/>
      <c r="AJ1716" s="16"/>
      <c r="AK1716" s="16"/>
      <c r="AL1716" s="16"/>
      <c r="AM1716" s="16"/>
      <c r="AN1716" s="16"/>
      <c r="AO1716" s="16"/>
      <c r="AP1716" s="16"/>
      <c r="AQ1716" s="16"/>
      <c r="AR1716" s="16"/>
      <c r="AS1716" s="16"/>
    </row>
    <row r="1717" spans="18:45" x14ac:dyDescent="0.35">
      <c r="R1717" s="191"/>
      <c r="S1717" s="191"/>
      <c r="T1717" s="193"/>
      <c r="U1717" s="191"/>
      <c r="V1717" s="194"/>
      <c r="W1717" s="191"/>
      <c r="Y1717" s="191"/>
      <c r="Z1717" s="191"/>
      <c r="AA1717" s="191"/>
      <c r="AB1717" s="191"/>
      <c r="AC1717" s="191"/>
      <c r="AD1717" s="16"/>
      <c r="AE1717" s="16"/>
      <c r="AF1717" s="16"/>
      <c r="AG1717" s="16"/>
      <c r="AH1717" s="16"/>
      <c r="AI1717" s="16"/>
      <c r="AJ1717" s="16"/>
      <c r="AK1717" s="16"/>
      <c r="AL1717" s="16"/>
      <c r="AM1717" s="16"/>
      <c r="AN1717" s="16"/>
      <c r="AO1717" s="16"/>
      <c r="AP1717" s="16"/>
      <c r="AQ1717" s="16"/>
      <c r="AR1717" s="16"/>
      <c r="AS1717" s="16"/>
    </row>
    <row r="1718" spans="18:45" x14ac:dyDescent="0.35">
      <c r="R1718" s="191"/>
      <c r="S1718" s="191"/>
      <c r="T1718" s="193"/>
      <c r="U1718" s="191"/>
      <c r="V1718" s="194"/>
      <c r="W1718" s="191"/>
      <c r="Y1718" s="191"/>
      <c r="Z1718" s="191"/>
      <c r="AA1718" s="191"/>
      <c r="AB1718" s="191"/>
      <c r="AC1718" s="191"/>
      <c r="AD1718" s="16"/>
      <c r="AE1718" s="16"/>
      <c r="AF1718" s="16"/>
      <c r="AG1718" s="16"/>
      <c r="AH1718" s="16"/>
      <c r="AI1718" s="16"/>
      <c r="AJ1718" s="16"/>
      <c r="AK1718" s="16"/>
      <c r="AL1718" s="16"/>
      <c r="AM1718" s="16"/>
      <c r="AN1718" s="16"/>
      <c r="AO1718" s="16"/>
      <c r="AP1718" s="16"/>
      <c r="AQ1718" s="16"/>
      <c r="AR1718" s="16"/>
      <c r="AS1718" s="16"/>
    </row>
    <row r="1719" spans="18:45" x14ac:dyDescent="0.35">
      <c r="R1719" s="191"/>
      <c r="S1719" s="191"/>
      <c r="T1719" s="193"/>
      <c r="U1719" s="191"/>
      <c r="V1719" s="194"/>
      <c r="W1719" s="191"/>
      <c r="Y1719" s="191"/>
      <c r="Z1719" s="191"/>
      <c r="AA1719" s="191"/>
      <c r="AB1719" s="191"/>
      <c r="AC1719" s="191"/>
      <c r="AD1719" s="16"/>
      <c r="AE1719" s="16"/>
      <c r="AF1719" s="16"/>
      <c r="AG1719" s="16"/>
      <c r="AH1719" s="16"/>
      <c r="AI1719" s="16"/>
      <c r="AJ1719" s="16"/>
      <c r="AK1719" s="16"/>
      <c r="AL1719" s="16"/>
      <c r="AM1719" s="16"/>
      <c r="AN1719" s="16"/>
      <c r="AO1719" s="16"/>
      <c r="AP1719" s="16"/>
      <c r="AQ1719" s="16"/>
      <c r="AR1719" s="16"/>
      <c r="AS1719" s="16"/>
    </row>
    <row r="1720" spans="18:45" x14ac:dyDescent="0.35">
      <c r="R1720" s="191"/>
      <c r="S1720" s="191"/>
      <c r="T1720" s="193"/>
      <c r="U1720" s="191"/>
      <c r="V1720" s="194"/>
      <c r="W1720" s="191"/>
      <c r="Y1720" s="191"/>
      <c r="Z1720" s="191"/>
      <c r="AA1720" s="191"/>
      <c r="AB1720" s="191"/>
      <c r="AC1720" s="191"/>
      <c r="AD1720" s="16"/>
      <c r="AE1720" s="16"/>
      <c r="AF1720" s="16"/>
      <c r="AG1720" s="16"/>
      <c r="AH1720" s="16"/>
      <c r="AI1720" s="16"/>
      <c r="AJ1720" s="16"/>
      <c r="AK1720" s="16"/>
      <c r="AL1720" s="16"/>
      <c r="AM1720" s="16"/>
      <c r="AN1720" s="16"/>
      <c r="AO1720" s="16"/>
      <c r="AP1720" s="16"/>
      <c r="AQ1720" s="16"/>
      <c r="AR1720" s="16"/>
      <c r="AS1720" s="16"/>
    </row>
    <row r="1721" spans="18:45" x14ac:dyDescent="0.35">
      <c r="R1721" s="191"/>
      <c r="S1721" s="191"/>
      <c r="T1721" s="193"/>
      <c r="U1721" s="191"/>
      <c r="V1721" s="194"/>
      <c r="W1721" s="191"/>
      <c r="Y1721" s="191"/>
      <c r="Z1721" s="191"/>
      <c r="AA1721" s="191"/>
      <c r="AB1721" s="191"/>
      <c r="AC1721" s="191"/>
      <c r="AD1721" s="16"/>
      <c r="AE1721" s="16"/>
      <c r="AF1721" s="16"/>
      <c r="AG1721" s="16"/>
      <c r="AH1721" s="16"/>
      <c r="AI1721" s="16"/>
      <c r="AJ1721" s="16"/>
      <c r="AK1721" s="16"/>
      <c r="AL1721" s="16"/>
      <c r="AM1721" s="16"/>
      <c r="AN1721" s="16"/>
      <c r="AO1721" s="16"/>
      <c r="AP1721" s="16"/>
      <c r="AQ1721" s="16"/>
      <c r="AR1721" s="16"/>
      <c r="AS1721" s="16"/>
    </row>
    <row r="1722" spans="18:45" x14ac:dyDescent="0.35">
      <c r="R1722" s="191"/>
      <c r="S1722" s="191"/>
      <c r="T1722" s="193"/>
      <c r="U1722" s="191"/>
      <c r="V1722" s="194"/>
      <c r="W1722" s="191"/>
      <c r="Y1722" s="191"/>
      <c r="Z1722" s="191"/>
      <c r="AA1722" s="191"/>
      <c r="AB1722" s="191"/>
      <c r="AC1722" s="191"/>
      <c r="AD1722" s="16"/>
      <c r="AE1722" s="16"/>
      <c r="AF1722" s="16"/>
      <c r="AG1722" s="16"/>
      <c r="AH1722" s="16"/>
      <c r="AI1722" s="16"/>
      <c r="AJ1722" s="16"/>
      <c r="AK1722" s="16"/>
      <c r="AL1722" s="16"/>
      <c r="AM1722" s="16"/>
      <c r="AN1722" s="16"/>
      <c r="AO1722" s="16"/>
      <c r="AP1722" s="16"/>
      <c r="AQ1722" s="16"/>
      <c r="AR1722" s="16"/>
      <c r="AS1722" s="16"/>
    </row>
    <row r="1723" spans="18:45" x14ac:dyDescent="0.35">
      <c r="R1723" s="191"/>
      <c r="S1723" s="191"/>
      <c r="T1723" s="193"/>
      <c r="U1723" s="191"/>
      <c r="V1723" s="194"/>
      <c r="W1723" s="191"/>
      <c r="Y1723" s="191"/>
      <c r="Z1723" s="191"/>
      <c r="AA1723" s="191"/>
      <c r="AB1723" s="191"/>
      <c r="AC1723" s="191"/>
      <c r="AD1723" s="16"/>
      <c r="AE1723" s="16"/>
      <c r="AF1723" s="16"/>
      <c r="AG1723" s="16"/>
      <c r="AH1723" s="16"/>
      <c r="AI1723" s="16"/>
      <c r="AJ1723" s="16"/>
      <c r="AK1723" s="16"/>
      <c r="AL1723" s="16"/>
      <c r="AM1723" s="16"/>
      <c r="AN1723" s="16"/>
      <c r="AO1723" s="16"/>
      <c r="AP1723" s="16"/>
      <c r="AQ1723" s="16"/>
      <c r="AR1723" s="16"/>
      <c r="AS1723" s="16"/>
    </row>
    <row r="1724" spans="18:45" x14ac:dyDescent="0.35">
      <c r="R1724" s="191"/>
      <c r="S1724" s="191"/>
      <c r="T1724" s="193"/>
      <c r="U1724" s="191"/>
      <c r="V1724" s="194"/>
      <c r="W1724" s="191"/>
      <c r="Y1724" s="191"/>
      <c r="Z1724" s="191"/>
      <c r="AA1724" s="191"/>
      <c r="AB1724" s="191"/>
      <c r="AC1724" s="191"/>
      <c r="AD1724" s="16"/>
      <c r="AE1724" s="16"/>
      <c r="AF1724" s="16"/>
      <c r="AG1724" s="16"/>
      <c r="AH1724" s="16"/>
      <c r="AI1724" s="16"/>
      <c r="AJ1724" s="16"/>
      <c r="AK1724" s="16"/>
      <c r="AL1724" s="16"/>
      <c r="AM1724" s="16"/>
      <c r="AN1724" s="16"/>
      <c r="AO1724" s="16"/>
      <c r="AP1724" s="16"/>
      <c r="AQ1724" s="16"/>
      <c r="AR1724" s="16"/>
      <c r="AS1724" s="16"/>
    </row>
    <row r="1725" spans="18:45" x14ac:dyDescent="0.35">
      <c r="R1725" s="191"/>
      <c r="S1725" s="191"/>
      <c r="T1725" s="193"/>
      <c r="U1725" s="191"/>
      <c r="V1725" s="194"/>
      <c r="W1725" s="191"/>
      <c r="Y1725" s="191"/>
      <c r="Z1725" s="191"/>
      <c r="AA1725" s="191"/>
      <c r="AB1725" s="191"/>
      <c r="AC1725" s="191"/>
      <c r="AD1725" s="16"/>
      <c r="AE1725" s="16"/>
      <c r="AF1725" s="16"/>
      <c r="AG1725" s="16"/>
      <c r="AH1725" s="16"/>
      <c r="AI1725" s="16"/>
      <c r="AJ1725" s="16"/>
      <c r="AK1725" s="16"/>
      <c r="AL1725" s="16"/>
      <c r="AM1725" s="16"/>
      <c r="AN1725" s="16"/>
      <c r="AO1725" s="16"/>
      <c r="AP1725" s="16"/>
      <c r="AQ1725" s="16"/>
      <c r="AR1725" s="16"/>
      <c r="AS1725" s="16"/>
    </row>
    <row r="1726" spans="18:45" x14ac:dyDescent="0.35">
      <c r="R1726" s="191"/>
      <c r="S1726" s="191"/>
      <c r="T1726" s="193"/>
      <c r="U1726" s="191"/>
      <c r="V1726" s="194"/>
      <c r="W1726" s="191"/>
      <c r="Y1726" s="191"/>
      <c r="Z1726" s="191"/>
      <c r="AA1726" s="191"/>
      <c r="AB1726" s="191"/>
      <c r="AC1726" s="191"/>
      <c r="AD1726" s="16"/>
      <c r="AE1726" s="16"/>
      <c r="AF1726" s="16"/>
      <c r="AG1726" s="16"/>
      <c r="AH1726" s="16"/>
      <c r="AI1726" s="16"/>
      <c r="AJ1726" s="16"/>
      <c r="AK1726" s="16"/>
      <c r="AL1726" s="16"/>
      <c r="AM1726" s="16"/>
      <c r="AN1726" s="16"/>
      <c r="AO1726" s="16"/>
      <c r="AP1726" s="16"/>
      <c r="AQ1726" s="16"/>
      <c r="AR1726" s="16"/>
      <c r="AS1726" s="16"/>
    </row>
    <row r="1727" spans="18:45" x14ac:dyDescent="0.35">
      <c r="R1727" s="191"/>
      <c r="S1727" s="191"/>
      <c r="T1727" s="193"/>
      <c r="U1727" s="191"/>
      <c r="V1727" s="194"/>
      <c r="W1727" s="191"/>
      <c r="Y1727" s="191"/>
      <c r="Z1727" s="191"/>
      <c r="AA1727" s="191"/>
      <c r="AB1727" s="191"/>
      <c r="AC1727" s="191"/>
      <c r="AD1727" s="16"/>
      <c r="AE1727" s="16"/>
      <c r="AF1727" s="16"/>
      <c r="AG1727" s="16"/>
      <c r="AH1727" s="16"/>
      <c r="AI1727" s="16"/>
      <c r="AJ1727" s="16"/>
      <c r="AK1727" s="16"/>
      <c r="AL1727" s="16"/>
      <c r="AM1727" s="16"/>
      <c r="AN1727" s="16"/>
      <c r="AO1727" s="16"/>
      <c r="AP1727" s="16"/>
      <c r="AQ1727" s="16"/>
      <c r="AR1727" s="16"/>
      <c r="AS1727" s="16"/>
    </row>
    <row r="1728" spans="18:45" x14ac:dyDescent="0.35">
      <c r="R1728" s="191"/>
      <c r="S1728" s="191"/>
      <c r="T1728" s="193"/>
      <c r="U1728" s="191"/>
      <c r="V1728" s="194"/>
      <c r="W1728" s="191"/>
      <c r="Y1728" s="191"/>
      <c r="Z1728" s="191"/>
      <c r="AA1728" s="191"/>
      <c r="AB1728" s="191"/>
      <c r="AC1728" s="191"/>
      <c r="AD1728" s="16"/>
      <c r="AE1728" s="16"/>
      <c r="AF1728" s="16"/>
      <c r="AG1728" s="16"/>
      <c r="AH1728" s="16"/>
      <c r="AI1728" s="16"/>
      <c r="AJ1728" s="16"/>
      <c r="AK1728" s="16"/>
      <c r="AL1728" s="16"/>
      <c r="AM1728" s="16"/>
      <c r="AN1728" s="16"/>
      <c r="AO1728" s="16"/>
      <c r="AP1728" s="16"/>
      <c r="AQ1728" s="16"/>
      <c r="AR1728" s="16"/>
      <c r="AS1728" s="16"/>
    </row>
    <row r="1729" spans="18:45" x14ac:dyDescent="0.35">
      <c r="R1729" s="191"/>
      <c r="S1729" s="191"/>
      <c r="T1729" s="193"/>
      <c r="U1729" s="191"/>
      <c r="V1729" s="194"/>
      <c r="W1729" s="191"/>
      <c r="Y1729" s="191"/>
      <c r="Z1729" s="191"/>
      <c r="AA1729" s="191"/>
      <c r="AB1729" s="191"/>
      <c r="AC1729" s="191"/>
      <c r="AD1729" s="16"/>
      <c r="AE1729" s="16"/>
      <c r="AF1729" s="16"/>
      <c r="AG1729" s="16"/>
      <c r="AH1729" s="16"/>
      <c r="AI1729" s="16"/>
      <c r="AJ1729" s="16"/>
      <c r="AK1729" s="16"/>
      <c r="AL1729" s="16"/>
      <c r="AM1729" s="16"/>
      <c r="AN1729" s="16"/>
      <c r="AO1729" s="16"/>
      <c r="AP1729" s="16"/>
      <c r="AQ1729" s="16"/>
      <c r="AR1729" s="16"/>
      <c r="AS1729" s="16"/>
    </row>
    <row r="1730" spans="18:45" x14ac:dyDescent="0.35">
      <c r="R1730" s="191"/>
      <c r="S1730" s="191"/>
      <c r="T1730" s="193"/>
      <c r="U1730" s="191"/>
      <c r="V1730" s="194"/>
      <c r="W1730" s="191"/>
      <c r="Y1730" s="191"/>
      <c r="Z1730" s="191"/>
      <c r="AA1730" s="191"/>
      <c r="AB1730" s="191"/>
      <c r="AC1730" s="191"/>
      <c r="AD1730" s="16"/>
      <c r="AE1730" s="16"/>
      <c r="AF1730" s="16"/>
      <c r="AG1730" s="16"/>
      <c r="AH1730" s="16"/>
      <c r="AI1730" s="16"/>
      <c r="AJ1730" s="16"/>
      <c r="AK1730" s="16"/>
      <c r="AL1730" s="16"/>
      <c r="AM1730" s="16"/>
      <c r="AN1730" s="16"/>
      <c r="AO1730" s="16"/>
      <c r="AP1730" s="16"/>
      <c r="AQ1730" s="16"/>
      <c r="AR1730" s="16"/>
      <c r="AS1730" s="16"/>
    </row>
    <row r="1731" spans="18:45" x14ac:dyDescent="0.35">
      <c r="R1731" s="191"/>
      <c r="S1731" s="191"/>
      <c r="T1731" s="193"/>
      <c r="U1731" s="191"/>
      <c r="V1731" s="194"/>
      <c r="W1731" s="191"/>
      <c r="Y1731" s="191"/>
      <c r="Z1731" s="191"/>
      <c r="AA1731" s="191"/>
      <c r="AB1731" s="191"/>
      <c r="AC1731" s="191"/>
      <c r="AD1731" s="16"/>
      <c r="AE1731" s="16"/>
      <c r="AF1731" s="16"/>
      <c r="AG1731" s="16"/>
      <c r="AH1731" s="16"/>
      <c r="AI1731" s="16"/>
      <c r="AJ1731" s="16"/>
      <c r="AK1731" s="16"/>
      <c r="AL1731" s="16"/>
      <c r="AM1731" s="16"/>
      <c r="AN1731" s="16"/>
      <c r="AO1731" s="16"/>
      <c r="AP1731" s="16"/>
      <c r="AQ1731" s="16"/>
      <c r="AR1731" s="16"/>
      <c r="AS1731" s="16"/>
    </row>
    <row r="1732" spans="18:45" x14ac:dyDescent="0.35">
      <c r="R1732" s="191"/>
      <c r="S1732" s="191"/>
      <c r="T1732" s="193"/>
      <c r="U1732" s="191"/>
      <c r="V1732" s="194"/>
      <c r="W1732" s="191"/>
      <c r="Y1732" s="191"/>
      <c r="Z1732" s="191"/>
      <c r="AA1732" s="191"/>
      <c r="AB1732" s="191"/>
      <c r="AC1732" s="191"/>
      <c r="AD1732" s="16"/>
      <c r="AE1732" s="16"/>
      <c r="AF1732" s="16"/>
      <c r="AG1732" s="16"/>
      <c r="AH1732" s="16"/>
      <c r="AI1732" s="16"/>
      <c r="AJ1732" s="16"/>
      <c r="AK1732" s="16"/>
      <c r="AL1732" s="16"/>
      <c r="AM1732" s="16"/>
      <c r="AN1732" s="16"/>
      <c r="AO1732" s="16"/>
      <c r="AP1732" s="16"/>
      <c r="AQ1732" s="16"/>
      <c r="AR1732" s="16"/>
      <c r="AS1732" s="16"/>
    </row>
    <row r="1733" spans="18:45" x14ac:dyDescent="0.35">
      <c r="R1733" s="191"/>
      <c r="S1733" s="191"/>
      <c r="T1733" s="193"/>
      <c r="U1733" s="191"/>
      <c r="V1733" s="194"/>
      <c r="W1733" s="191"/>
      <c r="Y1733" s="191"/>
      <c r="Z1733" s="191"/>
      <c r="AA1733" s="191"/>
      <c r="AB1733" s="191"/>
      <c r="AC1733" s="191"/>
      <c r="AD1733" s="16"/>
      <c r="AE1733" s="16"/>
      <c r="AF1733" s="16"/>
      <c r="AG1733" s="16"/>
      <c r="AH1733" s="16"/>
      <c r="AI1733" s="16"/>
      <c r="AJ1733" s="16"/>
      <c r="AK1733" s="16"/>
      <c r="AL1733" s="16"/>
      <c r="AM1733" s="16"/>
      <c r="AN1733" s="16"/>
      <c r="AO1733" s="16"/>
      <c r="AP1733" s="16"/>
      <c r="AQ1733" s="16"/>
      <c r="AR1733" s="16"/>
      <c r="AS1733" s="16"/>
    </row>
    <row r="1734" spans="18:45" x14ac:dyDescent="0.35">
      <c r="R1734" s="191"/>
      <c r="S1734" s="191"/>
      <c r="T1734" s="193"/>
      <c r="U1734" s="191"/>
      <c r="V1734" s="194"/>
      <c r="W1734" s="191"/>
      <c r="Y1734" s="191"/>
      <c r="Z1734" s="191"/>
      <c r="AA1734" s="191"/>
      <c r="AB1734" s="191"/>
      <c r="AC1734" s="191"/>
      <c r="AD1734" s="16"/>
      <c r="AE1734" s="16"/>
      <c r="AF1734" s="16"/>
      <c r="AG1734" s="16"/>
      <c r="AH1734" s="16"/>
      <c r="AI1734" s="16"/>
      <c r="AJ1734" s="16"/>
      <c r="AK1734" s="16"/>
      <c r="AL1734" s="16"/>
      <c r="AM1734" s="16"/>
      <c r="AN1734" s="16"/>
      <c r="AO1734" s="16"/>
      <c r="AP1734" s="16"/>
      <c r="AQ1734" s="16"/>
      <c r="AR1734" s="16"/>
      <c r="AS1734" s="16"/>
    </row>
    <row r="1735" spans="18:45" x14ac:dyDescent="0.35">
      <c r="R1735" s="191"/>
      <c r="S1735" s="191"/>
      <c r="T1735" s="193"/>
      <c r="U1735" s="191"/>
      <c r="V1735" s="194"/>
      <c r="W1735" s="191"/>
      <c r="Y1735" s="191"/>
      <c r="Z1735" s="191"/>
      <c r="AA1735" s="191"/>
      <c r="AB1735" s="191"/>
      <c r="AC1735" s="191"/>
      <c r="AD1735" s="16"/>
      <c r="AE1735" s="16"/>
      <c r="AF1735" s="16"/>
      <c r="AG1735" s="16"/>
      <c r="AH1735" s="16"/>
      <c r="AI1735" s="16"/>
      <c r="AJ1735" s="16"/>
      <c r="AK1735" s="16"/>
      <c r="AL1735" s="16"/>
      <c r="AM1735" s="16"/>
      <c r="AN1735" s="16"/>
      <c r="AO1735" s="16"/>
      <c r="AP1735" s="16"/>
      <c r="AQ1735" s="16"/>
      <c r="AR1735" s="16"/>
      <c r="AS1735" s="16"/>
    </row>
    <row r="1736" spans="18:45" x14ac:dyDescent="0.35">
      <c r="R1736" s="191"/>
      <c r="S1736" s="191"/>
      <c r="T1736" s="193"/>
      <c r="U1736" s="191"/>
      <c r="V1736" s="194"/>
      <c r="W1736" s="191"/>
      <c r="Y1736" s="191"/>
      <c r="Z1736" s="191"/>
      <c r="AA1736" s="191"/>
      <c r="AB1736" s="191"/>
      <c r="AC1736" s="191"/>
      <c r="AD1736" s="16"/>
      <c r="AE1736" s="16"/>
      <c r="AF1736" s="16"/>
      <c r="AG1736" s="16"/>
      <c r="AH1736" s="16"/>
      <c r="AI1736" s="16"/>
      <c r="AJ1736" s="16"/>
      <c r="AK1736" s="16"/>
      <c r="AL1736" s="16"/>
      <c r="AM1736" s="16"/>
      <c r="AN1736" s="16"/>
      <c r="AO1736" s="16"/>
      <c r="AP1736" s="16"/>
      <c r="AQ1736" s="16"/>
      <c r="AR1736" s="16"/>
      <c r="AS1736" s="16"/>
    </row>
    <row r="1737" spans="18:45" x14ac:dyDescent="0.35">
      <c r="R1737" s="191"/>
      <c r="S1737" s="191"/>
      <c r="T1737" s="193"/>
      <c r="U1737" s="191"/>
      <c r="V1737" s="194"/>
      <c r="W1737" s="191"/>
      <c r="Y1737" s="191"/>
      <c r="Z1737" s="191"/>
      <c r="AA1737" s="191"/>
      <c r="AB1737" s="191"/>
      <c r="AC1737" s="191"/>
      <c r="AD1737" s="16"/>
      <c r="AE1737" s="16"/>
      <c r="AF1737" s="16"/>
      <c r="AG1737" s="16"/>
      <c r="AH1737" s="16"/>
      <c r="AI1737" s="16"/>
      <c r="AJ1737" s="16"/>
      <c r="AK1737" s="16"/>
      <c r="AL1737" s="16"/>
      <c r="AM1737" s="16"/>
      <c r="AN1737" s="16"/>
      <c r="AO1737" s="16"/>
      <c r="AP1737" s="16"/>
      <c r="AQ1737" s="16"/>
      <c r="AR1737" s="16"/>
      <c r="AS1737" s="16"/>
    </row>
    <row r="1738" spans="18:45" x14ac:dyDescent="0.35">
      <c r="R1738" s="191"/>
      <c r="S1738" s="191"/>
      <c r="T1738" s="193"/>
      <c r="U1738" s="191"/>
      <c r="V1738" s="194"/>
      <c r="W1738" s="191"/>
      <c r="Y1738" s="191"/>
      <c r="Z1738" s="191"/>
      <c r="AA1738" s="191"/>
      <c r="AB1738" s="191"/>
      <c r="AC1738" s="191"/>
      <c r="AD1738" s="16"/>
      <c r="AE1738" s="16"/>
      <c r="AF1738" s="16"/>
      <c r="AG1738" s="16"/>
      <c r="AH1738" s="16"/>
      <c r="AI1738" s="16"/>
      <c r="AJ1738" s="16"/>
      <c r="AK1738" s="16"/>
      <c r="AL1738" s="16"/>
      <c r="AM1738" s="16"/>
      <c r="AN1738" s="16"/>
      <c r="AO1738" s="16"/>
      <c r="AP1738" s="16"/>
      <c r="AQ1738" s="16"/>
      <c r="AR1738" s="16"/>
      <c r="AS1738" s="16"/>
    </row>
    <row r="1739" spans="18:45" x14ac:dyDescent="0.35">
      <c r="R1739" s="191"/>
      <c r="S1739" s="191"/>
      <c r="T1739" s="193"/>
      <c r="U1739" s="191"/>
      <c r="V1739" s="194"/>
      <c r="W1739" s="191"/>
      <c r="Y1739" s="191"/>
      <c r="Z1739" s="191"/>
      <c r="AA1739" s="191"/>
      <c r="AB1739" s="191"/>
      <c r="AC1739" s="191"/>
      <c r="AD1739" s="16"/>
      <c r="AE1739" s="16"/>
      <c r="AF1739" s="16"/>
      <c r="AG1739" s="16"/>
      <c r="AH1739" s="16"/>
      <c r="AI1739" s="16"/>
      <c r="AJ1739" s="16"/>
      <c r="AK1739" s="16"/>
      <c r="AL1739" s="16"/>
      <c r="AM1739" s="16"/>
      <c r="AN1739" s="16"/>
      <c r="AO1739" s="16"/>
      <c r="AP1739" s="16"/>
      <c r="AQ1739" s="16"/>
      <c r="AR1739" s="16"/>
      <c r="AS1739" s="16"/>
    </row>
    <row r="1740" spans="18:45" x14ac:dyDescent="0.35">
      <c r="R1740" s="191"/>
      <c r="S1740" s="191"/>
      <c r="T1740" s="193"/>
      <c r="U1740" s="191"/>
      <c r="V1740" s="194"/>
      <c r="W1740" s="191"/>
      <c r="Y1740" s="191"/>
      <c r="Z1740" s="191"/>
      <c r="AA1740" s="191"/>
      <c r="AB1740" s="191"/>
      <c r="AC1740" s="191"/>
      <c r="AD1740" s="16"/>
      <c r="AE1740" s="16"/>
      <c r="AF1740" s="16"/>
      <c r="AG1740" s="16"/>
      <c r="AH1740" s="16"/>
      <c r="AI1740" s="16"/>
      <c r="AJ1740" s="16"/>
      <c r="AK1740" s="16"/>
      <c r="AL1740" s="16"/>
      <c r="AM1740" s="16"/>
      <c r="AN1740" s="16"/>
      <c r="AO1740" s="16"/>
      <c r="AP1740" s="16"/>
      <c r="AQ1740" s="16"/>
      <c r="AR1740" s="16"/>
      <c r="AS1740" s="16"/>
    </row>
    <row r="1741" spans="18:45" x14ac:dyDescent="0.35">
      <c r="R1741" s="191"/>
      <c r="S1741" s="191"/>
      <c r="T1741" s="193"/>
      <c r="U1741" s="191"/>
      <c r="V1741" s="194"/>
      <c r="W1741" s="191"/>
      <c r="Y1741" s="191"/>
      <c r="Z1741" s="191"/>
      <c r="AA1741" s="191"/>
      <c r="AB1741" s="191"/>
      <c r="AC1741" s="191"/>
      <c r="AD1741" s="16"/>
      <c r="AE1741" s="16"/>
      <c r="AF1741" s="16"/>
      <c r="AG1741" s="16"/>
      <c r="AH1741" s="16"/>
      <c r="AI1741" s="16"/>
      <c r="AJ1741" s="16"/>
      <c r="AK1741" s="16"/>
      <c r="AL1741" s="16"/>
      <c r="AM1741" s="16"/>
      <c r="AN1741" s="16"/>
      <c r="AO1741" s="16"/>
      <c r="AP1741" s="16"/>
      <c r="AQ1741" s="16"/>
      <c r="AR1741" s="16"/>
      <c r="AS1741" s="16"/>
    </row>
    <row r="1742" spans="18:45" x14ac:dyDescent="0.35">
      <c r="R1742" s="191"/>
      <c r="S1742" s="191"/>
      <c r="T1742" s="193"/>
      <c r="U1742" s="191"/>
      <c r="V1742" s="194"/>
      <c r="W1742" s="191"/>
      <c r="Y1742" s="191"/>
      <c r="Z1742" s="191"/>
      <c r="AA1742" s="191"/>
      <c r="AB1742" s="191"/>
      <c r="AC1742" s="191"/>
      <c r="AD1742" s="16"/>
      <c r="AE1742" s="16"/>
      <c r="AF1742" s="16"/>
      <c r="AG1742" s="16"/>
      <c r="AH1742" s="16"/>
      <c r="AI1742" s="16"/>
      <c r="AJ1742" s="16"/>
      <c r="AK1742" s="16"/>
      <c r="AL1742" s="16"/>
      <c r="AM1742" s="16"/>
      <c r="AN1742" s="16"/>
      <c r="AO1742" s="16"/>
      <c r="AP1742" s="16"/>
      <c r="AQ1742" s="16"/>
      <c r="AR1742" s="16"/>
      <c r="AS1742" s="16"/>
    </row>
    <row r="1743" spans="18:45" x14ac:dyDescent="0.35">
      <c r="R1743" s="191"/>
      <c r="S1743" s="191"/>
      <c r="T1743" s="193"/>
      <c r="U1743" s="191"/>
      <c r="V1743" s="194"/>
      <c r="W1743" s="191"/>
      <c r="Y1743" s="191"/>
      <c r="Z1743" s="191"/>
      <c r="AA1743" s="191"/>
      <c r="AB1743" s="191"/>
      <c r="AC1743" s="191"/>
      <c r="AD1743" s="16"/>
      <c r="AE1743" s="16"/>
      <c r="AF1743" s="16"/>
      <c r="AG1743" s="16"/>
      <c r="AH1743" s="16"/>
      <c r="AI1743" s="16"/>
      <c r="AJ1743" s="16"/>
      <c r="AK1743" s="16"/>
      <c r="AL1743" s="16"/>
      <c r="AM1743" s="16"/>
      <c r="AN1743" s="16"/>
      <c r="AO1743" s="16"/>
      <c r="AP1743" s="16"/>
      <c r="AQ1743" s="16"/>
      <c r="AR1743" s="16"/>
      <c r="AS1743" s="16"/>
    </row>
    <row r="1744" spans="18:45" x14ac:dyDescent="0.35">
      <c r="R1744" s="191"/>
      <c r="S1744" s="191"/>
      <c r="T1744" s="193"/>
      <c r="U1744" s="191"/>
      <c r="V1744" s="194"/>
      <c r="W1744" s="191"/>
      <c r="Y1744" s="191"/>
      <c r="Z1744" s="191"/>
      <c r="AA1744" s="191"/>
      <c r="AB1744" s="191"/>
      <c r="AC1744" s="191"/>
      <c r="AD1744" s="16"/>
      <c r="AE1744" s="16"/>
      <c r="AF1744" s="16"/>
      <c r="AG1744" s="16"/>
      <c r="AH1744" s="16"/>
      <c r="AI1744" s="16"/>
      <c r="AJ1744" s="16"/>
      <c r="AK1744" s="16"/>
      <c r="AL1744" s="16"/>
      <c r="AM1744" s="16"/>
      <c r="AN1744" s="16"/>
      <c r="AO1744" s="16"/>
      <c r="AP1744" s="16"/>
      <c r="AQ1744" s="16"/>
      <c r="AR1744" s="16"/>
      <c r="AS1744" s="16"/>
    </row>
    <row r="1745" spans="18:45" x14ac:dyDescent="0.35">
      <c r="R1745" s="191"/>
      <c r="S1745" s="191"/>
      <c r="T1745" s="193"/>
      <c r="U1745" s="191"/>
      <c r="V1745" s="194"/>
      <c r="W1745" s="191"/>
      <c r="Y1745" s="191"/>
      <c r="Z1745" s="191"/>
      <c r="AA1745" s="191"/>
      <c r="AB1745" s="191"/>
      <c r="AC1745" s="191"/>
      <c r="AD1745" s="16"/>
      <c r="AE1745" s="16"/>
      <c r="AF1745" s="16"/>
      <c r="AG1745" s="16"/>
      <c r="AH1745" s="16"/>
      <c r="AI1745" s="16"/>
      <c r="AJ1745" s="16"/>
      <c r="AK1745" s="16"/>
      <c r="AL1745" s="16"/>
      <c r="AM1745" s="16"/>
      <c r="AN1745" s="16"/>
      <c r="AO1745" s="16"/>
      <c r="AP1745" s="16"/>
      <c r="AQ1745" s="16"/>
      <c r="AR1745" s="16"/>
      <c r="AS1745" s="16"/>
    </row>
    <row r="1746" spans="18:45" x14ac:dyDescent="0.35">
      <c r="R1746" s="191"/>
      <c r="S1746" s="191"/>
      <c r="T1746" s="193"/>
      <c r="U1746" s="191"/>
      <c r="V1746" s="194"/>
      <c r="W1746" s="191"/>
      <c r="Y1746" s="191"/>
      <c r="Z1746" s="191"/>
      <c r="AA1746" s="191"/>
      <c r="AB1746" s="191"/>
      <c r="AC1746" s="191"/>
      <c r="AD1746" s="16"/>
      <c r="AE1746" s="16"/>
      <c r="AF1746" s="16"/>
      <c r="AG1746" s="16"/>
      <c r="AH1746" s="16"/>
      <c r="AI1746" s="16"/>
      <c r="AJ1746" s="16"/>
      <c r="AK1746" s="16"/>
      <c r="AL1746" s="16"/>
      <c r="AM1746" s="16"/>
      <c r="AN1746" s="16"/>
      <c r="AO1746" s="16"/>
      <c r="AP1746" s="16"/>
      <c r="AQ1746" s="16"/>
      <c r="AR1746" s="16"/>
      <c r="AS1746" s="16"/>
    </row>
    <row r="1747" spans="18:45" x14ac:dyDescent="0.35">
      <c r="R1747" s="191"/>
      <c r="S1747" s="191"/>
      <c r="T1747" s="193"/>
      <c r="U1747" s="191"/>
      <c r="V1747" s="194"/>
      <c r="W1747" s="191"/>
      <c r="Y1747" s="191"/>
      <c r="Z1747" s="191"/>
      <c r="AA1747" s="191"/>
      <c r="AB1747" s="191"/>
      <c r="AC1747" s="191"/>
      <c r="AD1747" s="16"/>
      <c r="AE1747" s="16"/>
      <c r="AF1747" s="16"/>
      <c r="AG1747" s="16"/>
      <c r="AH1747" s="16"/>
      <c r="AI1747" s="16"/>
      <c r="AJ1747" s="16"/>
      <c r="AK1747" s="16"/>
      <c r="AL1747" s="16"/>
      <c r="AM1747" s="16"/>
      <c r="AN1747" s="16"/>
      <c r="AO1747" s="16"/>
      <c r="AP1747" s="16"/>
      <c r="AQ1747" s="16"/>
      <c r="AR1747" s="16"/>
      <c r="AS1747" s="16"/>
    </row>
    <row r="1748" spans="18:45" x14ac:dyDescent="0.35">
      <c r="R1748" s="191"/>
      <c r="S1748" s="191"/>
      <c r="T1748" s="193"/>
      <c r="U1748" s="191"/>
      <c r="V1748" s="194"/>
      <c r="W1748" s="191"/>
      <c r="Y1748" s="191"/>
      <c r="Z1748" s="191"/>
      <c r="AA1748" s="191"/>
      <c r="AB1748" s="191"/>
      <c r="AC1748" s="191"/>
      <c r="AD1748" s="16"/>
      <c r="AE1748" s="16"/>
      <c r="AF1748" s="16"/>
      <c r="AG1748" s="16"/>
      <c r="AH1748" s="16"/>
      <c r="AI1748" s="16"/>
      <c r="AJ1748" s="16"/>
      <c r="AK1748" s="16"/>
      <c r="AL1748" s="16"/>
      <c r="AM1748" s="16"/>
      <c r="AN1748" s="16"/>
      <c r="AO1748" s="16"/>
      <c r="AP1748" s="16"/>
      <c r="AQ1748" s="16"/>
      <c r="AR1748" s="16"/>
      <c r="AS1748" s="16"/>
    </row>
    <row r="1749" spans="18:45" x14ac:dyDescent="0.35">
      <c r="R1749" s="191"/>
      <c r="S1749" s="191"/>
      <c r="T1749" s="193"/>
      <c r="U1749" s="191"/>
      <c r="V1749" s="194"/>
      <c r="W1749" s="191"/>
      <c r="Y1749" s="191"/>
      <c r="Z1749" s="191"/>
      <c r="AA1749" s="191"/>
      <c r="AB1749" s="191"/>
      <c r="AC1749" s="191"/>
      <c r="AD1749" s="16"/>
      <c r="AE1749" s="16"/>
      <c r="AF1749" s="16"/>
      <c r="AG1749" s="16"/>
      <c r="AH1749" s="16"/>
      <c r="AI1749" s="16"/>
      <c r="AJ1749" s="16"/>
      <c r="AK1749" s="16"/>
      <c r="AL1749" s="16"/>
      <c r="AM1749" s="16"/>
      <c r="AN1749" s="16"/>
      <c r="AO1749" s="16"/>
      <c r="AP1749" s="16"/>
      <c r="AQ1749" s="16"/>
      <c r="AR1749" s="16"/>
      <c r="AS1749" s="16"/>
    </row>
    <row r="1750" spans="18:45" x14ac:dyDescent="0.35">
      <c r="R1750" s="191"/>
      <c r="S1750" s="191"/>
      <c r="T1750" s="193"/>
      <c r="U1750" s="191"/>
      <c r="V1750" s="194"/>
      <c r="W1750" s="191"/>
      <c r="Y1750" s="191"/>
      <c r="Z1750" s="191"/>
      <c r="AA1750" s="191"/>
      <c r="AB1750" s="191"/>
      <c r="AC1750" s="191"/>
      <c r="AD1750" s="16"/>
      <c r="AE1750" s="16"/>
      <c r="AF1750" s="16"/>
      <c r="AG1750" s="16"/>
      <c r="AH1750" s="16"/>
      <c r="AI1750" s="16"/>
      <c r="AJ1750" s="16"/>
      <c r="AK1750" s="16"/>
      <c r="AL1750" s="16"/>
      <c r="AM1750" s="16"/>
      <c r="AN1750" s="16"/>
      <c r="AO1750" s="16"/>
      <c r="AP1750" s="16"/>
      <c r="AQ1750" s="16"/>
      <c r="AR1750" s="16"/>
      <c r="AS1750" s="16"/>
    </row>
    <row r="1751" spans="18:45" x14ac:dyDescent="0.35">
      <c r="R1751" s="191"/>
      <c r="S1751" s="191"/>
      <c r="T1751" s="193"/>
      <c r="U1751" s="191"/>
      <c r="V1751" s="194"/>
      <c r="W1751" s="191"/>
      <c r="Y1751" s="191"/>
      <c r="Z1751" s="191"/>
      <c r="AA1751" s="191"/>
      <c r="AB1751" s="191"/>
      <c r="AC1751" s="191"/>
      <c r="AD1751" s="16"/>
      <c r="AE1751" s="16"/>
      <c r="AF1751" s="16"/>
      <c r="AG1751" s="16"/>
      <c r="AH1751" s="16"/>
      <c r="AI1751" s="16"/>
      <c r="AJ1751" s="16"/>
      <c r="AK1751" s="16"/>
      <c r="AL1751" s="16"/>
      <c r="AM1751" s="16"/>
      <c r="AN1751" s="16"/>
      <c r="AO1751" s="16"/>
      <c r="AP1751" s="16"/>
      <c r="AQ1751" s="16"/>
      <c r="AR1751" s="16"/>
      <c r="AS1751" s="16"/>
    </row>
    <row r="1752" spans="18:45" x14ac:dyDescent="0.35">
      <c r="R1752" s="191"/>
      <c r="S1752" s="191"/>
      <c r="T1752" s="193"/>
      <c r="U1752" s="191"/>
      <c r="V1752" s="194"/>
      <c r="W1752" s="191"/>
      <c r="Y1752" s="191"/>
      <c r="Z1752" s="191"/>
      <c r="AA1752" s="191"/>
      <c r="AB1752" s="191"/>
      <c r="AC1752" s="191"/>
      <c r="AD1752" s="16"/>
      <c r="AE1752" s="16"/>
      <c r="AF1752" s="16"/>
      <c r="AG1752" s="16"/>
      <c r="AH1752" s="16"/>
      <c r="AI1752" s="16"/>
      <c r="AJ1752" s="16"/>
      <c r="AK1752" s="16"/>
      <c r="AL1752" s="16"/>
      <c r="AM1752" s="16"/>
      <c r="AN1752" s="16"/>
      <c r="AO1752" s="16"/>
      <c r="AP1752" s="16"/>
      <c r="AQ1752" s="16"/>
      <c r="AR1752" s="16"/>
      <c r="AS1752" s="16"/>
    </row>
    <row r="1753" spans="18:45" x14ac:dyDescent="0.35">
      <c r="R1753" s="191"/>
      <c r="S1753" s="191"/>
      <c r="T1753" s="193"/>
      <c r="U1753" s="191"/>
      <c r="V1753" s="194"/>
      <c r="W1753" s="191"/>
      <c r="Y1753" s="191"/>
      <c r="Z1753" s="191"/>
      <c r="AA1753" s="191"/>
      <c r="AB1753" s="191"/>
      <c r="AC1753" s="191"/>
      <c r="AD1753" s="16"/>
      <c r="AE1753" s="16"/>
      <c r="AF1753" s="16"/>
      <c r="AG1753" s="16"/>
      <c r="AH1753" s="16"/>
      <c r="AI1753" s="16"/>
      <c r="AJ1753" s="16"/>
      <c r="AK1753" s="16"/>
      <c r="AL1753" s="16"/>
      <c r="AM1753" s="16"/>
      <c r="AN1753" s="16"/>
      <c r="AO1753" s="16"/>
      <c r="AP1753" s="16"/>
      <c r="AQ1753" s="16"/>
      <c r="AR1753" s="16"/>
      <c r="AS1753" s="16"/>
    </row>
    <row r="1754" spans="18:45" x14ac:dyDescent="0.35">
      <c r="R1754" s="191"/>
      <c r="S1754" s="191"/>
      <c r="T1754" s="193"/>
      <c r="U1754" s="191"/>
      <c r="V1754" s="194"/>
      <c r="W1754" s="191"/>
      <c r="Y1754" s="191"/>
      <c r="Z1754" s="191"/>
      <c r="AA1754" s="191"/>
      <c r="AB1754" s="191"/>
      <c r="AC1754" s="191"/>
      <c r="AD1754" s="16"/>
      <c r="AE1754" s="16"/>
      <c r="AF1754" s="16"/>
      <c r="AG1754" s="16"/>
      <c r="AH1754" s="16"/>
      <c r="AI1754" s="16"/>
      <c r="AJ1754" s="16"/>
      <c r="AK1754" s="16"/>
      <c r="AL1754" s="16"/>
      <c r="AM1754" s="16"/>
      <c r="AN1754" s="16"/>
      <c r="AO1754" s="16"/>
      <c r="AP1754" s="16"/>
      <c r="AQ1754" s="16"/>
      <c r="AR1754" s="16"/>
      <c r="AS1754" s="16"/>
    </row>
    <row r="1755" spans="18:45" x14ac:dyDescent="0.35">
      <c r="R1755" s="191"/>
      <c r="S1755" s="191"/>
      <c r="T1755" s="193"/>
      <c r="U1755" s="191"/>
      <c r="V1755" s="194"/>
      <c r="W1755" s="191"/>
      <c r="Y1755" s="191"/>
      <c r="Z1755" s="191"/>
      <c r="AA1755" s="191"/>
      <c r="AB1755" s="191"/>
      <c r="AC1755" s="191"/>
      <c r="AD1755" s="16"/>
      <c r="AE1755" s="16"/>
      <c r="AF1755" s="16"/>
      <c r="AG1755" s="16"/>
      <c r="AH1755" s="16"/>
      <c r="AI1755" s="16"/>
      <c r="AJ1755" s="16"/>
      <c r="AK1755" s="16"/>
      <c r="AL1755" s="16"/>
      <c r="AM1755" s="16"/>
      <c r="AN1755" s="16"/>
      <c r="AO1755" s="16"/>
      <c r="AP1755" s="16"/>
      <c r="AQ1755" s="16"/>
      <c r="AR1755" s="16"/>
      <c r="AS1755" s="16"/>
    </row>
    <row r="1756" spans="18:45" x14ac:dyDescent="0.35">
      <c r="R1756" s="191"/>
      <c r="S1756" s="191"/>
      <c r="T1756" s="193"/>
      <c r="U1756" s="191"/>
      <c r="V1756" s="194"/>
      <c r="W1756" s="191"/>
      <c r="Y1756" s="191"/>
      <c r="Z1756" s="191"/>
      <c r="AA1756" s="191"/>
      <c r="AB1756" s="191"/>
      <c r="AC1756" s="191"/>
      <c r="AD1756" s="16"/>
      <c r="AE1756" s="16"/>
      <c r="AF1756" s="16"/>
      <c r="AG1756" s="16"/>
      <c r="AH1756" s="16"/>
      <c r="AI1756" s="16"/>
      <c r="AJ1756" s="16"/>
      <c r="AK1756" s="16"/>
      <c r="AL1756" s="16"/>
      <c r="AM1756" s="16"/>
      <c r="AN1756" s="16"/>
      <c r="AO1756" s="16"/>
      <c r="AP1756" s="16"/>
      <c r="AQ1756" s="16"/>
      <c r="AR1756" s="16"/>
      <c r="AS1756" s="16"/>
    </row>
    <row r="1757" spans="18:45" x14ac:dyDescent="0.35">
      <c r="R1757" s="191"/>
      <c r="S1757" s="191"/>
      <c r="T1757" s="193"/>
      <c r="U1757" s="191"/>
      <c r="V1757" s="194"/>
      <c r="W1757" s="191"/>
      <c r="Y1757" s="191"/>
      <c r="Z1757" s="191"/>
      <c r="AA1757" s="191"/>
      <c r="AB1757" s="191"/>
      <c r="AC1757" s="191"/>
      <c r="AD1757" s="16"/>
      <c r="AE1757" s="16"/>
      <c r="AF1757" s="16"/>
      <c r="AG1757" s="16"/>
      <c r="AH1757" s="16"/>
      <c r="AI1757" s="16"/>
      <c r="AJ1757" s="16"/>
      <c r="AK1757" s="16"/>
      <c r="AL1757" s="16"/>
      <c r="AM1757" s="16"/>
      <c r="AN1757" s="16"/>
      <c r="AO1757" s="16"/>
      <c r="AP1757" s="16"/>
      <c r="AQ1757" s="16"/>
      <c r="AR1757" s="16"/>
      <c r="AS1757" s="16"/>
    </row>
    <row r="1758" spans="18:45" x14ac:dyDescent="0.35">
      <c r="R1758" s="191"/>
      <c r="S1758" s="191"/>
      <c r="T1758" s="193"/>
      <c r="U1758" s="191"/>
      <c r="V1758" s="194"/>
      <c r="W1758" s="191"/>
      <c r="Y1758" s="191"/>
      <c r="Z1758" s="191"/>
      <c r="AA1758" s="191"/>
      <c r="AB1758" s="191"/>
      <c r="AC1758" s="191"/>
      <c r="AD1758" s="16"/>
      <c r="AE1758" s="16"/>
      <c r="AF1758" s="16"/>
      <c r="AG1758" s="16"/>
      <c r="AH1758" s="16"/>
      <c r="AI1758" s="16"/>
      <c r="AJ1758" s="16"/>
      <c r="AK1758" s="16"/>
      <c r="AL1758" s="16"/>
      <c r="AM1758" s="16"/>
      <c r="AN1758" s="16"/>
      <c r="AO1758" s="16"/>
      <c r="AP1758" s="16"/>
      <c r="AQ1758" s="16"/>
      <c r="AR1758" s="16"/>
      <c r="AS1758" s="16"/>
    </row>
    <row r="1759" spans="18:45" x14ac:dyDescent="0.35">
      <c r="R1759" s="191"/>
      <c r="S1759" s="191"/>
      <c r="T1759" s="193"/>
      <c r="U1759" s="191"/>
      <c r="V1759" s="194"/>
      <c r="W1759" s="191"/>
      <c r="Y1759" s="191"/>
      <c r="Z1759" s="191"/>
      <c r="AA1759" s="191"/>
      <c r="AB1759" s="191"/>
      <c r="AC1759" s="191"/>
      <c r="AD1759" s="16"/>
      <c r="AE1759" s="16"/>
      <c r="AF1759" s="16"/>
      <c r="AG1759" s="16"/>
      <c r="AH1759" s="16"/>
      <c r="AI1759" s="16"/>
      <c r="AJ1759" s="16"/>
      <c r="AK1759" s="16"/>
      <c r="AL1759" s="16"/>
      <c r="AM1759" s="16"/>
      <c r="AN1759" s="16"/>
      <c r="AO1759" s="16"/>
      <c r="AP1759" s="16"/>
      <c r="AQ1759" s="16"/>
      <c r="AR1759" s="16"/>
      <c r="AS1759" s="16"/>
    </row>
    <row r="1760" spans="18:45" x14ac:dyDescent="0.35">
      <c r="R1760" s="191"/>
      <c r="S1760" s="191"/>
      <c r="T1760" s="193"/>
      <c r="U1760" s="191"/>
      <c r="V1760" s="194"/>
      <c r="W1760" s="191"/>
      <c r="Y1760" s="191"/>
      <c r="Z1760" s="191"/>
      <c r="AA1760" s="191"/>
      <c r="AB1760" s="191"/>
      <c r="AC1760" s="191"/>
      <c r="AD1760" s="16"/>
      <c r="AE1760" s="16"/>
      <c r="AF1760" s="16"/>
      <c r="AG1760" s="16"/>
      <c r="AH1760" s="16"/>
      <c r="AI1760" s="16"/>
      <c r="AJ1760" s="16"/>
      <c r="AK1760" s="16"/>
      <c r="AL1760" s="16"/>
      <c r="AM1760" s="16"/>
      <c r="AN1760" s="16"/>
      <c r="AO1760" s="16"/>
      <c r="AP1760" s="16"/>
      <c r="AQ1760" s="16"/>
      <c r="AR1760" s="16"/>
      <c r="AS1760" s="16"/>
    </row>
    <row r="1761" spans="18:45" x14ac:dyDescent="0.35">
      <c r="R1761" s="191"/>
      <c r="S1761" s="191"/>
      <c r="T1761" s="193"/>
      <c r="U1761" s="191"/>
      <c r="V1761" s="194"/>
      <c r="W1761" s="191"/>
      <c r="Y1761" s="191"/>
      <c r="Z1761" s="191"/>
      <c r="AA1761" s="191"/>
      <c r="AB1761" s="191"/>
      <c r="AC1761" s="191"/>
      <c r="AD1761" s="16"/>
      <c r="AE1761" s="16"/>
      <c r="AF1761" s="16"/>
      <c r="AG1761" s="16"/>
      <c r="AH1761" s="16"/>
      <c r="AI1761" s="16"/>
      <c r="AJ1761" s="16"/>
      <c r="AK1761" s="16"/>
      <c r="AL1761" s="16"/>
      <c r="AM1761" s="16"/>
      <c r="AN1761" s="16"/>
      <c r="AO1761" s="16"/>
      <c r="AP1761" s="16"/>
      <c r="AQ1761" s="16"/>
      <c r="AR1761" s="16"/>
      <c r="AS1761" s="16"/>
    </row>
    <row r="1762" spans="18:45" x14ac:dyDescent="0.35">
      <c r="R1762" s="191"/>
      <c r="S1762" s="191"/>
      <c r="T1762" s="193"/>
      <c r="U1762" s="191"/>
      <c r="V1762" s="194"/>
      <c r="W1762" s="191"/>
      <c r="Y1762" s="191"/>
      <c r="Z1762" s="191"/>
      <c r="AA1762" s="191"/>
      <c r="AB1762" s="191"/>
      <c r="AC1762" s="191"/>
      <c r="AD1762" s="16"/>
      <c r="AE1762" s="16"/>
      <c r="AF1762" s="16"/>
      <c r="AG1762" s="16"/>
      <c r="AH1762" s="16"/>
      <c r="AI1762" s="16"/>
      <c r="AJ1762" s="16"/>
      <c r="AK1762" s="16"/>
      <c r="AL1762" s="16"/>
      <c r="AM1762" s="16"/>
      <c r="AN1762" s="16"/>
      <c r="AO1762" s="16"/>
      <c r="AP1762" s="16"/>
      <c r="AQ1762" s="16"/>
      <c r="AR1762" s="16"/>
      <c r="AS1762" s="16"/>
    </row>
    <row r="1763" spans="18:45" x14ac:dyDescent="0.35">
      <c r="R1763" s="191"/>
      <c r="S1763" s="191"/>
      <c r="T1763" s="193"/>
      <c r="U1763" s="191"/>
      <c r="V1763" s="194"/>
      <c r="W1763" s="191"/>
      <c r="Y1763" s="191"/>
      <c r="Z1763" s="191"/>
      <c r="AA1763" s="191"/>
      <c r="AB1763" s="191"/>
      <c r="AC1763" s="191"/>
      <c r="AD1763" s="16"/>
      <c r="AE1763" s="16"/>
      <c r="AF1763" s="16"/>
      <c r="AG1763" s="16"/>
      <c r="AH1763" s="16"/>
      <c r="AI1763" s="16"/>
      <c r="AJ1763" s="16"/>
      <c r="AK1763" s="16"/>
      <c r="AL1763" s="16"/>
      <c r="AM1763" s="16"/>
      <c r="AN1763" s="16"/>
      <c r="AO1763" s="16"/>
      <c r="AP1763" s="16"/>
      <c r="AQ1763" s="16"/>
      <c r="AR1763" s="16"/>
      <c r="AS1763" s="16"/>
    </row>
    <row r="1764" spans="18:45" x14ac:dyDescent="0.35">
      <c r="R1764" s="191"/>
      <c r="S1764" s="191"/>
      <c r="T1764" s="193"/>
      <c r="U1764" s="191"/>
      <c r="V1764" s="194"/>
      <c r="W1764" s="191"/>
      <c r="Y1764" s="191"/>
      <c r="Z1764" s="191"/>
      <c r="AA1764" s="191"/>
      <c r="AB1764" s="191"/>
      <c r="AC1764" s="191"/>
      <c r="AD1764" s="16"/>
      <c r="AE1764" s="16"/>
      <c r="AF1764" s="16"/>
      <c r="AG1764" s="16"/>
      <c r="AH1764" s="16"/>
      <c r="AI1764" s="16"/>
      <c r="AJ1764" s="16"/>
      <c r="AK1764" s="16"/>
      <c r="AL1764" s="16"/>
      <c r="AM1764" s="16"/>
      <c r="AN1764" s="16"/>
      <c r="AO1764" s="16"/>
      <c r="AP1764" s="16"/>
      <c r="AQ1764" s="16"/>
      <c r="AR1764" s="16"/>
      <c r="AS1764" s="16"/>
    </row>
    <row r="1765" spans="18:45" x14ac:dyDescent="0.35">
      <c r="R1765" s="191"/>
      <c r="S1765" s="191"/>
      <c r="T1765" s="193"/>
      <c r="U1765" s="191"/>
      <c r="V1765" s="194"/>
      <c r="W1765" s="191"/>
      <c r="Y1765" s="191"/>
      <c r="Z1765" s="191"/>
      <c r="AA1765" s="191"/>
      <c r="AB1765" s="191"/>
      <c r="AC1765" s="191"/>
      <c r="AD1765" s="16"/>
      <c r="AE1765" s="16"/>
      <c r="AF1765" s="16"/>
      <c r="AG1765" s="16"/>
      <c r="AH1765" s="16"/>
      <c r="AI1765" s="16"/>
      <c r="AJ1765" s="16"/>
      <c r="AK1765" s="16"/>
      <c r="AL1765" s="16"/>
      <c r="AM1765" s="16"/>
      <c r="AN1765" s="16"/>
      <c r="AO1765" s="16"/>
      <c r="AP1765" s="16"/>
      <c r="AQ1765" s="16"/>
      <c r="AR1765" s="16"/>
      <c r="AS1765" s="16"/>
    </row>
    <row r="1766" spans="18:45" x14ac:dyDescent="0.35">
      <c r="R1766" s="191"/>
      <c r="S1766" s="191"/>
      <c r="T1766" s="193"/>
      <c r="U1766" s="191"/>
      <c r="V1766" s="194"/>
      <c r="W1766" s="191"/>
      <c r="Y1766" s="191"/>
      <c r="Z1766" s="191"/>
      <c r="AA1766" s="191"/>
      <c r="AB1766" s="191"/>
      <c r="AC1766" s="191"/>
      <c r="AD1766" s="16"/>
      <c r="AE1766" s="16"/>
      <c r="AF1766" s="16"/>
      <c r="AG1766" s="16"/>
      <c r="AH1766" s="16"/>
      <c r="AI1766" s="16"/>
      <c r="AJ1766" s="16"/>
      <c r="AK1766" s="16"/>
      <c r="AL1766" s="16"/>
      <c r="AM1766" s="16"/>
      <c r="AN1766" s="16"/>
      <c r="AO1766" s="16"/>
      <c r="AP1766" s="16"/>
      <c r="AQ1766" s="16"/>
      <c r="AR1766" s="16"/>
      <c r="AS1766" s="16"/>
    </row>
    <row r="1767" spans="18:45" x14ac:dyDescent="0.35">
      <c r="R1767" s="191"/>
      <c r="S1767" s="191"/>
      <c r="T1767" s="193"/>
      <c r="U1767" s="191"/>
      <c r="V1767" s="194"/>
      <c r="W1767" s="191"/>
      <c r="Y1767" s="191"/>
      <c r="Z1767" s="191"/>
      <c r="AA1767" s="191"/>
      <c r="AB1767" s="191"/>
      <c r="AC1767" s="191"/>
      <c r="AD1767" s="16"/>
      <c r="AE1767" s="16"/>
      <c r="AF1767" s="16"/>
      <c r="AG1767" s="16"/>
      <c r="AH1767" s="16"/>
      <c r="AI1767" s="16"/>
      <c r="AJ1767" s="16"/>
      <c r="AK1767" s="16"/>
      <c r="AL1767" s="16"/>
      <c r="AM1767" s="16"/>
      <c r="AN1767" s="16"/>
      <c r="AO1767" s="16"/>
      <c r="AP1767" s="16"/>
      <c r="AQ1767" s="16"/>
      <c r="AR1767" s="16"/>
      <c r="AS1767" s="16"/>
    </row>
    <row r="1768" spans="18:45" x14ac:dyDescent="0.35">
      <c r="R1768" s="191"/>
      <c r="S1768" s="191"/>
      <c r="T1768" s="193"/>
      <c r="U1768" s="191"/>
      <c r="V1768" s="194"/>
      <c r="W1768" s="191"/>
      <c r="Y1768" s="191"/>
      <c r="Z1768" s="191"/>
      <c r="AA1768" s="191"/>
      <c r="AB1768" s="191"/>
      <c r="AC1768" s="191"/>
      <c r="AD1768" s="16"/>
      <c r="AE1768" s="16"/>
      <c r="AF1768" s="16"/>
      <c r="AG1768" s="16"/>
      <c r="AH1768" s="16"/>
      <c r="AI1768" s="16"/>
      <c r="AJ1768" s="16"/>
      <c r="AK1768" s="16"/>
      <c r="AL1768" s="16"/>
      <c r="AM1768" s="16"/>
      <c r="AN1768" s="16"/>
      <c r="AO1768" s="16"/>
      <c r="AP1768" s="16"/>
      <c r="AQ1768" s="16"/>
      <c r="AR1768" s="16"/>
      <c r="AS1768" s="16"/>
    </row>
    <row r="1769" spans="18:45" x14ac:dyDescent="0.35">
      <c r="R1769" s="191"/>
      <c r="S1769" s="191"/>
      <c r="T1769" s="193"/>
      <c r="U1769" s="191"/>
      <c r="V1769" s="194"/>
      <c r="W1769" s="191"/>
      <c r="Y1769" s="191"/>
      <c r="Z1769" s="191"/>
      <c r="AA1769" s="191"/>
      <c r="AB1769" s="191"/>
      <c r="AC1769" s="191"/>
      <c r="AD1769" s="16"/>
      <c r="AE1769" s="16"/>
      <c r="AF1769" s="16"/>
      <c r="AG1769" s="16"/>
      <c r="AH1769" s="16"/>
      <c r="AI1769" s="16"/>
      <c r="AJ1769" s="16"/>
      <c r="AK1769" s="16"/>
      <c r="AL1769" s="16"/>
      <c r="AM1769" s="16"/>
      <c r="AN1769" s="16"/>
      <c r="AO1769" s="16"/>
      <c r="AP1769" s="16"/>
      <c r="AQ1769" s="16"/>
      <c r="AR1769" s="16"/>
      <c r="AS1769" s="16"/>
    </row>
    <row r="1770" spans="18:45" x14ac:dyDescent="0.35">
      <c r="R1770" s="191"/>
      <c r="S1770" s="191"/>
      <c r="T1770" s="193"/>
      <c r="U1770" s="191"/>
      <c r="V1770" s="194"/>
      <c r="W1770" s="191"/>
      <c r="Y1770" s="191"/>
      <c r="Z1770" s="191"/>
      <c r="AA1770" s="191"/>
      <c r="AB1770" s="191"/>
      <c r="AC1770" s="191"/>
      <c r="AD1770" s="16"/>
      <c r="AE1770" s="16"/>
      <c r="AF1770" s="16"/>
      <c r="AG1770" s="16"/>
      <c r="AH1770" s="16"/>
      <c r="AI1770" s="16"/>
      <c r="AJ1770" s="16"/>
      <c r="AK1770" s="16"/>
      <c r="AL1770" s="16"/>
      <c r="AM1770" s="16"/>
      <c r="AN1770" s="16"/>
      <c r="AO1770" s="16"/>
      <c r="AP1770" s="16"/>
      <c r="AQ1770" s="16"/>
      <c r="AR1770" s="16"/>
      <c r="AS1770" s="16"/>
    </row>
    <row r="1771" spans="18:45" x14ac:dyDescent="0.35">
      <c r="R1771" s="191"/>
      <c r="S1771" s="191"/>
      <c r="T1771" s="193"/>
      <c r="U1771" s="191"/>
      <c r="V1771" s="194"/>
      <c r="W1771" s="191"/>
      <c r="Y1771" s="191"/>
      <c r="Z1771" s="191"/>
      <c r="AA1771" s="191"/>
      <c r="AB1771" s="191"/>
      <c r="AC1771" s="191"/>
      <c r="AD1771" s="16"/>
      <c r="AE1771" s="16"/>
      <c r="AF1771" s="16"/>
      <c r="AG1771" s="16"/>
      <c r="AH1771" s="16"/>
      <c r="AI1771" s="16"/>
      <c r="AJ1771" s="16"/>
      <c r="AK1771" s="16"/>
      <c r="AL1771" s="16"/>
      <c r="AM1771" s="16"/>
      <c r="AN1771" s="16"/>
      <c r="AO1771" s="16"/>
      <c r="AP1771" s="16"/>
      <c r="AQ1771" s="16"/>
      <c r="AR1771" s="16"/>
      <c r="AS1771" s="16"/>
    </row>
    <row r="1772" spans="18:45" x14ac:dyDescent="0.35">
      <c r="R1772" s="191"/>
      <c r="S1772" s="191"/>
      <c r="T1772" s="193"/>
      <c r="U1772" s="191"/>
      <c r="V1772" s="194"/>
      <c r="W1772" s="191"/>
      <c r="Y1772" s="191"/>
      <c r="Z1772" s="191"/>
      <c r="AA1772" s="191"/>
      <c r="AB1772" s="191"/>
      <c r="AC1772" s="191"/>
      <c r="AD1772" s="16"/>
      <c r="AE1772" s="16"/>
      <c r="AF1772" s="16"/>
      <c r="AG1772" s="16"/>
      <c r="AH1772" s="16"/>
      <c r="AI1772" s="16"/>
      <c r="AJ1772" s="16"/>
      <c r="AK1772" s="16"/>
      <c r="AL1772" s="16"/>
      <c r="AM1772" s="16"/>
      <c r="AN1772" s="16"/>
      <c r="AO1772" s="16"/>
      <c r="AP1772" s="16"/>
      <c r="AQ1772" s="16"/>
      <c r="AR1772" s="16"/>
      <c r="AS1772" s="16"/>
    </row>
    <row r="1773" spans="18:45" x14ac:dyDescent="0.35">
      <c r="R1773" s="191"/>
      <c r="S1773" s="191"/>
      <c r="T1773" s="193"/>
      <c r="U1773" s="191"/>
      <c r="V1773" s="194"/>
      <c r="W1773" s="191"/>
      <c r="Y1773" s="191"/>
      <c r="Z1773" s="191"/>
      <c r="AA1773" s="191"/>
      <c r="AB1773" s="191"/>
      <c r="AC1773" s="191"/>
      <c r="AD1773" s="16"/>
      <c r="AE1773" s="16"/>
      <c r="AF1773" s="16"/>
      <c r="AG1773" s="16"/>
      <c r="AH1773" s="16"/>
      <c r="AI1773" s="16"/>
      <c r="AJ1773" s="16"/>
      <c r="AK1773" s="16"/>
      <c r="AL1773" s="16"/>
      <c r="AM1773" s="16"/>
      <c r="AN1773" s="16"/>
      <c r="AO1773" s="16"/>
      <c r="AP1773" s="16"/>
      <c r="AQ1773" s="16"/>
      <c r="AR1773" s="16"/>
      <c r="AS1773" s="16"/>
    </row>
    <row r="1774" spans="18:45" x14ac:dyDescent="0.35">
      <c r="R1774" s="191"/>
      <c r="S1774" s="191"/>
      <c r="T1774" s="193"/>
      <c r="U1774" s="191"/>
      <c r="V1774" s="194"/>
      <c r="W1774" s="191"/>
      <c r="Y1774" s="191"/>
      <c r="Z1774" s="191"/>
      <c r="AA1774" s="191"/>
      <c r="AB1774" s="191"/>
      <c r="AC1774" s="191"/>
      <c r="AD1774" s="16"/>
      <c r="AE1774" s="16"/>
      <c r="AF1774" s="16"/>
      <c r="AG1774" s="16"/>
      <c r="AH1774" s="16"/>
      <c r="AI1774" s="16"/>
      <c r="AJ1774" s="16"/>
      <c r="AK1774" s="16"/>
      <c r="AL1774" s="16"/>
      <c r="AM1774" s="16"/>
      <c r="AN1774" s="16"/>
      <c r="AO1774" s="16"/>
      <c r="AP1774" s="16"/>
      <c r="AQ1774" s="16"/>
      <c r="AR1774" s="16"/>
      <c r="AS1774" s="16"/>
    </row>
    <row r="1775" spans="18:45" x14ac:dyDescent="0.35">
      <c r="R1775" s="191"/>
      <c r="S1775" s="191"/>
      <c r="T1775" s="193"/>
      <c r="U1775" s="191"/>
      <c r="V1775" s="194"/>
      <c r="W1775" s="191"/>
      <c r="Y1775" s="191"/>
      <c r="Z1775" s="191"/>
      <c r="AA1775" s="191"/>
      <c r="AB1775" s="191"/>
      <c r="AC1775" s="191"/>
      <c r="AD1775" s="16"/>
      <c r="AE1775" s="16"/>
      <c r="AF1775" s="16"/>
      <c r="AG1775" s="16"/>
      <c r="AH1775" s="16"/>
      <c r="AI1775" s="16"/>
      <c r="AJ1775" s="16"/>
      <c r="AK1775" s="16"/>
      <c r="AL1775" s="16"/>
      <c r="AM1775" s="16"/>
      <c r="AN1775" s="16"/>
      <c r="AO1775" s="16"/>
      <c r="AP1775" s="16"/>
      <c r="AQ1775" s="16"/>
      <c r="AR1775" s="16"/>
      <c r="AS1775" s="16"/>
    </row>
    <row r="1776" spans="18:45" x14ac:dyDescent="0.35">
      <c r="R1776" s="191"/>
      <c r="S1776" s="191"/>
      <c r="T1776" s="193"/>
      <c r="U1776" s="191"/>
      <c r="V1776" s="194"/>
      <c r="W1776" s="191"/>
      <c r="Y1776" s="191"/>
      <c r="Z1776" s="191"/>
      <c r="AA1776" s="191"/>
      <c r="AB1776" s="191"/>
      <c r="AC1776" s="191"/>
      <c r="AD1776" s="16"/>
      <c r="AE1776" s="16"/>
      <c r="AF1776" s="16"/>
      <c r="AG1776" s="16"/>
      <c r="AH1776" s="16"/>
      <c r="AI1776" s="16"/>
      <c r="AJ1776" s="16"/>
      <c r="AK1776" s="16"/>
      <c r="AL1776" s="16"/>
      <c r="AM1776" s="16"/>
      <c r="AN1776" s="16"/>
      <c r="AO1776" s="16"/>
      <c r="AP1776" s="16"/>
      <c r="AQ1776" s="16"/>
      <c r="AR1776" s="16"/>
      <c r="AS1776" s="16"/>
    </row>
    <row r="1777" spans="18:45" x14ac:dyDescent="0.35">
      <c r="R1777" s="191"/>
      <c r="S1777" s="191"/>
      <c r="T1777" s="193"/>
      <c r="U1777" s="191"/>
      <c r="V1777" s="194"/>
      <c r="W1777" s="191"/>
      <c r="Y1777" s="191"/>
      <c r="Z1777" s="191"/>
      <c r="AA1777" s="191"/>
      <c r="AB1777" s="191"/>
      <c r="AC1777" s="191"/>
      <c r="AD1777" s="16"/>
      <c r="AE1777" s="16"/>
      <c r="AF1777" s="16"/>
      <c r="AG1777" s="16"/>
      <c r="AH1777" s="16"/>
      <c r="AI1777" s="16"/>
      <c r="AJ1777" s="16"/>
      <c r="AK1777" s="16"/>
      <c r="AL1777" s="16"/>
      <c r="AM1777" s="16"/>
      <c r="AN1777" s="16"/>
      <c r="AO1777" s="16"/>
      <c r="AP1777" s="16"/>
      <c r="AQ1777" s="16"/>
      <c r="AR1777" s="16"/>
      <c r="AS1777" s="16"/>
    </row>
    <row r="1778" spans="18:45" x14ac:dyDescent="0.35">
      <c r="R1778" s="191"/>
      <c r="S1778" s="191"/>
      <c r="T1778" s="193"/>
      <c r="U1778" s="191"/>
      <c r="V1778" s="194"/>
      <c r="W1778" s="191"/>
      <c r="Y1778" s="191"/>
      <c r="Z1778" s="191"/>
      <c r="AA1778" s="191"/>
      <c r="AB1778" s="191"/>
      <c r="AC1778" s="191"/>
      <c r="AD1778" s="16"/>
      <c r="AE1778" s="16"/>
      <c r="AF1778" s="16"/>
      <c r="AG1778" s="16"/>
      <c r="AH1778" s="16"/>
      <c r="AI1778" s="16"/>
      <c r="AJ1778" s="16"/>
      <c r="AK1778" s="16"/>
      <c r="AL1778" s="16"/>
      <c r="AM1778" s="16"/>
      <c r="AN1778" s="16"/>
      <c r="AO1778" s="16"/>
      <c r="AP1778" s="16"/>
      <c r="AQ1778" s="16"/>
      <c r="AR1778" s="16"/>
      <c r="AS1778" s="16"/>
    </row>
    <row r="1779" spans="18:45" x14ac:dyDescent="0.35">
      <c r="R1779" s="191"/>
      <c r="S1779" s="191"/>
      <c r="T1779" s="193"/>
      <c r="U1779" s="191"/>
      <c r="V1779" s="194"/>
      <c r="W1779" s="191"/>
      <c r="Y1779" s="191"/>
      <c r="Z1779" s="191"/>
      <c r="AA1779" s="191"/>
      <c r="AB1779" s="191"/>
      <c r="AC1779" s="191"/>
      <c r="AD1779" s="16"/>
      <c r="AE1779" s="16"/>
      <c r="AF1779" s="16"/>
      <c r="AG1779" s="16"/>
      <c r="AH1779" s="16"/>
      <c r="AI1779" s="16"/>
      <c r="AJ1779" s="16"/>
      <c r="AK1779" s="16"/>
      <c r="AL1779" s="16"/>
      <c r="AM1779" s="16"/>
      <c r="AN1779" s="16"/>
      <c r="AO1779" s="16"/>
      <c r="AP1779" s="16"/>
      <c r="AQ1779" s="16"/>
      <c r="AR1779" s="16"/>
      <c r="AS1779" s="16"/>
    </row>
    <row r="1780" spans="18:45" x14ac:dyDescent="0.35">
      <c r="R1780" s="191"/>
      <c r="S1780" s="191"/>
      <c r="T1780" s="193"/>
      <c r="U1780" s="191"/>
      <c r="V1780" s="194"/>
      <c r="W1780" s="191"/>
      <c r="Y1780" s="191"/>
      <c r="Z1780" s="191"/>
      <c r="AA1780" s="191"/>
      <c r="AB1780" s="191"/>
      <c r="AC1780" s="191"/>
      <c r="AD1780" s="16"/>
      <c r="AE1780" s="16"/>
      <c r="AF1780" s="16"/>
      <c r="AG1780" s="16"/>
      <c r="AH1780" s="16"/>
      <c r="AI1780" s="16"/>
      <c r="AJ1780" s="16"/>
      <c r="AK1780" s="16"/>
      <c r="AL1780" s="16"/>
      <c r="AM1780" s="16"/>
      <c r="AN1780" s="16"/>
      <c r="AO1780" s="16"/>
      <c r="AP1780" s="16"/>
      <c r="AQ1780" s="16"/>
      <c r="AR1780" s="16"/>
      <c r="AS1780" s="16"/>
    </row>
    <row r="1781" spans="18:45" x14ac:dyDescent="0.35">
      <c r="R1781" s="191"/>
      <c r="S1781" s="191"/>
      <c r="T1781" s="193"/>
      <c r="U1781" s="191"/>
      <c r="V1781" s="194"/>
      <c r="W1781" s="191"/>
      <c r="Y1781" s="191"/>
      <c r="Z1781" s="191"/>
      <c r="AA1781" s="191"/>
      <c r="AB1781" s="191"/>
      <c r="AC1781" s="191"/>
      <c r="AD1781" s="16"/>
      <c r="AE1781" s="16"/>
      <c r="AF1781" s="16"/>
      <c r="AG1781" s="16"/>
      <c r="AH1781" s="16"/>
      <c r="AI1781" s="16"/>
      <c r="AJ1781" s="16"/>
      <c r="AK1781" s="16"/>
      <c r="AL1781" s="16"/>
      <c r="AM1781" s="16"/>
      <c r="AN1781" s="16"/>
      <c r="AO1781" s="16"/>
      <c r="AP1781" s="16"/>
      <c r="AQ1781" s="16"/>
      <c r="AR1781" s="16"/>
      <c r="AS1781" s="16"/>
    </row>
    <row r="1782" spans="18:45" x14ac:dyDescent="0.35">
      <c r="R1782" s="191"/>
      <c r="S1782" s="191"/>
      <c r="T1782" s="193"/>
      <c r="U1782" s="191"/>
      <c r="V1782" s="194"/>
      <c r="W1782" s="191"/>
      <c r="Y1782" s="191"/>
      <c r="Z1782" s="191"/>
      <c r="AA1782" s="191"/>
      <c r="AB1782" s="191"/>
      <c r="AC1782" s="191"/>
      <c r="AD1782" s="16"/>
      <c r="AE1782" s="16"/>
      <c r="AF1782" s="16"/>
      <c r="AG1782" s="16"/>
      <c r="AH1782" s="16"/>
      <c r="AI1782" s="16"/>
      <c r="AJ1782" s="16"/>
      <c r="AK1782" s="16"/>
      <c r="AL1782" s="16"/>
      <c r="AM1782" s="16"/>
      <c r="AN1782" s="16"/>
      <c r="AO1782" s="16"/>
      <c r="AP1782" s="16"/>
      <c r="AQ1782" s="16"/>
      <c r="AR1782" s="16"/>
      <c r="AS1782" s="16"/>
    </row>
    <row r="1783" spans="18:45" x14ac:dyDescent="0.35">
      <c r="R1783" s="191"/>
      <c r="S1783" s="191"/>
      <c r="T1783" s="193"/>
      <c r="U1783" s="191"/>
      <c r="V1783" s="194"/>
      <c r="W1783" s="191"/>
      <c r="Y1783" s="191"/>
      <c r="Z1783" s="191"/>
      <c r="AA1783" s="191"/>
      <c r="AB1783" s="191"/>
      <c r="AC1783" s="191"/>
      <c r="AD1783" s="16"/>
      <c r="AE1783" s="16"/>
      <c r="AF1783" s="16"/>
      <c r="AG1783" s="16"/>
      <c r="AH1783" s="16"/>
      <c r="AI1783" s="16"/>
      <c r="AJ1783" s="16"/>
      <c r="AK1783" s="16"/>
      <c r="AL1783" s="16"/>
      <c r="AM1783" s="16"/>
      <c r="AN1783" s="16"/>
      <c r="AO1783" s="16"/>
      <c r="AP1783" s="16"/>
      <c r="AQ1783" s="16"/>
      <c r="AR1783" s="16"/>
      <c r="AS1783" s="16"/>
    </row>
    <row r="1784" spans="18:45" x14ac:dyDescent="0.35">
      <c r="R1784" s="191"/>
      <c r="S1784" s="191"/>
      <c r="T1784" s="193"/>
      <c r="U1784" s="191"/>
      <c r="V1784" s="194"/>
      <c r="W1784" s="191"/>
      <c r="Y1784" s="191"/>
      <c r="Z1784" s="191"/>
      <c r="AA1784" s="191"/>
      <c r="AB1784" s="191"/>
      <c r="AC1784" s="191"/>
      <c r="AD1784" s="16"/>
      <c r="AE1784" s="16"/>
      <c r="AF1784" s="16"/>
      <c r="AG1784" s="16"/>
      <c r="AH1784" s="16"/>
      <c r="AI1784" s="16"/>
      <c r="AJ1784" s="16"/>
      <c r="AK1784" s="16"/>
      <c r="AL1784" s="16"/>
      <c r="AM1784" s="16"/>
      <c r="AN1784" s="16"/>
      <c r="AO1784" s="16"/>
      <c r="AP1784" s="16"/>
      <c r="AQ1784" s="16"/>
      <c r="AR1784" s="16"/>
      <c r="AS1784" s="16"/>
    </row>
    <row r="1785" spans="18:45" x14ac:dyDescent="0.35">
      <c r="R1785" s="191"/>
      <c r="S1785" s="191"/>
      <c r="T1785" s="193"/>
      <c r="U1785" s="191"/>
      <c r="V1785" s="194"/>
      <c r="W1785" s="191"/>
      <c r="Y1785" s="191"/>
      <c r="Z1785" s="191"/>
      <c r="AA1785" s="191"/>
      <c r="AB1785" s="191"/>
      <c r="AC1785" s="191"/>
      <c r="AD1785" s="16"/>
      <c r="AE1785" s="16"/>
      <c r="AF1785" s="16"/>
      <c r="AG1785" s="16"/>
      <c r="AH1785" s="16"/>
      <c r="AI1785" s="16"/>
      <c r="AJ1785" s="16"/>
      <c r="AK1785" s="16"/>
      <c r="AL1785" s="16"/>
      <c r="AM1785" s="16"/>
      <c r="AN1785" s="16"/>
      <c r="AO1785" s="16"/>
      <c r="AP1785" s="16"/>
      <c r="AQ1785" s="16"/>
      <c r="AR1785" s="16"/>
      <c r="AS1785" s="16"/>
    </row>
    <row r="1786" spans="18:45" x14ac:dyDescent="0.35">
      <c r="R1786" s="191"/>
      <c r="S1786" s="191"/>
      <c r="T1786" s="193"/>
      <c r="U1786" s="191"/>
      <c r="V1786" s="194"/>
      <c r="W1786" s="191"/>
      <c r="Y1786" s="191"/>
      <c r="Z1786" s="191"/>
      <c r="AA1786" s="191"/>
      <c r="AB1786" s="191"/>
      <c r="AC1786" s="191"/>
      <c r="AD1786" s="16"/>
      <c r="AE1786" s="16"/>
      <c r="AF1786" s="16"/>
      <c r="AG1786" s="16"/>
      <c r="AH1786" s="16"/>
      <c r="AI1786" s="16"/>
      <c r="AJ1786" s="16"/>
      <c r="AK1786" s="16"/>
      <c r="AL1786" s="16"/>
      <c r="AM1786" s="16"/>
      <c r="AN1786" s="16"/>
      <c r="AO1786" s="16"/>
      <c r="AP1786" s="16"/>
      <c r="AQ1786" s="16"/>
      <c r="AR1786" s="16"/>
      <c r="AS1786" s="16"/>
    </row>
    <row r="1787" spans="18:45" x14ac:dyDescent="0.35">
      <c r="R1787" s="191"/>
      <c r="S1787" s="191"/>
      <c r="T1787" s="193"/>
      <c r="U1787" s="191"/>
      <c r="V1787" s="194"/>
      <c r="W1787" s="191"/>
      <c r="Y1787" s="191"/>
      <c r="Z1787" s="191"/>
      <c r="AA1787" s="191"/>
      <c r="AB1787" s="191"/>
      <c r="AC1787" s="191"/>
      <c r="AD1787" s="16"/>
      <c r="AE1787" s="16"/>
      <c r="AF1787" s="16"/>
      <c r="AG1787" s="16"/>
      <c r="AH1787" s="16"/>
      <c r="AI1787" s="16"/>
      <c r="AJ1787" s="16"/>
      <c r="AK1787" s="16"/>
      <c r="AL1787" s="16"/>
      <c r="AM1787" s="16"/>
      <c r="AN1787" s="16"/>
      <c r="AO1787" s="16"/>
      <c r="AP1787" s="16"/>
      <c r="AQ1787" s="16"/>
      <c r="AR1787" s="16"/>
      <c r="AS1787" s="16"/>
    </row>
    <row r="1788" spans="18:45" x14ac:dyDescent="0.35">
      <c r="R1788" s="191"/>
      <c r="S1788" s="191"/>
      <c r="T1788" s="193"/>
      <c r="U1788" s="191"/>
      <c r="V1788" s="194"/>
      <c r="W1788" s="191"/>
      <c r="Y1788" s="191"/>
      <c r="Z1788" s="191"/>
      <c r="AA1788" s="191"/>
      <c r="AB1788" s="191"/>
      <c r="AC1788" s="191"/>
      <c r="AD1788" s="16"/>
      <c r="AE1788" s="16"/>
      <c r="AF1788" s="16"/>
      <c r="AG1788" s="16"/>
      <c r="AH1788" s="16"/>
      <c r="AI1788" s="16"/>
      <c r="AJ1788" s="16"/>
      <c r="AK1788" s="16"/>
      <c r="AL1788" s="16"/>
      <c r="AM1788" s="16"/>
      <c r="AN1788" s="16"/>
      <c r="AO1788" s="16"/>
      <c r="AP1788" s="16"/>
      <c r="AQ1788" s="16"/>
      <c r="AR1788" s="16"/>
      <c r="AS1788" s="16"/>
    </row>
    <row r="1789" spans="18:45" x14ac:dyDescent="0.35">
      <c r="R1789" s="191"/>
      <c r="S1789" s="191"/>
      <c r="T1789" s="193"/>
      <c r="U1789" s="191"/>
      <c r="V1789" s="194"/>
      <c r="W1789" s="191"/>
      <c r="Y1789" s="191"/>
      <c r="Z1789" s="191"/>
      <c r="AA1789" s="191"/>
      <c r="AB1789" s="191"/>
      <c r="AC1789" s="191"/>
      <c r="AD1789" s="16"/>
      <c r="AE1789" s="16"/>
      <c r="AF1789" s="16"/>
      <c r="AG1789" s="16"/>
      <c r="AH1789" s="16"/>
      <c r="AI1789" s="16"/>
      <c r="AJ1789" s="16"/>
      <c r="AK1789" s="16"/>
      <c r="AL1789" s="16"/>
      <c r="AM1789" s="16"/>
      <c r="AN1789" s="16"/>
      <c r="AO1789" s="16"/>
      <c r="AP1789" s="16"/>
      <c r="AQ1789" s="16"/>
      <c r="AR1789" s="16"/>
      <c r="AS1789" s="16"/>
    </row>
    <row r="1790" spans="18:45" x14ac:dyDescent="0.35">
      <c r="R1790" s="191"/>
      <c r="S1790" s="191"/>
      <c r="T1790" s="193"/>
      <c r="U1790" s="191"/>
      <c r="V1790" s="194"/>
      <c r="W1790" s="191"/>
      <c r="Y1790" s="191"/>
      <c r="Z1790" s="191"/>
      <c r="AA1790" s="191"/>
      <c r="AB1790" s="191"/>
      <c r="AC1790" s="191"/>
      <c r="AD1790" s="16"/>
      <c r="AE1790" s="16"/>
      <c r="AF1790" s="16"/>
      <c r="AG1790" s="16"/>
      <c r="AH1790" s="16"/>
      <c r="AI1790" s="16"/>
      <c r="AJ1790" s="16"/>
      <c r="AK1790" s="16"/>
      <c r="AL1790" s="16"/>
      <c r="AM1790" s="16"/>
      <c r="AN1790" s="16"/>
      <c r="AO1790" s="16"/>
      <c r="AP1790" s="16"/>
      <c r="AQ1790" s="16"/>
      <c r="AR1790" s="16"/>
      <c r="AS1790" s="16"/>
    </row>
    <row r="1791" spans="18:45" x14ac:dyDescent="0.35">
      <c r="R1791" s="191"/>
      <c r="S1791" s="191"/>
      <c r="T1791" s="193"/>
      <c r="U1791" s="191"/>
      <c r="V1791" s="194"/>
      <c r="W1791" s="191"/>
      <c r="Y1791" s="191"/>
      <c r="Z1791" s="191"/>
      <c r="AA1791" s="191"/>
      <c r="AB1791" s="191"/>
      <c r="AC1791" s="191"/>
      <c r="AD1791" s="16"/>
      <c r="AE1791" s="16"/>
      <c r="AF1791" s="16"/>
      <c r="AG1791" s="16"/>
      <c r="AH1791" s="16"/>
      <c r="AI1791" s="16"/>
      <c r="AJ1791" s="16"/>
      <c r="AK1791" s="16"/>
      <c r="AL1791" s="16"/>
      <c r="AM1791" s="16"/>
      <c r="AN1791" s="16"/>
      <c r="AO1791" s="16"/>
      <c r="AP1791" s="16"/>
      <c r="AQ1791" s="16"/>
      <c r="AR1791" s="16"/>
      <c r="AS1791" s="16"/>
    </row>
    <row r="1792" spans="18:45" x14ac:dyDescent="0.35">
      <c r="R1792" s="191"/>
      <c r="S1792" s="191"/>
      <c r="T1792" s="193"/>
      <c r="U1792" s="191"/>
      <c r="V1792" s="194"/>
      <c r="W1792" s="191"/>
      <c r="Y1792" s="191"/>
      <c r="Z1792" s="191"/>
      <c r="AA1792" s="191"/>
      <c r="AB1792" s="191"/>
      <c r="AC1792" s="191"/>
      <c r="AD1792" s="16"/>
      <c r="AE1792" s="16"/>
      <c r="AF1792" s="16"/>
      <c r="AG1792" s="16"/>
      <c r="AH1792" s="16"/>
      <c r="AI1792" s="16"/>
      <c r="AJ1792" s="16"/>
      <c r="AK1792" s="16"/>
      <c r="AL1792" s="16"/>
      <c r="AM1792" s="16"/>
      <c r="AN1792" s="16"/>
      <c r="AO1792" s="16"/>
      <c r="AP1792" s="16"/>
      <c r="AQ1792" s="16"/>
      <c r="AR1792" s="16"/>
      <c r="AS1792" s="16"/>
    </row>
    <row r="1793" spans="18:45" x14ac:dyDescent="0.35">
      <c r="R1793" s="191"/>
      <c r="S1793" s="191"/>
      <c r="T1793" s="193"/>
      <c r="U1793" s="191"/>
      <c r="V1793" s="194"/>
      <c r="W1793" s="191"/>
      <c r="Y1793" s="191"/>
      <c r="Z1793" s="191"/>
      <c r="AA1793" s="191"/>
      <c r="AB1793" s="191"/>
      <c r="AC1793" s="191"/>
      <c r="AD1793" s="16"/>
      <c r="AE1793" s="16"/>
      <c r="AF1793" s="16"/>
      <c r="AG1793" s="16"/>
      <c r="AH1793" s="16"/>
      <c r="AI1793" s="16"/>
      <c r="AJ1793" s="16"/>
      <c r="AK1793" s="16"/>
      <c r="AL1793" s="16"/>
      <c r="AM1793" s="16"/>
      <c r="AN1793" s="16"/>
      <c r="AO1793" s="16"/>
      <c r="AP1793" s="16"/>
      <c r="AQ1793" s="16"/>
      <c r="AR1793" s="16"/>
      <c r="AS1793" s="16"/>
    </row>
    <row r="1794" spans="18:45" x14ac:dyDescent="0.35">
      <c r="R1794" s="191"/>
      <c r="S1794" s="191"/>
      <c r="T1794" s="193"/>
      <c r="U1794" s="191"/>
      <c r="V1794" s="194"/>
      <c r="W1794" s="191"/>
      <c r="Y1794" s="191"/>
      <c r="Z1794" s="191"/>
      <c r="AA1794" s="191"/>
      <c r="AB1794" s="191"/>
      <c r="AC1794" s="191"/>
      <c r="AD1794" s="16"/>
      <c r="AE1794" s="16"/>
      <c r="AF1794" s="16"/>
      <c r="AG1794" s="16"/>
      <c r="AH1794" s="16"/>
      <c r="AI1794" s="16"/>
      <c r="AJ1794" s="16"/>
      <c r="AK1794" s="16"/>
      <c r="AL1794" s="16"/>
      <c r="AM1794" s="16"/>
      <c r="AN1794" s="16"/>
      <c r="AO1794" s="16"/>
      <c r="AP1794" s="16"/>
      <c r="AQ1794" s="16"/>
      <c r="AR1794" s="16"/>
      <c r="AS1794" s="16"/>
    </row>
    <row r="1795" spans="18:45" x14ac:dyDescent="0.35">
      <c r="R1795" s="191"/>
      <c r="S1795" s="191"/>
      <c r="T1795" s="193"/>
      <c r="U1795" s="191"/>
      <c r="V1795" s="194"/>
      <c r="W1795" s="191"/>
      <c r="Y1795" s="191"/>
      <c r="Z1795" s="191"/>
      <c r="AA1795" s="191"/>
      <c r="AB1795" s="191"/>
      <c r="AC1795" s="191"/>
      <c r="AD1795" s="16"/>
      <c r="AE1795" s="16"/>
      <c r="AF1795" s="16"/>
      <c r="AG1795" s="16"/>
      <c r="AH1795" s="16"/>
      <c r="AI1795" s="16"/>
      <c r="AJ1795" s="16"/>
      <c r="AK1795" s="16"/>
      <c r="AL1795" s="16"/>
      <c r="AM1795" s="16"/>
      <c r="AN1795" s="16"/>
      <c r="AO1795" s="16"/>
      <c r="AP1795" s="16"/>
      <c r="AQ1795" s="16"/>
      <c r="AR1795" s="16"/>
      <c r="AS1795" s="16"/>
    </row>
    <row r="1796" spans="18:45" x14ac:dyDescent="0.35">
      <c r="R1796" s="191"/>
      <c r="S1796" s="191"/>
      <c r="T1796" s="193"/>
      <c r="U1796" s="191"/>
      <c r="V1796" s="194"/>
      <c r="W1796" s="191"/>
      <c r="Y1796" s="191"/>
      <c r="Z1796" s="191"/>
      <c r="AA1796" s="191"/>
      <c r="AB1796" s="191"/>
      <c r="AC1796" s="191"/>
      <c r="AD1796" s="16"/>
      <c r="AE1796" s="16"/>
      <c r="AF1796" s="16"/>
      <c r="AG1796" s="16"/>
      <c r="AH1796" s="16"/>
      <c r="AI1796" s="16"/>
      <c r="AJ1796" s="16"/>
      <c r="AK1796" s="16"/>
      <c r="AL1796" s="16"/>
      <c r="AM1796" s="16"/>
      <c r="AN1796" s="16"/>
      <c r="AO1796" s="16"/>
      <c r="AP1796" s="16"/>
      <c r="AQ1796" s="16"/>
      <c r="AR1796" s="16"/>
      <c r="AS1796" s="16"/>
    </row>
    <row r="1797" spans="18:45" x14ac:dyDescent="0.35">
      <c r="R1797" s="191"/>
      <c r="S1797" s="191"/>
      <c r="T1797" s="193"/>
      <c r="U1797" s="191"/>
      <c r="V1797" s="194"/>
      <c r="W1797" s="191"/>
      <c r="Y1797" s="191"/>
      <c r="Z1797" s="191"/>
      <c r="AA1797" s="191"/>
      <c r="AB1797" s="191"/>
      <c r="AC1797" s="191"/>
      <c r="AD1797" s="16"/>
      <c r="AE1797" s="16"/>
      <c r="AF1797" s="16"/>
      <c r="AG1797" s="16"/>
      <c r="AH1797" s="16"/>
      <c r="AI1797" s="16"/>
      <c r="AJ1797" s="16"/>
      <c r="AK1797" s="16"/>
      <c r="AL1797" s="16"/>
      <c r="AM1797" s="16"/>
      <c r="AN1797" s="16"/>
      <c r="AO1797" s="16"/>
      <c r="AP1797" s="16"/>
      <c r="AQ1797" s="16"/>
      <c r="AR1797" s="16"/>
      <c r="AS1797" s="16"/>
    </row>
    <row r="1798" spans="18:45" x14ac:dyDescent="0.35">
      <c r="R1798" s="191"/>
      <c r="S1798" s="191"/>
      <c r="T1798" s="193"/>
      <c r="U1798" s="191"/>
      <c r="V1798" s="194"/>
      <c r="W1798" s="191"/>
      <c r="Y1798" s="191"/>
      <c r="Z1798" s="191"/>
      <c r="AA1798" s="191"/>
      <c r="AB1798" s="191"/>
      <c r="AC1798" s="191"/>
      <c r="AD1798" s="16"/>
      <c r="AE1798" s="16"/>
      <c r="AF1798" s="16"/>
      <c r="AG1798" s="16"/>
      <c r="AH1798" s="16"/>
      <c r="AI1798" s="16"/>
      <c r="AJ1798" s="16"/>
      <c r="AK1798" s="16"/>
      <c r="AL1798" s="16"/>
      <c r="AM1798" s="16"/>
      <c r="AN1798" s="16"/>
      <c r="AO1798" s="16"/>
      <c r="AP1798" s="16"/>
      <c r="AQ1798" s="16"/>
      <c r="AR1798" s="16"/>
      <c r="AS1798" s="16"/>
    </row>
    <row r="1799" spans="18:45" x14ac:dyDescent="0.35">
      <c r="R1799" s="191"/>
      <c r="S1799" s="191"/>
      <c r="T1799" s="193"/>
      <c r="U1799" s="191"/>
      <c r="V1799" s="194"/>
      <c r="W1799" s="191"/>
      <c r="Y1799" s="191"/>
      <c r="Z1799" s="191"/>
      <c r="AA1799" s="191"/>
      <c r="AB1799" s="191"/>
      <c r="AC1799" s="191"/>
      <c r="AD1799" s="16"/>
      <c r="AE1799" s="16"/>
      <c r="AF1799" s="16"/>
      <c r="AG1799" s="16"/>
      <c r="AH1799" s="16"/>
      <c r="AI1799" s="16"/>
      <c r="AJ1799" s="16"/>
      <c r="AK1799" s="16"/>
      <c r="AL1799" s="16"/>
      <c r="AM1799" s="16"/>
      <c r="AN1799" s="16"/>
      <c r="AO1799" s="16"/>
      <c r="AP1799" s="16"/>
      <c r="AQ1799" s="16"/>
      <c r="AR1799" s="16"/>
      <c r="AS1799" s="16"/>
    </row>
    <row r="1800" spans="18:45" x14ac:dyDescent="0.35">
      <c r="R1800" s="191"/>
      <c r="S1800" s="191"/>
      <c r="T1800" s="193"/>
      <c r="U1800" s="191"/>
      <c r="V1800" s="194"/>
      <c r="W1800" s="191"/>
      <c r="Y1800" s="191"/>
      <c r="Z1800" s="191"/>
      <c r="AA1800" s="191"/>
      <c r="AB1800" s="191"/>
      <c r="AC1800" s="191"/>
      <c r="AD1800" s="16"/>
      <c r="AE1800" s="16"/>
      <c r="AF1800" s="16"/>
      <c r="AG1800" s="16"/>
      <c r="AH1800" s="16"/>
      <c r="AI1800" s="16"/>
      <c r="AJ1800" s="16"/>
      <c r="AK1800" s="16"/>
      <c r="AL1800" s="16"/>
      <c r="AM1800" s="16"/>
      <c r="AN1800" s="16"/>
      <c r="AO1800" s="16"/>
      <c r="AP1800" s="16"/>
      <c r="AQ1800" s="16"/>
      <c r="AR1800" s="16"/>
      <c r="AS1800" s="16"/>
    </row>
    <row r="1801" spans="18:45" x14ac:dyDescent="0.35">
      <c r="R1801" s="191"/>
      <c r="S1801" s="191"/>
      <c r="T1801" s="193"/>
      <c r="U1801" s="191"/>
      <c r="V1801" s="194"/>
      <c r="W1801" s="191"/>
      <c r="Y1801" s="191"/>
      <c r="Z1801" s="191"/>
      <c r="AA1801" s="191"/>
      <c r="AB1801" s="191"/>
      <c r="AC1801" s="191"/>
      <c r="AD1801" s="16"/>
      <c r="AE1801" s="16"/>
      <c r="AF1801" s="16"/>
      <c r="AG1801" s="16"/>
      <c r="AH1801" s="16"/>
      <c r="AI1801" s="16"/>
      <c r="AJ1801" s="16"/>
      <c r="AK1801" s="16"/>
      <c r="AL1801" s="16"/>
      <c r="AM1801" s="16"/>
      <c r="AN1801" s="16"/>
      <c r="AO1801" s="16"/>
      <c r="AP1801" s="16"/>
      <c r="AQ1801" s="16"/>
      <c r="AR1801" s="16"/>
      <c r="AS1801" s="16"/>
    </row>
    <row r="1802" spans="18:45" x14ac:dyDescent="0.35">
      <c r="R1802" s="191"/>
      <c r="S1802" s="191"/>
      <c r="T1802" s="193"/>
      <c r="U1802" s="191"/>
      <c r="V1802" s="194"/>
      <c r="W1802" s="191"/>
      <c r="Y1802" s="191"/>
      <c r="Z1802" s="191"/>
      <c r="AA1802" s="191"/>
      <c r="AB1802" s="191"/>
      <c r="AC1802" s="191"/>
      <c r="AD1802" s="16"/>
      <c r="AE1802" s="16"/>
      <c r="AF1802" s="16"/>
      <c r="AG1802" s="16"/>
      <c r="AH1802" s="16"/>
      <c r="AI1802" s="16"/>
      <c r="AJ1802" s="16"/>
      <c r="AK1802" s="16"/>
      <c r="AL1802" s="16"/>
      <c r="AM1802" s="16"/>
      <c r="AN1802" s="16"/>
      <c r="AO1802" s="16"/>
      <c r="AP1802" s="16"/>
      <c r="AQ1802" s="16"/>
      <c r="AR1802" s="16"/>
      <c r="AS1802" s="16"/>
    </row>
    <row r="1803" spans="18:45" x14ac:dyDescent="0.35">
      <c r="R1803" s="191"/>
      <c r="S1803" s="191"/>
      <c r="T1803" s="193"/>
      <c r="U1803" s="191"/>
      <c r="V1803" s="194"/>
      <c r="W1803" s="191"/>
      <c r="Y1803" s="191"/>
      <c r="Z1803" s="191"/>
      <c r="AA1803" s="191"/>
      <c r="AB1803" s="191"/>
      <c r="AC1803" s="191"/>
      <c r="AD1803" s="16"/>
      <c r="AE1803" s="16"/>
      <c r="AF1803" s="16"/>
      <c r="AG1803" s="16"/>
      <c r="AH1803" s="16"/>
      <c r="AI1803" s="16"/>
      <c r="AJ1803" s="16"/>
      <c r="AK1803" s="16"/>
      <c r="AL1803" s="16"/>
      <c r="AM1803" s="16"/>
      <c r="AN1803" s="16"/>
      <c r="AO1803" s="16"/>
      <c r="AP1803" s="16"/>
      <c r="AQ1803" s="16"/>
      <c r="AR1803" s="16"/>
      <c r="AS1803" s="16"/>
    </row>
    <row r="1804" spans="18:45" x14ac:dyDescent="0.35">
      <c r="R1804" s="191"/>
      <c r="S1804" s="191"/>
      <c r="T1804" s="193"/>
      <c r="U1804" s="191"/>
      <c r="V1804" s="194"/>
      <c r="W1804" s="191"/>
      <c r="Y1804" s="191"/>
      <c r="Z1804" s="191"/>
      <c r="AA1804" s="191"/>
      <c r="AB1804" s="191"/>
      <c r="AC1804" s="191"/>
      <c r="AD1804" s="16"/>
      <c r="AE1804" s="16"/>
      <c r="AF1804" s="16"/>
      <c r="AG1804" s="16"/>
      <c r="AH1804" s="16"/>
      <c r="AI1804" s="16"/>
      <c r="AJ1804" s="16"/>
      <c r="AK1804" s="16"/>
      <c r="AL1804" s="16"/>
      <c r="AM1804" s="16"/>
      <c r="AN1804" s="16"/>
      <c r="AO1804" s="16"/>
      <c r="AP1804" s="16"/>
      <c r="AQ1804" s="16"/>
      <c r="AR1804" s="16"/>
      <c r="AS1804" s="16"/>
    </row>
    <row r="1805" spans="18:45" x14ac:dyDescent="0.35">
      <c r="R1805" s="191"/>
      <c r="S1805" s="191"/>
      <c r="T1805" s="193"/>
      <c r="U1805" s="191"/>
      <c r="V1805" s="194"/>
      <c r="W1805" s="191"/>
      <c r="Y1805" s="191"/>
      <c r="Z1805" s="191"/>
      <c r="AA1805" s="191"/>
      <c r="AB1805" s="191"/>
      <c r="AC1805" s="191"/>
      <c r="AD1805" s="16"/>
      <c r="AE1805" s="16"/>
      <c r="AF1805" s="16"/>
      <c r="AG1805" s="16"/>
      <c r="AH1805" s="16"/>
      <c r="AI1805" s="16"/>
      <c r="AJ1805" s="16"/>
      <c r="AK1805" s="16"/>
      <c r="AL1805" s="16"/>
      <c r="AM1805" s="16"/>
      <c r="AN1805" s="16"/>
      <c r="AO1805" s="16"/>
      <c r="AP1805" s="16"/>
      <c r="AQ1805" s="16"/>
      <c r="AR1805" s="16"/>
      <c r="AS1805" s="16"/>
    </row>
    <row r="1806" spans="18:45" x14ac:dyDescent="0.35">
      <c r="R1806" s="191"/>
      <c r="S1806" s="191"/>
      <c r="T1806" s="193"/>
      <c r="U1806" s="191"/>
      <c r="V1806" s="194"/>
      <c r="W1806" s="191"/>
      <c r="Y1806" s="191"/>
      <c r="Z1806" s="191"/>
      <c r="AA1806" s="191"/>
      <c r="AB1806" s="191"/>
      <c r="AC1806" s="191"/>
      <c r="AD1806" s="16"/>
      <c r="AE1806" s="16"/>
      <c r="AF1806" s="16"/>
      <c r="AG1806" s="16"/>
      <c r="AH1806" s="16"/>
      <c r="AI1806" s="16"/>
      <c r="AJ1806" s="16"/>
      <c r="AK1806" s="16"/>
      <c r="AL1806" s="16"/>
      <c r="AM1806" s="16"/>
      <c r="AN1806" s="16"/>
      <c r="AO1806" s="16"/>
      <c r="AP1806" s="16"/>
      <c r="AQ1806" s="16"/>
      <c r="AR1806" s="16"/>
      <c r="AS1806" s="16"/>
    </row>
    <row r="1807" spans="18:45" x14ac:dyDescent="0.35">
      <c r="R1807" s="191"/>
      <c r="S1807" s="191"/>
      <c r="T1807" s="193"/>
      <c r="U1807" s="191"/>
      <c r="V1807" s="194"/>
      <c r="W1807" s="191"/>
      <c r="Y1807" s="191"/>
      <c r="Z1807" s="191"/>
      <c r="AA1807" s="191"/>
      <c r="AB1807" s="191"/>
      <c r="AC1807" s="191"/>
      <c r="AD1807" s="16"/>
      <c r="AE1807" s="16"/>
      <c r="AF1807" s="16"/>
      <c r="AG1807" s="16"/>
      <c r="AH1807" s="16"/>
      <c r="AI1807" s="16"/>
      <c r="AJ1807" s="16"/>
      <c r="AK1807" s="16"/>
      <c r="AL1807" s="16"/>
      <c r="AM1807" s="16"/>
      <c r="AN1807" s="16"/>
      <c r="AO1807" s="16"/>
      <c r="AP1807" s="16"/>
      <c r="AQ1807" s="16"/>
      <c r="AR1807" s="16"/>
      <c r="AS1807" s="16"/>
    </row>
    <row r="1808" spans="18:45" x14ac:dyDescent="0.35">
      <c r="R1808" s="191"/>
      <c r="S1808" s="191"/>
      <c r="T1808" s="193"/>
      <c r="U1808" s="191"/>
      <c r="V1808" s="194"/>
      <c r="W1808" s="191"/>
      <c r="Y1808" s="191"/>
      <c r="Z1808" s="191"/>
      <c r="AA1808" s="191"/>
      <c r="AB1808" s="191"/>
      <c r="AC1808" s="191"/>
      <c r="AD1808" s="16"/>
      <c r="AE1808" s="16"/>
      <c r="AF1808" s="16"/>
      <c r="AG1808" s="16"/>
      <c r="AH1808" s="16"/>
      <c r="AI1808" s="16"/>
      <c r="AJ1808" s="16"/>
      <c r="AK1808" s="16"/>
      <c r="AL1808" s="16"/>
      <c r="AM1808" s="16"/>
      <c r="AN1808" s="16"/>
      <c r="AO1808" s="16"/>
      <c r="AP1808" s="16"/>
      <c r="AQ1808" s="16"/>
      <c r="AR1808" s="16"/>
      <c r="AS1808" s="16"/>
    </row>
    <row r="1809" spans="18:45" x14ac:dyDescent="0.35">
      <c r="R1809" s="191"/>
      <c r="S1809" s="191"/>
      <c r="T1809" s="193"/>
      <c r="U1809" s="191"/>
      <c r="V1809" s="194"/>
      <c r="W1809" s="191"/>
      <c r="Y1809" s="191"/>
      <c r="Z1809" s="191"/>
      <c r="AA1809" s="191"/>
      <c r="AB1809" s="191"/>
      <c r="AC1809" s="191"/>
      <c r="AD1809" s="16"/>
      <c r="AE1809" s="16"/>
      <c r="AF1809" s="16"/>
      <c r="AG1809" s="16"/>
      <c r="AH1809" s="16"/>
      <c r="AI1809" s="16"/>
      <c r="AJ1809" s="16"/>
      <c r="AK1809" s="16"/>
      <c r="AL1809" s="16"/>
      <c r="AM1809" s="16"/>
      <c r="AN1809" s="16"/>
      <c r="AO1809" s="16"/>
      <c r="AP1809" s="16"/>
      <c r="AQ1809" s="16"/>
      <c r="AR1809" s="16"/>
      <c r="AS1809" s="16"/>
    </row>
    <row r="1810" spans="18:45" x14ac:dyDescent="0.35">
      <c r="R1810" s="191"/>
      <c r="S1810" s="191"/>
      <c r="T1810" s="193"/>
      <c r="U1810" s="191"/>
      <c r="V1810" s="194"/>
      <c r="W1810" s="191"/>
      <c r="Y1810" s="191"/>
      <c r="Z1810" s="191"/>
      <c r="AA1810" s="191"/>
      <c r="AB1810" s="191"/>
      <c r="AC1810" s="191"/>
      <c r="AD1810" s="16"/>
      <c r="AE1810" s="16"/>
      <c r="AF1810" s="16"/>
      <c r="AG1810" s="16"/>
      <c r="AH1810" s="16"/>
      <c r="AI1810" s="16"/>
      <c r="AJ1810" s="16"/>
      <c r="AK1810" s="16"/>
      <c r="AL1810" s="16"/>
      <c r="AM1810" s="16"/>
      <c r="AN1810" s="16"/>
      <c r="AO1810" s="16"/>
      <c r="AP1810" s="16"/>
      <c r="AQ1810" s="16"/>
      <c r="AR1810" s="16"/>
      <c r="AS1810" s="16"/>
    </row>
    <row r="1811" spans="18:45" x14ac:dyDescent="0.35">
      <c r="R1811" s="191"/>
      <c r="S1811" s="191"/>
      <c r="T1811" s="193"/>
      <c r="U1811" s="191"/>
      <c r="V1811" s="194"/>
      <c r="W1811" s="191"/>
      <c r="Y1811" s="191"/>
      <c r="Z1811" s="191"/>
      <c r="AA1811" s="191"/>
      <c r="AB1811" s="191"/>
      <c r="AC1811" s="191"/>
      <c r="AD1811" s="16"/>
      <c r="AE1811" s="16"/>
      <c r="AF1811" s="16"/>
      <c r="AG1811" s="16"/>
      <c r="AH1811" s="16"/>
      <c r="AI1811" s="16"/>
      <c r="AJ1811" s="16"/>
      <c r="AK1811" s="16"/>
      <c r="AL1811" s="16"/>
      <c r="AM1811" s="16"/>
      <c r="AN1811" s="16"/>
      <c r="AO1811" s="16"/>
      <c r="AP1811" s="16"/>
      <c r="AQ1811" s="16"/>
      <c r="AR1811" s="16"/>
      <c r="AS1811" s="16"/>
    </row>
    <row r="1812" spans="18:45" x14ac:dyDescent="0.35">
      <c r="R1812" s="191"/>
      <c r="S1812" s="191"/>
      <c r="T1812" s="193"/>
      <c r="U1812" s="191"/>
      <c r="V1812" s="194"/>
      <c r="W1812" s="191"/>
      <c r="Y1812" s="191"/>
      <c r="Z1812" s="191"/>
      <c r="AA1812" s="191"/>
      <c r="AB1812" s="191"/>
      <c r="AC1812" s="191"/>
      <c r="AD1812" s="16"/>
      <c r="AE1812" s="16"/>
      <c r="AF1812" s="16"/>
      <c r="AG1812" s="16"/>
      <c r="AH1812" s="16"/>
      <c r="AI1812" s="16"/>
      <c r="AJ1812" s="16"/>
      <c r="AK1812" s="16"/>
      <c r="AL1812" s="16"/>
      <c r="AM1812" s="16"/>
      <c r="AN1812" s="16"/>
      <c r="AO1812" s="16"/>
      <c r="AP1812" s="16"/>
      <c r="AQ1812" s="16"/>
      <c r="AR1812" s="16"/>
      <c r="AS1812" s="16"/>
    </row>
    <row r="1813" spans="18:45" x14ac:dyDescent="0.35">
      <c r="R1813" s="191"/>
      <c r="S1813" s="191"/>
      <c r="T1813" s="193"/>
      <c r="U1813" s="191"/>
      <c r="V1813" s="194"/>
      <c r="W1813" s="191"/>
      <c r="Y1813" s="191"/>
      <c r="Z1813" s="191"/>
      <c r="AA1813" s="191"/>
      <c r="AB1813" s="191"/>
      <c r="AC1813" s="191"/>
      <c r="AD1813" s="16"/>
      <c r="AE1813" s="16"/>
      <c r="AF1813" s="16"/>
      <c r="AG1813" s="16"/>
      <c r="AH1813" s="16"/>
      <c r="AI1813" s="16"/>
      <c r="AJ1813" s="16"/>
      <c r="AK1813" s="16"/>
      <c r="AL1813" s="16"/>
      <c r="AM1813" s="16"/>
      <c r="AN1813" s="16"/>
      <c r="AO1813" s="16"/>
      <c r="AP1813" s="16"/>
      <c r="AQ1813" s="16"/>
      <c r="AR1813" s="16"/>
      <c r="AS1813" s="16"/>
    </row>
    <row r="1814" spans="18:45" x14ac:dyDescent="0.35">
      <c r="R1814" s="191"/>
      <c r="S1814" s="191"/>
      <c r="T1814" s="193"/>
      <c r="U1814" s="191"/>
      <c r="V1814" s="194"/>
      <c r="W1814" s="191"/>
      <c r="Y1814" s="191"/>
      <c r="Z1814" s="191"/>
      <c r="AA1814" s="191"/>
      <c r="AB1814" s="191"/>
      <c r="AC1814" s="191"/>
      <c r="AD1814" s="16"/>
      <c r="AE1814" s="16"/>
      <c r="AF1814" s="16"/>
      <c r="AG1814" s="16"/>
      <c r="AH1814" s="16"/>
      <c r="AI1814" s="16"/>
      <c r="AJ1814" s="16"/>
      <c r="AK1814" s="16"/>
      <c r="AL1814" s="16"/>
      <c r="AM1814" s="16"/>
      <c r="AN1814" s="16"/>
      <c r="AO1814" s="16"/>
      <c r="AP1814" s="16"/>
      <c r="AQ1814" s="16"/>
      <c r="AR1814" s="16"/>
      <c r="AS1814" s="16"/>
    </row>
    <row r="1815" spans="18:45" x14ac:dyDescent="0.35">
      <c r="R1815" s="191"/>
      <c r="S1815" s="191"/>
      <c r="T1815" s="193"/>
      <c r="U1815" s="191"/>
      <c r="V1815" s="194"/>
      <c r="W1815" s="191"/>
      <c r="Y1815" s="191"/>
      <c r="Z1815" s="191"/>
      <c r="AA1815" s="191"/>
      <c r="AB1815" s="191"/>
      <c r="AC1815" s="191"/>
      <c r="AD1815" s="16"/>
      <c r="AE1815" s="16"/>
      <c r="AF1815" s="16"/>
      <c r="AG1815" s="16"/>
      <c r="AH1815" s="16"/>
      <c r="AI1815" s="16"/>
      <c r="AJ1815" s="16"/>
      <c r="AK1815" s="16"/>
      <c r="AL1815" s="16"/>
      <c r="AM1815" s="16"/>
      <c r="AN1815" s="16"/>
      <c r="AO1815" s="16"/>
      <c r="AP1815" s="16"/>
      <c r="AQ1815" s="16"/>
      <c r="AR1815" s="16"/>
      <c r="AS1815" s="16"/>
    </row>
    <row r="1816" spans="18:45" x14ac:dyDescent="0.35">
      <c r="R1816" s="191"/>
      <c r="S1816" s="191"/>
      <c r="T1816" s="193"/>
      <c r="U1816" s="191"/>
      <c r="V1816" s="194"/>
      <c r="W1816" s="191"/>
      <c r="Y1816" s="191"/>
      <c r="Z1816" s="191"/>
      <c r="AA1816" s="191"/>
      <c r="AB1816" s="191"/>
      <c r="AC1816" s="191"/>
      <c r="AD1816" s="16"/>
      <c r="AE1816" s="16"/>
      <c r="AF1816" s="16"/>
      <c r="AG1816" s="16"/>
      <c r="AH1816" s="16"/>
      <c r="AI1816" s="16"/>
      <c r="AJ1816" s="16"/>
      <c r="AK1816" s="16"/>
      <c r="AL1816" s="16"/>
      <c r="AM1816" s="16"/>
      <c r="AN1816" s="16"/>
      <c r="AO1816" s="16"/>
      <c r="AP1816" s="16"/>
      <c r="AQ1816" s="16"/>
      <c r="AR1816" s="16"/>
      <c r="AS1816" s="16"/>
    </row>
    <row r="1817" spans="18:45" x14ac:dyDescent="0.35">
      <c r="R1817" s="191"/>
      <c r="S1817" s="191"/>
      <c r="T1817" s="193"/>
      <c r="U1817" s="191"/>
      <c r="V1817" s="194"/>
      <c r="W1817" s="191"/>
      <c r="Y1817" s="191"/>
      <c r="Z1817" s="191"/>
      <c r="AA1817" s="191"/>
      <c r="AB1817" s="191"/>
      <c r="AC1817" s="191"/>
      <c r="AD1817" s="16"/>
      <c r="AE1817" s="16"/>
      <c r="AF1817" s="16"/>
      <c r="AG1817" s="16"/>
      <c r="AH1817" s="16"/>
      <c r="AI1817" s="16"/>
      <c r="AJ1817" s="16"/>
      <c r="AK1817" s="16"/>
      <c r="AL1817" s="16"/>
      <c r="AM1817" s="16"/>
      <c r="AN1817" s="16"/>
      <c r="AO1817" s="16"/>
      <c r="AP1817" s="16"/>
      <c r="AQ1817" s="16"/>
      <c r="AR1817" s="16"/>
      <c r="AS1817" s="16"/>
    </row>
    <row r="1818" spans="18:45" x14ac:dyDescent="0.35">
      <c r="R1818" s="191"/>
      <c r="S1818" s="191"/>
      <c r="T1818" s="193"/>
      <c r="U1818" s="191"/>
      <c r="V1818" s="194"/>
      <c r="W1818" s="191"/>
      <c r="Y1818" s="191"/>
      <c r="Z1818" s="191"/>
      <c r="AA1818" s="191"/>
      <c r="AB1818" s="191"/>
      <c r="AC1818" s="191"/>
      <c r="AD1818" s="16"/>
      <c r="AE1818" s="16"/>
      <c r="AF1818" s="16"/>
      <c r="AG1818" s="16"/>
      <c r="AH1818" s="16"/>
      <c r="AI1818" s="16"/>
      <c r="AJ1818" s="16"/>
      <c r="AK1818" s="16"/>
      <c r="AL1818" s="16"/>
      <c r="AM1818" s="16"/>
      <c r="AN1818" s="16"/>
      <c r="AO1818" s="16"/>
      <c r="AP1818" s="16"/>
      <c r="AQ1818" s="16"/>
      <c r="AR1818" s="16"/>
      <c r="AS1818" s="16"/>
    </row>
    <row r="1819" spans="18:45" x14ac:dyDescent="0.35">
      <c r="R1819" s="191"/>
      <c r="S1819" s="191"/>
      <c r="T1819" s="193"/>
      <c r="U1819" s="191"/>
      <c r="V1819" s="194"/>
      <c r="W1819" s="191"/>
      <c r="Y1819" s="191"/>
      <c r="Z1819" s="191"/>
      <c r="AA1819" s="191"/>
      <c r="AB1819" s="191"/>
      <c r="AC1819" s="191"/>
      <c r="AD1819" s="16"/>
      <c r="AE1819" s="16"/>
      <c r="AF1819" s="16"/>
      <c r="AG1819" s="16"/>
      <c r="AH1819" s="16"/>
      <c r="AI1819" s="16"/>
      <c r="AJ1819" s="16"/>
      <c r="AK1819" s="16"/>
      <c r="AL1819" s="16"/>
      <c r="AM1819" s="16"/>
      <c r="AN1819" s="16"/>
      <c r="AO1819" s="16"/>
      <c r="AP1819" s="16"/>
      <c r="AQ1819" s="16"/>
      <c r="AR1819" s="16"/>
      <c r="AS1819" s="16"/>
    </row>
    <row r="1820" spans="18:45" x14ac:dyDescent="0.35">
      <c r="R1820" s="191"/>
      <c r="S1820" s="191"/>
      <c r="T1820" s="193"/>
      <c r="U1820" s="191"/>
      <c r="V1820" s="194"/>
      <c r="W1820" s="191"/>
      <c r="Y1820" s="191"/>
      <c r="Z1820" s="191"/>
      <c r="AA1820" s="191"/>
      <c r="AB1820" s="191"/>
      <c r="AC1820" s="191"/>
      <c r="AD1820" s="16"/>
      <c r="AE1820" s="16"/>
      <c r="AF1820" s="16"/>
      <c r="AG1820" s="16"/>
      <c r="AH1820" s="16"/>
      <c r="AI1820" s="16"/>
      <c r="AJ1820" s="16"/>
      <c r="AK1820" s="16"/>
      <c r="AL1820" s="16"/>
      <c r="AM1820" s="16"/>
      <c r="AN1820" s="16"/>
      <c r="AO1820" s="16"/>
      <c r="AP1820" s="16"/>
      <c r="AQ1820" s="16"/>
      <c r="AR1820" s="16"/>
      <c r="AS1820" s="16"/>
    </row>
    <row r="1821" spans="18:45" x14ac:dyDescent="0.35">
      <c r="R1821" s="191"/>
      <c r="S1821" s="191"/>
      <c r="T1821" s="193"/>
      <c r="U1821" s="191"/>
      <c r="V1821" s="194"/>
      <c r="W1821" s="191"/>
      <c r="Y1821" s="191"/>
      <c r="Z1821" s="191"/>
      <c r="AA1821" s="191"/>
      <c r="AB1821" s="191"/>
      <c r="AC1821" s="191"/>
      <c r="AD1821" s="16"/>
      <c r="AE1821" s="16"/>
      <c r="AF1821" s="16"/>
      <c r="AG1821" s="16"/>
      <c r="AH1821" s="16"/>
      <c r="AI1821" s="16"/>
      <c r="AJ1821" s="16"/>
      <c r="AK1821" s="16"/>
      <c r="AL1821" s="16"/>
      <c r="AM1821" s="16"/>
      <c r="AN1821" s="16"/>
      <c r="AO1821" s="16"/>
      <c r="AP1821" s="16"/>
      <c r="AQ1821" s="16"/>
      <c r="AR1821" s="16"/>
      <c r="AS1821" s="16"/>
    </row>
    <row r="1822" spans="18:45" x14ac:dyDescent="0.35">
      <c r="R1822" s="191"/>
      <c r="S1822" s="191"/>
      <c r="T1822" s="193"/>
      <c r="U1822" s="191"/>
      <c r="V1822" s="194"/>
      <c r="W1822" s="191"/>
      <c r="Y1822" s="191"/>
      <c r="Z1822" s="191"/>
      <c r="AA1822" s="191"/>
      <c r="AB1822" s="191"/>
      <c r="AC1822" s="191"/>
      <c r="AD1822" s="16"/>
      <c r="AE1822" s="16"/>
      <c r="AF1822" s="16"/>
      <c r="AG1822" s="16"/>
      <c r="AH1822" s="16"/>
      <c r="AI1822" s="16"/>
      <c r="AJ1822" s="16"/>
      <c r="AK1822" s="16"/>
      <c r="AL1822" s="16"/>
      <c r="AM1822" s="16"/>
      <c r="AN1822" s="16"/>
      <c r="AO1822" s="16"/>
      <c r="AP1822" s="16"/>
      <c r="AQ1822" s="16"/>
      <c r="AR1822" s="16"/>
      <c r="AS1822" s="16"/>
    </row>
    <row r="1823" spans="18:45" x14ac:dyDescent="0.35">
      <c r="R1823" s="191"/>
      <c r="S1823" s="191"/>
      <c r="T1823" s="193"/>
      <c r="U1823" s="191"/>
      <c r="V1823" s="194"/>
      <c r="W1823" s="191"/>
      <c r="Y1823" s="191"/>
      <c r="Z1823" s="191"/>
      <c r="AA1823" s="191"/>
      <c r="AB1823" s="191"/>
      <c r="AC1823" s="191"/>
      <c r="AD1823" s="16"/>
      <c r="AE1823" s="16"/>
      <c r="AF1823" s="16"/>
      <c r="AG1823" s="16"/>
      <c r="AH1823" s="16"/>
      <c r="AI1823" s="16"/>
      <c r="AJ1823" s="16"/>
      <c r="AK1823" s="16"/>
      <c r="AL1823" s="16"/>
      <c r="AM1823" s="16"/>
      <c r="AN1823" s="16"/>
      <c r="AO1823" s="16"/>
      <c r="AP1823" s="16"/>
      <c r="AQ1823" s="16"/>
      <c r="AR1823" s="16"/>
      <c r="AS1823" s="16"/>
    </row>
    <row r="1824" spans="18:45" x14ac:dyDescent="0.35">
      <c r="R1824" s="191"/>
      <c r="S1824" s="191"/>
      <c r="T1824" s="193"/>
      <c r="U1824" s="191"/>
      <c r="V1824" s="194"/>
      <c r="W1824" s="191"/>
      <c r="Y1824" s="191"/>
      <c r="Z1824" s="191"/>
      <c r="AA1824" s="191"/>
      <c r="AB1824" s="191"/>
      <c r="AC1824" s="191"/>
      <c r="AD1824" s="16"/>
      <c r="AE1824" s="16"/>
      <c r="AF1824" s="16"/>
      <c r="AG1824" s="16"/>
      <c r="AH1824" s="16"/>
      <c r="AI1824" s="16"/>
      <c r="AJ1824" s="16"/>
      <c r="AK1824" s="16"/>
      <c r="AL1824" s="16"/>
      <c r="AM1824" s="16"/>
      <c r="AN1824" s="16"/>
      <c r="AO1824" s="16"/>
      <c r="AP1824" s="16"/>
      <c r="AQ1824" s="16"/>
      <c r="AR1824" s="16"/>
      <c r="AS1824" s="16"/>
    </row>
    <row r="1825" spans="18:45" x14ac:dyDescent="0.35">
      <c r="R1825" s="191"/>
      <c r="S1825" s="191"/>
      <c r="T1825" s="193"/>
      <c r="U1825" s="191"/>
      <c r="V1825" s="194"/>
      <c r="W1825" s="191"/>
      <c r="Y1825" s="191"/>
      <c r="Z1825" s="191"/>
      <c r="AA1825" s="191"/>
      <c r="AB1825" s="191"/>
      <c r="AC1825" s="191"/>
      <c r="AD1825" s="16"/>
      <c r="AE1825" s="16"/>
      <c r="AF1825" s="16"/>
      <c r="AG1825" s="16"/>
      <c r="AH1825" s="16"/>
      <c r="AI1825" s="16"/>
      <c r="AJ1825" s="16"/>
      <c r="AK1825" s="16"/>
      <c r="AL1825" s="16"/>
      <c r="AM1825" s="16"/>
      <c r="AN1825" s="16"/>
      <c r="AO1825" s="16"/>
      <c r="AP1825" s="16"/>
      <c r="AQ1825" s="16"/>
      <c r="AR1825" s="16"/>
      <c r="AS1825" s="16"/>
    </row>
    <row r="1826" spans="18:45" x14ac:dyDescent="0.35">
      <c r="R1826" s="191"/>
      <c r="S1826" s="191"/>
      <c r="T1826" s="193"/>
      <c r="U1826" s="191"/>
      <c r="V1826" s="194"/>
      <c r="W1826" s="191"/>
      <c r="Y1826" s="191"/>
      <c r="Z1826" s="191"/>
      <c r="AA1826" s="191"/>
      <c r="AB1826" s="191"/>
      <c r="AC1826" s="191"/>
      <c r="AD1826" s="16"/>
      <c r="AE1826" s="16"/>
      <c r="AF1826" s="16"/>
      <c r="AG1826" s="16"/>
      <c r="AH1826" s="16"/>
      <c r="AI1826" s="16"/>
      <c r="AJ1826" s="16"/>
      <c r="AK1826" s="16"/>
      <c r="AL1826" s="16"/>
      <c r="AM1826" s="16"/>
      <c r="AN1826" s="16"/>
      <c r="AO1826" s="16"/>
      <c r="AP1826" s="16"/>
      <c r="AQ1826" s="16"/>
      <c r="AR1826" s="16"/>
      <c r="AS1826" s="16"/>
    </row>
    <row r="1827" spans="18:45" x14ac:dyDescent="0.35">
      <c r="R1827" s="191"/>
      <c r="S1827" s="191"/>
      <c r="T1827" s="193"/>
      <c r="U1827" s="191"/>
      <c r="V1827" s="194"/>
      <c r="W1827" s="191"/>
      <c r="Y1827" s="191"/>
      <c r="Z1827" s="191"/>
      <c r="AA1827" s="191"/>
      <c r="AB1827" s="191"/>
      <c r="AC1827" s="191"/>
      <c r="AD1827" s="16"/>
      <c r="AE1827" s="16"/>
      <c r="AF1827" s="16"/>
      <c r="AG1827" s="16"/>
      <c r="AH1827" s="16"/>
      <c r="AI1827" s="16"/>
      <c r="AJ1827" s="16"/>
      <c r="AK1827" s="16"/>
      <c r="AL1827" s="16"/>
      <c r="AM1827" s="16"/>
      <c r="AN1827" s="16"/>
      <c r="AO1827" s="16"/>
      <c r="AP1827" s="16"/>
      <c r="AQ1827" s="16"/>
      <c r="AR1827" s="16"/>
      <c r="AS1827" s="16"/>
    </row>
    <row r="1828" spans="18:45" x14ac:dyDescent="0.35">
      <c r="R1828" s="191"/>
      <c r="S1828" s="191"/>
      <c r="T1828" s="193"/>
      <c r="U1828" s="191"/>
      <c r="V1828" s="194"/>
      <c r="W1828" s="191"/>
      <c r="Y1828" s="191"/>
      <c r="Z1828" s="191"/>
      <c r="AA1828" s="191"/>
      <c r="AB1828" s="191"/>
      <c r="AC1828" s="191"/>
      <c r="AD1828" s="16"/>
      <c r="AE1828" s="16"/>
      <c r="AF1828" s="16"/>
      <c r="AG1828" s="16"/>
      <c r="AH1828" s="16"/>
      <c r="AI1828" s="16"/>
      <c r="AJ1828" s="16"/>
      <c r="AK1828" s="16"/>
      <c r="AL1828" s="16"/>
      <c r="AM1828" s="16"/>
      <c r="AN1828" s="16"/>
      <c r="AO1828" s="16"/>
      <c r="AP1828" s="16"/>
      <c r="AQ1828" s="16"/>
      <c r="AR1828" s="16"/>
      <c r="AS1828" s="16"/>
    </row>
    <row r="1829" spans="18:45" x14ac:dyDescent="0.35">
      <c r="R1829" s="191"/>
      <c r="S1829" s="191"/>
      <c r="T1829" s="193"/>
      <c r="U1829" s="191"/>
      <c r="V1829" s="194"/>
      <c r="W1829" s="191"/>
      <c r="Y1829" s="191"/>
      <c r="Z1829" s="191"/>
      <c r="AA1829" s="191"/>
      <c r="AB1829" s="191"/>
      <c r="AC1829" s="191"/>
      <c r="AD1829" s="16"/>
      <c r="AE1829" s="16"/>
      <c r="AF1829" s="16"/>
      <c r="AG1829" s="16"/>
      <c r="AH1829" s="16"/>
      <c r="AI1829" s="16"/>
      <c r="AJ1829" s="16"/>
      <c r="AK1829" s="16"/>
      <c r="AL1829" s="16"/>
      <c r="AM1829" s="16"/>
      <c r="AN1829" s="16"/>
      <c r="AO1829" s="16"/>
      <c r="AP1829" s="16"/>
      <c r="AQ1829" s="16"/>
      <c r="AR1829" s="16"/>
      <c r="AS1829" s="16"/>
    </row>
    <row r="1830" spans="18:45" x14ac:dyDescent="0.35">
      <c r="R1830" s="191"/>
      <c r="S1830" s="191"/>
      <c r="T1830" s="193"/>
      <c r="U1830" s="191"/>
      <c r="V1830" s="194"/>
      <c r="W1830" s="191"/>
      <c r="Y1830" s="191"/>
      <c r="Z1830" s="191"/>
      <c r="AA1830" s="191"/>
      <c r="AB1830" s="191"/>
      <c r="AC1830" s="191"/>
      <c r="AD1830" s="16"/>
      <c r="AE1830" s="16"/>
      <c r="AF1830" s="16"/>
      <c r="AG1830" s="16"/>
      <c r="AH1830" s="16"/>
      <c r="AI1830" s="16"/>
      <c r="AJ1830" s="16"/>
      <c r="AK1830" s="16"/>
      <c r="AL1830" s="16"/>
      <c r="AM1830" s="16"/>
      <c r="AN1830" s="16"/>
      <c r="AO1830" s="16"/>
      <c r="AP1830" s="16"/>
      <c r="AQ1830" s="16"/>
      <c r="AR1830" s="16"/>
      <c r="AS1830" s="16"/>
    </row>
    <row r="1831" spans="18:45" x14ac:dyDescent="0.35">
      <c r="R1831" s="191"/>
      <c r="S1831" s="191"/>
      <c r="T1831" s="193"/>
      <c r="U1831" s="191"/>
      <c r="V1831" s="194"/>
      <c r="W1831" s="191"/>
      <c r="Y1831" s="191"/>
      <c r="Z1831" s="191"/>
      <c r="AA1831" s="191"/>
      <c r="AB1831" s="191"/>
      <c r="AC1831" s="191"/>
      <c r="AD1831" s="16"/>
      <c r="AE1831" s="16"/>
      <c r="AF1831" s="16"/>
      <c r="AG1831" s="16"/>
      <c r="AH1831" s="16"/>
      <c r="AI1831" s="16"/>
      <c r="AJ1831" s="16"/>
      <c r="AK1831" s="16"/>
      <c r="AL1831" s="16"/>
      <c r="AM1831" s="16"/>
      <c r="AN1831" s="16"/>
      <c r="AO1831" s="16"/>
      <c r="AP1831" s="16"/>
      <c r="AQ1831" s="16"/>
      <c r="AR1831" s="16"/>
      <c r="AS1831" s="16"/>
    </row>
    <row r="1832" spans="18:45" x14ac:dyDescent="0.35">
      <c r="R1832" s="191"/>
      <c r="S1832" s="191"/>
      <c r="T1832" s="193"/>
      <c r="U1832" s="191"/>
      <c r="V1832" s="194"/>
      <c r="W1832" s="191"/>
      <c r="Y1832" s="191"/>
      <c r="Z1832" s="191"/>
      <c r="AA1832" s="191"/>
      <c r="AB1832" s="191"/>
      <c r="AC1832" s="191"/>
      <c r="AD1832" s="16"/>
      <c r="AE1832" s="16"/>
      <c r="AF1832" s="16"/>
      <c r="AG1832" s="16"/>
      <c r="AH1832" s="16"/>
      <c r="AI1832" s="16"/>
      <c r="AJ1832" s="16"/>
      <c r="AK1832" s="16"/>
      <c r="AL1832" s="16"/>
      <c r="AM1832" s="16"/>
      <c r="AN1832" s="16"/>
      <c r="AO1832" s="16"/>
      <c r="AP1832" s="16"/>
      <c r="AQ1832" s="16"/>
      <c r="AR1832" s="16"/>
      <c r="AS1832" s="16"/>
    </row>
    <row r="1833" spans="18:45" x14ac:dyDescent="0.35">
      <c r="R1833" s="191"/>
      <c r="S1833" s="191"/>
      <c r="T1833" s="193"/>
      <c r="U1833" s="191"/>
      <c r="V1833" s="194"/>
      <c r="W1833" s="191"/>
      <c r="Y1833" s="191"/>
      <c r="Z1833" s="191"/>
      <c r="AA1833" s="191"/>
      <c r="AB1833" s="191"/>
      <c r="AC1833" s="191"/>
      <c r="AD1833" s="16"/>
      <c r="AE1833" s="16"/>
      <c r="AF1833" s="16"/>
      <c r="AG1833" s="16"/>
      <c r="AH1833" s="16"/>
      <c r="AI1833" s="16"/>
      <c r="AJ1833" s="16"/>
      <c r="AK1833" s="16"/>
      <c r="AL1833" s="16"/>
      <c r="AM1833" s="16"/>
      <c r="AN1833" s="16"/>
      <c r="AO1833" s="16"/>
      <c r="AP1833" s="16"/>
      <c r="AQ1833" s="16"/>
      <c r="AR1833" s="16"/>
      <c r="AS1833" s="16"/>
    </row>
    <row r="1834" spans="18:45" x14ac:dyDescent="0.35">
      <c r="R1834" s="191"/>
      <c r="S1834" s="191"/>
      <c r="T1834" s="193"/>
      <c r="U1834" s="191"/>
      <c r="V1834" s="194"/>
      <c r="W1834" s="191"/>
      <c r="Y1834" s="191"/>
      <c r="Z1834" s="191"/>
      <c r="AA1834" s="191"/>
      <c r="AB1834" s="191"/>
      <c r="AC1834" s="191"/>
      <c r="AD1834" s="16"/>
      <c r="AE1834" s="16"/>
      <c r="AF1834" s="16"/>
      <c r="AG1834" s="16"/>
      <c r="AH1834" s="16"/>
      <c r="AI1834" s="16"/>
      <c r="AJ1834" s="16"/>
      <c r="AK1834" s="16"/>
      <c r="AL1834" s="16"/>
      <c r="AM1834" s="16"/>
      <c r="AN1834" s="16"/>
      <c r="AO1834" s="16"/>
      <c r="AP1834" s="16"/>
      <c r="AQ1834" s="16"/>
      <c r="AR1834" s="16"/>
      <c r="AS1834" s="16"/>
    </row>
    <row r="1835" spans="18:45" x14ac:dyDescent="0.35">
      <c r="R1835" s="191"/>
      <c r="S1835" s="191"/>
      <c r="T1835" s="193"/>
      <c r="U1835" s="191"/>
      <c r="V1835" s="194"/>
      <c r="W1835" s="191"/>
      <c r="Y1835" s="191"/>
      <c r="Z1835" s="191"/>
      <c r="AA1835" s="191"/>
      <c r="AB1835" s="191"/>
      <c r="AC1835" s="191"/>
      <c r="AD1835" s="16"/>
      <c r="AE1835" s="16"/>
      <c r="AF1835" s="16"/>
      <c r="AG1835" s="16"/>
      <c r="AH1835" s="16"/>
      <c r="AI1835" s="16"/>
      <c r="AJ1835" s="16"/>
      <c r="AK1835" s="16"/>
      <c r="AL1835" s="16"/>
      <c r="AM1835" s="16"/>
      <c r="AN1835" s="16"/>
      <c r="AO1835" s="16"/>
      <c r="AP1835" s="16"/>
      <c r="AQ1835" s="16"/>
      <c r="AR1835" s="16"/>
      <c r="AS1835" s="16"/>
    </row>
    <row r="1836" spans="18:45" x14ac:dyDescent="0.35">
      <c r="R1836" s="191"/>
      <c r="S1836" s="191"/>
      <c r="T1836" s="193"/>
      <c r="U1836" s="191"/>
      <c r="V1836" s="194"/>
      <c r="W1836" s="191"/>
      <c r="Y1836" s="191"/>
      <c r="Z1836" s="191"/>
      <c r="AA1836" s="191"/>
      <c r="AB1836" s="191"/>
      <c r="AC1836" s="191"/>
      <c r="AD1836" s="16"/>
      <c r="AE1836" s="16"/>
      <c r="AF1836" s="16"/>
      <c r="AG1836" s="16"/>
      <c r="AH1836" s="16"/>
      <c r="AI1836" s="16"/>
      <c r="AJ1836" s="16"/>
      <c r="AK1836" s="16"/>
      <c r="AL1836" s="16"/>
      <c r="AM1836" s="16"/>
      <c r="AN1836" s="16"/>
      <c r="AO1836" s="16"/>
      <c r="AP1836" s="16"/>
      <c r="AQ1836" s="16"/>
      <c r="AR1836" s="16"/>
      <c r="AS1836" s="16"/>
    </row>
    <row r="1837" spans="18:45" x14ac:dyDescent="0.35">
      <c r="R1837" s="191"/>
      <c r="S1837" s="191"/>
      <c r="T1837" s="193"/>
      <c r="U1837" s="191"/>
      <c r="V1837" s="194"/>
      <c r="W1837" s="191"/>
      <c r="Y1837" s="191"/>
      <c r="Z1837" s="191"/>
      <c r="AA1837" s="191"/>
      <c r="AB1837" s="191"/>
      <c r="AC1837" s="191"/>
      <c r="AD1837" s="16"/>
      <c r="AE1837" s="16"/>
      <c r="AF1837" s="16"/>
      <c r="AG1837" s="16"/>
      <c r="AH1837" s="16"/>
      <c r="AI1837" s="16"/>
      <c r="AJ1837" s="16"/>
      <c r="AK1837" s="16"/>
      <c r="AL1837" s="16"/>
      <c r="AM1837" s="16"/>
      <c r="AN1837" s="16"/>
      <c r="AO1837" s="16"/>
      <c r="AP1837" s="16"/>
      <c r="AQ1837" s="16"/>
      <c r="AR1837" s="16"/>
      <c r="AS1837" s="16"/>
    </row>
    <row r="1838" spans="18:45" x14ac:dyDescent="0.35">
      <c r="R1838" s="191"/>
      <c r="S1838" s="191"/>
      <c r="T1838" s="193"/>
      <c r="U1838" s="191"/>
      <c r="V1838" s="194"/>
      <c r="W1838" s="191"/>
      <c r="Y1838" s="191"/>
      <c r="Z1838" s="191"/>
      <c r="AA1838" s="191"/>
      <c r="AB1838" s="191"/>
      <c r="AC1838" s="191"/>
      <c r="AD1838" s="16"/>
      <c r="AE1838" s="16"/>
      <c r="AF1838" s="16"/>
      <c r="AG1838" s="16"/>
      <c r="AH1838" s="16"/>
      <c r="AI1838" s="16"/>
      <c r="AJ1838" s="16"/>
      <c r="AK1838" s="16"/>
      <c r="AL1838" s="16"/>
      <c r="AM1838" s="16"/>
      <c r="AN1838" s="16"/>
      <c r="AO1838" s="16"/>
      <c r="AP1838" s="16"/>
      <c r="AQ1838" s="16"/>
      <c r="AR1838" s="16"/>
      <c r="AS1838" s="16"/>
    </row>
    <row r="1839" spans="18:45" x14ac:dyDescent="0.35">
      <c r="R1839" s="191"/>
      <c r="S1839" s="191"/>
      <c r="T1839" s="193"/>
      <c r="U1839" s="191"/>
      <c r="V1839" s="194"/>
      <c r="W1839" s="191"/>
      <c r="Y1839" s="191"/>
      <c r="Z1839" s="191"/>
      <c r="AA1839" s="191"/>
      <c r="AB1839" s="191"/>
      <c r="AC1839" s="191"/>
      <c r="AD1839" s="16"/>
      <c r="AE1839" s="16"/>
      <c r="AF1839" s="16"/>
      <c r="AG1839" s="16"/>
      <c r="AH1839" s="16"/>
      <c r="AI1839" s="16"/>
      <c r="AJ1839" s="16"/>
      <c r="AK1839" s="16"/>
      <c r="AL1839" s="16"/>
      <c r="AM1839" s="16"/>
      <c r="AN1839" s="16"/>
      <c r="AO1839" s="16"/>
      <c r="AP1839" s="16"/>
      <c r="AQ1839" s="16"/>
      <c r="AR1839" s="16"/>
      <c r="AS1839" s="16"/>
    </row>
    <row r="1840" spans="18:45" x14ac:dyDescent="0.35">
      <c r="R1840" s="191"/>
      <c r="S1840" s="191"/>
      <c r="T1840" s="193"/>
      <c r="U1840" s="191"/>
      <c r="V1840" s="194"/>
      <c r="W1840" s="191"/>
      <c r="Y1840" s="191"/>
      <c r="Z1840" s="191"/>
      <c r="AA1840" s="191"/>
      <c r="AB1840" s="191"/>
      <c r="AC1840" s="191"/>
      <c r="AD1840" s="16"/>
      <c r="AE1840" s="16"/>
      <c r="AF1840" s="16"/>
      <c r="AG1840" s="16"/>
      <c r="AH1840" s="16"/>
      <c r="AI1840" s="16"/>
      <c r="AJ1840" s="16"/>
      <c r="AK1840" s="16"/>
      <c r="AL1840" s="16"/>
      <c r="AM1840" s="16"/>
      <c r="AN1840" s="16"/>
      <c r="AO1840" s="16"/>
      <c r="AP1840" s="16"/>
      <c r="AQ1840" s="16"/>
      <c r="AR1840" s="16"/>
      <c r="AS1840" s="16"/>
    </row>
    <row r="1841" spans="18:45" x14ac:dyDescent="0.35">
      <c r="R1841" s="191"/>
      <c r="S1841" s="191"/>
      <c r="T1841" s="193"/>
      <c r="U1841" s="191"/>
      <c r="V1841" s="194"/>
      <c r="W1841" s="191"/>
      <c r="Y1841" s="191"/>
      <c r="Z1841" s="191"/>
      <c r="AA1841" s="191"/>
      <c r="AB1841" s="191"/>
      <c r="AC1841" s="191"/>
      <c r="AD1841" s="16"/>
      <c r="AE1841" s="16"/>
      <c r="AF1841" s="16"/>
      <c r="AG1841" s="16"/>
      <c r="AH1841" s="16"/>
      <c r="AI1841" s="16"/>
      <c r="AJ1841" s="16"/>
      <c r="AK1841" s="16"/>
      <c r="AL1841" s="16"/>
      <c r="AM1841" s="16"/>
      <c r="AN1841" s="16"/>
      <c r="AO1841" s="16"/>
      <c r="AP1841" s="16"/>
      <c r="AQ1841" s="16"/>
      <c r="AR1841" s="16"/>
      <c r="AS1841" s="16"/>
    </row>
    <row r="1842" spans="18:45" x14ac:dyDescent="0.35">
      <c r="R1842" s="191"/>
      <c r="S1842" s="191"/>
      <c r="T1842" s="193"/>
      <c r="U1842" s="191"/>
      <c r="V1842" s="194"/>
      <c r="W1842" s="191"/>
      <c r="Y1842" s="191"/>
      <c r="Z1842" s="191"/>
      <c r="AA1842" s="191"/>
      <c r="AB1842" s="191"/>
      <c r="AC1842" s="191"/>
      <c r="AD1842" s="16"/>
      <c r="AE1842" s="16"/>
      <c r="AF1842" s="16"/>
      <c r="AG1842" s="16"/>
      <c r="AH1842" s="16"/>
      <c r="AI1842" s="16"/>
      <c r="AJ1842" s="16"/>
      <c r="AK1842" s="16"/>
      <c r="AL1842" s="16"/>
      <c r="AM1842" s="16"/>
      <c r="AN1842" s="16"/>
      <c r="AO1842" s="16"/>
      <c r="AP1842" s="16"/>
      <c r="AQ1842" s="16"/>
      <c r="AR1842" s="16"/>
      <c r="AS1842" s="16"/>
    </row>
    <row r="1843" spans="18:45" x14ac:dyDescent="0.35">
      <c r="R1843" s="191"/>
      <c r="S1843" s="191"/>
      <c r="T1843" s="193"/>
      <c r="U1843" s="191"/>
      <c r="V1843" s="194"/>
      <c r="W1843" s="191"/>
      <c r="Y1843" s="191"/>
      <c r="Z1843" s="191"/>
      <c r="AA1843" s="191"/>
      <c r="AB1843" s="191"/>
      <c r="AC1843" s="191"/>
      <c r="AD1843" s="16"/>
      <c r="AE1843" s="16"/>
      <c r="AF1843" s="16"/>
      <c r="AG1843" s="16"/>
      <c r="AH1843" s="16"/>
      <c r="AI1843" s="16"/>
      <c r="AJ1843" s="16"/>
      <c r="AK1843" s="16"/>
      <c r="AL1843" s="16"/>
      <c r="AM1843" s="16"/>
      <c r="AN1843" s="16"/>
      <c r="AO1843" s="16"/>
      <c r="AP1843" s="16"/>
      <c r="AQ1843" s="16"/>
      <c r="AR1843" s="16"/>
      <c r="AS1843" s="16"/>
    </row>
    <row r="1844" spans="18:45" x14ac:dyDescent="0.35">
      <c r="R1844" s="191"/>
      <c r="S1844" s="191"/>
      <c r="T1844" s="193"/>
      <c r="U1844" s="191"/>
      <c r="V1844" s="194"/>
      <c r="W1844" s="191"/>
      <c r="Y1844" s="191"/>
      <c r="Z1844" s="191"/>
      <c r="AA1844" s="191"/>
      <c r="AB1844" s="191"/>
      <c r="AC1844" s="191"/>
      <c r="AD1844" s="16"/>
      <c r="AE1844" s="16"/>
      <c r="AF1844" s="16"/>
      <c r="AG1844" s="16"/>
      <c r="AH1844" s="16"/>
      <c r="AI1844" s="16"/>
      <c r="AJ1844" s="16"/>
      <c r="AK1844" s="16"/>
      <c r="AL1844" s="16"/>
      <c r="AM1844" s="16"/>
      <c r="AN1844" s="16"/>
      <c r="AO1844" s="16"/>
      <c r="AP1844" s="16"/>
      <c r="AQ1844" s="16"/>
      <c r="AR1844" s="16"/>
      <c r="AS1844" s="16"/>
    </row>
    <row r="1845" spans="18:45" x14ac:dyDescent="0.35">
      <c r="R1845" s="191"/>
      <c r="S1845" s="191"/>
      <c r="T1845" s="193"/>
      <c r="U1845" s="191"/>
      <c r="V1845" s="194"/>
      <c r="W1845" s="191"/>
      <c r="Y1845" s="191"/>
      <c r="Z1845" s="191"/>
      <c r="AA1845" s="191"/>
      <c r="AB1845" s="191"/>
      <c r="AC1845" s="191"/>
      <c r="AD1845" s="16"/>
      <c r="AE1845" s="16"/>
      <c r="AF1845" s="16"/>
      <c r="AG1845" s="16"/>
      <c r="AH1845" s="16"/>
      <c r="AI1845" s="16"/>
      <c r="AJ1845" s="16"/>
      <c r="AK1845" s="16"/>
      <c r="AL1845" s="16"/>
      <c r="AM1845" s="16"/>
      <c r="AN1845" s="16"/>
      <c r="AO1845" s="16"/>
      <c r="AP1845" s="16"/>
      <c r="AQ1845" s="16"/>
      <c r="AR1845" s="16"/>
      <c r="AS1845" s="16"/>
    </row>
    <row r="1846" spans="18:45" x14ac:dyDescent="0.35">
      <c r="R1846" s="191"/>
      <c r="S1846" s="191"/>
      <c r="T1846" s="193"/>
      <c r="U1846" s="191"/>
      <c r="V1846" s="194"/>
      <c r="W1846" s="191"/>
      <c r="Y1846" s="191"/>
      <c r="Z1846" s="191"/>
      <c r="AA1846" s="191"/>
      <c r="AB1846" s="191"/>
      <c r="AC1846" s="191"/>
      <c r="AD1846" s="16"/>
      <c r="AE1846" s="16"/>
      <c r="AF1846" s="16"/>
      <c r="AG1846" s="16"/>
      <c r="AH1846" s="16"/>
      <c r="AI1846" s="16"/>
      <c r="AJ1846" s="16"/>
      <c r="AK1846" s="16"/>
      <c r="AL1846" s="16"/>
      <c r="AM1846" s="16"/>
      <c r="AN1846" s="16"/>
      <c r="AO1846" s="16"/>
      <c r="AP1846" s="16"/>
      <c r="AQ1846" s="16"/>
      <c r="AR1846" s="16"/>
      <c r="AS1846" s="16"/>
    </row>
    <row r="1847" spans="18:45" x14ac:dyDescent="0.35">
      <c r="R1847" s="191"/>
      <c r="S1847" s="191"/>
      <c r="T1847" s="193"/>
      <c r="U1847" s="191"/>
      <c r="V1847" s="194"/>
      <c r="W1847" s="191"/>
      <c r="Y1847" s="191"/>
      <c r="Z1847" s="191"/>
      <c r="AA1847" s="191"/>
      <c r="AB1847" s="191"/>
      <c r="AC1847" s="191"/>
      <c r="AD1847" s="16"/>
      <c r="AE1847" s="16"/>
      <c r="AF1847" s="16"/>
      <c r="AG1847" s="16"/>
      <c r="AH1847" s="16"/>
      <c r="AI1847" s="16"/>
      <c r="AJ1847" s="16"/>
      <c r="AK1847" s="16"/>
      <c r="AL1847" s="16"/>
      <c r="AM1847" s="16"/>
      <c r="AN1847" s="16"/>
      <c r="AO1847" s="16"/>
      <c r="AP1847" s="16"/>
      <c r="AQ1847" s="16"/>
      <c r="AR1847" s="16"/>
      <c r="AS1847" s="16"/>
    </row>
    <row r="1848" spans="18:45" x14ac:dyDescent="0.35">
      <c r="R1848" s="191"/>
      <c r="S1848" s="191"/>
      <c r="T1848" s="193"/>
      <c r="U1848" s="191"/>
      <c r="V1848" s="194"/>
      <c r="W1848" s="191"/>
      <c r="Y1848" s="191"/>
      <c r="Z1848" s="191"/>
      <c r="AA1848" s="191"/>
      <c r="AB1848" s="191"/>
      <c r="AC1848" s="191"/>
      <c r="AD1848" s="16"/>
      <c r="AE1848" s="16"/>
      <c r="AF1848" s="16"/>
      <c r="AG1848" s="16"/>
      <c r="AH1848" s="16"/>
      <c r="AI1848" s="16"/>
      <c r="AJ1848" s="16"/>
      <c r="AK1848" s="16"/>
      <c r="AL1848" s="16"/>
      <c r="AM1848" s="16"/>
      <c r="AN1848" s="16"/>
      <c r="AO1848" s="16"/>
      <c r="AP1848" s="16"/>
      <c r="AQ1848" s="16"/>
      <c r="AR1848" s="16"/>
      <c r="AS1848" s="16"/>
    </row>
    <row r="1849" spans="18:45" x14ac:dyDescent="0.35">
      <c r="R1849" s="191"/>
      <c r="S1849" s="191"/>
      <c r="T1849" s="193"/>
      <c r="U1849" s="191"/>
      <c r="V1849" s="194"/>
      <c r="W1849" s="191"/>
      <c r="Y1849" s="191"/>
      <c r="Z1849" s="191"/>
      <c r="AA1849" s="191"/>
      <c r="AB1849" s="191"/>
      <c r="AC1849" s="191"/>
      <c r="AD1849" s="16"/>
      <c r="AE1849" s="16"/>
      <c r="AF1849" s="16"/>
      <c r="AG1849" s="16"/>
      <c r="AH1849" s="16"/>
      <c r="AI1849" s="16"/>
      <c r="AJ1849" s="16"/>
      <c r="AK1849" s="16"/>
      <c r="AL1849" s="16"/>
      <c r="AM1849" s="16"/>
      <c r="AN1849" s="16"/>
      <c r="AO1849" s="16"/>
      <c r="AP1849" s="16"/>
      <c r="AQ1849" s="16"/>
      <c r="AR1849" s="16"/>
      <c r="AS1849" s="16"/>
    </row>
    <row r="1850" spans="18:45" x14ac:dyDescent="0.35">
      <c r="R1850" s="191"/>
      <c r="S1850" s="191"/>
      <c r="T1850" s="193"/>
      <c r="U1850" s="191"/>
      <c r="V1850" s="194"/>
      <c r="W1850" s="191"/>
      <c r="Y1850" s="191"/>
      <c r="Z1850" s="191"/>
      <c r="AA1850" s="191"/>
      <c r="AB1850" s="191"/>
      <c r="AC1850" s="191"/>
      <c r="AD1850" s="16"/>
      <c r="AE1850" s="16"/>
      <c r="AF1850" s="16"/>
      <c r="AG1850" s="16"/>
      <c r="AH1850" s="16"/>
      <c r="AI1850" s="16"/>
      <c r="AJ1850" s="16"/>
      <c r="AK1850" s="16"/>
      <c r="AL1850" s="16"/>
      <c r="AM1850" s="16"/>
      <c r="AN1850" s="16"/>
      <c r="AO1850" s="16"/>
      <c r="AP1850" s="16"/>
      <c r="AQ1850" s="16"/>
      <c r="AR1850" s="16"/>
      <c r="AS1850" s="16"/>
    </row>
    <row r="1851" spans="18:45" x14ac:dyDescent="0.35">
      <c r="R1851" s="191"/>
      <c r="S1851" s="191"/>
      <c r="T1851" s="193"/>
      <c r="U1851" s="191"/>
      <c r="V1851" s="194"/>
      <c r="W1851" s="191"/>
      <c r="Y1851" s="191"/>
      <c r="Z1851" s="191"/>
      <c r="AA1851" s="191"/>
      <c r="AB1851" s="191"/>
      <c r="AC1851" s="191"/>
      <c r="AD1851" s="16"/>
      <c r="AE1851" s="16"/>
      <c r="AF1851" s="16"/>
      <c r="AG1851" s="16"/>
      <c r="AH1851" s="16"/>
      <c r="AI1851" s="16"/>
      <c r="AJ1851" s="16"/>
      <c r="AK1851" s="16"/>
      <c r="AL1851" s="16"/>
      <c r="AM1851" s="16"/>
      <c r="AN1851" s="16"/>
      <c r="AO1851" s="16"/>
      <c r="AP1851" s="16"/>
      <c r="AQ1851" s="16"/>
      <c r="AR1851" s="16"/>
      <c r="AS1851" s="16"/>
    </row>
    <row r="1852" spans="18:45" x14ac:dyDescent="0.35">
      <c r="R1852" s="191"/>
      <c r="S1852" s="191"/>
      <c r="T1852" s="193"/>
      <c r="U1852" s="191"/>
      <c r="V1852" s="194"/>
      <c r="W1852" s="191"/>
      <c r="Y1852" s="191"/>
      <c r="Z1852" s="191"/>
      <c r="AA1852" s="191"/>
      <c r="AB1852" s="191"/>
      <c r="AC1852" s="191"/>
      <c r="AD1852" s="16"/>
      <c r="AE1852" s="16"/>
      <c r="AF1852" s="16"/>
      <c r="AG1852" s="16"/>
      <c r="AH1852" s="16"/>
      <c r="AI1852" s="16"/>
      <c r="AJ1852" s="16"/>
      <c r="AK1852" s="16"/>
      <c r="AL1852" s="16"/>
      <c r="AM1852" s="16"/>
      <c r="AN1852" s="16"/>
      <c r="AO1852" s="16"/>
      <c r="AP1852" s="16"/>
      <c r="AQ1852" s="16"/>
      <c r="AR1852" s="16"/>
      <c r="AS1852" s="16"/>
    </row>
    <row r="1853" spans="18:45" x14ac:dyDescent="0.35">
      <c r="R1853" s="191"/>
      <c r="S1853" s="191"/>
      <c r="T1853" s="193"/>
      <c r="U1853" s="191"/>
      <c r="V1853" s="194"/>
      <c r="W1853" s="191"/>
      <c r="Y1853" s="191"/>
      <c r="Z1853" s="191"/>
      <c r="AA1853" s="191"/>
      <c r="AB1853" s="191"/>
      <c r="AC1853" s="191"/>
      <c r="AD1853" s="16"/>
      <c r="AE1853" s="16"/>
      <c r="AF1853" s="16"/>
      <c r="AG1853" s="16"/>
      <c r="AH1853" s="16"/>
      <c r="AI1853" s="16"/>
      <c r="AJ1853" s="16"/>
      <c r="AK1853" s="16"/>
      <c r="AL1853" s="16"/>
      <c r="AM1853" s="16"/>
      <c r="AN1853" s="16"/>
      <c r="AO1853" s="16"/>
      <c r="AP1853" s="16"/>
      <c r="AQ1853" s="16"/>
      <c r="AR1853" s="16"/>
      <c r="AS1853" s="16"/>
    </row>
    <row r="1854" spans="18:45" x14ac:dyDescent="0.35">
      <c r="R1854" s="191"/>
      <c r="S1854" s="191"/>
      <c r="T1854" s="193"/>
      <c r="U1854" s="191"/>
      <c r="V1854" s="194"/>
      <c r="W1854" s="191"/>
      <c r="Y1854" s="191"/>
      <c r="Z1854" s="191"/>
      <c r="AA1854" s="191"/>
      <c r="AB1854" s="191"/>
      <c r="AC1854" s="191"/>
      <c r="AD1854" s="16"/>
      <c r="AE1854" s="16"/>
      <c r="AF1854" s="16"/>
      <c r="AG1854" s="16"/>
      <c r="AH1854" s="16"/>
      <c r="AI1854" s="16"/>
      <c r="AJ1854" s="16"/>
      <c r="AK1854" s="16"/>
      <c r="AL1854" s="16"/>
      <c r="AM1854" s="16"/>
      <c r="AN1854" s="16"/>
      <c r="AO1854" s="16"/>
      <c r="AP1854" s="16"/>
      <c r="AQ1854" s="16"/>
      <c r="AR1854" s="16"/>
      <c r="AS1854" s="16"/>
    </row>
    <row r="1855" spans="18:45" x14ac:dyDescent="0.35">
      <c r="R1855" s="191"/>
      <c r="S1855" s="191"/>
      <c r="T1855" s="193"/>
      <c r="U1855" s="191"/>
      <c r="V1855" s="194"/>
      <c r="W1855" s="191"/>
      <c r="Y1855" s="191"/>
      <c r="Z1855" s="191"/>
      <c r="AA1855" s="191"/>
      <c r="AB1855" s="191"/>
      <c r="AC1855" s="191"/>
      <c r="AD1855" s="16"/>
      <c r="AE1855" s="16"/>
      <c r="AF1855" s="16"/>
      <c r="AG1855" s="16"/>
      <c r="AH1855" s="16"/>
      <c r="AI1855" s="16"/>
      <c r="AJ1855" s="16"/>
      <c r="AK1855" s="16"/>
      <c r="AL1855" s="16"/>
      <c r="AM1855" s="16"/>
      <c r="AN1855" s="16"/>
      <c r="AO1855" s="16"/>
      <c r="AP1855" s="16"/>
      <c r="AQ1855" s="16"/>
      <c r="AR1855" s="16"/>
      <c r="AS1855" s="16"/>
    </row>
    <row r="1856" spans="18:45" x14ac:dyDescent="0.35">
      <c r="R1856" s="191"/>
      <c r="S1856" s="191"/>
      <c r="T1856" s="193"/>
      <c r="U1856" s="191"/>
      <c r="V1856" s="194"/>
      <c r="W1856" s="191"/>
      <c r="Y1856" s="191"/>
      <c r="Z1856" s="191"/>
      <c r="AA1856" s="191"/>
      <c r="AB1856" s="191"/>
      <c r="AC1856" s="191"/>
      <c r="AD1856" s="16"/>
      <c r="AE1856" s="16"/>
      <c r="AF1856" s="16"/>
      <c r="AG1856" s="16"/>
      <c r="AH1856" s="16"/>
      <c r="AI1856" s="16"/>
      <c r="AJ1856" s="16"/>
      <c r="AK1856" s="16"/>
      <c r="AL1856" s="16"/>
      <c r="AM1856" s="16"/>
      <c r="AN1856" s="16"/>
      <c r="AO1856" s="16"/>
      <c r="AP1856" s="16"/>
      <c r="AQ1856" s="16"/>
      <c r="AR1856" s="16"/>
      <c r="AS1856" s="16"/>
    </row>
    <row r="1857" spans="18:45" x14ac:dyDescent="0.35">
      <c r="R1857" s="191"/>
      <c r="S1857" s="191"/>
      <c r="T1857" s="193"/>
      <c r="U1857" s="191"/>
      <c r="V1857" s="194"/>
      <c r="W1857" s="191"/>
      <c r="Y1857" s="191"/>
      <c r="Z1857" s="191"/>
      <c r="AA1857" s="191"/>
      <c r="AB1857" s="191"/>
      <c r="AC1857" s="191"/>
      <c r="AD1857" s="16"/>
      <c r="AE1857" s="16"/>
      <c r="AF1857" s="16"/>
      <c r="AG1857" s="16"/>
      <c r="AH1857" s="16"/>
      <c r="AI1857" s="16"/>
      <c r="AJ1857" s="16"/>
      <c r="AK1857" s="16"/>
      <c r="AL1857" s="16"/>
      <c r="AM1857" s="16"/>
      <c r="AN1857" s="16"/>
      <c r="AO1857" s="16"/>
      <c r="AP1857" s="16"/>
      <c r="AQ1857" s="16"/>
      <c r="AR1857" s="16"/>
      <c r="AS1857" s="16"/>
    </row>
    <row r="1858" spans="18:45" x14ac:dyDescent="0.35">
      <c r="R1858" s="191"/>
      <c r="S1858" s="191"/>
      <c r="T1858" s="193"/>
      <c r="U1858" s="191"/>
      <c r="V1858" s="194"/>
      <c r="W1858" s="191"/>
      <c r="Y1858" s="191"/>
      <c r="Z1858" s="191"/>
      <c r="AA1858" s="191"/>
      <c r="AB1858" s="191"/>
      <c r="AC1858" s="191"/>
      <c r="AD1858" s="16"/>
      <c r="AE1858" s="16"/>
      <c r="AF1858" s="16"/>
      <c r="AG1858" s="16"/>
      <c r="AH1858" s="16"/>
      <c r="AI1858" s="16"/>
      <c r="AJ1858" s="16"/>
      <c r="AK1858" s="16"/>
      <c r="AL1858" s="16"/>
      <c r="AM1858" s="16"/>
      <c r="AN1858" s="16"/>
      <c r="AO1858" s="16"/>
      <c r="AP1858" s="16"/>
      <c r="AQ1858" s="16"/>
      <c r="AR1858" s="16"/>
      <c r="AS1858" s="16"/>
    </row>
    <row r="1859" spans="18:45" x14ac:dyDescent="0.35">
      <c r="R1859" s="191"/>
      <c r="S1859" s="191"/>
      <c r="T1859" s="193"/>
      <c r="U1859" s="191"/>
      <c r="V1859" s="194"/>
      <c r="W1859" s="191"/>
      <c r="Y1859" s="191"/>
      <c r="Z1859" s="191"/>
      <c r="AA1859" s="191"/>
      <c r="AB1859" s="191"/>
      <c r="AC1859" s="191"/>
      <c r="AD1859" s="16"/>
      <c r="AE1859" s="16"/>
      <c r="AF1859" s="16"/>
      <c r="AG1859" s="16"/>
      <c r="AH1859" s="16"/>
      <c r="AI1859" s="16"/>
      <c r="AJ1859" s="16"/>
      <c r="AK1859" s="16"/>
      <c r="AL1859" s="16"/>
      <c r="AM1859" s="16"/>
      <c r="AN1859" s="16"/>
      <c r="AO1859" s="16"/>
      <c r="AP1859" s="16"/>
      <c r="AQ1859" s="16"/>
      <c r="AR1859" s="16"/>
      <c r="AS1859" s="16"/>
    </row>
    <row r="1860" spans="18:45" x14ac:dyDescent="0.35">
      <c r="R1860" s="191"/>
      <c r="S1860" s="191"/>
      <c r="T1860" s="193"/>
      <c r="U1860" s="191"/>
      <c r="V1860" s="194"/>
      <c r="W1860" s="191"/>
      <c r="Y1860" s="191"/>
      <c r="Z1860" s="191"/>
      <c r="AA1860" s="191"/>
      <c r="AB1860" s="191"/>
      <c r="AC1860" s="191"/>
      <c r="AD1860" s="16"/>
      <c r="AE1860" s="16"/>
      <c r="AF1860" s="16"/>
      <c r="AG1860" s="16"/>
      <c r="AH1860" s="16"/>
      <c r="AI1860" s="16"/>
      <c r="AJ1860" s="16"/>
      <c r="AK1860" s="16"/>
      <c r="AL1860" s="16"/>
      <c r="AM1860" s="16"/>
      <c r="AN1860" s="16"/>
      <c r="AO1860" s="16"/>
      <c r="AP1860" s="16"/>
      <c r="AQ1860" s="16"/>
      <c r="AR1860" s="16"/>
      <c r="AS1860" s="16"/>
    </row>
    <row r="1861" spans="18:45" x14ac:dyDescent="0.35">
      <c r="R1861" s="191"/>
      <c r="S1861" s="191"/>
      <c r="T1861" s="193"/>
      <c r="U1861" s="191"/>
      <c r="V1861" s="194"/>
      <c r="W1861" s="191"/>
      <c r="Y1861" s="191"/>
      <c r="Z1861" s="191"/>
      <c r="AA1861" s="191"/>
      <c r="AB1861" s="191"/>
      <c r="AC1861" s="191"/>
      <c r="AD1861" s="16"/>
      <c r="AE1861" s="16"/>
      <c r="AF1861" s="16"/>
      <c r="AG1861" s="16"/>
      <c r="AH1861" s="16"/>
      <c r="AI1861" s="16"/>
      <c r="AJ1861" s="16"/>
      <c r="AK1861" s="16"/>
      <c r="AL1861" s="16"/>
      <c r="AM1861" s="16"/>
      <c r="AN1861" s="16"/>
      <c r="AO1861" s="16"/>
      <c r="AP1861" s="16"/>
      <c r="AQ1861" s="16"/>
      <c r="AR1861" s="16"/>
      <c r="AS1861" s="16"/>
    </row>
    <row r="1862" spans="18:45" x14ac:dyDescent="0.35">
      <c r="R1862" s="191"/>
      <c r="S1862" s="191"/>
      <c r="T1862" s="193"/>
      <c r="U1862" s="191"/>
      <c r="V1862" s="194"/>
      <c r="W1862" s="191"/>
      <c r="Y1862" s="191"/>
      <c r="Z1862" s="191"/>
      <c r="AA1862" s="191"/>
      <c r="AB1862" s="191"/>
      <c r="AC1862" s="191"/>
      <c r="AD1862" s="16"/>
      <c r="AE1862" s="16"/>
      <c r="AF1862" s="16"/>
      <c r="AG1862" s="16"/>
      <c r="AH1862" s="16"/>
      <c r="AI1862" s="16"/>
      <c r="AJ1862" s="16"/>
      <c r="AK1862" s="16"/>
      <c r="AL1862" s="16"/>
      <c r="AM1862" s="16"/>
      <c r="AN1862" s="16"/>
      <c r="AO1862" s="16"/>
      <c r="AP1862" s="16"/>
      <c r="AQ1862" s="16"/>
      <c r="AR1862" s="16"/>
      <c r="AS1862" s="16"/>
    </row>
    <row r="1863" spans="18:45" x14ac:dyDescent="0.35">
      <c r="R1863" s="191"/>
      <c r="S1863" s="191"/>
      <c r="T1863" s="193"/>
      <c r="U1863" s="191"/>
      <c r="V1863" s="194"/>
      <c r="W1863" s="191"/>
      <c r="Y1863" s="191"/>
      <c r="Z1863" s="191"/>
      <c r="AA1863" s="191"/>
      <c r="AB1863" s="191"/>
      <c r="AC1863" s="191"/>
      <c r="AD1863" s="16"/>
      <c r="AE1863" s="16"/>
      <c r="AF1863" s="16"/>
      <c r="AG1863" s="16"/>
      <c r="AH1863" s="16"/>
      <c r="AI1863" s="16"/>
      <c r="AJ1863" s="16"/>
      <c r="AK1863" s="16"/>
      <c r="AL1863" s="16"/>
      <c r="AM1863" s="16"/>
      <c r="AN1863" s="16"/>
      <c r="AO1863" s="16"/>
      <c r="AP1863" s="16"/>
      <c r="AQ1863" s="16"/>
      <c r="AR1863" s="16"/>
      <c r="AS1863" s="16"/>
    </row>
    <row r="1864" spans="18:45" x14ac:dyDescent="0.35">
      <c r="R1864" s="191"/>
      <c r="S1864" s="191"/>
      <c r="T1864" s="193"/>
      <c r="U1864" s="191"/>
      <c r="V1864" s="194"/>
      <c r="W1864" s="191"/>
      <c r="Y1864" s="191"/>
      <c r="Z1864" s="191"/>
      <c r="AA1864" s="191"/>
      <c r="AB1864" s="191"/>
      <c r="AC1864" s="191"/>
      <c r="AD1864" s="16"/>
      <c r="AE1864" s="16"/>
      <c r="AF1864" s="16"/>
      <c r="AG1864" s="16"/>
      <c r="AH1864" s="16"/>
      <c r="AI1864" s="16"/>
      <c r="AJ1864" s="16"/>
      <c r="AK1864" s="16"/>
      <c r="AL1864" s="16"/>
      <c r="AM1864" s="16"/>
      <c r="AN1864" s="16"/>
      <c r="AO1864" s="16"/>
      <c r="AP1864" s="16"/>
      <c r="AQ1864" s="16"/>
      <c r="AR1864" s="16"/>
      <c r="AS1864" s="16"/>
    </row>
    <row r="1865" spans="18:45" x14ac:dyDescent="0.35">
      <c r="R1865" s="191"/>
      <c r="S1865" s="191"/>
      <c r="T1865" s="193"/>
      <c r="U1865" s="191"/>
      <c r="V1865" s="194"/>
      <c r="W1865" s="191"/>
      <c r="Y1865" s="191"/>
      <c r="Z1865" s="191"/>
      <c r="AA1865" s="191"/>
      <c r="AB1865" s="191"/>
      <c r="AC1865" s="191"/>
      <c r="AD1865" s="16"/>
      <c r="AE1865" s="16"/>
      <c r="AF1865" s="16"/>
      <c r="AG1865" s="16"/>
      <c r="AH1865" s="16"/>
      <c r="AI1865" s="16"/>
      <c r="AJ1865" s="16"/>
      <c r="AK1865" s="16"/>
      <c r="AL1865" s="16"/>
      <c r="AM1865" s="16"/>
      <c r="AN1865" s="16"/>
      <c r="AO1865" s="16"/>
      <c r="AP1865" s="16"/>
      <c r="AQ1865" s="16"/>
      <c r="AR1865" s="16"/>
      <c r="AS1865" s="16"/>
    </row>
    <row r="1866" spans="18:45" x14ac:dyDescent="0.35">
      <c r="R1866" s="191"/>
      <c r="S1866" s="191"/>
      <c r="T1866" s="193"/>
      <c r="U1866" s="191"/>
      <c r="V1866" s="194"/>
      <c r="W1866" s="191"/>
      <c r="Y1866" s="191"/>
      <c r="Z1866" s="191"/>
      <c r="AA1866" s="191"/>
      <c r="AB1866" s="191"/>
      <c r="AC1866" s="191"/>
      <c r="AD1866" s="16"/>
      <c r="AE1866" s="16"/>
      <c r="AF1866" s="16"/>
      <c r="AG1866" s="16"/>
      <c r="AH1866" s="16"/>
      <c r="AI1866" s="16"/>
      <c r="AJ1866" s="16"/>
      <c r="AK1866" s="16"/>
      <c r="AL1866" s="16"/>
      <c r="AM1866" s="16"/>
      <c r="AN1866" s="16"/>
      <c r="AO1866" s="16"/>
      <c r="AP1866" s="16"/>
      <c r="AQ1866" s="16"/>
      <c r="AR1866" s="16"/>
      <c r="AS1866" s="16"/>
    </row>
    <row r="1867" spans="18:45" x14ac:dyDescent="0.35">
      <c r="R1867" s="191"/>
      <c r="S1867" s="191"/>
      <c r="T1867" s="193"/>
      <c r="U1867" s="191"/>
      <c r="V1867" s="194"/>
      <c r="W1867" s="191"/>
      <c r="Y1867" s="191"/>
      <c r="Z1867" s="191"/>
      <c r="AA1867" s="191"/>
      <c r="AB1867" s="191"/>
      <c r="AC1867" s="191"/>
      <c r="AD1867" s="16"/>
      <c r="AE1867" s="16"/>
      <c r="AF1867" s="16"/>
      <c r="AG1867" s="16"/>
      <c r="AH1867" s="16"/>
      <c r="AI1867" s="16"/>
      <c r="AJ1867" s="16"/>
      <c r="AK1867" s="16"/>
      <c r="AL1867" s="16"/>
      <c r="AM1867" s="16"/>
      <c r="AN1867" s="16"/>
      <c r="AO1867" s="16"/>
      <c r="AP1867" s="16"/>
      <c r="AQ1867" s="16"/>
      <c r="AR1867" s="16"/>
      <c r="AS1867" s="16"/>
    </row>
    <row r="1868" spans="18:45" x14ac:dyDescent="0.35">
      <c r="R1868" s="191"/>
      <c r="S1868" s="191"/>
      <c r="T1868" s="193"/>
      <c r="U1868" s="191"/>
      <c r="V1868" s="194"/>
      <c r="W1868" s="191"/>
      <c r="Y1868" s="191"/>
      <c r="Z1868" s="191"/>
      <c r="AA1868" s="191"/>
      <c r="AB1868" s="191"/>
      <c r="AC1868" s="191"/>
      <c r="AD1868" s="16"/>
      <c r="AE1868" s="16"/>
      <c r="AF1868" s="16"/>
      <c r="AG1868" s="16"/>
      <c r="AH1868" s="16"/>
      <c r="AI1868" s="16"/>
      <c r="AJ1868" s="16"/>
      <c r="AK1868" s="16"/>
      <c r="AL1868" s="16"/>
      <c r="AM1868" s="16"/>
      <c r="AN1868" s="16"/>
      <c r="AO1868" s="16"/>
      <c r="AP1868" s="16"/>
      <c r="AQ1868" s="16"/>
      <c r="AR1868" s="16"/>
      <c r="AS1868" s="16"/>
    </row>
    <row r="1869" spans="18:45" x14ac:dyDescent="0.35">
      <c r="R1869" s="191"/>
      <c r="S1869" s="191"/>
      <c r="T1869" s="193"/>
      <c r="U1869" s="191"/>
      <c r="V1869" s="194"/>
      <c r="W1869" s="191"/>
      <c r="Y1869" s="191"/>
      <c r="Z1869" s="191"/>
      <c r="AA1869" s="191"/>
      <c r="AB1869" s="191"/>
      <c r="AC1869" s="191"/>
      <c r="AD1869" s="16"/>
      <c r="AE1869" s="16"/>
      <c r="AF1869" s="16"/>
      <c r="AG1869" s="16"/>
      <c r="AH1869" s="16"/>
      <c r="AI1869" s="16"/>
      <c r="AJ1869" s="16"/>
      <c r="AK1869" s="16"/>
      <c r="AL1869" s="16"/>
      <c r="AM1869" s="16"/>
      <c r="AN1869" s="16"/>
      <c r="AO1869" s="16"/>
      <c r="AP1869" s="16"/>
      <c r="AQ1869" s="16"/>
      <c r="AR1869" s="16"/>
      <c r="AS1869" s="16"/>
    </row>
    <row r="1870" spans="18:45" x14ac:dyDescent="0.35">
      <c r="R1870" s="191"/>
      <c r="S1870" s="191"/>
      <c r="T1870" s="193"/>
      <c r="U1870" s="191"/>
      <c r="V1870" s="194"/>
      <c r="W1870" s="191"/>
      <c r="Y1870" s="191"/>
      <c r="Z1870" s="191"/>
      <c r="AA1870" s="191"/>
      <c r="AB1870" s="191"/>
      <c r="AC1870" s="191"/>
      <c r="AD1870" s="16"/>
      <c r="AE1870" s="16"/>
      <c r="AF1870" s="16"/>
      <c r="AG1870" s="16"/>
      <c r="AH1870" s="16"/>
      <c r="AI1870" s="16"/>
      <c r="AJ1870" s="16"/>
      <c r="AK1870" s="16"/>
      <c r="AL1870" s="16"/>
      <c r="AM1870" s="16"/>
      <c r="AN1870" s="16"/>
      <c r="AO1870" s="16"/>
      <c r="AP1870" s="16"/>
      <c r="AQ1870" s="16"/>
      <c r="AR1870" s="16"/>
      <c r="AS1870" s="16"/>
    </row>
    <row r="1871" spans="18:45" x14ac:dyDescent="0.35">
      <c r="R1871" s="191"/>
      <c r="S1871" s="191"/>
      <c r="T1871" s="193"/>
      <c r="U1871" s="191"/>
      <c r="V1871" s="194"/>
      <c r="W1871" s="191"/>
      <c r="Y1871" s="191"/>
      <c r="Z1871" s="191"/>
      <c r="AA1871" s="191"/>
      <c r="AB1871" s="191"/>
      <c r="AC1871" s="191"/>
      <c r="AD1871" s="16"/>
      <c r="AE1871" s="16"/>
      <c r="AF1871" s="16"/>
      <c r="AG1871" s="16"/>
      <c r="AH1871" s="16"/>
      <c r="AI1871" s="16"/>
      <c r="AJ1871" s="16"/>
      <c r="AK1871" s="16"/>
      <c r="AL1871" s="16"/>
      <c r="AM1871" s="16"/>
      <c r="AN1871" s="16"/>
      <c r="AO1871" s="16"/>
      <c r="AP1871" s="16"/>
      <c r="AQ1871" s="16"/>
      <c r="AR1871" s="16"/>
      <c r="AS1871" s="16"/>
    </row>
    <row r="1872" spans="18:45" x14ac:dyDescent="0.35">
      <c r="R1872" s="191"/>
      <c r="S1872" s="191"/>
      <c r="T1872" s="193"/>
      <c r="U1872" s="191"/>
      <c r="V1872" s="194"/>
      <c r="W1872" s="191"/>
      <c r="Y1872" s="191"/>
      <c r="Z1872" s="191"/>
      <c r="AA1872" s="191"/>
      <c r="AB1872" s="191"/>
      <c r="AC1872" s="191"/>
      <c r="AD1872" s="16"/>
      <c r="AE1872" s="16"/>
      <c r="AF1872" s="16"/>
      <c r="AG1872" s="16"/>
      <c r="AH1872" s="16"/>
      <c r="AI1872" s="16"/>
      <c r="AJ1872" s="16"/>
      <c r="AK1872" s="16"/>
      <c r="AL1872" s="16"/>
      <c r="AM1872" s="16"/>
      <c r="AN1872" s="16"/>
      <c r="AO1872" s="16"/>
      <c r="AP1872" s="16"/>
      <c r="AQ1872" s="16"/>
      <c r="AR1872" s="16"/>
      <c r="AS1872" s="16"/>
    </row>
    <row r="1873" spans="18:45" x14ac:dyDescent="0.35">
      <c r="R1873" s="191"/>
      <c r="S1873" s="191"/>
      <c r="T1873" s="193"/>
      <c r="U1873" s="191"/>
      <c r="V1873" s="194"/>
      <c r="W1873" s="191"/>
      <c r="Y1873" s="191"/>
      <c r="Z1873" s="191"/>
      <c r="AA1873" s="191"/>
      <c r="AB1873" s="191"/>
      <c r="AC1873" s="191"/>
      <c r="AD1873" s="16"/>
      <c r="AE1873" s="16"/>
      <c r="AF1873" s="16"/>
      <c r="AG1873" s="16"/>
      <c r="AH1873" s="16"/>
      <c r="AI1873" s="16"/>
      <c r="AJ1873" s="16"/>
      <c r="AK1873" s="16"/>
      <c r="AL1873" s="16"/>
      <c r="AM1873" s="16"/>
      <c r="AN1873" s="16"/>
      <c r="AO1873" s="16"/>
      <c r="AP1873" s="16"/>
      <c r="AQ1873" s="16"/>
      <c r="AR1873" s="16"/>
      <c r="AS1873" s="16"/>
    </row>
    <row r="1874" spans="18:45" x14ac:dyDescent="0.35">
      <c r="R1874" s="191"/>
      <c r="S1874" s="191"/>
      <c r="T1874" s="193"/>
      <c r="U1874" s="191"/>
      <c r="V1874" s="194"/>
      <c r="W1874" s="191"/>
      <c r="Y1874" s="191"/>
      <c r="Z1874" s="191"/>
      <c r="AA1874" s="191"/>
      <c r="AB1874" s="191"/>
      <c r="AC1874" s="191"/>
      <c r="AD1874" s="16"/>
      <c r="AE1874" s="16"/>
      <c r="AF1874" s="16"/>
      <c r="AG1874" s="16"/>
      <c r="AH1874" s="16"/>
      <c r="AI1874" s="16"/>
      <c r="AJ1874" s="16"/>
      <c r="AK1874" s="16"/>
      <c r="AL1874" s="16"/>
      <c r="AM1874" s="16"/>
      <c r="AN1874" s="16"/>
      <c r="AO1874" s="16"/>
      <c r="AP1874" s="16"/>
      <c r="AQ1874" s="16"/>
      <c r="AR1874" s="16"/>
      <c r="AS1874" s="16"/>
    </row>
    <row r="1875" spans="18:45" x14ac:dyDescent="0.35">
      <c r="R1875" s="191"/>
      <c r="S1875" s="191"/>
      <c r="T1875" s="193"/>
      <c r="U1875" s="191"/>
      <c r="V1875" s="194"/>
      <c r="W1875" s="191"/>
      <c r="Y1875" s="191"/>
      <c r="Z1875" s="191"/>
      <c r="AA1875" s="191"/>
      <c r="AB1875" s="191"/>
      <c r="AC1875" s="191"/>
      <c r="AD1875" s="16"/>
      <c r="AE1875" s="16"/>
      <c r="AF1875" s="16"/>
      <c r="AG1875" s="16"/>
      <c r="AH1875" s="16"/>
      <c r="AI1875" s="16"/>
      <c r="AJ1875" s="16"/>
      <c r="AK1875" s="16"/>
      <c r="AL1875" s="16"/>
      <c r="AM1875" s="16"/>
      <c r="AN1875" s="16"/>
      <c r="AO1875" s="16"/>
      <c r="AP1875" s="16"/>
      <c r="AQ1875" s="16"/>
      <c r="AR1875" s="16"/>
      <c r="AS1875" s="16"/>
    </row>
    <row r="1876" spans="18:45" x14ac:dyDescent="0.35">
      <c r="R1876" s="191"/>
      <c r="S1876" s="191"/>
      <c r="T1876" s="193"/>
      <c r="U1876" s="191"/>
      <c r="V1876" s="194"/>
      <c r="W1876" s="191"/>
      <c r="Y1876" s="191"/>
      <c r="Z1876" s="191"/>
      <c r="AA1876" s="191"/>
      <c r="AB1876" s="191"/>
      <c r="AC1876" s="191"/>
      <c r="AD1876" s="16"/>
      <c r="AE1876" s="16"/>
      <c r="AF1876" s="16"/>
      <c r="AG1876" s="16"/>
      <c r="AH1876" s="16"/>
      <c r="AI1876" s="16"/>
      <c r="AJ1876" s="16"/>
      <c r="AK1876" s="16"/>
      <c r="AL1876" s="16"/>
      <c r="AM1876" s="16"/>
      <c r="AN1876" s="16"/>
      <c r="AO1876" s="16"/>
      <c r="AP1876" s="16"/>
      <c r="AQ1876" s="16"/>
      <c r="AR1876" s="16"/>
      <c r="AS1876" s="16"/>
    </row>
    <row r="1877" spans="18:45" x14ac:dyDescent="0.35">
      <c r="R1877" s="191"/>
      <c r="S1877" s="191"/>
      <c r="T1877" s="193"/>
      <c r="U1877" s="191"/>
      <c r="V1877" s="194"/>
      <c r="W1877" s="191"/>
      <c r="Y1877" s="191"/>
      <c r="Z1877" s="191"/>
      <c r="AA1877" s="191"/>
      <c r="AB1877" s="191"/>
      <c r="AC1877" s="191"/>
      <c r="AD1877" s="16"/>
      <c r="AE1877" s="16"/>
      <c r="AF1877" s="16"/>
      <c r="AG1877" s="16"/>
      <c r="AH1877" s="16"/>
      <c r="AI1877" s="16"/>
      <c r="AJ1877" s="16"/>
      <c r="AK1877" s="16"/>
      <c r="AL1877" s="16"/>
      <c r="AM1877" s="16"/>
      <c r="AN1877" s="16"/>
      <c r="AO1877" s="16"/>
      <c r="AP1877" s="16"/>
      <c r="AQ1877" s="16"/>
      <c r="AR1877" s="16"/>
      <c r="AS1877" s="16"/>
    </row>
    <row r="1878" spans="18:45" x14ac:dyDescent="0.35">
      <c r="R1878" s="191"/>
      <c r="S1878" s="191"/>
      <c r="T1878" s="193"/>
      <c r="U1878" s="191"/>
      <c r="V1878" s="194"/>
      <c r="W1878" s="191"/>
      <c r="Y1878" s="191"/>
      <c r="Z1878" s="191"/>
      <c r="AA1878" s="191"/>
      <c r="AB1878" s="191"/>
      <c r="AC1878" s="191"/>
      <c r="AD1878" s="16"/>
      <c r="AE1878" s="16"/>
      <c r="AF1878" s="16"/>
      <c r="AG1878" s="16"/>
      <c r="AH1878" s="16"/>
      <c r="AI1878" s="16"/>
      <c r="AJ1878" s="16"/>
      <c r="AK1878" s="16"/>
      <c r="AL1878" s="16"/>
      <c r="AM1878" s="16"/>
      <c r="AN1878" s="16"/>
      <c r="AO1878" s="16"/>
      <c r="AP1878" s="16"/>
      <c r="AQ1878" s="16"/>
      <c r="AR1878" s="16"/>
      <c r="AS1878" s="16"/>
    </row>
    <row r="1879" spans="18:45" x14ac:dyDescent="0.35">
      <c r="R1879" s="191"/>
      <c r="S1879" s="191"/>
      <c r="T1879" s="193"/>
      <c r="U1879" s="191"/>
      <c r="V1879" s="194"/>
      <c r="W1879" s="191"/>
      <c r="Y1879" s="191"/>
      <c r="Z1879" s="191"/>
      <c r="AA1879" s="191"/>
      <c r="AB1879" s="191"/>
      <c r="AC1879" s="191"/>
      <c r="AD1879" s="16"/>
      <c r="AE1879" s="16"/>
      <c r="AF1879" s="16"/>
      <c r="AG1879" s="16"/>
      <c r="AH1879" s="16"/>
      <c r="AI1879" s="16"/>
      <c r="AJ1879" s="16"/>
      <c r="AK1879" s="16"/>
      <c r="AL1879" s="16"/>
      <c r="AM1879" s="16"/>
      <c r="AN1879" s="16"/>
      <c r="AO1879" s="16"/>
      <c r="AP1879" s="16"/>
      <c r="AQ1879" s="16"/>
      <c r="AR1879" s="16"/>
      <c r="AS1879" s="16"/>
    </row>
    <row r="1880" spans="18:45" x14ac:dyDescent="0.35">
      <c r="R1880" s="191"/>
      <c r="S1880" s="191"/>
      <c r="T1880" s="193"/>
      <c r="U1880" s="191"/>
      <c r="V1880" s="194"/>
      <c r="W1880" s="191"/>
      <c r="Y1880" s="191"/>
      <c r="Z1880" s="191"/>
      <c r="AA1880" s="191"/>
      <c r="AB1880" s="191"/>
      <c r="AC1880" s="191"/>
      <c r="AD1880" s="16"/>
      <c r="AE1880" s="16"/>
      <c r="AF1880" s="16"/>
      <c r="AG1880" s="16"/>
      <c r="AH1880" s="16"/>
      <c r="AI1880" s="16"/>
      <c r="AJ1880" s="16"/>
      <c r="AK1880" s="16"/>
      <c r="AL1880" s="16"/>
      <c r="AM1880" s="16"/>
      <c r="AN1880" s="16"/>
      <c r="AO1880" s="16"/>
      <c r="AP1880" s="16"/>
      <c r="AQ1880" s="16"/>
      <c r="AR1880" s="16"/>
      <c r="AS1880" s="16"/>
    </row>
    <row r="1881" spans="18:45" x14ac:dyDescent="0.35">
      <c r="R1881" s="191"/>
      <c r="S1881" s="191"/>
      <c r="T1881" s="193"/>
      <c r="U1881" s="191"/>
      <c r="V1881" s="194"/>
      <c r="W1881" s="191"/>
      <c r="Y1881" s="191"/>
      <c r="Z1881" s="191"/>
      <c r="AA1881" s="191"/>
      <c r="AB1881" s="191"/>
      <c r="AC1881" s="191"/>
      <c r="AD1881" s="16"/>
      <c r="AE1881" s="16"/>
      <c r="AF1881" s="16"/>
      <c r="AG1881" s="16"/>
      <c r="AH1881" s="16"/>
      <c r="AI1881" s="16"/>
      <c r="AJ1881" s="16"/>
      <c r="AK1881" s="16"/>
      <c r="AL1881" s="16"/>
      <c r="AM1881" s="16"/>
      <c r="AN1881" s="16"/>
      <c r="AO1881" s="16"/>
      <c r="AP1881" s="16"/>
      <c r="AQ1881" s="16"/>
      <c r="AR1881" s="16"/>
      <c r="AS1881" s="16"/>
    </row>
    <row r="1882" spans="18:45" x14ac:dyDescent="0.35">
      <c r="R1882" s="191"/>
      <c r="S1882" s="191"/>
      <c r="T1882" s="193"/>
      <c r="U1882" s="191"/>
      <c r="V1882" s="194"/>
      <c r="W1882" s="191"/>
      <c r="Y1882" s="191"/>
      <c r="Z1882" s="191"/>
      <c r="AA1882" s="191"/>
      <c r="AB1882" s="191"/>
      <c r="AC1882" s="191"/>
      <c r="AD1882" s="16"/>
      <c r="AE1882" s="16"/>
      <c r="AF1882" s="16"/>
      <c r="AG1882" s="16"/>
      <c r="AH1882" s="16"/>
      <c r="AI1882" s="16"/>
      <c r="AJ1882" s="16"/>
      <c r="AK1882" s="16"/>
      <c r="AL1882" s="16"/>
      <c r="AM1882" s="16"/>
      <c r="AN1882" s="16"/>
      <c r="AO1882" s="16"/>
      <c r="AP1882" s="16"/>
      <c r="AQ1882" s="16"/>
      <c r="AR1882" s="16"/>
      <c r="AS1882" s="16"/>
    </row>
    <row r="1883" spans="18:45" x14ac:dyDescent="0.35">
      <c r="R1883" s="191"/>
      <c r="S1883" s="191"/>
      <c r="T1883" s="193"/>
      <c r="U1883" s="191"/>
      <c r="V1883" s="194"/>
      <c r="W1883" s="191"/>
      <c r="Y1883" s="191"/>
      <c r="Z1883" s="191"/>
      <c r="AA1883" s="191"/>
      <c r="AB1883" s="191"/>
      <c r="AC1883" s="191"/>
      <c r="AD1883" s="16"/>
      <c r="AE1883" s="16"/>
      <c r="AF1883" s="16"/>
      <c r="AG1883" s="16"/>
      <c r="AH1883" s="16"/>
      <c r="AI1883" s="16"/>
      <c r="AJ1883" s="16"/>
      <c r="AK1883" s="16"/>
      <c r="AL1883" s="16"/>
      <c r="AM1883" s="16"/>
      <c r="AN1883" s="16"/>
      <c r="AO1883" s="16"/>
      <c r="AP1883" s="16"/>
      <c r="AQ1883" s="16"/>
      <c r="AR1883" s="16"/>
      <c r="AS1883" s="16"/>
    </row>
    <row r="1884" spans="18:45" x14ac:dyDescent="0.35">
      <c r="R1884" s="191"/>
      <c r="S1884" s="191"/>
      <c r="T1884" s="193"/>
      <c r="U1884" s="191"/>
      <c r="V1884" s="194"/>
      <c r="W1884" s="191"/>
      <c r="Y1884" s="191"/>
      <c r="Z1884" s="191"/>
      <c r="AA1884" s="191"/>
      <c r="AB1884" s="191"/>
      <c r="AC1884" s="191"/>
      <c r="AD1884" s="16"/>
      <c r="AE1884" s="16"/>
      <c r="AF1884" s="16"/>
      <c r="AG1884" s="16"/>
      <c r="AH1884" s="16"/>
      <c r="AI1884" s="16"/>
      <c r="AJ1884" s="16"/>
      <c r="AK1884" s="16"/>
      <c r="AL1884" s="16"/>
      <c r="AM1884" s="16"/>
      <c r="AN1884" s="16"/>
      <c r="AO1884" s="16"/>
      <c r="AP1884" s="16"/>
      <c r="AQ1884" s="16"/>
      <c r="AR1884" s="16"/>
      <c r="AS1884" s="16"/>
    </row>
    <row r="1885" spans="18:45" x14ac:dyDescent="0.35">
      <c r="R1885" s="191"/>
      <c r="S1885" s="191"/>
      <c r="T1885" s="193"/>
      <c r="U1885" s="191"/>
      <c r="V1885" s="194"/>
      <c r="W1885" s="191"/>
      <c r="Y1885" s="191"/>
      <c r="Z1885" s="191"/>
      <c r="AA1885" s="191"/>
      <c r="AB1885" s="191"/>
      <c r="AC1885" s="191"/>
      <c r="AD1885" s="16"/>
      <c r="AE1885" s="16"/>
      <c r="AF1885" s="16"/>
      <c r="AG1885" s="16"/>
      <c r="AH1885" s="16"/>
      <c r="AI1885" s="16"/>
      <c r="AJ1885" s="16"/>
      <c r="AK1885" s="16"/>
      <c r="AL1885" s="16"/>
      <c r="AM1885" s="16"/>
      <c r="AN1885" s="16"/>
      <c r="AO1885" s="16"/>
      <c r="AP1885" s="16"/>
      <c r="AQ1885" s="16"/>
      <c r="AR1885" s="16"/>
      <c r="AS1885" s="16"/>
    </row>
    <row r="1886" spans="18:45" x14ac:dyDescent="0.35">
      <c r="R1886" s="191"/>
      <c r="S1886" s="191"/>
      <c r="T1886" s="193"/>
      <c r="U1886" s="191"/>
      <c r="V1886" s="194"/>
      <c r="W1886" s="191"/>
      <c r="Y1886" s="191"/>
      <c r="Z1886" s="191"/>
      <c r="AA1886" s="191"/>
      <c r="AB1886" s="191"/>
      <c r="AC1886" s="191"/>
      <c r="AD1886" s="16"/>
      <c r="AE1886" s="16"/>
      <c r="AF1886" s="16"/>
      <c r="AG1886" s="16"/>
      <c r="AH1886" s="16"/>
      <c r="AI1886" s="16"/>
      <c r="AJ1886" s="16"/>
      <c r="AK1886" s="16"/>
      <c r="AL1886" s="16"/>
      <c r="AM1886" s="16"/>
      <c r="AN1886" s="16"/>
      <c r="AO1886" s="16"/>
      <c r="AP1886" s="16"/>
      <c r="AQ1886" s="16"/>
      <c r="AR1886" s="16"/>
      <c r="AS1886" s="16"/>
    </row>
    <row r="1887" spans="18:45" x14ac:dyDescent="0.35">
      <c r="R1887" s="191"/>
      <c r="S1887" s="191"/>
      <c r="T1887" s="193"/>
      <c r="U1887" s="191"/>
      <c r="V1887" s="194"/>
      <c r="W1887" s="191"/>
      <c r="Y1887" s="191"/>
      <c r="Z1887" s="191"/>
      <c r="AA1887" s="191"/>
      <c r="AB1887" s="191"/>
      <c r="AC1887" s="191"/>
      <c r="AD1887" s="16"/>
      <c r="AE1887" s="16"/>
      <c r="AF1887" s="16"/>
      <c r="AG1887" s="16"/>
      <c r="AH1887" s="16"/>
      <c r="AI1887" s="16"/>
      <c r="AJ1887" s="16"/>
      <c r="AK1887" s="16"/>
      <c r="AL1887" s="16"/>
      <c r="AM1887" s="16"/>
      <c r="AN1887" s="16"/>
      <c r="AO1887" s="16"/>
      <c r="AP1887" s="16"/>
      <c r="AQ1887" s="16"/>
      <c r="AR1887" s="16"/>
      <c r="AS1887" s="16"/>
    </row>
    <row r="1888" spans="18:45" x14ac:dyDescent="0.35">
      <c r="R1888" s="191"/>
      <c r="S1888" s="191"/>
      <c r="T1888" s="193"/>
      <c r="U1888" s="191"/>
      <c r="V1888" s="194"/>
      <c r="W1888" s="191"/>
      <c r="Y1888" s="191"/>
      <c r="Z1888" s="191"/>
      <c r="AA1888" s="191"/>
      <c r="AB1888" s="191"/>
      <c r="AC1888" s="191"/>
      <c r="AD1888" s="16"/>
      <c r="AE1888" s="16"/>
      <c r="AF1888" s="16"/>
      <c r="AG1888" s="16"/>
      <c r="AH1888" s="16"/>
      <c r="AI1888" s="16"/>
      <c r="AJ1888" s="16"/>
      <c r="AK1888" s="16"/>
      <c r="AL1888" s="16"/>
      <c r="AM1888" s="16"/>
      <c r="AN1888" s="16"/>
      <c r="AO1888" s="16"/>
      <c r="AP1888" s="16"/>
      <c r="AQ1888" s="16"/>
      <c r="AR1888" s="16"/>
      <c r="AS1888" s="16"/>
    </row>
    <row r="1889" spans="18:45" x14ac:dyDescent="0.35">
      <c r="R1889" s="191"/>
      <c r="S1889" s="191"/>
      <c r="T1889" s="193"/>
      <c r="U1889" s="191"/>
      <c r="V1889" s="194"/>
      <c r="W1889" s="191"/>
      <c r="Y1889" s="191"/>
      <c r="Z1889" s="191"/>
      <c r="AA1889" s="191"/>
      <c r="AB1889" s="191"/>
      <c r="AC1889" s="191"/>
      <c r="AD1889" s="16"/>
      <c r="AE1889" s="16"/>
      <c r="AF1889" s="16"/>
      <c r="AG1889" s="16"/>
      <c r="AH1889" s="16"/>
      <c r="AI1889" s="16"/>
      <c r="AJ1889" s="16"/>
      <c r="AK1889" s="16"/>
      <c r="AL1889" s="16"/>
      <c r="AM1889" s="16"/>
      <c r="AN1889" s="16"/>
      <c r="AO1889" s="16"/>
      <c r="AP1889" s="16"/>
      <c r="AQ1889" s="16"/>
      <c r="AR1889" s="16"/>
      <c r="AS1889" s="16"/>
    </row>
    <row r="1890" spans="18:45" x14ac:dyDescent="0.35">
      <c r="R1890" s="191"/>
      <c r="S1890" s="191"/>
      <c r="T1890" s="193"/>
      <c r="U1890" s="191"/>
      <c r="V1890" s="194"/>
      <c r="W1890" s="191"/>
      <c r="Y1890" s="191"/>
      <c r="Z1890" s="191"/>
      <c r="AA1890" s="191"/>
      <c r="AB1890" s="191"/>
      <c r="AC1890" s="191"/>
      <c r="AD1890" s="16"/>
      <c r="AE1890" s="16"/>
      <c r="AF1890" s="16"/>
      <c r="AG1890" s="16"/>
      <c r="AH1890" s="16"/>
      <c r="AI1890" s="16"/>
      <c r="AJ1890" s="16"/>
      <c r="AK1890" s="16"/>
      <c r="AL1890" s="16"/>
      <c r="AM1890" s="16"/>
      <c r="AN1890" s="16"/>
      <c r="AO1890" s="16"/>
      <c r="AP1890" s="16"/>
      <c r="AQ1890" s="16"/>
      <c r="AR1890" s="16"/>
      <c r="AS1890" s="16"/>
    </row>
    <row r="1891" spans="18:45" x14ac:dyDescent="0.35">
      <c r="R1891" s="191"/>
      <c r="S1891" s="191"/>
      <c r="T1891" s="193"/>
      <c r="U1891" s="191"/>
      <c r="V1891" s="194"/>
      <c r="W1891" s="191"/>
      <c r="Y1891" s="191"/>
      <c r="Z1891" s="191"/>
      <c r="AA1891" s="191"/>
      <c r="AB1891" s="191"/>
      <c r="AC1891" s="191"/>
      <c r="AD1891" s="16"/>
      <c r="AE1891" s="16"/>
      <c r="AF1891" s="16"/>
      <c r="AG1891" s="16"/>
      <c r="AH1891" s="16"/>
      <c r="AI1891" s="16"/>
      <c r="AJ1891" s="16"/>
      <c r="AK1891" s="16"/>
      <c r="AL1891" s="16"/>
      <c r="AM1891" s="16"/>
      <c r="AN1891" s="16"/>
      <c r="AO1891" s="16"/>
      <c r="AP1891" s="16"/>
      <c r="AQ1891" s="16"/>
      <c r="AR1891" s="16"/>
      <c r="AS1891" s="16"/>
    </row>
    <row r="1892" spans="18:45" x14ac:dyDescent="0.35">
      <c r="R1892" s="191"/>
      <c r="S1892" s="191"/>
      <c r="T1892" s="193"/>
      <c r="U1892" s="191"/>
      <c r="V1892" s="194"/>
      <c r="W1892" s="191"/>
      <c r="Y1892" s="191"/>
      <c r="Z1892" s="191"/>
      <c r="AA1892" s="191"/>
      <c r="AB1892" s="191"/>
      <c r="AC1892" s="191"/>
      <c r="AD1892" s="16"/>
      <c r="AE1892" s="16"/>
      <c r="AF1892" s="16"/>
      <c r="AG1892" s="16"/>
      <c r="AH1892" s="16"/>
      <c r="AI1892" s="16"/>
      <c r="AJ1892" s="16"/>
      <c r="AK1892" s="16"/>
      <c r="AL1892" s="16"/>
      <c r="AM1892" s="16"/>
      <c r="AN1892" s="16"/>
      <c r="AO1892" s="16"/>
      <c r="AP1892" s="16"/>
      <c r="AQ1892" s="16"/>
      <c r="AR1892" s="16"/>
      <c r="AS1892" s="16"/>
    </row>
    <row r="1893" spans="18:45" x14ac:dyDescent="0.35">
      <c r="R1893" s="191"/>
      <c r="S1893" s="191"/>
      <c r="T1893" s="193"/>
      <c r="U1893" s="191"/>
      <c r="V1893" s="194"/>
      <c r="W1893" s="191"/>
      <c r="Y1893" s="191"/>
      <c r="Z1893" s="191"/>
      <c r="AA1893" s="191"/>
      <c r="AB1893" s="191"/>
      <c r="AC1893" s="191"/>
      <c r="AD1893" s="16"/>
      <c r="AE1893" s="16"/>
      <c r="AF1893" s="16"/>
      <c r="AG1893" s="16"/>
      <c r="AH1893" s="16"/>
      <c r="AI1893" s="16"/>
      <c r="AJ1893" s="16"/>
      <c r="AK1893" s="16"/>
      <c r="AL1893" s="16"/>
      <c r="AM1893" s="16"/>
      <c r="AN1893" s="16"/>
      <c r="AO1893" s="16"/>
      <c r="AP1893" s="16"/>
      <c r="AQ1893" s="16"/>
      <c r="AR1893" s="16"/>
      <c r="AS1893" s="16"/>
    </row>
    <row r="1894" spans="18:45" x14ac:dyDescent="0.35">
      <c r="R1894" s="191"/>
      <c r="S1894" s="191"/>
      <c r="T1894" s="193"/>
      <c r="U1894" s="191"/>
      <c r="V1894" s="194"/>
      <c r="W1894" s="191"/>
      <c r="Y1894" s="191"/>
      <c r="Z1894" s="191"/>
      <c r="AA1894" s="191"/>
      <c r="AB1894" s="191"/>
      <c r="AC1894" s="191"/>
      <c r="AD1894" s="16"/>
      <c r="AE1894" s="16"/>
      <c r="AF1894" s="16"/>
      <c r="AG1894" s="16"/>
      <c r="AH1894" s="16"/>
      <c r="AI1894" s="16"/>
      <c r="AJ1894" s="16"/>
      <c r="AK1894" s="16"/>
      <c r="AL1894" s="16"/>
      <c r="AM1894" s="16"/>
      <c r="AN1894" s="16"/>
      <c r="AO1894" s="16"/>
      <c r="AP1894" s="16"/>
      <c r="AQ1894" s="16"/>
      <c r="AR1894" s="16"/>
      <c r="AS1894" s="16"/>
    </row>
    <row r="1895" spans="18:45" x14ac:dyDescent="0.35">
      <c r="R1895" s="191"/>
      <c r="S1895" s="191"/>
      <c r="T1895" s="193"/>
      <c r="U1895" s="191"/>
      <c r="V1895" s="194"/>
      <c r="W1895" s="191"/>
      <c r="Y1895" s="191"/>
      <c r="Z1895" s="191"/>
      <c r="AA1895" s="191"/>
      <c r="AB1895" s="191"/>
      <c r="AC1895" s="191"/>
      <c r="AD1895" s="16"/>
      <c r="AE1895" s="16"/>
      <c r="AF1895" s="16"/>
      <c r="AG1895" s="16"/>
      <c r="AH1895" s="16"/>
      <c r="AI1895" s="16"/>
      <c r="AJ1895" s="16"/>
      <c r="AK1895" s="16"/>
      <c r="AL1895" s="16"/>
      <c r="AM1895" s="16"/>
      <c r="AN1895" s="16"/>
      <c r="AO1895" s="16"/>
      <c r="AP1895" s="16"/>
      <c r="AQ1895" s="16"/>
      <c r="AR1895" s="16"/>
      <c r="AS1895" s="16"/>
    </row>
    <row r="1896" spans="18:45" x14ac:dyDescent="0.35">
      <c r="R1896" s="191"/>
      <c r="S1896" s="191"/>
      <c r="T1896" s="193"/>
      <c r="U1896" s="191"/>
      <c r="V1896" s="194"/>
      <c r="W1896" s="191"/>
      <c r="Y1896" s="191"/>
      <c r="Z1896" s="191"/>
      <c r="AA1896" s="191"/>
      <c r="AB1896" s="191"/>
      <c r="AC1896" s="191"/>
      <c r="AD1896" s="16"/>
      <c r="AE1896" s="16"/>
      <c r="AF1896" s="16"/>
      <c r="AG1896" s="16"/>
      <c r="AH1896" s="16"/>
      <c r="AI1896" s="16"/>
      <c r="AJ1896" s="16"/>
      <c r="AK1896" s="16"/>
      <c r="AL1896" s="16"/>
      <c r="AM1896" s="16"/>
      <c r="AN1896" s="16"/>
      <c r="AO1896" s="16"/>
      <c r="AP1896" s="16"/>
      <c r="AQ1896" s="16"/>
      <c r="AR1896" s="16"/>
      <c r="AS1896" s="16"/>
    </row>
    <row r="1897" spans="18:45" x14ac:dyDescent="0.35">
      <c r="R1897" s="191"/>
      <c r="S1897" s="191"/>
      <c r="T1897" s="193"/>
      <c r="U1897" s="191"/>
      <c r="V1897" s="194"/>
      <c r="W1897" s="191"/>
      <c r="Y1897" s="191"/>
      <c r="Z1897" s="191"/>
      <c r="AA1897" s="191"/>
      <c r="AB1897" s="191"/>
      <c r="AC1897" s="191"/>
      <c r="AD1897" s="16"/>
      <c r="AE1897" s="16"/>
      <c r="AF1897" s="16"/>
      <c r="AG1897" s="16"/>
      <c r="AH1897" s="16"/>
      <c r="AI1897" s="16"/>
      <c r="AJ1897" s="16"/>
      <c r="AK1897" s="16"/>
      <c r="AL1897" s="16"/>
      <c r="AM1897" s="16"/>
      <c r="AN1897" s="16"/>
      <c r="AO1897" s="16"/>
      <c r="AP1897" s="16"/>
      <c r="AQ1897" s="16"/>
      <c r="AR1897" s="16"/>
      <c r="AS1897" s="16"/>
    </row>
    <row r="1898" spans="18:45" x14ac:dyDescent="0.35">
      <c r="R1898" s="191"/>
      <c r="S1898" s="191"/>
      <c r="T1898" s="193"/>
      <c r="U1898" s="191"/>
      <c r="V1898" s="194"/>
      <c r="W1898" s="191"/>
      <c r="Y1898" s="191"/>
      <c r="Z1898" s="191"/>
      <c r="AA1898" s="191"/>
      <c r="AB1898" s="191"/>
      <c r="AC1898" s="191"/>
      <c r="AD1898" s="16"/>
      <c r="AE1898" s="16"/>
      <c r="AF1898" s="16"/>
      <c r="AG1898" s="16"/>
      <c r="AH1898" s="16"/>
      <c r="AI1898" s="16"/>
      <c r="AJ1898" s="16"/>
      <c r="AK1898" s="16"/>
      <c r="AL1898" s="16"/>
      <c r="AM1898" s="16"/>
      <c r="AN1898" s="16"/>
      <c r="AO1898" s="16"/>
      <c r="AP1898" s="16"/>
      <c r="AQ1898" s="16"/>
      <c r="AR1898" s="16"/>
      <c r="AS1898" s="16"/>
    </row>
    <row r="1899" spans="18:45" x14ac:dyDescent="0.35">
      <c r="R1899" s="191"/>
      <c r="S1899" s="191"/>
      <c r="T1899" s="193"/>
      <c r="U1899" s="191"/>
      <c r="V1899" s="194"/>
      <c r="W1899" s="191"/>
      <c r="Y1899" s="191"/>
      <c r="Z1899" s="191"/>
      <c r="AA1899" s="191"/>
      <c r="AB1899" s="191"/>
      <c r="AC1899" s="191"/>
      <c r="AD1899" s="16"/>
      <c r="AE1899" s="16"/>
      <c r="AF1899" s="16"/>
      <c r="AG1899" s="16"/>
      <c r="AH1899" s="16"/>
      <c r="AI1899" s="16"/>
      <c r="AJ1899" s="16"/>
      <c r="AK1899" s="16"/>
      <c r="AL1899" s="16"/>
      <c r="AM1899" s="16"/>
      <c r="AN1899" s="16"/>
      <c r="AO1899" s="16"/>
      <c r="AP1899" s="16"/>
      <c r="AQ1899" s="16"/>
      <c r="AR1899" s="16"/>
      <c r="AS1899" s="16"/>
    </row>
    <row r="1900" spans="18:45" x14ac:dyDescent="0.35">
      <c r="R1900" s="191"/>
      <c r="S1900" s="191"/>
      <c r="T1900" s="193"/>
      <c r="U1900" s="191"/>
      <c r="V1900" s="194"/>
      <c r="W1900" s="191"/>
      <c r="Y1900" s="191"/>
      <c r="Z1900" s="191"/>
      <c r="AA1900" s="191"/>
      <c r="AB1900" s="191"/>
      <c r="AC1900" s="191"/>
      <c r="AD1900" s="16"/>
      <c r="AE1900" s="16"/>
      <c r="AF1900" s="16"/>
      <c r="AG1900" s="16"/>
      <c r="AH1900" s="16"/>
      <c r="AI1900" s="16"/>
      <c r="AJ1900" s="16"/>
      <c r="AK1900" s="16"/>
      <c r="AL1900" s="16"/>
      <c r="AM1900" s="16"/>
      <c r="AN1900" s="16"/>
      <c r="AO1900" s="16"/>
      <c r="AP1900" s="16"/>
      <c r="AQ1900" s="16"/>
      <c r="AR1900" s="16"/>
      <c r="AS1900" s="16"/>
    </row>
    <row r="1901" spans="18:45" x14ac:dyDescent="0.35">
      <c r="R1901" s="191"/>
      <c r="S1901" s="191"/>
      <c r="T1901" s="193"/>
      <c r="U1901" s="191"/>
      <c r="V1901" s="194"/>
      <c r="W1901" s="191"/>
      <c r="Y1901" s="191"/>
      <c r="Z1901" s="191"/>
      <c r="AA1901" s="191"/>
      <c r="AB1901" s="191"/>
      <c r="AC1901" s="191"/>
      <c r="AD1901" s="16"/>
      <c r="AE1901" s="16"/>
      <c r="AF1901" s="16"/>
      <c r="AG1901" s="16"/>
      <c r="AH1901" s="16"/>
      <c r="AI1901" s="16"/>
      <c r="AJ1901" s="16"/>
      <c r="AK1901" s="16"/>
      <c r="AL1901" s="16"/>
      <c r="AM1901" s="16"/>
      <c r="AN1901" s="16"/>
      <c r="AO1901" s="16"/>
      <c r="AP1901" s="16"/>
      <c r="AQ1901" s="16"/>
      <c r="AR1901" s="16"/>
      <c r="AS1901" s="16"/>
    </row>
    <row r="1902" spans="18:45" x14ac:dyDescent="0.35">
      <c r="R1902" s="191"/>
      <c r="S1902" s="191"/>
      <c r="T1902" s="193"/>
      <c r="U1902" s="191"/>
      <c r="V1902" s="194"/>
      <c r="W1902" s="191"/>
      <c r="Y1902" s="191"/>
      <c r="Z1902" s="191"/>
      <c r="AA1902" s="191"/>
      <c r="AB1902" s="191"/>
      <c r="AC1902" s="191"/>
      <c r="AD1902" s="16"/>
      <c r="AE1902" s="16"/>
      <c r="AF1902" s="16"/>
      <c r="AG1902" s="16"/>
      <c r="AH1902" s="16"/>
      <c r="AI1902" s="16"/>
      <c r="AJ1902" s="16"/>
      <c r="AK1902" s="16"/>
      <c r="AL1902" s="16"/>
      <c r="AM1902" s="16"/>
      <c r="AN1902" s="16"/>
      <c r="AO1902" s="16"/>
      <c r="AP1902" s="16"/>
      <c r="AQ1902" s="16"/>
      <c r="AR1902" s="16"/>
      <c r="AS1902" s="16"/>
    </row>
    <row r="1903" spans="18:45" x14ac:dyDescent="0.35">
      <c r="R1903" s="191"/>
      <c r="S1903" s="191"/>
      <c r="T1903" s="193"/>
      <c r="U1903" s="191"/>
      <c r="V1903" s="194"/>
      <c r="W1903" s="191"/>
      <c r="Y1903" s="191"/>
      <c r="Z1903" s="191"/>
      <c r="AA1903" s="191"/>
      <c r="AB1903" s="191"/>
      <c r="AC1903" s="191"/>
      <c r="AD1903" s="16"/>
      <c r="AE1903" s="16"/>
      <c r="AF1903" s="16"/>
      <c r="AG1903" s="16"/>
      <c r="AH1903" s="16"/>
      <c r="AI1903" s="16"/>
      <c r="AJ1903" s="16"/>
      <c r="AK1903" s="16"/>
      <c r="AL1903" s="16"/>
      <c r="AM1903" s="16"/>
      <c r="AN1903" s="16"/>
      <c r="AO1903" s="16"/>
      <c r="AP1903" s="16"/>
      <c r="AQ1903" s="16"/>
      <c r="AR1903" s="16"/>
      <c r="AS1903" s="16"/>
    </row>
    <row r="1904" spans="18:45" x14ac:dyDescent="0.35">
      <c r="R1904" s="191"/>
      <c r="S1904" s="191"/>
      <c r="T1904" s="193"/>
      <c r="U1904" s="191"/>
      <c r="V1904" s="194"/>
      <c r="W1904" s="191"/>
      <c r="Y1904" s="191"/>
      <c r="Z1904" s="191"/>
      <c r="AA1904" s="191"/>
      <c r="AB1904" s="191"/>
      <c r="AC1904" s="191"/>
      <c r="AD1904" s="16"/>
      <c r="AE1904" s="16"/>
      <c r="AF1904" s="16"/>
      <c r="AG1904" s="16"/>
      <c r="AH1904" s="16"/>
      <c r="AI1904" s="16"/>
      <c r="AJ1904" s="16"/>
      <c r="AK1904" s="16"/>
      <c r="AL1904" s="16"/>
      <c r="AM1904" s="16"/>
      <c r="AN1904" s="16"/>
      <c r="AO1904" s="16"/>
      <c r="AP1904" s="16"/>
      <c r="AQ1904" s="16"/>
      <c r="AR1904" s="16"/>
      <c r="AS1904" s="16"/>
    </row>
    <row r="1905" spans="18:45" x14ac:dyDescent="0.35">
      <c r="R1905" s="191"/>
      <c r="S1905" s="191"/>
      <c r="T1905" s="193"/>
      <c r="U1905" s="191"/>
      <c r="V1905" s="194"/>
      <c r="W1905" s="191"/>
      <c r="Y1905" s="191"/>
      <c r="Z1905" s="191"/>
      <c r="AA1905" s="191"/>
      <c r="AB1905" s="191"/>
      <c r="AC1905" s="191"/>
      <c r="AD1905" s="16"/>
      <c r="AE1905" s="16"/>
      <c r="AF1905" s="16"/>
      <c r="AG1905" s="16"/>
      <c r="AH1905" s="16"/>
      <c r="AI1905" s="16"/>
      <c r="AJ1905" s="16"/>
      <c r="AK1905" s="16"/>
      <c r="AL1905" s="16"/>
      <c r="AM1905" s="16"/>
      <c r="AN1905" s="16"/>
      <c r="AO1905" s="16"/>
      <c r="AP1905" s="16"/>
      <c r="AQ1905" s="16"/>
      <c r="AR1905" s="16"/>
      <c r="AS1905" s="16"/>
    </row>
    <row r="1906" spans="18:45" x14ac:dyDescent="0.35">
      <c r="R1906" s="191"/>
      <c r="S1906" s="191"/>
      <c r="T1906" s="193"/>
      <c r="U1906" s="191"/>
      <c r="V1906" s="194"/>
      <c r="W1906" s="191"/>
      <c r="Y1906" s="191"/>
      <c r="Z1906" s="191"/>
      <c r="AA1906" s="191"/>
      <c r="AB1906" s="191"/>
      <c r="AC1906" s="191"/>
      <c r="AD1906" s="16"/>
      <c r="AE1906" s="16"/>
      <c r="AF1906" s="16"/>
      <c r="AG1906" s="16"/>
      <c r="AH1906" s="16"/>
      <c r="AI1906" s="16"/>
      <c r="AJ1906" s="16"/>
      <c r="AK1906" s="16"/>
      <c r="AL1906" s="16"/>
      <c r="AM1906" s="16"/>
      <c r="AN1906" s="16"/>
      <c r="AO1906" s="16"/>
      <c r="AP1906" s="16"/>
      <c r="AQ1906" s="16"/>
      <c r="AR1906" s="16"/>
      <c r="AS1906" s="16"/>
    </row>
    <row r="1907" spans="18:45" x14ac:dyDescent="0.35">
      <c r="R1907" s="191"/>
      <c r="S1907" s="191"/>
      <c r="T1907" s="193"/>
      <c r="U1907" s="191"/>
      <c r="V1907" s="194"/>
      <c r="W1907" s="191"/>
      <c r="Y1907" s="191"/>
      <c r="Z1907" s="191"/>
      <c r="AA1907" s="191"/>
      <c r="AB1907" s="191"/>
      <c r="AC1907" s="191"/>
      <c r="AD1907" s="16"/>
      <c r="AE1907" s="16"/>
      <c r="AF1907" s="16"/>
      <c r="AG1907" s="16"/>
      <c r="AH1907" s="16"/>
      <c r="AI1907" s="16"/>
      <c r="AJ1907" s="16"/>
      <c r="AK1907" s="16"/>
      <c r="AL1907" s="16"/>
      <c r="AM1907" s="16"/>
      <c r="AN1907" s="16"/>
      <c r="AO1907" s="16"/>
      <c r="AP1907" s="16"/>
      <c r="AQ1907" s="16"/>
      <c r="AR1907" s="16"/>
      <c r="AS1907" s="16"/>
    </row>
    <row r="1908" spans="18:45" x14ac:dyDescent="0.35">
      <c r="R1908" s="191"/>
      <c r="S1908" s="191"/>
      <c r="T1908" s="193"/>
      <c r="U1908" s="191"/>
      <c r="V1908" s="194"/>
      <c r="W1908" s="191"/>
      <c r="Y1908" s="191"/>
      <c r="Z1908" s="191"/>
      <c r="AA1908" s="191"/>
      <c r="AB1908" s="191"/>
      <c r="AC1908" s="191"/>
      <c r="AD1908" s="16"/>
      <c r="AE1908" s="16"/>
      <c r="AF1908" s="16"/>
      <c r="AG1908" s="16"/>
      <c r="AH1908" s="16"/>
      <c r="AI1908" s="16"/>
      <c r="AJ1908" s="16"/>
      <c r="AK1908" s="16"/>
      <c r="AL1908" s="16"/>
      <c r="AM1908" s="16"/>
      <c r="AN1908" s="16"/>
      <c r="AO1908" s="16"/>
      <c r="AP1908" s="16"/>
      <c r="AQ1908" s="16"/>
      <c r="AR1908" s="16"/>
      <c r="AS1908" s="16"/>
    </row>
    <row r="1909" spans="18:45" x14ac:dyDescent="0.35">
      <c r="R1909" s="191"/>
      <c r="S1909" s="191"/>
      <c r="T1909" s="193"/>
      <c r="U1909" s="191"/>
      <c r="V1909" s="194"/>
      <c r="W1909" s="191"/>
      <c r="Y1909" s="191"/>
      <c r="Z1909" s="191"/>
      <c r="AA1909" s="191"/>
      <c r="AB1909" s="191"/>
      <c r="AC1909" s="191"/>
      <c r="AD1909" s="16"/>
      <c r="AE1909" s="16"/>
      <c r="AF1909" s="16"/>
      <c r="AG1909" s="16"/>
      <c r="AH1909" s="16"/>
      <c r="AI1909" s="16"/>
      <c r="AJ1909" s="16"/>
      <c r="AK1909" s="16"/>
      <c r="AL1909" s="16"/>
      <c r="AM1909" s="16"/>
      <c r="AN1909" s="16"/>
      <c r="AO1909" s="16"/>
      <c r="AP1909" s="16"/>
      <c r="AQ1909" s="16"/>
      <c r="AR1909" s="16"/>
      <c r="AS1909" s="16"/>
    </row>
    <row r="1910" spans="18:45" x14ac:dyDescent="0.35">
      <c r="R1910" s="191"/>
      <c r="S1910" s="191"/>
      <c r="T1910" s="193"/>
      <c r="U1910" s="191"/>
      <c r="V1910" s="194"/>
      <c r="W1910" s="191"/>
      <c r="Y1910" s="191"/>
      <c r="Z1910" s="191"/>
      <c r="AA1910" s="191"/>
      <c r="AB1910" s="191"/>
      <c r="AC1910" s="191"/>
      <c r="AD1910" s="16"/>
      <c r="AE1910" s="16"/>
      <c r="AF1910" s="16"/>
      <c r="AG1910" s="16"/>
      <c r="AH1910" s="16"/>
      <c r="AI1910" s="16"/>
      <c r="AJ1910" s="16"/>
      <c r="AK1910" s="16"/>
      <c r="AL1910" s="16"/>
      <c r="AM1910" s="16"/>
      <c r="AN1910" s="16"/>
      <c r="AO1910" s="16"/>
      <c r="AP1910" s="16"/>
      <c r="AQ1910" s="16"/>
      <c r="AR1910" s="16"/>
      <c r="AS1910" s="16"/>
    </row>
    <row r="1911" spans="18:45" x14ac:dyDescent="0.35">
      <c r="R1911" s="191"/>
      <c r="S1911" s="191"/>
      <c r="T1911" s="193"/>
      <c r="U1911" s="191"/>
      <c r="V1911" s="194"/>
      <c r="W1911" s="191"/>
      <c r="Y1911" s="191"/>
      <c r="Z1911" s="191"/>
      <c r="AA1911" s="191"/>
      <c r="AB1911" s="191"/>
      <c r="AC1911" s="191"/>
      <c r="AD1911" s="16"/>
      <c r="AE1911" s="16"/>
      <c r="AF1911" s="16"/>
      <c r="AG1911" s="16"/>
      <c r="AH1911" s="16"/>
      <c r="AI1911" s="16"/>
      <c r="AJ1911" s="16"/>
      <c r="AK1911" s="16"/>
      <c r="AL1911" s="16"/>
      <c r="AM1911" s="16"/>
      <c r="AN1911" s="16"/>
      <c r="AO1911" s="16"/>
      <c r="AP1911" s="16"/>
      <c r="AQ1911" s="16"/>
      <c r="AR1911" s="16"/>
      <c r="AS1911" s="16"/>
    </row>
    <row r="1912" spans="18:45" x14ac:dyDescent="0.35">
      <c r="R1912" s="191"/>
      <c r="S1912" s="191"/>
      <c r="T1912" s="193"/>
      <c r="U1912" s="191"/>
      <c r="V1912" s="194"/>
      <c r="W1912" s="191"/>
      <c r="Y1912" s="191"/>
      <c r="Z1912" s="191"/>
      <c r="AA1912" s="191"/>
      <c r="AB1912" s="191"/>
      <c r="AC1912" s="191"/>
      <c r="AD1912" s="16"/>
      <c r="AE1912" s="16"/>
      <c r="AF1912" s="16"/>
      <c r="AG1912" s="16"/>
      <c r="AH1912" s="16"/>
      <c r="AI1912" s="16"/>
      <c r="AJ1912" s="16"/>
      <c r="AK1912" s="16"/>
      <c r="AL1912" s="16"/>
      <c r="AM1912" s="16"/>
      <c r="AN1912" s="16"/>
      <c r="AO1912" s="16"/>
      <c r="AP1912" s="16"/>
      <c r="AQ1912" s="16"/>
      <c r="AR1912" s="16"/>
      <c r="AS1912" s="16"/>
    </row>
    <row r="1913" spans="18:45" x14ac:dyDescent="0.35">
      <c r="R1913" s="191"/>
      <c r="S1913" s="191"/>
      <c r="T1913" s="193"/>
      <c r="U1913" s="191"/>
      <c r="V1913" s="194"/>
      <c r="W1913" s="191"/>
      <c r="Y1913" s="191"/>
      <c r="Z1913" s="191"/>
      <c r="AA1913" s="191"/>
      <c r="AB1913" s="191"/>
      <c r="AC1913" s="191"/>
      <c r="AD1913" s="16"/>
      <c r="AE1913" s="16"/>
      <c r="AF1913" s="16"/>
      <c r="AG1913" s="16"/>
      <c r="AH1913" s="16"/>
      <c r="AI1913" s="16"/>
      <c r="AJ1913" s="16"/>
      <c r="AK1913" s="16"/>
      <c r="AL1913" s="16"/>
      <c r="AM1913" s="16"/>
      <c r="AN1913" s="16"/>
      <c r="AO1913" s="16"/>
      <c r="AP1913" s="16"/>
      <c r="AQ1913" s="16"/>
      <c r="AR1913" s="16"/>
      <c r="AS1913" s="16"/>
    </row>
    <row r="1914" spans="18:45" x14ac:dyDescent="0.35">
      <c r="R1914" s="191"/>
      <c r="S1914" s="191"/>
      <c r="T1914" s="193"/>
      <c r="U1914" s="191"/>
      <c r="V1914" s="194"/>
      <c r="W1914" s="191"/>
      <c r="Y1914" s="191"/>
      <c r="Z1914" s="191"/>
      <c r="AA1914" s="191"/>
      <c r="AB1914" s="191"/>
      <c r="AC1914" s="191"/>
      <c r="AD1914" s="16"/>
      <c r="AE1914" s="16"/>
      <c r="AF1914" s="16"/>
      <c r="AG1914" s="16"/>
      <c r="AH1914" s="16"/>
      <c r="AI1914" s="16"/>
      <c r="AJ1914" s="16"/>
      <c r="AK1914" s="16"/>
      <c r="AL1914" s="16"/>
      <c r="AM1914" s="16"/>
      <c r="AN1914" s="16"/>
      <c r="AO1914" s="16"/>
      <c r="AP1914" s="16"/>
      <c r="AQ1914" s="16"/>
      <c r="AR1914" s="16"/>
      <c r="AS1914" s="16"/>
    </row>
    <row r="1915" spans="18:45" x14ac:dyDescent="0.35">
      <c r="R1915" s="191"/>
      <c r="S1915" s="191"/>
      <c r="T1915" s="193"/>
      <c r="U1915" s="191"/>
      <c r="V1915" s="194"/>
      <c r="W1915" s="191"/>
      <c r="Y1915" s="191"/>
      <c r="Z1915" s="191"/>
      <c r="AA1915" s="191"/>
      <c r="AB1915" s="191"/>
      <c r="AC1915" s="191"/>
      <c r="AD1915" s="16"/>
      <c r="AE1915" s="16"/>
      <c r="AF1915" s="16"/>
      <c r="AG1915" s="16"/>
      <c r="AH1915" s="16"/>
      <c r="AI1915" s="16"/>
      <c r="AJ1915" s="16"/>
      <c r="AK1915" s="16"/>
      <c r="AL1915" s="16"/>
      <c r="AM1915" s="16"/>
      <c r="AN1915" s="16"/>
      <c r="AO1915" s="16"/>
      <c r="AP1915" s="16"/>
      <c r="AQ1915" s="16"/>
      <c r="AR1915" s="16"/>
      <c r="AS1915" s="16"/>
    </row>
    <row r="1916" spans="18:45" x14ac:dyDescent="0.35">
      <c r="R1916" s="191"/>
      <c r="S1916" s="191"/>
      <c r="T1916" s="193"/>
      <c r="U1916" s="191"/>
      <c r="V1916" s="194"/>
      <c r="W1916" s="191"/>
      <c r="Y1916" s="191"/>
      <c r="Z1916" s="191"/>
      <c r="AA1916" s="191"/>
      <c r="AB1916" s="191"/>
      <c r="AC1916" s="191"/>
      <c r="AD1916" s="16"/>
      <c r="AE1916" s="16"/>
      <c r="AF1916" s="16"/>
      <c r="AG1916" s="16"/>
      <c r="AH1916" s="16"/>
      <c r="AI1916" s="16"/>
      <c r="AJ1916" s="16"/>
      <c r="AK1916" s="16"/>
      <c r="AL1916" s="16"/>
      <c r="AM1916" s="16"/>
      <c r="AN1916" s="16"/>
      <c r="AO1916" s="16"/>
      <c r="AP1916" s="16"/>
      <c r="AQ1916" s="16"/>
      <c r="AR1916" s="16"/>
      <c r="AS1916" s="16"/>
    </row>
    <row r="1917" spans="18:45" x14ac:dyDescent="0.35">
      <c r="R1917" s="191"/>
      <c r="S1917" s="191"/>
      <c r="T1917" s="193"/>
      <c r="U1917" s="191"/>
      <c r="V1917" s="194"/>
      <c r="W1917" s="191"/>
      <c r="Y1917" s="191"/>
      <c r="Z1917" s="191"/>
      <c r="AA1917" s="191"/>
      <c r="AB1917" s="191"/>
      <c r="AC1917" s="191"/>
      <c r="AD1917" s="16"/>
      <c r="AE1917" s="16"/>
      <c r="AF1917" s="16"/>
      <c r="AG1917" s="16"/>
      <c r="AH1917" s="16"/>
      <c r="AI1917" s="16"/>
      <c r="AJ1917" s="16"/>
      <c r="AK1917" s="16"/>
      <c r="AL1917" s="16"/>
      <c r="AM1917" s="16"/>
      <c r="AN1917" s="16"/>
      <c r="AO1917" s="16"/>
      <c r="AP1917" s="16"/>
      <c r="AQ1917" s="16"/>
      <c r="AR1917" s="16"/>
      <c r="AS1917" s="16"/>
    </row>
    <row r="1918" spans="18:45" x14ac:dyDescent="0.35">
      <c r="R1918" s="191"/>
      <c r="S1918" s="191"/>
      <c r="T1918" s="193"/>
      <c r="U1918" s="191"/>
      <c r="V1918" s="194"/>
      <c r="W1918" s="191"/>
      <c r="Y1918" s="191"/>
      <c r="Z1918" s="191"/>
      <c r="AA1918" s="191"/>
      <c r="AB1918" s="191"/>
      <c r="AC1918" s="191"/>
      <c r="AD1918" s="16"/>
      <c r="AE1918" s="16"/>
      <c r="AF1918" s="16"/>
      <c r="AG1918" s="16"/>
      <c r="AH1918" s="16"/>
      <c r="AI1918" s="16"/>
      <c r="AJ1918" s="16"/>
      <c r="AK1918" s="16"/>
      <c r="AL1918" s="16"/>
      <c r="AM1918" s="16"/>
      <c r="AN1918" s="16"/>
      <c r="AO1918" s="16"/>
      <c r="AP1918" s="16"/>
      <c r="AQ1918" s="16"/>
      <c r="AR1918" s="16"/>
      <c r="AS1918" s="16"/>
    </row>
    <row r="1919" spans="18:45" x14ac:dyDescent="0.35">
      <c r="R1919" s="191"/>
      <c r="S1919" s="191"/>
      <c r="T1919" s="193"/>
      <c r="U1919" s="191"/>
      <c r="V1919" s="194"/>
      <c r="W1919" s="191"/>
      <c r="Y1919" s="191"/>
      <c r="Z1919" s="191"/>
      <c r="AA1919" s="191"/>
      <c r="AB1919" s="191"/>
      <c r="AC1919" s="191"/>
      <c r="AD1919" s="16"/>
      <c r="AE1919" s="16"/>
      <c r="AF1919" s="16"/>
      <c r="AG1919" s="16"/>
      <c r="AH1919" s="16"/>
      <c r="AI1919" s="16"/>
      <c r="AJ1919" s="16"/>
      <c r="AK1919" s="16"/>
      <c r="AL1919" s="16"/>
      <c r="AM1919" s="16"/>
      <c r="AN1919" s="16"/>
      <c r="AO1919" s="16"/>
      <c r="AP1919" s="16"/>
      <c r="AQ1919" s="16"/>
      <c r="AR1919" s="16"/>
      <c r="AS1919" s="16"/>
    </row>
    <row r="1920" spans="18:45" x14ac:dyDescent="0.35">
      <c r="R1920" s="191"/>
      <c r="S1920" s="191"/>
      <c r="T1920" s="193"/>
      <c r="U1920" s="191"/>
      <c r="V1920" s="194"/>
      <c r="W1920" s="191"/>
      <c r="Y1920" s="191"/>
      <c r="Z1920" s="191"/>
      <c r="AA1920" s="191"/>
      <c r="AB1920" s="191"/>
      <c r="AC1920" s="191"/>
      <c r="AD1920" s="16"/>
      <c r="AE1920" s="16"/>
      <c r="AF1920" s="16"/>
      <c r="AG1920" s="16"/>
      <c r="AH1920" s="16"/>
      <c r="AI1920" s="16"/>
      <c r="AJ1920" s="16"/>
      <c r="AK1920" s="16"/>
      <c r="AL1920" s="16"/>
      <c r="AM1920" s="16"/>
      <c r="AN1920" s="16"/>
      <c r="AO1920" s="16"/>
      <c r="AP1920" s="16"/>
      <c r="AQ1920" s="16"/>
      <c r="AR1920" s="16"/>
      <c r="AS1920" s="16"/>
    </row>
    <row r="1921" spans="18:45" x14ac:dyDescent="0.35">
      <c r="R1921" s="191"/>
      <c r="S1921" s="191"/>
      <c r="T1921" s="193"/>
      <c r="U1921" s="191"/>
      <c r="V1921" s="194"/>
      <c r="W1921" s="191"/>
      <c r="Y1921" s="191"/>
      <c r="Z1921" s="191"/>
      <c r="AA1921" s="191"/>
      <c r="AB1921" s="191"/>
      <c r="AC1921" s="191"/>
      <c r="AD1921" s="16"/>
      <c r="AE1921" s="16"/>
      <c r="AF1921" s="16"/>
      <c r="AG1921" s="16"/>
      <c r="AH1921" s="16"/>
      <c r="AI1921" s="16"/>
      <c r="AJ1921" s="16"/>
      <c r="AK1921" s="16"/>
      <c r="AL1921" s="16"/>
      <c r="AM1921" s="16"/>
      <c r="AN1921" s="16"/>
      <c r="AO1921" s="16"/>
      <c r="AP1921" s="16"/>
      <c r="AQ1921" s="16"/>
      <c r="AR1921" s="16"/>
      <c r="AS1921" s="16"/>
    </row>
    <row r="1922" spans="18:45" x14ac:dyDescent="0.35">
      <c r="R1922" s="191"/>
      <c r="S1922" s="191"/>
      <c r="T1922" s="193"/>
      <c r="U1922" s="191"/>
      <c r="V1922" s="194"/>
      <c r="W1922" s="191"/>
      <c r="Y1922" s="191"/>
      <c r="Z1922" s="191"/>
      <c r="AA1922" s="191"/>
      <c r="AB1922" s="191"/>
      <c r="AC1922" s="191"/>
      <c r="AD1922" s="16"/>
      <c r="AE1922" s="16"/>
      <c r="AF1922" s="16"/>
      <c r="AG1922" s="16"/>
      <c r="AH1922" s="16"/>
      <c r="AI1922" s="16"/>
      <c r="AJ1922" s="16"/>
      <c r="AK1922" s="16"/>
      <c r="AL1922" s="16"/>
      <c r="AM1922" s="16"/>
      <c r="AN1922" s="16"/>
      <c r="AO1922" s="16"/>
      <c r="AP1922" s="16"/>
      <c r="AQ1922" s="16"/>
      <c r="AR1922" s="16"/>
      <c r="AS1922" s="16"/>
    </row>
    <row r="1923" spans="18:45" x14ac:dyDescent="0.35">
      <c r="R1923" s="191"/>
      <c r="S1923" s="191"/>
      <c r="T1923" s="193"/>
      <c r="U1923" s="191"/>
      <c r="V1923" s="194"/>
      <c r="W1923" s="191"/>
      <c r="Y1923" s="191"/>
      <c r="Z1923" s="191"/>
      <c r="AA1923" s="191"/>
      <c r="AB1923" s="191"/>
      <c r="AC1923" s="191"/>
      <c r="AD1923" s="16"/>
      <c r="AE1923" s="16"/>
      <c r="AF1923" s="16"/>
      <c r="AG1923" s="16"/>
      <c r="AH1923" s="16"/>
      <c r="AI1923" s="16"/>
      <c r="AJ1923" s="16"/>
      <c r="AK1923" s="16"/>
      <c r="AL1923" s="16"/>
      <c r="AM1923" s="16"/>
      <c r="AN1923" s="16"/>
      <c r="AO1923" s="16"/>
      <c r="AP1923" s="16"/>
      <c r="AQ1923" s="16"/>
      <c r="AR1923" s="16"/>
      <c r="AS1923" s="16"/>
    </row>
    <row r="1924" spans="18:45" x14ac:dyDescent="0.35">
      <c r="R1924" s="191"/>
      <c r="S1924" s="191"/>
      <c r="T1924" s="193"/>
      <c r="U1924" s="191"/>
      <c r="V1924" s="194"/>
      <c r="W1924" s="191"/>
      <c r="Y1924" s="191"/>
      <c r="Z1924" s="191"/>
      <c r="AA1924" s="191"/>
      <c r="AB1924" s="191"/>
      <c r="AC1924" s="191"/>
      <c r="AD1924" s="16"/>
      <c r="AE1924" s="16"/>
      <c r="AF1924" s="16"/>
      <c r="AG1924" s="16"/>
      <c r="AH1924" s="16"/>
      <c r="AI1924" s="16"/>
      <c r="AJ1924" s="16"/>
      <c r="AK1924" s="16"/>
      <c r="AL1924" s="16"/>
      <c r="AM1924" s="16"/>
      <c r="AN1924" s="16"/>
      <c r="AO1924" s="16"/>
      <c r="AP1924" s="16"/>
      <c r="AQ1924" s="16"/>
      <c r="AR1924" s="16"/>
      <c r="AS1924" s="16"/>
    </row>
    <row r="1925" spans="18:45" x14ac:dyDescent="0.35">
      <c r="R1925" s="191"/>
      <c r="S1925" s="191"/>
      <c r="T1925" s="193"/>
      <c r="U1925" s="191"/>
      <c r="V1925" s="194"/>
      <c r="W1925" s="191"/>
      <c r="Y1925" s="191"/>
      <c r="Z1925" s="191"/>
      <c r="AA1925" s="191"/>
      <c r="AB1925" s="191"/>
      <c r="AC1925" s="191"/>
      <c r="AD1925" s="16"/>
      <c r="AE1925" s="16"/>
      <c r="AF1925" s="16"/>
      <c r="AG1925" s="16"/>
      <c r="AH1925" s="16"/>
      <c r="AI1925" s="16"/>
      <c r="AJ1925" s="16"/>
      <c r="AK1925" s="16"/>
      <c r="AL1925" s="16"/>
      <c r="AM1925" s="16"/>
      <c r="AN1925" s="16"/>
      <c r="AO1925" s="16"/>
      <c r="AP1925" s="16"/>
      <c r="AQ1925" s="16"/>
      <c r="AR1925" s="16"/>
      <c r="AS1925" s="16"/>
    </row>
    <row r="1926" spans="18:45" x14ac:dyDescent="0.35">
      <c r="R1926" s="191"/>
      <c r="S1926" s="191"/>
      <c r="T1926" s="193"/>
      <c r="U1926" s="191"/>
      <c r="V1926" s="194"/>
      <c r="W1926" s="191"/>
      <c r="Y1926" s="191"/>
      <c r="Z1926" s="191"/>
      <c r="AA1926" s="191"/>
      <c r="AB1926" s="191"/>
      <c r="AC1926" s="191"/>
      <c r="AD1926" s="16"/>
      <c r="AE1926" s="16"/>
      <c r="AF1926" s="16"/>
      <c r="AG1926" s="16"/>
      <c r="AH1926" s="16"/>
      <c r="AI1926" s="16"/>
      <c r="AJ1926" s="16"/>
      <c r="AK1926" s="16"/>
      <c r="AL1926" s="16"/>
      <c r="AM1926" s="16"/>
      <c r="AN1926" s="16"/>
      <c r="AO1926" s="16"/>
      <c r="AP1926" s="16"/>
      <c r="AQ1926" s="16"/>
      <c r="AR1926" s="16"/>
      <c r="AS1926" s="16"/>
    </row>
    <row r="1927" spans="18:45" x14ac:dyDescent="0.35">
      <c r="R1927" s="191"/>
      <c r="S1927" s="191"/>
      <c r="T1927" s="193"/>
      <c r="U1927" s="191"/>
      <c r="V1927" s="194"/>
      <c r="W1927" s="191"/>
      <c r="Y1927" s="191"/>
      <c r="Z1927" s="191"/>
      <c r="AA1927" s="191"/>
      <c r="AB1927" s="191"/>
      <c r="AC1927" s="191"/>
      <c r="AD1927" s="16"/>
      <c r="AE1927" s="16"/>
      <c r="AF1927" s="16"/>
      <c r="AG1927" s="16"/>
      <c r="AH1927" s="16"/>
      <c r="AI1927" s="16"/>
      <c r="AJ1927" s="16"/>
      <c r="AK1927" s="16"/>
      <c r="AL1927" s="16"/>
      <c r="AM1927" s="16"/>
      <c r="AN1927" s="16"/>
      <c r="AO1927" s="16"/>
      <c r="AP1927" s="16"/>
      <c r="AQ1927" s="16"/>
      <c r="AR1927" s="16"/>
      <c r="AS1927" s="16"/>
    </row>
    <row r="1928" spans="18:45" x14ac:dyDescent="0.35">
      <c r="R1928" s="191"/>
      <c r="S1928" s="191"/>
      <c r="T1928" s="193"/>
      <c r="U1928" s="191"/>
      <c r="V1928" s="194"/>
      <c r="W1928" s="191"/>
      <c r="Y1928" s="191"/>
      <c r="Z1928" s="191"/>
      <c r="AA1928" s="191"/>
      <c r="AB1928" s="191"/>
      <c r="AC1928" s="191"/>
      <c r="AD1928" s="16"/>
      <c r="AE1928" s="16"/>
      <c r="AF1928" s="16"/>
      <c r="AG1928" s="16"/>
      <c r="AH1928" s="16"/>
      <c r="AI1928" s="16"/>
      <c r="AJ1928" s="16"/>
      <c r="AK1928" s="16"/>
      <c r="AL1928" s="16"/>
      <c r="AM1928" s="16"/>
      <c r="AN1928" s="16"/>
      <c r="AO1928" s="16"/>
      <c r="AP1928" s="16"/>
      <c r="AQ1928" s="16"/>
      <c r="AR1928" s="16"/>
      <c r="AS1928" s="16"/>
    </row>
    <row r="1929" spans="18:45" x14ac:dyDescent="0.35">
      <c r="R1929" s="191"/>
      <c r="S1929" s="191"/>
      <c r="T1929" s="193"/>
      <c r="U1929" s="191"/>
      <c r="V1929" s="194"/>
      <c r="W1929" s="191"/>
      <c r="Y1929" s="191"/>
      <c r="Z1929" s="191"/>
      <c r="AA1929" s="191"/>
      <c r="AB1929" s="191"/>
      <c r="AC1929" s="191"/>
      <c r="AD1929" s="16"/>
      <c r="AE1929" s="16"/>
      <c r="AF1929" s="16"/>
      <c r="AG1929" s="16"/>
      <c r="AH1929" s="16"/>
      <c r="AI1929" s="16"/>
      <c r="AJ1929" s="16"/>
      <c r="AK1929" s="16"/>
      <c r="AL1929" s="16"/>
      <c r="AM1929" s="16"/>
      <c r="AN1929" s="16"/>
      <c r="AO1929" s="16"/>
      <c r="AP1929" s="16"/>
      <c r="AQ1929" s="16"/>
      <c r="AR1929" s="16"/>
      <c r="AS1929" s="16"/>
    </row>
    <row r="1930" spans="18:45" x14ac:dyDescent="0.35">
      <c r="R1930" s="191"/>
      <c r="S1930" s="191"/>
      <c r="T1930" s="193"/>
      <c r="U1930" s="191"/>
      <c r="V1930" s="194"/>
      <c r="W1930" s="191"/>
      <c r="Y1930" s="191"/>
      <c r="Z1930" s="191"/>
      <c r="AA1930" s="191"/>
      <c r="AB1930" s="191"/>
      <c r="AC1930" s="191"/>
      <c r="AD1930" s="16"/>
      <c r="AE1930" s="16"/>
      <c r="AF1930" s="16"/>
      <c r="AG1930" s="16"/>
      <c r="AH1930" s="16"/>
      <c r="AI1930" s="16"/>
      <c r="AJ1930" s="16"/>
      <c r="AK1930" s="16"/>
      <c r="AL1930" s="16"/>
      <c r="AM1930" s="16"/>
      <c r="AN1930" s="16"/>
      <c r="AO1930" s="16"/>
      <c r="AP1930" s="16"/>
      <c r="AQ1930" s="16"/>
      <c r="AR1930" s="16"/>
      <c r="AS1930" s="16"/>
    </row>
    <row r="1931" spans="18:45" x14ac:dyDescent="0.35">
      <c r="R1931" s="191"/>
      <c r="S1931" s="191"/>
      <c r="T1931" s="193"/>
      <c r="U1931" s="191"/>
      <c r="V1931" s="194"/>
      <c r="W1931" s="191"/>
      <c r="Y1931" s="191"/>
      <c r="Z1931" s="191"/>
      <c r="AA1931" s="191"/>
      <c r="AB1931" s="191"/>
      <c r="AC1931" s="191"/>
      <c r="AD1931" s="16"/>
      <c r="AE1931" s="16"/>
      <c r="AF1931" s="16"/>
      <c r="AG1931" s="16"/>
      <c r="AH1931" s="16"/>
      <c r="AI1931" s="16"/>
      <c r="AJ1931" s="16"/>
      <c r="AK1931" s="16"/>
      <c r="AL1931" s="16"/>
      <c r="AM1931" s="16"/>
      <c r="AN1931" s="16"/>
      <c r="AO1931" s="16"/>
      <c r="AP1931" s="16"/>
      <c r="AQ1931" s="16"/>
      <c r="AR1931" s="16"/>
      <c r="AS1931" s="16"/>
    </row>
    <row r="1932" spans="18:45" x14ac:dyDescent="0.35">
      <c r="R1932" s="191"/>
      <c r="S1932" s="191"/>
      <c r="T1932" s="193"/>
      <c r="U1932" s="191"/>
      <c r="V1932" s="194"/>
      <c r="W1932" s="191"/>
      <c r="Y1932" s="191"/>
      <c r="Z1932" s="191"/>
      <c r="AA1932" s="191"/>
      <c r="AB1932" s="191"/>
      <c r="AC1932" s="191"/>
      <c r="AD1932" s="16"/>
      <c r="AE1932" s="16"/>
      <c r="AF1932" s="16"/>
      <c r="AG1932" s="16"/>
      <c r="AH1932" s="16"/>
      <c r="AI1932" s="16"/>
      <c r="AJ1932" s="16"/>
      <c r="AK1932" s="16"/>
      <c r="AL1932" s="16"/>
      <c r="AM1932" s="16"/>
      <c r="AN1932" s="16"/>
      <c r="AO1932" s="16"/>
      <c r="AP1932" s="16"/>
      <c r="AQ1932" s="16"/>
      <c r="AR1932" s="16"/>
      <c r="AS1932" s="16"/>
    </row>
    <row r="1933" spans="18:45" x14ac:dyDescent="0.35">
      <c r="R1933" s="191"/>
      <c r="S1933" s="191"/>
      <c r="T1933" s="193"/>
      <c r="U1933" s="191"/>
      <c r="V1933" s="194"/>
      <c r="W1933" s="191"/>
      <c r="Y1933" s="191"/>
      <c r="Z1933" s="191"/>
      <c r="AA1933" s="191"/>
      <c r="AB1933" s="191"/>
      <c r="AC1933" s="191"/>
      <c r="AD1933" s="16"/>
      <c r="AE1933" s="16"/>
      <c r="AF1933" s="16"/>
      <c r="AG1933" s="16"/>
      <c r="AH1933" s="16"/>
      <c r="AI1933" s="16"/>
      <c r="AJ1933" s="16"/>
      <c r="AK1933" s="16"/>
      <c r="AL1933" s="16"/>
      <c r="AM1933" s="16"/>
      <c r="AN1933" s="16"/>
      <c r="AO1933" s="16"/>
      <c r="AP1933" s="16"/>
      <c r="AQ1933" s="16"/>
      <c r="AR1933" s="16"/>
      <c r="AS1933" s="16"/>
    </row>
    <row r="1934" spans="18:45" x14ac:dyDescent="0.35">
      <c r="R1934" s="191"/>
      <c r="S1934" s="191"/>
      <c r="T1934" s="193"/>
      <c r="U1934" s="191"/>
      <c r="V1934" s="194"/>
      <c r="W1934" s="191"/>
      <c r="Y1934" s="191"/>
      <c r="Z1934" s="191"/>
      <c r="AA1934" s="191"/>
      <c r="AB1934" s="191"/>
      <c r="AC1934" s="191"/>
      <c r="AD1934" s="16"/>
      <c r="AE1934" s="16"/>
      <c r="AF1934" s="16"/>
      <c r="AG1934" s="16"/>
      <c r="AH1934" s="16"/>
      <c r="AI1934" s="16"/>
      <c r="AJ1934" s="16"/>
      <c r="AK1934" s="16"/>
      <c r="AL1934" s="16"/>
      <c r="AM1934" s="16"/>
      <c r="AN1934" s="16"/>
      <c r="AO1934" s="16"/>
      <c r="AP1934" s="16"/>
      <c r="AQ1934" s="16"/>
      <c r="AR1934" s="16"/>
      <c r="AS1934" s="16"/>
    </row>
    <row r="1935" spans="18:45" x14ac:dyDescent="0.35">
      <c r="R1935" s="191"/>
      <c r="S1935" s="191"/>
      <c r="T1935" s="193"/>
      <c r="U1935" s="191"/>
      <c r="V1935" s="194"/>
      <c r="W1935" s="191"/>
      <c r="Y1935" s="191"/>
      <c r="Z1935" s="191"/>
      <c r="AA1935" s="191"/>
      <c r="AB1935" s="191"/>
      <c r="AC1935" s="191"/>
      <c r="AD1935" s="16"/>
      <c r="AE1935" s="16"/>
      <c r="AF1935" s="16"/>
      <c r="AG1935" s="16"/>
      <c r="AH1935" s="16"/>
      <c r="AI1935" s="16"/>
      <c r="AJ1935" s="16"/>
      <c r="AK1935" s="16"/>
      <c r="AL1935" s="16"/>
      <c r="AM1935" s="16"/>
      <c r="AN1935" s="16"/>
      <c r="AO1935" s="16"/>
      <c r="AP1935" s="16"/>
      <c r="AQ1935" s="16"/>
      <c r="AR1935" s="16"/>
      <c r="AS1935" s="16"/>
    </row>
    <row r="1936" spans="18:45" x14ac:dyDescent="0.35">
      <c r="R1936" s="191"/>
      <c r="S1936" s="191"/>
      <c r="T1936" s="193"/>
      <c r="U1936" s="191"/>
      <c r="V1936" s="194"/>
      <c r="W1936" s="191"/>
      <c r="Y1936" s="191"/>
      <c r="Z1936" s="191"/>
      <c r="AA1936" s="191"/>
      <c r="AB1936" s="191"/>
      <c r="AC1936" s="191"/>
      <c r="AD1936" s="16"/>
      <c r="AE1936" s="16"/>
      <c r="AF1936" s="16"/>
      <c r="AG1936" s="16"/>
      <c r="AH1936" s="16"/>
      <c r="AI1936" s="16"/>
      <c r="AJ1936" s="16"/>
      <c r="AK1936" s="16"/>
      <c r="AL1936" s="16"/>
      <c r="AM1936" s="16"/>
      <c r="AN1936" s="16"/>
      <c r="AO1936" s="16"/>
      <c r="AP1936" s="16"/>
      <c r="AQ1936" s="16"/>
      <c r="AR1936" s="16"/>
      <c r="AS1936" s="16"/>
    </row>
    <row r="1937" spans="18:45" x14ac:dyDescent="0.35">
      <c r="R1937" s="191"/>
      <c r="S1937" s="191"/>
      <c r="T1937" s="193"/>
      <c r="U1937" s="191"/>
      <c r="V1937" s="194"/>
      <c r="W1937" s="191"/>
      <c r="Y1937" s="191"/>
      <c r="Z1937" s="191"/>
      <c r="AA1937" s="191"/>
      <c r="AB1937" s="191"/>
      <c r="AC1937" s="191"/>
      <c r="AD1937" s="16"/>
      <c r="AE1937" s="16"/>
      <c r="AF1937" s="16"/>
      <c r="AG1937" s="16"/>
      <c r="AH1937" s="16"/>
      <c r="AI1937" s="16"/>
      <c r="AJ1937" s="16"/>
      <c r="AK1937" s="16"/>
      <c r="AL1937" s="16"/>
      <c r="AM1937" s="16"/>
      <c r="AN1937" s="16"/>
      <c r="AO1937" s="16"/>
      <c r="AP1937" s="16"/>
      <c r="AQ1937" s="16"/>
      <c r="AR1937" s="16"/>
      <c r="AS1937" s="16"/>
    </row>
    <row r="1938" spans="18:45" x14ac:dyDescent="0.35">
      <c r="R1938" s="191"/>
      <c r="S1938" s="191"/>
      <c r="T1938" s="193"/>
      <c r="U1938" s="191"/>
      <c r="V1938" s="194"/>
      <c r="W1938" s="191"/>
      <c r="Y1938" s="191"/>
      <c r="Z1938" s="191"/>
      <c r="AA1938" s="191"/>
      <c r="AB1938" s="191"/>
      <c r="AC1938" s="191"/>
      <c r="AD1938" s="16"/>
      <c r="AE1938" s="16"/>
      <c r="AF1938" s="16"/>
      <c r="AG1938" s="16"/>
      <c r="AH1938" s="16"/>
      <c r="AI1938" s="16"/>
      <c r="AJ1938" s="16"/>
      <c r="AK1938" s="16"/>
      <c r="AL1938" s="16"/>
      <c r="AM1938" s="16"/>
      <c r="AN1938" s="16"/>
      <c r="AO1938" s="16"/>
      <c r="AP1938" s="16"/>
      <c r="AQ1938" s="16"/>
      <c r="AR1938" s="16"/>
      <c r="AS1938" s="16"/>
    </row>
    <row r="1939" spans="18:45" x14ac:dyDescent="0.35">
      <c r="R1939" s="191"/>
      <c r="S1939" s="191"/>
      <c r="T1939" s="193"/>
      <c r="U1939" s="191"/>
      <c r="V1939" s="194"/>
      <c r="W1939" s="191"/>
      <c r="Y1939" s="191"/>
      <c r="Z1939" s="191"/>
      <c r="AA1939" s="191"/>
      <c r="AB1939" s="191"/>
      <c r="AC1939" s="191"/>
      <c r="AD1939" s="16"/>
      <c r="AE1939" s="16"/>
      <c r="AF1939" s="16"/>
      <c r="AG1939" s="16"/>
      <c r="AH1939" s="16"/>
      <c r="AI1939" s="16"/>
      <c r="AJ1939" s="16"/>
      <c r="AK1939" s="16"/>
      <c r="AL1939" s="16"/>
      <c r="AM1939" s="16"/>
      <c r="AN1939" s="16"/>
      <c r="AO1939" s="16"/>
      <c r="AP1939" s="16"/>
      <c r="AQ1939" s="16"/>
      <c r="AR1939" s="16"/>
      <c r="AS1939" s="16"/>
    </row>
    <row r="1940" spans="18:45" x14ac:dyDescent="0.35">
      <c r="R1940" s="191"/>
      <c r="S1940" s="191"/>
      <c r="T1940" s="193"/>
      <c r="U1940" s="191"/>
      <c r="V1940" s="194"/>
      <c r="W1940" s="191"/>
      <c r="Y1940" s="191"/>
      <c r="Z1940" s="191"/>
      <c r="AA1940" s="191"/>
      <c r="AB1940" s="191"/>
      <c r="AC1940" s="191"/>
      <c r="AD1940" s="16"/>
      <c r="AE1940" s="16"/>
      <c r="AF1940" s="16"/>
      <c r="AG1940" s="16"/>
      <c r="AH1940" s="16"/>
      <c r="AI1940" s="16"/>
      <c r="AJ1940" s="16"/>
      <c r="AK1940" s="16"/>
      <c r="AL1940" s="16"/>
      <c r="AM1940" s="16"/>
      <c r="AN1940" s="16"/>
      <c r="AO1940" s="16"/>
      <c r="AP1940" s="16"/>
      <c r="AQ1940" s="16"/>
      <c r="AR1940" s="16"/>
      <c r="AS1940" s="16"/>
    </row>
    <row r="1941" spans="18:45" x14ac:dyDescent="0.35">
      <c r="R1941" s="191"/>
      <c r="S1941" s="191"/>
      <c r="T1941" s="193"/>
      <c r="U1941" s="191"/>
      <c r="V1941" s="194"/>
      <c r="W1941" s="191"/>
      <c r="Y1941" s="191"/>
      <c r="Z1941" s="191"/>
      <c r="AA1941" s="191"/>
      <c r="AB1941" s="191"/>
      <c r="AC1941" s="191"/>
      <c r="AD1941" s="16"/>
      <c r="AE1941" s="16"/>
      <c r="AF1941" s="16"/>
      <c r="AG1941" s="16"/>
      <c r="AH1941" s="16"/>
      <c r="AI1941" s="16"/>
      <c r="AJ1941" s="16"/>
      <c r="AK1941" s="16"/>
      <c r="AL1941" s="16"/>
      <c r="AM1941" s="16"/>
      <c r="AN1941" s="16"/>
      <c r="AO1941" s="16"/>
      <c r="AP1941" s="16"/>
      <c r="AQ1941" s="16"/>
      <c r="AR1941" s="16"/>
      <c r="AS1941" s="16"/>
    </row>
    <row r="1942" spans="18:45" x14ac:dyDescent="0.35">
      <c r="R1942" s="191"/>
      <c r="S1942" s="191"/>
      <c r="T1942" s="193"/>
      <c r="U1942" s="191"/>
      <c r="V1942" s="194"/>
      <c r="W1942" s="191"/>
      <c r="Y1942" s="191"/>
      <c r="Z1942" s="191"/>
      <c r="AA1942" s="191"/>
      <c r="AB1942" s="191"/>
      <c r="AC1942" s="191"/>
      <c r="AD1942" s="16"/>
      <c r="AE1942" s="16"/>
      <c r="AF1942" s="16"/>
      <c r="AG1942" s="16"/>
      <c r="AH1942" s="16"/>
      <c r="AI1942" s="16"/>
      <c r="AJ1942" s="16"/>
      <c r="AK1942" s="16"/>
      <c r="AL1942" s="16"/>
      <c r="AM1942" s="16"/>
      <c r="AN1942" s="16"/>
      <c r="AO1942" s="16"/>
      <c r="AP1942" s="16"/>
      <c r="AQ1942" s="16"/>
      <c r="AR1942" s="16"/>
      <c r="AS1942" s="16"/>
    </row>
    <row r="1943" spans="18:45" x14ac:dyDescent="0.35">
      <c r="R1943" s="191"/>
      <c r="S1943" s="191"/>
      <c r="T1943" s="193"/>
      <c r="U1943" s="191"/>
      <c r="V1943" s="194"/>
      <c r="W1943" s="191"/>
      <c r="Y1943" s="191"/>
      <c r="Z1943" s="191"/>
      <c r="AA1943" s="191"/>
      <c r="AB1943" s="191"/>
      <c r="AC1943" s="191"/>
      <c r="AD1943" s="16"/>
      <c r="AE1943" s="16"/>
      <c r="AF1943" s="16"/>
      <c r="AG1943" s="16"/>
      <c r="AH1943" s="16"/>
      <c r="AI1943" s="16"/>
      <c r="AJ1943" s="16"/>
      <c r="AK1943" s="16"/>
      <c r="AL1943" s="16"/>
      <c r="AM1943" s="16"/>
      <c r="AN1943" s="16"/>
      <c r="AO1943" s="16"/>
      <c r="AP1943" s="16"/>
      <c r="AQ1943" s="16"/>
      <c r="AR1943" s="16"/>
      <c r="AS1943" s="16"/>
    </row>
    <row r="1944" spans="18:45" x14ac:dyDescent="0.35">
      <c r="R1944" s="191"/>
      <c r="S1944" s="191"/>
      <c r="T1944" s="193"/>
      <c r="U1944" s="191"/>
      <c r="V1944" s="194"/>
      <c r="W1944" s="191"/>
      <c r="Y1944" s="191"/>
      <c r="Z1944" s="191"/>
      <c r="AA1944" s="191"/>
      <c r="AB1944" s="191"/>
      <c r="AC1944" s="191"/>
      <c r="AD1944" s="16"/>
      <c r="AE1944" s="16"/>
      <c r="AF1944" s="16"/>
      <c r="AG1944" s="16"/>
      <c r="AH1944" s="16"/>
      <c r="AI1944" s="16"/>
      <c r="AJ1944" s="16"/>
      <c r="AK1944" s="16"/>
      <c r="AL1944" s="16"/>
      <c r="AM1944" s="16"/>
      <c r="AN1944" s="16"/>
      <c r="AO1944" s="16"/>
      <c r="AP1944" s="16"/>
      <c r="AQ1944" s="16"/>
      <c r="AR1944" s="16"/>
      <c r="AS1944" s="16"/>
    </row>
    <row r="1945" spans="18:45" x14ac:dyDescent="0.35">
      <c r="R1945" s="191"/>
      <c r="S1945" s="191"/>
      <c r="T1945" s="193"/>
      <c r="U1945" s="191"/>
      <c r="V1945" s="194"/>
      <c r="W1945" s="191"/>
      <c r="Y1945" s="191"/>
      <c r="Z1945" s="191"/>
      <c r="AA1945" s="191"/>
      <c r="AB1945" s="191"/>
      <c r="AC1945" s="191"/>
      <c r="AD1945" s="16"/>
      <c r="AE1945" s="16"/>
      <c r="AF1945" s="16"/>
      <c r="AG1945" s="16"/>
      <c r="AH1945" s="16"/>
      <c r="AI1945" s="16"/>
      <c r="AJ1945" s="16"/>
      <c r="AK1945" s="16"/>
      <c r="AL1945" s="16"/>
      <c r="AM1945" s="16"/>
      <c r="AN1945" s="16"/>
      <c r="AO1945" s="16"/>
      <c r="AP1945" s="16"/>
      <c r="AQ1945" s="16"/>
      <c r="AR1945" s="16"/>
      <c r="AS1945" s="16"/>
    </row>
    <row r="1946" spans="18:45" x14ac:dyDescent="0.35">
      <c r="R1946" s="191"/>
      <c r="S1946" s="191"/>
      <c r="T1946" s="193"/>
      <c r="U1946" s="191"/>
      <c r="V1946" s="194"/>
      <c r="W1946" s="191"/>
      <c r="Y1946" s="191"/>
      <c r="Z1946" s="191"/>
      <c r="AA1946" s="191"/>
      <c r="AB1946" s="191"/>
      <c r="AC1946" s="191"/>
      <c r="AD1946" s="16"/>
      <c r="AE1946" s="16"/>
      <c r="AF1946" s="16"/>
      <c r="AG1946" s="16"/>
      <c r="AH1946" s="16"/>
      <c r="AI1946" s="16"/>
      <c r="AJ1946" s="16"/>
      <c r="AK1946" s="16"/>
      <c r="AL1946" s="16"/>
      <c r="AM1946" s="16"/>
      <c r="AN1946" s="16"/>
      <c r="AO1946" s="16"/>
      <c r="AP1946" s="16"/>
      <c r="AQ1946" s="16"/>
      <c r="AR1946" s="16"/>
      <c r="AS1946" s="16"/>
    </row>
    <row r="1947" spans="18:45" x14ac:dyDescent="0.35">
      <c r="R1947" s="191"/>
      <c r="S1947" s="191"/>
      <c r="T1947" s="193"/>
      <c r="U1947" s="191"/>
      <c r="V1947" s="194"/>
      <c r="W1947" s="191"/>
      <c r="Y1947" s="191"/>
      <c r="Z1947" s="191"/>
      <c r="AA1947" s="191"/>
      <c r="AB1947" s="191"/>
      <c r="AC1947" s="191"/>
      <c r="AD1947" s="16"/>
      <c r="AE1947" s="16"/>
      <c r="AF1947" s="16"/>
      <c r="AG1947" s="16"/>
      <c r="AH1947" s="16"/>
      <c r="AI1947" s="16"/>
      <c r="AJ1947" s="16"/>
      <c r="AK1947" s="16"/>
      <c r="AL1947" s="16"/>
      <c r="AM1947" s="16"/>
      <c r="AN1947" s="16"/>
      <c r="AO1947" s="16"/>
      <c r="AP1947" s="16"/>
      <c r="AQ1947" s="16"/>
      <c r="AR1947" s="16"/>
      <c r="AS1947" s="16"/>
    </row>
    <row r="1948" spans="18:45" x14ac:dyDescent="0.35">
      <c r="R1948" s="191"/>
      <c r="S1948" s="191"/>
      <c r="T1948" s="193"/>
      <c r="U1948" s="191"/>
      <c r="V1948" s="194"/>
      <c r="W1948" s="191"/>
      <c r="Y1948" s="191"/>
      <c r="Z1948" s="191"/>
      <c r="AA1948" s="191"/>
      <c r="AB1948" s="191"/>
      <c r="AC1948" s="191"/>
      <c r="AD1948" s="16"/>
      <c r="AE1948" s="16"/>
      <c r="AF1948" s="16"/>
      <c r="AG1948" s="16"/>
      <c r="AH1948" s="16"/>
      <c r="AI1948" s="16"/>
      <c r="AJ1948" s="16"/>
      <c r="AK1948" s="16"/>
      <c r="AL1948" s="16"/>
      <c r="AM1948" s="16"/>
      <c r="AN1948" s="16"/>
      <c r="AO1948" s="16"/>
      <c r="AP1948" s="16"/>
      <c r="AQ1948" s="16"/>
      <c r="AR1948" s="16"/>
      <c r="AS1948" s="16"/>
    </row>
    <row r="1949" spans="18:45" x14ac:dyDescent="0.35">
      <c r="R1949" s="191"/>
      <c r="S1949" s="191"/>
      <c r="T1949" s="193"/>
      <c r="U1949" s="191"/>
      <c r="V1949" s="194"/>
      <c r="W1949" s="191"/>
      <c r="Y1949" s="191"/>
      <c r="Z1949" s="191"/>
      <c r="AA1949" s="191"/>
      <c r="AB1949" s="191"/>
      <c r="AC1949" s="191"/>
      <c r="AD1949" s="16"/>
      <c r="AE1949" s="16"/>
      <c r="AF1949" s="16"/>
      <c r="AG1949" s="16"/>
      <c r="AH1949" s="16"/>
      <c r="AI1949" s="16"/>
      <c r="AJ1949" s="16"/>
      <c r="AK1949" s="16"/>
      <c r="AL1949" s="16"/>
      <c r="AM1949" s="16"/>
      <c r="AN1949" s="16"/>
      <c r="AO1949" s="16"/>
      <c r="AP1949" s="16"/>
      <c r="AQ1949" s="16"/>
      <c r="AR1949" s="16"/>
      <c r="AS1949" s="16"/>
    </row>
    <row r="1950" spans="18:45" x14ac:dyDescent="0.35">
      <c r="R1950" s="191"/>
      <c r="S1950" s="191"/>
      <c r="T1950" s="193"/>
      <c r="U1950" s="191"/>
      <c r="V1950" s="194"/>
      <c r="W1950" s="191"/>
      <c r="Y1950" s="191"/>
      <c r="Z1950" s="191"/>
      <c r="AA1950" s="191"/>
      <c r="AB1950" s="191"/>
      <c r="AC1950" s="191"/>
      <c r="AD1950" s="16"/>
      <c r="AE1950" s="16"/>
      <c r="AF1950" s="16"/>
      <c r="AG1950" s="16"/>
      <c r="AH1950" s="16"/>
      <c r="AI1950" s="16"/>
      <c r="AJ1950" s="16"/>
      <c r="AK1950" s="16"/>
      <c r="AL1950" s="16"/>
      <c r="AM1950" s="16"/>
      <c r="AN1950" s="16"/>
      <c r="AO1950" s="16"/>
      <c r="AP1950" s="16"/>
      <c r="AQ1950" s="16"/>
      <c r="AR1950" s="16"/>
      <c r="AS1950" s="16"/>
    </row>
    <row r="1951" spans="18:45" x14ac:dyDescent="0.35">
      <c r="R1951" s="191"/>
      <c r="S1951" s="191"/>
      <c r="T1951" s="193"/>
      <c r="U1951" s="191"/>
      <c r="V1951" s="194"/>
      <c r="W1951" s="191"/>
      <c r="Y1951" s="191"/>
      <c r="Z1951" s="191"/>
      <c r="AA1951" s="191"/>
      <c r="AB1951" s="191"/>
      <c r="AC1951" s="191"/>
      <c r="AD1951" s="16"/>
      <c r="AE1951" s="16"/>
      <c r="AF1951" s="16"/>
      <c r="AG1951" s="16"/>
      <c r="AH1951" s="16"/>
      <c r="AI1951" s="16"/>
      <c r="AJ1951" s="16"/>
      <c r="AK1951" s="16"/>
      <c r="AL1951" s="16"/>
      <c r="AM1951" s="16"/>
      <c r="AN1951" s="16"/>
      <c r="AO1951" s="16"/>
      <c r="AP1951" s="16"/>
      <c r="AQ1951" s="16"/>
      <c r="AR1951" s="16"/>
      <c r="AS1951" s="16"/>
    </row>
    <row r="1952" spans="18:45" x14ac:dyDescent="0.35">
      <c r="R1952" s="191"/>
      <c r="S1952" s="191"/>
      <c r="T1952" s="193"/>
      <c r="U1952" s="191"/>
      <c r="V1952" s="194"/>
      <c r="W1952" s="191"/>
      <c r="Y1952" s="191"/>
      <c r="Z1952" s="191"/>
      <c r="AA1952" s="191"/>
      <c r="AB1952" s="191"/>
      <c r="AC1952" s="191"/>
      <c r="AD1952" s="16"/>
      <c r="AE1952" s="16"/>
      <c r="AF1952" s="16"/>
      <c r="AG1952" s="16"/>
      <c r="AH1952" s="16"/>
      <c r="AI1952" s="16"/>
      <c r="AJ1952" s="16"/>
      <c r="AK1952" s="16"/>
      <c r="AL1952" s="16"/>
      <c r="AM1952" s="16"/>
      <c r="AN1952" s="16"/>
      <c r="AO1952" s="16"/>
      <c r="AP1952" s="16"/>
      <c r="AQ1952" s="16"/>
      <c r="AR1952" s="16"/>
      <c r="AS1952" s="16"/>
    </row>
    <row r="1953" spans="18:45" x14ac:dyDescent="0.35">
      <c r="R1953" s="191"/>
      <c r="S1953" s="191"/>
      <c r="T1953" s="193"/>
      <c r="U1953" s="191"/>
      <c r="V1953" s="194"/>
      <c r="W1953" s="191"/>
      <c r="Y1953" s="191"/>
      <c r="Z1953" s="191"/>
      <c r="AA1953" s="191"/>
      <c r="AB1953" s="191"/>
      <c r="AC1953" s="191"/>
      <c r="AD1953" s="16"/>
      <c r="AE1953" s="16"/>
      <c r="AF1953" s="16"/>
      <c r="AG1953" s="16"/>
      <c r="AH1953" s="16"/>
      <c r="AI1953" s="16"/>
      <c r="AJ1953" s="16"/>
      <c r="AK1953" s="16"/>
      <c r="AL1953" s="16"/>
      <c r="AM1953" s="16"/>
      <c r="AN1953" s="16"/>
      <c r="AO1953" s="16"/>
      <c r="AP1953" s="16"/>
      <c r="AQ1953" s="16"/>
      <c r="AR1953" s="16"/>
      <c r="AS1953" s="16"/>
    </row>
    <row r="1954" spans="18:45" x14ac:dyDescent="0.35">
      <c r="R1954" s="191"/>
      <c r="S1954" s="191"/>
      <c r="T1954" s="193"/>
      <c r="U1954" s="191"/>
      <c r="V1954" s="194"/>
      <c r="W1954" s="191"/>
      <c r="Y1954" s="191"/>
      <c r="Z1954" s="191"/>
      <c r="AA1954" s="191"/>
      <c r="AB1954" s="191"/>
      <c r="AC1954" s="191"/>
      <c r="AD1954" s="16"/>
      <c r="AE1954" s="16"/>
      <c r="AF1954" s="16"/>
      <c r="AG1954" s="16"/>
      <c r="AH1954" s="16"/>
      <c r="AI1954" s="16"/>
      <c r="AJ1954" s="16"/>
      <c r="AK1954" s="16"/>
      <c r="AL1954" s="16"/>
      <c r="AM1954" s="16"/>
      <c r="AN1954" s="16"/>
      <c r="AO1954" s="16"/>
      <c r="AP1954" s="16"/>
      <c r="AQ1954" s="16"/>
      <c r="AR1954" s="16"/>
      <c r="AS1954" s="16"/>
    </row>
    <row r="1955" spans="18:45" x14ac:dyDescent="0.35">
      <c r="R1955" s="191"/>
      <c r="S1955" s="191"/>
      <c r="T1955" s="193"/>
      <c r="U1955" s="191"/>
      <c r="V1955" s="194"/>
      <c r="W1955" s="191"/>
      <c r="Y1955" s="191"/>
      <c r="Z1955" s="191"/>
      <c r="AA1955" s="191"/>
      <c r="AB1955" s="191"/>
      <c r="AC1955" s="191"/>
      <c r="AD1955" s="16"/>
      <c r="AE1955" s="16"/>
      <c r="AF1955" s="16"/>
      <c r="AG1955" s="16"/>
      <c r="AH1955" s="16"/>
      <c r="AI1955" s="16"/>
      <c r="AJ1955" s="16"/>
      <c r="AK1955" s="16"/>
      <c r="AL1955" s="16"/>
      <c r="AM1955" s="16"/>
      <c r="AN1955" s="16"/>
      <c r="AO1955" s="16"/>
      <c r="AP1955" s="16"/>
      <c r="AQ1955" s="16"/>
      <c r="AR1955" s="16"/>
      <c r="AS1955" s="16"/>
    </row>
    <row r="1956" spans="18:45" x14ac:dyDescent="0.35">
      <c r="R1956" s="191"/>
      <c r="S1956" s="191"/>
      <c r="T1956" s="193"/>
      <c r="U1956" s="191"/>
      <c r="V1956" s="194"/>
      <c r="W1956" s="191"/>
      <c r="Y1956" s="191"/>
      <c r="Z1956" s="191"/>
      <c r="AA1956" s="191"/>
      <c r="AB1956" s="191"/>
      <c r="AC1956" s="191"/>
      <c r="AD1956" s="16"/>
      <c r="AE1956" s="16"/>
      <c r="AF1956" s="16"/>
      <c r="AG1956" s="16"/>
      <c r="AH1956" s="16"/>
      <c r="AI1956" s="16"/>
      <c r="AJ1956" s="16"/>
      <c r="AK1956" s="16"/>
      <c r="AL1956" s="16"/>
      <c r="AM1956" s="16"/>
      <c r="AN1956" s="16"/>
      <c r="AO1956" s="16"/>
      <c r="AP1956" s="16"/>
      <c r="AQ1956" s="16"/>
      <c r="AR1956" s="16"/>
      <c r="AS1956" s="16"/>
    </row>
    <row r="1957" spans="18:45" x14ac:dyDescent="0.35">
      <c r="R1957" s="191"/>
      <c r="S1957" s="191"/>
      <c r="T1957" s="193"/>
      <c r="U1957" s="191"/>
      <c r="V1957" s="194"/>
      <c r="W1957" s="191"/>
      <c r="Y1957" s="191"/>
      <c r="Z1957" s="191"/>
      <c r="AA1957" s="191"/>
      <c r="AB1957" s="191"/>
      <c r="AC1957" s="191"/>
      <c r="AD1957" s="16"/>
      <c r="AE1957" s="16"/>
      <c r="AF1957" s="16"/>
      <c r="AG1957" s="16"/>
      <c r="AH1957" s="16"/>
      <c r="AI1957" s="16"/>
      <c r="AJ1957" s="16"/>
      <c r="AK1957" s="16"/>
      <c r="AL1957" s="16"/>
      <c r="AM1957" s="16"/>
      <c r="AN1957" s="16"/>
      <c r="AO1957" s="16"/>
      <c r="AP1957" s="16"/>
      <c r="AQ1957" s="16"/>
      <c r="AR1957" s="16"/>
      <c r="AS1957" s="16"/>
    </row>
    <row r="1958" spans="18:45" x14ac:dyDescent="0.35">
      <c r="R1958" s="191"/>
      <c r="S1958" s="191"/>
      <c r="T1958" s="193"/>
      <c r="U1958" s="191"/>
      <c r="V1958" s="194"/>
      <c r="W1958" s="191"/>
      <c r="Y1958" s="191"/>
      <c r="Z1958" s="191"/>
      <c r="AA1958" s="191"/>
      <c r="AB1958" s="191"/>
      <c r="AC1958" s="191"/>
      <c r="AD1958" s="16"/>
      <c r="AE1958" s="16"/>
      <c r="AF1958" s="16"/>
      <c r="AG1958" s="16"/>
      <c r="AH1958" s="16"/>
      <c r="AI1958" s="16"/>
      <c r="AJ1958" s="16"/>
      <c r="AK1958" s="16"/>
      <c r="AL1958" s="16"/>
      <c r="AM1958" s="16"/>
      <c r="AN1958" s="16"/>
      <c r="AO1958" s="16"/>
      <c r="AP1958" s="16"/>
      <c r="AQ1958" s="16"/>
      <c r="AR1958" s="16"/>
      <c r="AS1958" s="16"/>
    </row>
    <row r="1959" spans="18:45" x14ac:dyDescent="0.35">
      <c r="R1959" s="191"/>
      <c r="S1959" s="191"/>
      <c r="T1959" s="193"/>
      <c r="U1959" s="191"/>
      <c r="V1959" s="194"/>
      <c r="W1959" s="191"/>
      <c r="Y1959" s="191"/>
      <c r="Z1959" s="191"/>
      <c r="AA1959" s="191"/>
      <c r="AB1959" s="191"/>
      <c r="AC1959" s="191"/>
      <c r="AD1959" s="16"/>
      <c r="AE1959" s="16"/>
      <c r="AF1959" s="16"/>
      <c r="AG1959" s="16"/>
      <c r="AH1959" s="16"/>
      <c r="AI1959" s="16"/>
      <c r="AJ1959" s="16"/>
      <c r="AK1959" s="16"/>
      <c r="AL1959" s="16"/>
      <c r="AM1959" s="16"/>
      <c r="AN1959" s="16"/>
      <c r="AO1959" s="16"/>
      <c r="AP1959" s="16"/>
      <c r="AQ1959" s="16"/>
      <c r="AR1959" s="16"/>
      <c r="AS1959" s="16"/>
    </row>
    <row r="1960" spans="18:45" x14ac:dyDescent="0.35">
      <c r="R1960" s="191"/>
      <c r="S1960" s="191"/>
      <c r="T1960" s="193"/>
      <c r="U1960" s="191"/>
      <c r="V1960" s="194"/>
      <c r="W1960" s="191"/>
      <c r="Y1960" s="191"/>
      <c r="Z1960" s="191"/>
      <c r="AA1960" s="191"/>
      <c r="AB1960" s="191"/>
      <c r="AC1960" s="191"/>
      <c r="AD1960" s="16"/>
      <c r="AE1960" s="16"/>
      <c r="AF1960" s="16"/>
      <c r="AG1960" s="16"/>
      <c r="AH1960" s="16"/>
      <c r="AI1960" s="16"/>
      <c r="AJ1960" s="16"/>
      <c r="AK1960" s="16"/>
      <c r="AL1960" s="16"/>
      <c r="AM1960" s="16"/>
      <c r="AN1960" s="16"/>
      <c r="AO1960" s="16"/>
      <c r="AP1960" s="16"/>
      <c r="AQ1960" s="16"/>
      <c r="AR1960" s="16"/>
      <c r="AS1960" s="16"/>
    </row>
    <row r="1961" spans="18:45" x14ac:dyDescent="0.35">
      <c r="R1961" s="191"/>
      <c r="S1961" s="191"/>
      <c r="T1961" s="193"/>
      <c r="U1961" s="191"/>
      <c r="V1961" s="194"/>
      <c r="W1961" s="191"/>
      <c r="Y1961" s="191"/>
      <c r="Z1961" s="191"/>
      <c r="AA1961" s="191"/>
      <c r="AB1961" s="191"/>
      <c r="AC1961" s="191"/>
      <c r="AD1961" s="16"/>
      <c r="AE1961" s="16"/>
      <c r="AF1961" s="16"/>
      <c r="AG1961" s="16"/>
      <c r="AH1961" s="16"/>
      <c r="AI1961" s="16"/>
      <c r="AJ1961" s="16"/>
      <c r="AK1961" s="16"/>
      <c r="AL1961" s="16"/>
      <c r="AM1961" s="16"/>
      <c r="AN1961" s="16"/>
      <c r="AO1961" s="16"/>
      <c r="AP1961" s="16"/>
      <c r="AQ1961" s="16"/>
      <c r="AR1961" s="16"/>
      <c r="AS1961" s="16"/>
    </row>
    <row r="1962" spans="18:45" x14ac:dyDescent="0.35">
      <c r="R1962" s="191"/>
      <c r="S1962" s="191"/>
      <c r="T1962" s="193"/>
      <c r="U1962" s="191"/>
      <c r="V1962" s="194"/>
      <c r="W1962" s="191"/>
      <c r="Y1962" s="191"/>
      <c r="Z1962" s="191"/>
      <c r="AA1962" s="191"/>
      <c r="AB1962" s="191"/>
      <c r="AC1962" s="191"/>
      <c r="AD1962" s="16"/>
      <c r="AE1962" s="16"/>
      <c r="AF1962" s="16"/>
      <c r="AG1962" s="16"/>
      <c r="AH1962" s="16"/>
      <c r="AI1962" s="16"/>
      <c r="AJ1962" s="16"/>
      <c r="AK1962" s="16"/>
      <c r="AL1962" s="16"/>
      <c r="AM1962" s="16"/>
      <c r="AN1962" s="16"/>
      <c r="AO1962" s="16"/>
      <c r="AP1962" s="16"/>
      <c r="AQ1962" s="16"/>
      <c r="AR1962" s="16"/>
      <c r="AS1962" s="16"/>
    </row>
    <row r="1963" spans="18:45" x14ac:dyDescent="0.35">
      <c r="R1963" s="191"/>
      <c r="S1963" s="191"/>
      <c r="T1963" s="193"/>
      <c r="U1963" s="191"/>
      <c r="V1963" s="194"/>
      <c r="W1963" s="191"/>
      <c r="Y1963" s="191"/>
      <c r="Z1963" s="191"/>
      <c r="AA1963" s="191"/>
      <c r="AB1963" s="191"/>
      <c r="AC1963" s="191"/>
      <c r="AD1963" s="16"/>
      <c r="AE1963" s="16"/>
      <c r="AF1963" s="16"/>
      <c r="AG1963" s="16"/>
      <c r="AH1963" s="16"/>
      <c r="AI1963" s="16"/>
      <c r="AJ1963" s="16"/>
      <c r="AK1963" s="16"/>
      <c r="AL1963" s="16"/>
      <c r="AM1963" s="16"/>
      <c r="AN1963" s="16"/>
      <c r="AO1963" s="16"/>
      <c r="AP1963" s="16"/>
      <c r="AQ1963" s="16"/>
      <c r="AR1963" s="16"/>
      <c r="AS1963" s="16"/>
    </row>
    <row r="1964" spans="18:45" x14ac:dyDescent="0.35">
      <c r="R1964" s="191"/>
      <c r="S1964" s="191"/>
      <c r="T1964" s="193"/>
      <c r="U1964" s="191"/>
      <c r="V1964" s="194"/>
      <c r="W1964" s="191"/>
      <c r="Y1964" s="191"/>
      <c r="Z1964" s="191"/>
      <c r="AA1964" s="191"/>
      <c r="AB1964" s="191"/>
      <c r="AC1964" s="191"/>
      <c r="AD1964" s="16"/>
      <c r="AE1964" s="16"/>
      <c r="AF1964" s="16"/>
      <c r="AG1964" s="16"/>
      <c r="AH1964" s="16"/>
      <c r="AI1964" s="16"/>
      <c r="AJ1964" s="16"/>
      <c r="AK1964" s="16"/>
      <c r="AL1964" s="16"/>
      <c r="AM1964" s="16"/>
      <c r="AN1964" s="16"/>
      <c r="AO1964" s="16"/>
      <c r="AP1964" s="16"/>
      <c r="AQ1964" s="16"/>
      <c r="AR1964" s="16"/>
      <c r="AS1964" s="16"/>
    </row>
    <row r="1965" spans="18:45" x14ac:dyDescent="0.35">
      <c r="R1965" s="191"/>
      <c r="S1965" s="191"/>
      <c r="T1965" s="193"/>
      <c r="U1965" s="191"/>
      <c r="V1965" s="194"/>
      <c r="W1965" s="191"/>
      <c r="Y1965" s="191"/>
      <c r="Z1965" s="191"/>
      <c r="AA1965" s="191"/>
      <c r="AB1965" s="191"/>
      <c r="AC1965" s="191"/>
      <c r="AD1965" s="16"/>
      <c r="AE1965" s="16"/>
      <c r="AF1965" s="16"/>
      <c r="AG1965" s="16"/>
      <c r="AH1965" s="16"/>
      <c r="AI1965" s="16"/>
      <c r="AJ1965" s="16"/>
      <c r="AK1965" s="16"/>
      <c r="AL1965" s="16"/>
      <c r="AM1965" s="16"/>
      <c r="AN1965" s="16"/>
      <c r="AO1965" s="16"/>
      <c r="AP1965" s="16"/>
      <c r="AQ1965" s="16"/>
      <c r="AR1965" s="16"/>
      <c r="AS1965" s="16"/>
    </row>
    <row r="1966" spans="18:45" x14ac:dyDescent="0.35">
      <c r="R1966" s="191"/>
      <c r="S1966" s="191"/>
      <c r="T1966" s="193"/>
      <c r="U1966" s="191"/>
      <c r="V1966" s="194"/>
      <c r="W1966" s="191"/>
      <c r="Y1966" s="191"/>
      <c r="Z1966" s="191"/>
      <c r="AA1966" s="191"/>
      <c r="AB1966" s="191"/>
      <c r="AC1966" s="191"/>
      <c r="AD1966" s="16"/>
      <c r="AE1966" s="16"/>
      <c r="AF1966" s="16"/>
      <c r="AG1966" s="16"/>
      <c r="AH1966" s="16"/>
      <c r="AI1966" s="16"/>
      <c r="AJ1966" s="16"/>
      <c r="AK1966" s="16"/>
      <c r="AL1966" s="16"/>
      <c r="AM1966" s="16"/>
      <c r="AN1966" s="16"/>
      <c r="AO1966" s="16"/>
      <c r="AP1966" s="16"/>
      <c r="AQ1966" s="16"/>
      <c r="AR1966" s="16"/>
      <c r="AS1966" s="16"/>
    </row>
    <row r="1967" spans="18:45" x14ac:dyDescent="0.35">
      <c r="R1967" s="191"/>
      <c r="S1967" s="191"/>
      <c r="T1967" s="193"/>
      <c r="U1967" s="191"/>
      <c r="V1967" s="194"/>
      <c r="W1967" s="191"/>
      <c r="Y1967" s="191"/>
      <c r="Z1967" s="191"/>
      <c r="AA1967" s="191"/>
      <c r="AB1967" s="191"/>
      <c r="AC1967" s="191"/>
      <c r="AD1967" s="16"/>
      <c r="AE1967" s="16"/>
      <c r="AF1967" s="16"/>
      <c r="AG1967" s="16"/>
      <c r="AH1967" s="16"/>
      <c r="AI1967" s="16"/>
      <c r="AJ1967" s="16"/>
      <c r="AK1967" s="16"/>
      <c r="AL1967" s="16"/>
      <c r="AM1967" s="16"/>
      <c r="AN1967" s="16"/>
      <c r="AO1967" s="16"/>
      <c r="AP1967" s="16"/>
      <c r="AQ1967" s="16"/>
      <c r="AR1967" s="16"/>
      <c r="AS1967" s="16"/>
    </row>
    <row r="1968" spans="18:45" x14ac:dyDescent="0.35">
      <c r="R1968" s="191"/>
      <c r="S1968" s="191"/>
      <c r="T1968" s="193"/>
      <c r="U1968" s="191"/>
      <c r="V1968" s="194"/>
      <c r="W1968" s="191"/>
      <c r="Y1968" s="191"/>
      <c r="Z1968" s="191"/>
      <c r="AA1968" s="191"/>
      <c r="AB1968" s="191"/>
      <c r="AC1968" s="191"/>
      <c r="AD1968" s="16"/>
      <c r="AE1968" s="16"/>
      <c r="AF1968" s="16"/>
      <c r="AG1968" s="16"/>
      <c r="AH1968" s="16"/>
      <c r="AI1968" s="16"/>
      <c r="AJ1968" s="16"/>
      <c r="AK1968" s="16"/>
      <c r="AL1968" s="16"/>
      <c r="AM1968" s="16"/>
      <c r="AN1968" s="16"/>
      <c r="AO1968" s="16"/>
      <c r="AP1968" s="16"/>
      <c r="AQ1968" s="16"/>
      <c r="AR1968" s="16"/>
      <c r="AS1968" s="16"/>
    </row>
    <row r="1969" spans="18:45" x14ac:dyDescent="0.35">
      <c r="R1969" s="191"/>
      <c r="S1969" s="191"/>
      <c r="T1969" s="193"/>
      <c r="U1969" s="191"/>
      <c r="V1969" s="194"/>
      <c r="W1969" s="191"/>
      <c r="Y1969" s="191"/>
      <c r="Z1969" s="191"/>
      <c r="AA1969" s="191"/>
      <c r="AB1969" s="191"/>
      <c r="AC1969" s="191"/>
      <c r="AD1969" s="16"/>
      <c r="AE1969" s="16"/>
      <c r="AF1969" s="16"/>
      <c r="AG1969" s="16"/>
      <c r="AH1969" s="16"/>
      <c r="AI1969" s="16"/>
      <c r="AJ1969" s="16"/>
      <c r="AK1969" s="16"/>
      <c r="AL1969" s="16"/>
      <c r="AM1969" s="16"/>
      <c r="AN1969" s="16"/>
      <c r="AO1969" s="16"/>
      <c r="AP1969" s="16"/>
      <c r="AQ1969" s="16"/>
      <c r="AR1969" s="16"/>
      <c r="AS1969" s="16"/>
    </row>
    <row r="1970" spans="18:45" x14ac:dyDescent="0.35">
      <c r="R1970" s="191"/>
      <c r="S1970" s="191"/>
      <c r="T1970" s="193"/>
      <c r="U1970" s="191"/>
      <c r="V1970" s="194"/>
      <c r="W1970" s="191"/>
      <c r="Y1970" s="191"/>
      <c r="Z1970" s="191"/>
      <c r="AA1970" s="191"/>
      <c r="AB1970" s="191"/>
      <c r="AC1970" s="191"/>
      <c r="AD1970" s="16"/>
      <c r="AE1970" s="16"/>
      <c r="AF1970" s="16"/>
      <c r="AG1970" s="16"/>
      <c r="AH1970" s="16"/>
      <c r="AI1970" s="16"/>
      <c r="AJ1970" s="16"/>
      <c r="AK1970" s="16"/>
      <c r="AL1970" s="16"/>
      <c r="AM1970" s="16"/>
      <c r="AN1970" s="16"/>
      <c r="AO1970" s="16"/>
      <c r="AP1970" s="16"/>
      <c r="AQ1970" s="16"/>
      <c r="AR1970" s="16"/>
      <c r="AS1970" s="16"/>
    </row>
    <row r="1971" spans="18:45" x14ac:dyDescent="0.35">
      <c r="R1971" s="191"/>
      <c r="S1971" s="191"/>
      <c r="T1971" s="193"/>
      <c r="U1971" s="191"/>
      <c r="V1971" s="194"/>
      <c r="W1971" s="191"/>
      <c r="Y1971" s="191"/>
      <c r="Z1971" s="191"/>
      <c r="AA1971" s="191"/>
      <c r="AB1971" s="191"/>
      <c r="AC1971" s="191"/>
      <c r="AD1971" s="16"/>
      <c r="AE1971" s="16"/>
      <c r="AF1971" s="16"/>
      <c r="AG1971" s="16"/>
      <c r="AH1971" s="16"/>
      <c r="AI1971" s="16"/>
      <c r="AJ1971" s="16"/>
      <c r="AK1971" s="16"/>
      <c r="AL1971" s="16"/>
      <c r="AM1971" s="16"/>
      <c r="AN1971" s="16"/>
      <c r="AO1971" s="16"/>
      <c r="AP1971" s="16"/>
      <c r="AQ1971" s="16"/>
      <c r="AR1971" s="16"/>
      <c r="AS1971" s="16"/>
    </row>
    <row r="1972" spans="18:45" x14ac:dyDescent="0.35">
      <c r="R1972" s="191"/>
      <c r="S1972" s="191"/>
      <c r="T1972" s="193"/>
      <c r="U1972" s="191"/>
      <c r="V1972" s="194"/>
      <c r="W1972" s="191"/>
      <c r="Y1972" s="191"/>
      <c r="Z1972" s="191"/>
      <c r="AA1972" s="191"/>
      <c r="AB1972" s="191"/>
      <c r="AC1972" s="191"/>
      <c r="AD1972" s="16"/>
      <c r="AE1972" s="16"/>
      <c r="AF1972" s="16"/>
      <c r="AG1972" s="16"/>
      <c r="AH1972" s="16"/>
      <c r="AI1972" s="16"/>
      <c r="AJ1972" s="16"/>
      <c r="AK1972" s="16"/>
      <c r="AL1972" s="16"/>
      <c r="AM1972" s="16"/>
      <c r="AN1972" s="16"/>
      <c r="AO1972" s="16"/>
      <c r="AP1972" s="16"/>
      <c r="AQ1972" s="16"/>
      <c r="AR1972" s="16"/>
      <c r="AS1972" s="16"/>
    </row>
    <row r="1973" spans="18:45" x14ac:dyDescent="0.35">
      <c r="R1973" s="191"/>
      <c r="S1973" s="191"/>
      <c r="T1973" s="193"/>
      <c r="U1973" s="191"/>
      <c r="V1973" s="194"/>
      <c r="W1973" s="191"/>
      <c r="Y1973" s="191"/>
      <c r="Z1973" s="191"/>
      <c r="AA1973" s="191"/>
      <c r="AB1973" s="191"/>
      <c r="AC1973" s="191"/>
      <c r="AD1973" s="16"/>
      <c r="AE1973" s="16"/>
      <c r="AF1973" s="16"/>
      <c r="AG1973" s="16"/>
      <c r="AH1973" s="16"/>
      <c r="AI1973" s="16"/>
      <c r="AJ1973" s="16"/>
      <c r="AK1973" s="16"/>
      <c r="AL1973" s="16"/>
      <c r="AM1973" s="16"/>
      <c r="AN1973" s="16"/>
      <c r="AO1973" s="16"/>
      <c r="AP1973" s="16"/>
      <c r="AQ1973" s="16"/>
      <c r="AR1973" s="16"/>
      <c r="AS1973" s="16"/>
    </row>
    <row r="1974" spans="18:45" x14ac:dyDescent="0.35">
      <c r="R1974" s="191"/>
      <c r="S1974" s="191"/>
      <c r="T1974" s="193"/>
      <c r="U1974" s="191"/>
      <c r="V1974" s="194"/>
      <c r="W1974" s="191"/>
      <c r="Y1974" s="191"/>
      <c r="Z1974" s="191"/>
      <c r="AA1974" s="191"/>
      <c r="AB1974" s="191"/>
      <c r="AC1974" s="191"/>
      <c r="AD1974" s="16"/>
      <c r="AE1974" s="16"/>
      <c r="AF1974" s="16"/>
      <c r="AG1974" s="16"/>
      <c r="AH1974" s="16"/>
      <c r="AI1974" s="16"/>
      <c r="AJ1974" s="16"/>
      <c r="AK1974" s="16"/>
      <c r="AL1974" s="16"/>
      <c r="AM1974" s="16"/>
      <c r="AN1974" s="16"/>
      <c r="AO1974" s="16"/>
      <c r="AP1974" s="16"/>
      <c r="AQ1974" s="16"/>
      <c r="AR1974" s="16"/>
      <c r="AS1974" s="16"/>
    </row>
    <row r="1975" spans="18:45" x14ac:dyDescent="0.35">
      <c r="R1975" s="191"/>
      <c r="S1975" s="191"/>
      <c r="T1975" s="193"/>
      <c r="U1975" s="191"/>
      <c r="V1975" s="194"/>
      <c r="W1975" s="191"/>
      <c r="Y1975" s="191"/>
      <c r="Z1975" s="191"/>
      <c r="AA1975" s="191"/>
      <c r="AB1975" s="191"/>
      <c r="AC1975" s="191"/>
      <c r="AD1975" s="16"/>
      <c r="AE1975" s="16"/>
      <c r="AF1975" s="16"/>
      <c r="AG1975" s="16"/>
      <c r="AH1975" s="16"/>
      <c r="AI1975" s="16"/>
      <c r="AJ1975" s="16"/>
      <c r="AK1975" s="16"/>
      <c r="AL1975" s="16"/>
      <c r="AM1975" s="16"/>
      <c r="AN1975" s="16"/>
      <c r="AO1975" s="16"/>
      <c r="AP1975" s="16"/>
      <c r="AQ1975" s="16"/>
      <c r="AR1975" s="16"/>
      <c r="AS1975" s="16"/>
    </row>
    <row r="1976" spans="18:45" x14ac:dyDescent="0.35">
      <c r="R1976" s="191"/>
      <c r="S1976" s="191"/>
      <c r="T1976" s="193"/>
      <c r="U1976" s="191"/>
      <c r="V1976" s="194"/>
      <c r="W1976" s="191"/>
      <c r="Y1976" s="191"/>
      <c r="Z1976" s="191"/>
      <c r="AA1976" s="191"/>
      <c r="AB1976" s="191"/>
      <c r="AC1976" s="191"/>
      <c r="AD1976" s="16"/>
      <c r="AE1976" s="16"/>
      <c r="AF1976" s="16"/>
      <c r="AG1976" s="16"/>
      <c r="AH1976" s="16"/>
      <c r="AI1976" s="16"/>
      <c r="AJ1976" s="16"/>
      <c r="AK1976" s="16"/>
      <c r="AL1976" s="16"/>
      <c r="AM1976" s="16"/>
      <c r="AN1976" s="16"/>
      <c r="AO1976" s="16"/>
      <c r="AP1976" s="16"/>
      <c r="AQ1976" s="16"/>
      <c r="AR1976" s="16"/>
      <c r="AS1976" s="16"/>
    </row>
    <row r="1977" spans="18:45" x14ac:dyDescent="0.35">
      <c r="R1977" s="191"/>
      <c r="S1977" s="191"/>
      <c r="T1977" s="193"/>
      <c r="U1977" s="191"/>
      <c r="V1977" s="194"/>
      <c r="W1977" s="191"/>
      <c r="Y1977" s="191"/>
      <c r="Z1977" s="191"/>
      <c r="AA1977" s="191"/>
      <c r="AB1977" s="191"/>
      <c r="AC1977" s="191"/>
      <c r="AD1977" s="16"/>
      <c r="AE1977" s="16"/>
      <c r="AF1977" s="16"/>
      <c r="AG1977" s="16"/>
      <c r="AH1977" s="16"/>
      <c r="AI1977" s="16"/>
      <c r="AJ1977" s="16"/>
      <c r="AK1977" s="16"/>
      <c r="AL1977" s="16"/>
      <c r="AM1977" s="16"/>
      <c r="AN1977" s="16"/>
      <c r="AO1977" s="16"/>
      <c r="AP1977" s="16"/>
      <c r="AQ1977" s="16"/>
      <c r="AR1977" s="16"/>
      <c r="AS1977" s="16"/>
    </row>
    <row r="1978" spans="18:45" x14ac:dyDescent="0.35">
      <c r="R1978" s="191"/>
      <c r="S1978" s="191"/>
      <c r="T1978" s="193"/>
      <c r="U1978" s="191"/>
      <c r="V1978" s="194"/>
      <c r="W1978" s="191"/>
      <c r="Y1978" s="191"/>
      <c r="Z1978" s="191"/>
      <c r="AA1978" s="191"/>
      <c r="AB1978" s="191"/>
      <c r="AC1978" s="191"/>
      <c r="AD1978" s="16"/>
      <c r="AE1978" s="16"/>
      <c r="AF1978" s="16"/>
      <c r="AG1978" s="16"/>
      <c r="AH1978" s="16"/>
      <c r="AI1978" s="16"/>
      <c r="AJ1978" s="16"/>
      <c r="AK1978" s="16"/>
      <c r="AL1978" s="16"/>
      <c r="AM1978" s="16"/>
      <c r="AN1978" s="16"/>
      <c r="AO1978" s="16"/>
      <c r="AP1978" s="16"/>
      <c r="AQ1978" s="16"/>
      <c r="AR1978" s="16"/>
      <c r="AS1978" s="16"/>
    </row>
    <row r="1979" spans="18:45" x14ac:dyDescent="0.35">
      <c r="R1979" s="191"/>
      <c r="S1979" s="191"/>
      <c r="T1979" s="193"/>
      <c r="U1979" s="191"/>
      <c r="V1979" s="194"/>
      <c r="W1979" s="191"/>
      <c r="Y1979" s="191"/>
      <c r="Z1979" s="191"/>
      <c r="AA1979" s="191"/>
      <c r="AB1979" s="191"/>
      <c r="AC1979" s="191"/>
      <c r="AD1979" s="16"/>
      <c r="AE1979" s="16"/>
      <c r="AF1979" s="16"/>
      <c r="AG1979" s="16"/>
      <c r="AH1979" s="16"/>
      <c r="AI1979" s="16"/>
      <c r="AJ1979" s="16"/>
      <c r="AK1979" s="16"/>
      <c r="AL1979" s="16"/>
      <c r="AM1979" s="16"/>
      <c r="AN1979" s="16"/>
      <c r="AO1979" s="16"/>
      <c r="AP1979" s="16"/>
      <c r="AQ1979" s="16"/>
      <c r="AR1979" s="16"/>
      <c r="AS1979" s="16"/>
    </row>
    <row r="1980" spans="18:45" x14ac:dyDescent="0.35">
      <c r="R1980" s="191"/>
      <c r="S1980" s="191"/>
      <c r="T1980" s="193"/>
      <c r="U1980" s="191"/>
      <c r="V1980" s="194"/>
      <c r="W1980" s="191"/>
      <c r="Y1980" s="191"/>
      <c r="Z1980" s="191"/>
      <c r="AA1980" s="191"/>
      <c r="AB1980" s="191"/>
      <c r="AC1980" s="191"/>
      <c r="AD1980" s="16"/>
      <c r="AE1980" s="16"/>
      <c r="AF1980" s="16"/>
      <c r="AG1980" s="16"/>
      <c r="AH1980" s="16"/>
      <c r="AI1980" s="16"/>
      <c r="AJ1980" s="16"/>
      <c r="AK1980" s="16"/>
      <c r="AL1980" s="16"/>
      <c r="AM1980" s="16"/>
      <c r="AN1980" s="16"/>
      <c r="AO1980" s="16"/>
      <c r="AP1980" s="16"/>
      <c r="AQ1980" s="16"/>
      <c r="AR1980" s="16"/>
      <c r="AS1980" s="16"/>
    </row>
    <row r="1981" spans="18:45" x14ac:dyDescent="0.35">
      <c r="R1981" s="191"/>
      <c r="S1981" s="191"/>
      <c r="T1981" s="193"/>
      <c r="U1981" s="191"/>
      <c r="V1981" s="194"/>
      <c r="W1981" s="191"/>
      <c r="Y1981" s="191"/>
      <c r="Z1981" s="191"/>
      <c r="AA1981" s="191"/>
      <c r="AB1981" s="191"/>
      <c r="AC1981" s="191"/>
      <c r="AD1981" s="16"/>
      <c r="AE1981" s="16"/>
      <c r="AF1981" s="16"/>
      <c r="AG1981" s="16"/>
      <c r="AH1981" s="16"/>
      <c r="AI1981" s="16"/>
      <c r="AJ1981" s="16"/>
      <c r="AK1981" s="16"/>
      <c r="AL1981" s="16"/>
      <c r="AM1981" s="16"/>
      <c r="AN1981" s="16"/>
      <c r="AO1981" s="16"/>
      <c r="AP1981" s="16"/>
      <c r="AQ1981" s="16"/>
      <c r="AR1981" s="16"/>
      <c r="AS1981" s="16"/>
    </row>
    <row r="1982" spans="18:45" x14ac:dyDescent="0.35">
      <c r="R1982" s="191"/>
      <c r="S1982" s="191"/>
      <c r="T1982" s="193"/>
      <c r="U1982" s="191"/>
      <c r="V1982" s="194"/>
      <c r="W1982" s="191"/>
      <c r="Y1982" s="191"/>
      <c r="Z1982" s="191"/>
      <c r="AA1982" s="191"/>
      <c r="AB1982" s="191"/>
      <c r="AC1982" s="191"/>
      <c r="AD1982" s="16"/>
      <c r="AE1982" s="16"/>
      <c r="AF1982" s="16"/>
      <c r="AG1982" s="16"/>
      <c r="AH1982" s="16"/>
      <c r="AI1982" s="16"/>
      <c r="AJ1982" s="16"/>
      <c r="AK1982" s="16"/>
      <c r="AL1982" s="16"/>
      <c r="AM1982" s="16"/>
      <c r="AN1982" s="16"/>
      <c r="AO1982" s="16"/>
      <c r="AP1982" s="16"/>
      <c r="AQ1982" s="16"/>
      <c r="AR1982" s="16"/>
      <c r="AS1982" s="16"/>
    </row>
    <row r="1983" spans="18:45" x14ac:dyDescent="0.35">
      <c r="R1983" s="191"/>
      <c r="S1983" s="191"/>
      <c r="T1983" s="193"/>
      <c r="U1983" s="191"/>
      <c r="V1983" s="194"/>
      <c r="W1983" s="191"/>
      <c r="Y1983" s="191"/>
      <c r="Z1983" s="191"/>
      <c r="AA1983" s="191"/>
      <c r="AB1983" s="191"/>
      <c r="AC1983" s="191"/>
      <c r="AD1983" s="16"/>
      <c r="AE1983" s="16"/>
      <c r="AF1983" s="16"/>
      <c r="AG1983" s="16"/>
      <c r="AH1983" s="16"/>
      <c r="AI1983" s="16"/>
      <c r="AJ1983" s="16"/>
      <c r="AK1983" s="16"/>
      <c r="AL1983" s="16"/>
      <c r="AM1983" s="16"/>
      <c r="AN1983" s="16"/>
      <c r="AO1983" s="16"/>
      <c r="AP1983" s="16"/>
      <c r="AQ1983" s="16"/>
      <c r="AR1983" s="16"/>
      <c r="AS1983" s="16"/>
    </row>
    <row r="1984" spans="18:45" x14ac:dyDescent="0.35">
      <c r="R1984" s="191"/>
      <c r="S1984" s="191"/>
      <c r="T1984" s="193"/>
      <c r="U1984" s="191"/>
      <c r="V1984" s="194"/>
      <c r="W1984" s="191"/>
      <c r="Y1984" s="191"/>
      <c r="Z1984" s="191"/>
      <c r="AA1984" s="191"/>
      <c r="AB1984" s="191"/>
      <c r="AC1984" s="191"/>
      <c r="AD1984" s="16"/>
      <c r="AE1984" s="16"/>
      <c r="AF1984" s="16"/>
      <c r="AG1984" s="16"/>
      <c r="AH1984" s="16"/>
      <c r="AI1984" s="16"/>
      <c r="AJ1984" s="16"/>
      <c r="AK1984" s="16"/>
      <c r="AL1984" s="16"/>
      <c r="AM1984" s="16"/>
      <c r="AN1984" s="16"/>
      <c r="AO1984" s="16"/>
      <c r="AP1984" s="16"/>
      <c r="AQ1984" s="16"/>
      <c r="AR1984" s="16"/>
      <c r="AS1984" s="16"/>
    </row>
    <row r="1985" spans="18:45" x14ac:dyDescent="0.35">
      <c r="R1985" s="191"/>
      <c r="S1985" s="191"/>
      <c r="T1985" s="193"/>
      <c r="U1985" s="191"/>
      <c r="V1985" s="194"/>
      <c r="W1985" s="191"/>
      <c r="Y1985" s="191"/>
      <c r="Z1985" s="191"/>
      <c r="AA1985" s="191"/>
      <c r="AB1985" s="191"/>
      <c r="AC1985" s="191"/>
      <c r="AD1985" s="16"/>
      <c r="AE1985" s="16"/>
      <c r="AF1985" s="16"/>
      <c r="AG1985" s="16"/>
      <c r="AH1985" s="16"/>
      <c r="AI1985" s="16"/>
      <c r="AJ1985" s="16"/>
      <c r="AK1985" s="16"/>
      <c r="AL1985" s="16"/>
      <c r="AM1985" s="16"/>
      <c r="AN1985" s="16"/>
      <c r="AO1985" s="16"/>
      <c r="AP1985" s="16"/>
      <c r="AQ1985" s="16"/>
      <c r="AR1985" s="16"/>
      <c r="AS1985" s="16"/>
    </row>
    <row r="1986" spans="18:45" x14ac:dyDescent="0.35">
      <c r="R1986" s="191"/>
      <c r="S1986" s="191"/>
      <c r="T1986" s="193"/>
      <c r="U1986" s="191"/>
      <c r="V1986" s="194"/>
      <c r="W1986" s="191"/>
      <c r="Y1986" s="191"/>
      <c r="Z1986" s="191"/>
      <c r="AA1986" s="191"/>
      <c r="AB1986" s="191"/>
      <c r="AC1986" s="191"/>
      <c r="AD1986" s="16"/>
      <c r="AE1986" s="16"/>
      <c r="AF1986" s="16"/>
      <c r="AG1986" s="16"/>
      <c r="AH1986" s="16"/>
      <c r="AI1986" s="16"/>
      <c r="AJ1986" s="16"/>
      <c r="AK1986" s="16"/>
      <c r="AL1986" s="16"/>
      <c r="AM1986" s="16"/>
      <c r="AN1986" s="16"/>
      <c r="AO1986" s="16"/>
      <c r="AP1986" s="16"/>
      <c r="AQ1986" s="16"/>
      <c r="AR1986" s="16"/>
      <c r="AS1986" s="16"/>
    </row>
    <row r="1987" spans="18:45" x14ac:dyDescent="0.35">
      <c r="R1987" s="191"/>
      <c r="S1987" s="191"/>
      <c r="T1987" s="193"/>
      <c r="U1987" s="191"/>
      <c r="V1987" s="194"/>
      <c r="W1987" s="191"/>
      <c r="Y1987" s="191"/>
      <c r="Z1987" s="191"/>
      <c r="AA1987" s="191"/>
      <c r="AB1987" s="191"/>
      <c r="AC1987" s="191"/>
      <c r="AD1987" s="16"/>
      <c r="AE1987" s="16"/>
      <c r="AF1987" s="16"/>
      <c r="AG1987" s="16"/>
      <c r="AH1987" s="16"/>
      <c r="AI1987" s="16"/>
      <c r="AJ1987" s="16"/>
      <c r="AK1987" s="16"/>
      <c r="AL1987" s="16"/>
      <c r="AM1987" s="16"/>
      <c r="AN1987" s="16"/>
      <c r="AO1987" s="16"/>
      <c r="AP1987" s="16"/>
      <c r="AQ1987" s="16"/>
      <c r="AR1987" s="16"/>
      <c r="AS1987" s="16"/>
    </row>
    <row r="1988" spans="18:45" x14ac:dyDescent="0.35">
      <c r="R1988" s="191"/>
      <c r="S1988" s="191"/>
      <c r="T1988" s="193"/>
      <c r="U1988" s="191"/>
      <c r="V1988" s="194"/>
      <c r="W1988" s="191"/>
      <c r="Y1988" s="191"/>
      <c r="Z1988" s="191"/>
      <c r="AA1988" s="191"/>
      <c r="AB1988" s="191"/>
      <c r="AC1988" s="191"/>
      <c r="AD1988" s="16"/>
      <c r="AE1988" s="16"/>
      <c r="AF1988" s="16"/>
      <c r="AG1988" s="16"/>
      <c r="AH1988" s="16"/>
      <c r="AI1988" s="16"/>
      <c r="AJ1988" s="16"/>
      <c r="AK1988" s="16"/>
      <c r="AL1988" s="16"/>
      <c r="AM1988" s="16"/>
      <c r="AN1988" s="16"/>
      <c r="AO1988" s="16"/>
      <c r="AP1988" s="16"/>
      <c r="AQ1988" s="16"/>
      <c r="AR1988" s="16"/>
      <c r="AS1988" s="16"/>
    </row>
    <row r="1989" spans="18:45" x14ac:dyDescent="0.35">
      <c r="R1989" s="191"/>
      <c r="S1989" s="191"/>
      <c r="T1989" s="193"/>
      <c r="U1989" s="191"/>
      <c r="V1989" s="194"/>
      <c r="W1989" s="191"/>
      <c r="Y1989" s="191"/>
      <c r="Z1989" s="191"/>
      <c r="AA1989" s="191"/>
      <c r="AB1989" s="191"/>
      <c r="AC1989" s="191"/>
      <c r="AD1989" s="16"/>
      <c r="AE1989" s="16"/>
      <c r="AF1989" s="16"/>
      <c r="AG1989" s="16"/>
      <c r="AH1989" s="16"/>
      <c r="AI1989" s="16"/>
      <c r="AJ1989" s="16"/>
      <c r="AK1989" s="16"/>
      <c r="AL1989" s="16"/>
      <c r="AM1989" s="16"/>
      <c r="AN1989" s="16"/>
      <c r="AO1989" s="16"/>
      <c r="AP1989" s="16"/>
      <c r="AQ1989" s="16"/>
      <c r="AR1989" s="16"/>
      <c r="AS1989" s="16"/>
    </row>
    <row r="1990" spans="18:45" x14ac:dyDescent="0.35">
      <c r="R1990" s="191"/>
      <c r="S1990" s="191"/>
      <c r="T1990" s="193"/>
      <c r="U1990" s="191"/>
      <c r="V1990" s="194"/>
      <c r="W1990" s="191"/>
      <c r="Y1990" s="191"/>
      <c r="Z1990" s="191"/>
      <c r="AA1990" s="191"/>
      <c r="AB1990" s="191"/>
      <c r="AC1990" s="191"/>
      <c r="AD1990" s="16"/>
      <c r="AE1990" s="16"/>
      <c r="AF1990" s="16"/>
      <c r="AG1990" s="16"/>
      <c r="AH1990" s="16"/>
      <c r="AI1990" s="16"/>
      <c r="AJ1990" s="16"/>
      <c r="AK1990" s="16"/>
      <c r="AL1990" s="16"/>
      <c r="AM1990" s="16"/>
      <c r="AN1990" s="16"/>
      <c r="AO1990" s="16"/>
      <c r="AP1990" s="16"/>
      <c r="AQ1990" s="16"/>
      <c r="AR1990" s="16"/>
      <c r="AS1990" s="16"/>
    </row>
    <row r="1991" spans="18:45" x14ac:dyDescent="0.35">
      <c r="R1991" s="191"/>
      <c r="S1991" s="191"/>
      <c r="T1991" s="193"/>
      <c r="U1991" s="191"/>
      <c r="V1991" s="194"/>
      <c r="W1991" s="191"/>
      <c r="Y1991" s="191"/>
      <c r="Z1991" s="191"/>
      <c r="AA1991" s="191"/>
      <c r="AB1991" s="191"/>
      <c r="AC1991" s="191"/>
      <c r="AD1991" s="16"/>
      <c r="AE1991" s="16"/>
      <c r="AF1991" s="16"/>
      <c r="AG1991" s="16"/>
      <c r="AH1991" s="16"/>
      <c r="AI1991" s="16"/>
      <c r="AJ1991" s="16"/>
      <c r="AK1991" s="16"/>
      <c r="AL1991" s="16"/>
      <c r="AM1991" s="16"/>
      <c r="AN1991" s="16"/>
      <c r="AO1991" s="16"/>
      <c r="AP1991" s="16"/>
      <c r="AQ1991" s="16"/>
      <c r="AR1991" s="16"/>
      <c r="AS1991" s="16"/>
    </row>
    <row r="1992" spans="18:45" x14ac:dyDescent="0.35">
      <c r="R1992" s="191"/>
      <c r="S1992" s="191"/>
      <c r="T1992" s="193"/>
      <c r="U1992" s="191"/>
      <c r="V1992" s="194"/>
      <c r="W1992" s="191"/>
      <c r="Y1992" s="191"/>
      <c r="Z1992" s="191"/>
      <c r="AA1992" s="191"/>
      <c r="AB1992" s="191"/>
      <c r="AC1992" s="191"/>
      <c r="AD1992" s="16"/>
      <c r="AE1992" s="16"/>
      <c r="AF1992" s="16"/>
      <c r="AG1992" s="16"/>
      <c r="AH1992" s="16"/>
      <c r="AI1992" s="16"/>
      <c r="AJ1992" s="16"/>
      <c r="AK1992" s="16"/>
      <c r="AL1992" s="16"/>
      <c r="AM1992" s="16"/>
      <c r="AN1992" s="16"/>
      <c r="AO1992" s="16"/>
      <c r="AP1992" s="16"/>
      <c r="AQ1992" s="16"/>
      <c r="AR1992" s="16"/>
      <c r="AS1992" s="16"/>
    </row>
    <row r="1993" spans="18:45" x14ac:dyDescent="0.35">
      <c r="R1993" s="191"/>
      <c r="S1993" s="191"/>
      <c r="T1993" s="193"/>
      <c r="U1993" s="191"/>
      <c r="V1993" s="194"/>
      <c r="W1993" s="191"/>
      <c r="Y1993" s="191"/>
      <c r="Z1993" s="191"/>
      <c r="AA1993" s="191"/>
      <c r="AB1993" s="191"/>
      <c r="AC1993" s="191"/>
      <c r="AD1993" s="16"/>
      <c r="AE1993" s="16"/>
      <c r="AF1993" s="16"/>
      <c r="AG1993" s="16"/>
      <c r="AH1993" s="16"/>
      <c r="AI1993" s="16"/>
      <c r="AJ1993" s="16"/>
      <c r="AK1993" s="16"/>
      <c r="AL1993" s="16"/>
      <c r="AM1993" s="16"/>
      <c r="AN1993" s="16"/>
      <c r="AO1993" s="16"/>
      <c r="AP1993" s="16"/>
      <c r="AQ1993" s="16"/>
      <c r="AR1993" s="16"/>
      <c r="AS1993" s="16"/>
    </row>
    <row r="1994" spans="18:45" x14ac:dyDescent="0.35">
      <c r="R1994" s="191"/>
      <c r="S1994" s="191"/>
      <c r="T1994" s="193"/>
      <c r="U1994" s="191"/>
      <c r="V1994" s="194"/>
      <c r="W1994" s="191"/>
      <c r="Y1994" s="191"/>
      <c r="Z1994" s="191"/>
      <c r="AA1994" s="191"/>
      <c r="AB1994" s="191"/>
      <c r="AC1994" s="191"/>
      <c r="AD1994" s="16"/>
      <c r="AE1994" s="16"/>
      <c r="AF1994" s="16"/>
      <c r="AG1994" s="16"/>
      <c r="AH1994" s="16"/>
      <c r="AI1994" s="16"/>
      <c r="AJ1994" s="16"/>
      <c r="AK1994" s="16"/>
      <c r="AL1994" s="16"/>
      <c r="AM1994" s="16"/>
      <c r="AN1994" s="16"/>
      <c r="AO1994" s="16"/>
      <c r="AP1994" s="16"/>
      <c r="AQ1994" s="16"/>
      <c r="AR1994" s="16"/>
      <c r="AS1994" s="16"/>
    </row>
    <row r="1995" spans="18:45" x14ac:dyDescent="0.35">
      <c r="R1995" s="191"/>
      <c r="S1995" s="191"/>
      <c r="T1995" s="193"/>
      <c r="U1995" s="191"/>
      <c r="V1995" s="194"/>
      <c r="W1995" s="191"/>
      <c r="Y1995" s="191"/>
      <c r="Z1995" s="191"/>
      <c r="AA1995" s="191"/>
      <c r="AB1995" s="191"/>
      <c r="AC1995" s="191"/>
      <c r="AD1995" s="16"/>
      <c r="AE1995" s="16"/>
      <c r="AF1995" s="16"/>
      <c r="AG1995" s="16"/>
      <c r="AH1995" s="16"/>
      <c r="AI1995" s="16"/>
      <c r="AJ1995" s="16"/>
      <c r="AK1995" s="16"/>
      <c r="AL1995" s="16"/>
      <c r="AM1995" s="16"/>
      <c r="AN1995" s="16"/>
      <c r="AO1995" s="16"/>
      <c r="AP1995" s="16"/>
      <c r="AQ1995" s="16"/>
      <c r="AR1995" s="16"/>
      <c r="AS1995" s="16"/>
    </row>
    <row r="1996" spans="18:45" x14ac:dyDescent="0.35">
      <c r="R1996" s="191"/>
      <c r="S1996" s="191"/>
      <c r="T1996" s="193"/>
      <c r="U1996" s="191"/>
      <c r="V1996" s="194"/>
      <c r="W1996" s="191"/>
      <c r="Y1996" s="191"/>
      <c r="Z1996" s="191"/>
      <c r="AA1996" s="191"/>
      <c r="AB1996" s="191"/>
      <c r="AC1996" s="191"/>
      <c r="AD1996" s="16"/>
      <c r="AE1996" s="16"/>
      <c r="AF1996" s="16"/>
      <c r="AG1996" s="16"/>
      <c r="AH1996" s="16"/>
      <c r="AI1996" s="16"/>
      <c r="AJ1996" s="16"/>
      <c r="AK1996" s="16"/>
      <c r="AL1996" s="16"/>
      <c r="AM1996" s="16"/>
      <c r="AN1996" s="16"/>
      <c r="AO1996" s="16"/>
      <c r="AP1996" s="16"/>
      <c r="AQ1996" s="16"/>
      <c r="AR1996" s="16"/>
      <c r="AS1996" s="16"/>
    </row>
    <row r="1997" spans="18:45" x14ac:dyDescent="0.35">
      <c r="R1997" s="191"/>
      <c r="S1997" s="191"/>
      <c r="T1997" s="193"/>
      <c r="U1997" s="191"/>
      <c r="V1997" s="194"/>
      <c r="W1997" s="191"/>
      <c r="Y1997" s="191"/>
      <c r="Z1997" s="191"/>
      <c r="AA1997" s="191"/>
      <c r="AB1997" s="191"/>
      <c r="AC1997" s="191"/>
      <c r="AD1997" s="16"/>
      <c r="AE1997" s="16"/>
      <c r="AF1997" s="16"/>
      <c r="AG1997" s="16"/>
      <c r="AH1997" s="16"/>
      <c r="AI1997" s="16"/>
      <c r="AJ1997" s="16"/>
      <c r="AK1997" s="16"/>
      <c r="AL1997" s="16"/>
      <c r="AM1997" s="16"/>
      <c r="AN1997" s="16"/>
      <c r="AO1997" s="16"/>
      <c r="AP1997" s="16"/>
      <c r="AQ1997" s="16"/>
      <c r="AR1997" s="16"/>
      <c r="AS1997" s="16"/>
    </row>
    <row r="1998" spans="18:45" x14ac:dyDescent="0.35">
      <c r="R1998" s="191"/>
      <c r="S1998" s="191"/>
      <c r="T1998" s="193"/>
      <c r="U1998" s="191"/>
      <c r="V1998" s="194"/>
      <c r="W1998" s="191"/>
      <c r="Y1998" s="191"/>
      <c r="Z1998" s="191"/>
      <c r="AA1998" s="191"/>
      <c r="AB1998" s="191"/>
      <c r="AC1998" s="191"/>
      <c r="AD1998" s="16"/>
      <c r="AE1998" s="16"/>
      <c r="AF1998" s="16"/>
      <c r="AG1998" s="16"/>
      <c r="AH1998" s="16"/>
      <c r="AI1998" s="16"/>
      <c r="AJ1998" s="16"/>
      <c r="AK1998" s="16"/>
      <c r="AL1998" s="16"/>
      <c r="AM1998" s="16"/>
      <c r="AN1998" s="16"/>
      <c r="AO1998" s="16"/>
      <c r="AP1998" s="16"/>
      <c r="AQ1998" s="16"/>
      <c r="AR1998" s="16"/>
      <c r="AS1998" s="16"/>
    </row>
    <row r="1999" spans="18:45" x14ac:dyDescent="0.35">
      <c r="R1999" s="191"/>
      <c r="S1999" s="191"/>
      <c r="T1999" s="193"/>
      <c r="U1999" s="191"/>
      <c r="V1999" s="194"/>
      <c r="W1999" s="191"/>
      <c r="Y1999" s="191"/>
      <c r="Z1999" s="191"/>
      <c r="AA1999" s="191"/>
      <c r="AB1999" s="191"/>
      <c r="AC1999" s="191"/>
      <c r="AD1999" s="16"/>
      <c r="AE1999" s="16"/>
      <c r="AF1999" s="16"/>
      <c r="AG1999" s="16"/>
      <c r="AH1999" s="16"/>
      <c r="AI1999" s="16"/>
      <c r="AJ1999" s="16"/>
      <c r="AK1999" s="16"/>
      <c r="AL1999" s="16"/>
      <c r="AM1999" s="16"/>
      <c r="AN1999" s="16"/>
      <c r="AO1999" s="16"/>
      <c r="AP1999" s="16"/>
      <c r="AQ1999" s="16"/>
      <c r="AR1999" s="16"/>
      <c r="AS1999" s="16"/>
    </row>
    <row r="2000" spans="18:45" x14ac:dyDescent="0.35">
      <c r="R2000" s="191"/>
      <c r="S2000" s="191"/>
      <c r="T2000" s="193"/>
      <c r="U2000" s="191"/>
      <c r="V2000" s="194"/>
      <c r="W2000" s="191"/>
      <c r="Y2000" s="191"/>
      <c r="Z2000" s="191"/>
      <c r="AA2000" s="191"/>
      <c r="AB2000" s="191"/>
      <c r="AC2000" s="191"/>
      <c r="AD2000" s="16"/>
      <c r="AE2000" s="16"/>
      <c r="AF2000" s="16"/>
      <c r="AG2000" s="16"/>
      <c r="AH2000" s="16"/>
      <c r="AI2000" s="16"/>
      <c r="AJ2000" s="16"/>
      <c r="AK2000" s="16"/>
      <c r="AL2000" s="16"/>
      <c r="AM2000" s="16"/>
      <c r="AN2000" s="16"/>
      <c r="AO2000" s="16"/>
      <c r="AP2000" s="16"/>
      <c r="AQ2000" s="16"/>
      <c r="AR2000" s="16"/>
      <c r="AS2000" s="16"/>
    </row>
    <row r="2001" spans="18:45" x14ac:dyDescent="0.35">
      <c r="R2001" s="191"/>
      <c r="S2001" s="191"/>
      <c r="T2001" s="193"/>
      <c r="U2001" s="191"/>
      <c r="V2001" s="194"/>
      <c r="W2001" s="191"/>
      <c r="Y2001" s="191"/>
      <c r="Z2001" s="191"/>
      <c r="AA2001" s="191"/>
      <c r="AB2001" s="191"/>
      <c r="AC2001" s="191"/>
      <c r="AD2001" s="16"/>
      <c r="AE2001" s="16"/>
      <c r="AF2001" s="16"/>
      <c r="AG2001" s="16"/>
      <c r="AH2001" s="16"/>
      <c r="AI2001" s="16"/>
      <c r="AJ2001" s="16"/>
      <c r="AK2001" s="16"/>
      <c r="AL2001" s="16"/>
      <c r="AM2001" s="16"/>
      <c r="AN2001" s="16"/>
      <c r="AO2001" s="16"/>
      <c r="AP2001" s="16"/>
      <c r="AQ2001" s="16"/>
      <c r="AR2001" s="16"/>
      <c r="AS2001" s="16"/>
    </row>
    <row r="2002" spans="18:45" x14ac:dyDescent="0.35">
      <c r="R2002" s="191"/>
      <c r="S2002" s="191"/>
      <c r="T2002" s="193"/>
      <c r="U2002" s="191"/>
      <c r="V2002" s="194"/>
      <c r="W2002" s="191"/>
      <c r="Y2002" s="191"/>
      <c r="Z2002" s="191"/>
      <c r="AA2002" s="191"/>
      <c r="AB2002" s="191"/>
      <c r="AC2002" s="191"/>
      <c r="AD2002" s="16"/>
      <c r="AE2002" s="16"/>
      <c r="AF2002" s="16"/>
      <c r="AG2002" s="16"/>
      <c r="AH2002" s="16"/>
      <c r="AI2002" s="16"/>
      <c r="AJ2002" s="16"/>
      <c r="AK2002" s="16"/>
      <c r="AL2002" s="16"/>
      <c r="AM2002" s="16"/>
      <c r="AN2002" s="16"/>
      <c r="AO2002" s="16"/>
      <c r="AP2002" s="16"/>
      <c r="AQ2002" s="16"/>
      <c r="AR2002" s="16"/>
      <c r="AS2002" s="16"/>
    </row>
    <row r="2003" spans="18:45" x14ac:dyDescent="0.35">
      <c r="R2003" s="191"/>
      <c r="S2003" s="191"/>
      <c r="T2003" s="193"/>
      <c r="U2003" s="191"/>
      <c r="V2003" s="194"/>
      <c r="W2003" s="191"/>
      <c r="Y2003" s="191"/>
      <c r="Z2003" s="191"/>
      <c r="AA2003" s="191"/>
      <c r="AB2003" s="191"/>
      <c r="AC2003" s="191"/>
      <c r="AD2003" s="16"/>
      <c r="AE2003" s="16"/>
      <c r="AF2003" s="16"/>
      <c r="AG2003" s="16"/>
      <c r="AH2003" s="16"/>
      <c r="AI2003" s="16"/>
      <c r="AJ2003" s="16"/>
      <c r="AK2003" s="16"/>
      <c r="AL2003" s="16"/>
      <c r="AM2003" s="16"/>
      <c r="AN2003" s="16"/>
      <c r="AO2003" s="16"/>
      <c r="AP2003" s="16"/>
      <c r="AQ2003" s="16"/>
      <c r="AR2003" s="16"/>
      <c r="AS2003" s="16"/>
    </row>
    <row r="2004" spans="18:45" x14ac:dyDescent="0.35">
      <c r="R2004" s="191"/>
      <c r="S2004" s="191"/>
      <c r="T2004" s="193"/>
      <c r="U2004" s="191"/>
      <c r="V2004" s="194"/>
      <c r="W2004" s="191"/>
      <c r="Y2004" s="191"/>
      <c r="Z2004" s="191"/>
      <c r="AA2004" s="191"/>
      <c r="AB2004" s="191"/>
      <c r="AC2004" s="191"/>
      <c r="AD2004" s="16"/>
      <c r="AE2004" s="16"/>
      <c r="AF2004" s="16"/>
      <c r="AG2004" s="16"/>
      <c r="AH2004" s="16"/>
      <c r="AI2004" s="16"/>
      <c r="AJ2004" s="16"/>
      <c r="AK2004" s="16"/>
      <c r="AL2004" s="16"/>
      <c r="AM2004" s="16"/>
      <c r="AN2004" s="16"/>
      <c r="AO2004" s="16"/>
      <c r="AP2004" s="16"/>
      <c r="AQ2004" s="16"/>
      <c r="AR2004" s="16"/>
      <c r="AS2004" s="16"/>
    </row>
    <row r="2005" spans="18:45" x14ac:dyDescent="0.35">
      <c r="R2005" s="191"/>
      <c r="S2005" s="191"/>
      <c r="T2005" s="193"/>
      <c r="U2005" s="191"/>
      <c r="V2005" s="194"/>
      <c r="W2005" s="191"/>
      <c r="Y2005" s="191"/>
      <c r="Z2005" s="191"/>
      <c r="AA2005" s="191"/>
      <c r="AB2005" s="191"/>
      <c r="AC2005" s="191"/>
      <c r="AD2005" s="16"/>
      <c r="AE2005" s="16"/>
      <c r="AF2005" s="16"/>
      <c r="AG2005" s="16"/>
      <c r="AH2005" s="16"/>
      <c r="AI2005" s="16"/>
      <c r="AJ2005" s="16"/>
      <c r="AK2005" s="16"/>
      <c r="AL2005" s="16"/>
      <c r="AM2005" s="16"/>
      <c r="AN2005" s="16"/>
      <c r="AO2005" s="16"/>
      <c r="AP2005" s="16"/>
      <c r="AQ2005" s="16"/>
      <c r="AR2005" s="16"/>
      <c r="AS2005" s="16"/>
    </row>
    <row r="2006" spans="18:45" x14ac:dyDescent="0.35">
      <c r="R2006" s="191"/>
      <c r="S2006" s="191"/>
      <c r="T2006" s="193"/>
      <c r="U2006" s="191"/>
      <c r="V2006" s="194"/>
      <c r="W2006" s="191"/>
      <c r="Y2006" s="191"/>
      <c r="Z2006" s="191"/>
      <c r="AA2006" s="191"/>
      <c r="AB2006" s="191"/>
      <c r="AC2006" s="191"/>
      <c r="AD2006" s="16"/>
      <c r="AE2006" s="16"/>
      <c r="AF2006" s="16"/>
      <c r="AG2006" s="16"/>
      <c r="AH2006" s="16"/>
      <c r="AI2006" s="16"/>
      <c r="AJ2006" s="16"/>
      <c r="AK2006" s="16"/>
      <c r="AL2006" s="16"/>
      <c r="AM2006" s="16"/>
      <c r="AN2006" s="16"/>
      <c r="AO2006" s="16"/>
      <c r="AP2006" s="16"/>
      <c r="AQ2006" s="16"/>
      <c r="AR2006" s="16"/>
      <c r="AS2006" s="16"/>
    </row>
    <row r="2007" spans="18:45" x14ac:dyDescent="0.35">
      <c r="R2007" s="191"/>
      <c r="S2007" s="191"/>
      <c r="T2007" s="193"/>
      <c r="U2007" s="191"/>
      <c r="V2007" s="194"/>
      <c r="W2007" s="191"/>
      <c r="Y2007" s="191"/>
      <c r="Z2007" s="191"/>
      <c r="AA2007" s="191"/>
      <c r="AB2007" s="191"/>
      <c r="AC2007" s="191"/>
      <c r="AD2007" s="16"/>
      <c r="AE2007" s="16"/>
      <c r="AF2007" s="16"/>
      <c r="AG2007" s="16"/>
      <c r="AH2007" s="16"/>
      <c r="AI2007" s="16"/>
      <c r="AJ2007" s="16"/>
      <c r="AK2007" s="16"/>
      <c r="AL2007" s="16"/>
      <c r="AM2007" s="16"/>
      <c r="AN2007" s="16"/>
      <c r="AO2007" s="16"/>
      <c r="AP2007" s="16"/>
      <c r="AQ2007" s="16"/>
      <c r="AR2007" s="16"/>
      <c r="AS2007" s="16"/>
    </row>
    <row r="2008" spans="18:45" x14ac:dyDescent="0.35">
      <c r="R2008" s="191"/>
      <c r="S2008" s="191"/>
      <c r="T2008" s="193"/>
      <c r="U2008" s="191"/>
      <c r="V2008" s="194"/>
      <c r="W2008" s="191"/>
      <c r="Y2008" s="191"/>
      <c r="Z2008" s="191"/>
      <c r="AA2008" s="191"/>
      <c r="AB2008" s="191"/>
      <c r="AC2008" s="191"/>
      <c r="AD2008" s="16"/>
      <c r="AE2008" s="16"/>
      <c r="AF2008" s="16"/>
      <c r="AG2008" s="16"/>
      <c r="AH2008" s="16"/>
      <c r="AI2008" s="16"/>
      <c r="AJ2008" s="16"/>
      <c r="AK2008" s="16"/>
      <c r="AL2008" s="16"/>
      <c r="AM2008" s="16"/>
      <c r="AN2008" s="16"/>
      <c r="AO2008" s="16"/>
      <c r="AP2008" s="16"/>
      <c r="AQ2008" s="16"/>
      <c r="AR2008" s="16"/>
      <c r="AS2008" s="16"/>
    </row>
    <row r="2009" spans="18:45" x14ac:dyDescent="0.35">
      <c r="R2009" s="191"/>
      <c r="S2009" s="191"/>
      <c r="T2009" s="193"/>
      <c r="U2009" s="191"/>
      <c r="V2009" s="194"/>
      <c r="W2009" s="191"/>
      <c r="Y2009" s="191"/>
      <c r="Z2009" s="191"/>
      <c r="AA2009" s="191"/>
      <c r="AB2009" s="191"/>
      <c r="AC2009" s="191"/>
      <c r="AD2009" s="16"/>
      <c r="AE2009" s="16"/>
      <c r="AF2009" s="16"/>
      <c r="AG2009" s="16"/>
      <c r="AH2009" s="16"/>
      <c r="AI2009" s="16"/>
      <c r="AJ2009" s="16"/>
      <c r="AK2009" s="16"/>
      <c r="AL2009" s="16"/>
      <c r="AM2009" s="16"/>
      <c r="AN2009" s="16"/>
      <c r="AO2009" s="16"/>
      <c r="AP2009" s="16"/>
      <c r="AQ2009" s="16"/>
      <c r="AR2009" s="16"/>
      <c r="AS2009" s="16"/>
    </row>
    <row r="2010" spans="18:45" x14ac:dyDescent="0.35">
      <c r="R2010" s="191"/>
      <c r="S2010" s="191"/>
      <c r="T2010" s="193"/>
      <c r="U2010" s="191"/>
      <c r="V2010" s="194"/>
      <c r="W2010" s="191"/>
      <c r="Y2010" s="191"/>
      <c r="Z2010" s="191"/>
      <c r="AA2010" s="191"/>
      <c r="AB2010" s="191"/>
      <c r="AC2010" s="191"/>
      <c r="AD2010" s="16"/>
      <c r="AE2010" s="16"/>
      <c r="AF2010" s="16"/>
      <c r="AG2010" s="16"/>
      <c r="AH2010" s="16"/>
      <c r="AI2010" s="16"/>
      <c r="AJ2010" s="16"/>
      <c r="AK2010" s="16"/>
      <c r="AL2010" s="16"/>
      <c r="AM2010" s="16"/>
      <c r="AN2010" s="16"/>
      <c r="AO2010" s="16"/>
      <c r="AP2010" s="16"/>
      <c r="AQ2010" s="16"/>
      <c r="AR2010" s="16"/>
      <c r="AS2010" s="16"/>
    </row>
    <row r="2011" spans="18:45" x14ac:dyDescent="0.35">
      <c r="R2011" s="191"/>
      <c r="S2011" s="191"/>
      <c r="T2011" s="193"/>
      <c r="U2011" s="191"/>
      <c r="V2011" s="194"/>
      <c r="W2011" s="191"/>
      <c r="Y2011" s="191"/>
      <c r="Z2011" s="191"/>
      <c r="AA2011" s="191"/>
      <c r="AB2011" s="191"/>
      <c r="AC2011" s="191"/>
      <c r="AD2011" s="16"/>
      <c r="AE2011" s="16"/>
      <c r="AF2011" s="16"/>
      <c r="AG2011" s="16"/>
      <c r="AH2011" s="16"/>
      <c r="AI2011" s="16"/>
      <c r="AJ2011" s="16"/>
      <c r="AK2011" s="16"/>
      <c r="AL2011" s="16"/>
      <c r="AM2011" s="16"/>
      <c r="AN2011" s="16"/>
      <c r="AO2011" s="16"/>
      <c r="AP2011" s="16"/>
      <c r="AQ2011" s="16"/>
      <c r="AR2011" s="16"/>
      <c r="AS2011" s="16"/>
    </row>
    <row r="2012" spans="18:45" x14ac:dyDescent="0.35">
      <c r="R2012" s="191"/>
      <c r="S2012" s="191"/>
      <c r="T2012" s="193"/>
      <c r="U2012" s="191"/>
      <c r="V2012" s="194"/>
      <c r="W2012" s="191"/>
      <c r="Y2012" s="191"/>
      <c r="Z2012" s="191"/>
      <c r="AA2012" s="191"/>
      <c r="AB2012" s="191"/>
      <c r="AC2012" s="191"/>
      <c r="AD2012" s="16"/>
      <c r="AE2012" s="16"/>
      <c r="AF2012" s="16"/>
      <c r="AG2012" s="16"/>
      <c r="AH2012" s="16"/>
      <c r="AI2012" s="16"/>
      <c r="AJ2012" s="16"/>
      <c r="AK2012" s="16"/>
      <c r="AL2012" s="16"/>
      <c r="AM2012" s="16"/>
      <c r="AN2012" s="16"/>
      <c r="AO2012" s="16"/>
      <c r="AP2012" s="16"/>
      <c r="AQ2012" s="16"/>
      <c r="AR2012" s="16"/>
      <c r="AS2012" s="16"/>
    </row>
    <row r="2013" spans="18:45" x14ac:dyDescent="0.35">
      <c r="R2013" s="191"/>
      <c r="S2013" s="191"/>
      <c r="T2013" s="193"/>
      <c r="U2013" s="191"/>
      <c r="V2013" s="194"/>
      <c r="W2013" s="191"/>
      <c r="Y2013" s="191"/>
      <c r="Z2013" s="191"/>
      <c r="AA2013" s="191"/>
      <c r="AB2013" s="191"/>
      <c r="AC2013" s="191"/>
      <c r="AD2013" s="16"/>
      <c r="AE2013" s="16"/>
      <c r="AF2013" s="16"/>
      <c r="AG2013" s="16"/>
      <c r="AH2013" s="16"/>
      <c r="AI2013" s="16"/>
      <c r="AJ2013" s="16"/>
      <c r="AK2013" s="16"/>
      <c r="AL2013" s="16"/>
      <c r="AM2013" s="16"/>
      <c r="AN2013" s="16"/>
      <c r="AO2013" s="16"/>
      <c r="AP2013" s="16"/>
      <c r="AQ2013" s="16"/>
      <c r="AR2013" s="16"/>
      <c r="AS2013" s="16"/>
    </row>
    <row r="2014" spans="18:45" x14ac:dyDescent="0.35">
      <c r="R2014" s="191"/>
      <c r="S2014" s="191"/>
      <c r="T2014" s="193"/>
      <c r="U2014" s="191"/>
      <c r="V2014" s="194"/>
      <c r="W2014" s="191"/>
      <c r="Y2014" s="191"/>
      <c r="Z2014" s="191"/>
      <c r="AA2014" s="191"/>
      <c r="AB2014" s="191"/>
      <c r="AC2014" s="191"/>
      <c r="AD2014" s="16"/>
      <c r="AE2014" s="16"/>
      <c r="AF2014" s="16"/>
      <c r="AG2014" s="16"/>
      <c r="AH2014" s="16"/>
      <c r="AI2014" s="16"/>
      <c r="AJ2014" s="16"/>
      <c r="AK2014" s="16"/>
      <c r="AL2014" s="16"/>
      <c r="AM2014" s="16"/>
      <c r="AN2014" s="16"/>
      <c r="AO2014" s="16"/>
      <c r="AP2014" s="16"/>
      <c r="AQ2014" s="16"/>
      <c r="AR2014" s="16"/>
      <c r="AS2014" s="16"/>
    </row>
    <row r="2015" spans="18:45" x14ac:dyDescent="0.35">
      <c r="R2015" s="191"/>
      <c r="S2015" s="191"/>
      <c r="T2015" s="193"/>
      <c r="U2015" s="191"/>
      <c r="V2015" s="194"/>
      <c r="W2015" s="191"/>
      <c r="Y2015" s="191"/>
      <c r="Z2015" s="191"/>
      <c r="AA2015" s="191"/>
      <c r="AB2015" s="191"/>
      <c r="AC2015" s="191"/>
      <c r="AD2015" s="16"/>
      <c r="AE2015" s="16"/>
      <c r="AF2015" s="16"/>
      <c r="AG2015" s="16"/>
      <c r="AH2015" s="16"/>
      <c r="AI2015" s="16"/>
      <c r="AJ2015" s="16"/>
      <c r="AK2015" s="16"/>
      <c r="AL2015" s="16"/>
      <c r="AM2015" s="16"/>
      <c r="AN2015" s="16"/>
      <c r="AO2015" s="16"/>
      <c r="AP2015" s="16"/>
      <c r="AQ2015" s="16"/>
      <c r="AR2015" s="16"/>
      <c r="AS2015" s="16"/>
    </row>
    <row r="2016" spans="18:45" x14ac:dyDescent="0.35">
      <c r="R2016" s="191"/>
      <c r="S2016" s="191"/>
      <c r="T2016" s="193"/>
      <c r="U2016" s="191"/>
      <c r="V2016" s="194"/>
      <c r="W2016" s="191"/>
      <c r="Y2016" s="191"/>
      <c r="Z2016" s="191"/>
      <c r="AA2016" s="191"/>
      <c r="AB2016" s="191"/>
      <c r="AC2016" s="191"/>
      <c r="AD2016" s="16"/>
      <c r="AE2016" s="16"/>
      <c r="AF2016" s="16"/>
      <c r="AG2016" s="16"/>
      <c r="AH2016" s="16"/>
      <c r="AI2016" s="16"/>
      <c r="AJ2016" s="16"/>
      <c r="AK2016" s="16"/>
      <c r="AL2016" s="16"/>
      <c r="AM2016" s="16"/>
      <c r="AN2016" s="16"/>
      <c r="AO2016" s="16"/>
      <c r="AP2016" s="16"/>
      <c r="AQ2016" s="16"/>
      <c r="AR2016" s="16"/>
      <c r="AS2016" s="16"/>
    </row>
    <row r="2017" spans="18:45" x14ac:dyDescent="0.35">
      <c r="R2017" s="191"/>
      <c r="S2017" s="191"/>
      <c r="T2017" s="193"/>
      <c r="U2017" s="191"/>
      <c r="V2017" s="194"/>
      <c r="W2017" s="191"/>
      <c r="Y2017" s="191"/>
      <c r="Z2017" s="191"/>
      <c r="AA2017" s="191"/>
      <c r="AB2017" s="191"/>
      <c r="AC2017" s="191"/>
      <c r="AD2017" s="16"/>
      <c r="AE2017" s="16"/>
      <c r="AF2017" s="16"/>
      <c r="AG2017" s="16"/>
      <c r="AH2017" s="16"/>
      <c r="AI2017" s="16"/>
      <c r="AJ2017" s="16"/>
      <c r="AK2017" s="16"/>
      <c r="AL2017" s="16"/>
      <c r="AM2017" s="16"/>
      <c r="AN2017" s="16"/>
      <c r="AO2017" s="16"/>
      <c r="AP2017" s="16"/>
      <c r="AQ2017" s="16"/>
      <c r="AR2017" s="16"/>
      <c r="AS2017" s="16"/>
    </row>
    <row r="2018" spans="18:45" x14ac:dyDescent="0.35">
      <c r="R2018" s="191"/>
      <c r="S2018" s="191"/>
      <c r="T2018" s="193"/>
      <c r="U2018" s="191"/>
      <c r="V2018" s="194"/>
      <c r="W2018" s="191"/>
      <c r="Y2018" s="191"/>
      <c r="Z2018" s="191"/>
      <c r="AA2018" s="191"/>
      <c r="AB2018" s="191"/>
      <c r="AC2018" s="191"/>
      <c r="AD2018" s="16"/>
      <c r="AE2018" s="16"/>
      <c r="AF2018" s="16"/>
      <c r="AG2018" s="16"/>
      <c r="AH2018" s="16"/>
      <c r="AI2018" s="16"/>
      <c r="AJ2018" s="16"/>
      <c r="AK2018" s="16"/>
      <c r="AL2018" s="16"/>
      <c r="AM2018" s="16"/>
      <c r="AN2018" s="16"/>
      <c r="AO2018" s="16"/>
      <c r="AP2018" s="16"/>
      <c r="AQ2018" s="16"/>
      <c r="AR2018" s="16"/>
      <c r="AS2018" s="16"/>
    </row>
    <row r="2019" spans="18:45" x14ac:dyDescent="0.35">
      <c r="R2019" s="191"/>
      <c r="S2019" s="191"/>
      <c r="T2019" s="193"/>
      <c r="U2019" s="191"/>
      <c r="V2019" s="194"/>
      <c r="W2019" s="191"/>
      <c r="Y2019" s="191"/>
      <c r="Z2019" s="191"/>
      <c r="AA2019" s="191"/>
      <c r="AB2019" s="191"/>
      <c r="AC2019" s="191"/>
      <c r="AD2019" s="16"/>
      <c r="AE2019" s="16"/>
      <c r="AF2019" s="16"/>
      <c r="AG2019" s="16"/>
      <c r="AH2019" s="16"/>
      <c r="AI2019" s="16"/>
      <c r="AJ2019" s="16"/>
      <c r="AK2019" s="16"/>
      <c r="AL2019" s="16"/>
      <c r="AM2019" s="16"/>
      <c r="AN2019" s="16"/>
      <c r="AO2019" s="16"/>
      <c r="AP2019" s="16"/>
      <c r="AQ2019" s="16"/>
      <c r="AR2019" s="16"/>
      <c r="AS2019" s="16"/>
    </row>
    <row r="2020" spans="18:45" x14ac:dyDescent="0.35">
      <c r="R2020" s="191"/>
      <c r="S2020" s="191"/>
      <c r="T2020" s="193"/>
      <c r="U2020" s="191"/>
      <c r="V2020" s="194"/>
      <c r="W2020" s="191"/>
      <c r="Y2020" s="191"/>
      <c r="Z2020" s="191"/>
      <c r="AA2020" s="191"/>
      <c r="AB2020" s="191"/>
      <c r="AC2020" s="191"/>
      <c r="AD2020" s="16"/>
      <c r="AE2020" s="16"/>
      <c r="AF2020" s="16"/>
      <c r="AG2020" s="16"/>
      <c r="AH2020" s="16"/>
      <c r="AI2020" s="16"/>
      <c r="AJ2020" s="16"/>
      <c r="AK2020" s="16"/>
      <c r="AL2020" s="16"/>
      <c r="AM2020" s="16"/>
      <c r="AN2020" s="16"/>
      <c r="AO2020" s="16"/>
      <c r="AP2020" s="16"/>
      <c r="AQ2020" s="16"/>
      <c r="AR2020" s="16"/>
      <c r="AS2020" s="16"/>
    </row>
    <row r="2021" spans="18:45" x14ac:dyDescent="0.35">
      <c r="R2021" s="191"/>
      <c r="S2021" s="191"/>
      <c r="T2021" s="193"/>
      <c r="U2021" s="191"/>
      <c r="V2021" s="194"/>
      <c r="W2021" s="191"/>
      <c r="Y2021" s="191"/>
      <c r="Z2021" s="191"/>
      <c r="AA2021" s="191"/>
      <c r="AB2021" s="191"/>
      <c r="AC2021" s="191"/>
      <c r="AD2021" s="16"/>
      <c r="AE2021" s="16"/>
      <c r="AF2021" s="16"/>
      <c r="AG2021" s="16"/>
      <c r="AH2021" s="16"/>
      <c r="AI2021" s="16"/>
      <c r="AJ2021" s="16"/>
      <c r="AK2021" s="16"/>
      <c r="AL2021" s="16"/>
      <c r="AM2021" s="16"/>
      <c r="AN2021" s="16"/>
      <c r="AO2021" s="16"/>
      <c r="AP2021" s="16"/>
      <c r="AQ2021" s="16"/>
      <c r="AR2021" s="16"/>
      <c r="AS2021" s="16"/>
    </row>
    <row r="2022" spans="18:45" x14ac:dyDescent="0.35">
      <c r="R2022" s="191"/>
      <c r="S2022" s="191"/>
      <c r="T2022" s="193"/>
      <c r="U2022" s="191"/>
      <c r="V2022" s="194"/>
      <c r="W2022" s="191"/>
      <c r="Y2022" s="191"/>
      <c r="Z2022" s="191"/>
      <c r="AA2022" s="191"/>
      <c r="AB2022" s="191"/>
      <c r="AC2022" s="191"/>
      <c r="AD2022" s="16"/>
      <c r="AE2022" s="16"/>
      <c r="AF2022" s="16"/>
      <c r="AG2022" s="16"/>
      <c r="AH2022" s="16"/>
      <c r="AI2022" s="16"/>
      <c r="AJ2022" s="16"/>
      <c r="AK2022" s="16"/>
      <c r="AL2022" s="16"/>
      <c r="AM2022" s="16"/>
      <c r="AN2022" s="16"/>
      <c r="AO2022" s="16"/>
      <c r="AP2022" s="16"/>
      <c r="AQ2022" s="16"/>
      <c r="AR2022" s="16"/>
      <c r="AS2022" s="16"/>
    </row>
    <row r="2023" spans="18:45" x14ac:dyDescent="0.35">
      <c r="R2023" s="191"/>
      <c r="S2023" s="191"/>
      <c r="T2023" s="193"/>
      <c r="U2023" s="191"/>
      <c r="V2023" s="194"/>
      <c r="W2023" s="191"/>
      <c r="Y2023" s="191"/>
      <c r="Z2023" s="191"/>
      <c r="AA2023" s="191"/>
      <c r="AB2023" s="191"/>
      <c r="AC2023" s="191"/>
      <c r="AD2023" s="16"/>
      <c r="AE2023" s="16"/>
      <c r="AF2023" s="16"/>
      <c r="AG2023" s="16"/>
      <c r="AH2023" s="16"/>
      <c r="AI2023" s="16"/>
      <c r="AJ2023" s="16"/>
      <c r="AK2023" s="16"/>
      <c r="AL2023" s="16"/>
      <c r="AM2023" s="16"/>
      <c r="AN2023" s="16"/>
      <c r="AO2023" s="16"/>
      <c r="AP2023" s="16"/>
      <c r="AQ2023" s="16"/>
      <c r="AR2023" s="16"/>
      <c r="AS2023" s="16"/>
    </row>
    <row r="2024" spans="18:45" x14ac:dyDescent="0.35">
      <c r="R2024" s="191"/>
      <c r="S2024" s="191"/>
      <c r="T2024" s="193"/>
      <c r="U2024" s="191"/>
      <c r="V2024" s="194"/>
      <c r="W2024" s="191"/>
      <c r="Y2024" s="191"/>
      <c r="Z2024" s="191"/>
      <c r="AA2024" s="191"/>
      <c r="AB2024" s="191"/>
      <c r="AC2024" s="191"/>
      <c r="AD2024" s="16"/>
      <c r="AE2024" s="16"/>
      <c r="AF2024" s="16"/>
      <c r="AG2024" s="16"/>
      <c r="AH2024" s="16"/>
      <c r="AI2024" s="16"/>
      <c r="AJ2024" s="16"/>
      <c r="AK2024" s="16"/>
      <c r="AL2024" s="16"/>
      <c r="AM2024" s="16"/>
      <c r="AN2024" s="16"/>
      <c r="AO2024" s="16"/>
      <c r="AP2024" s="16"/>
      <c r="AQ2024" s="16"/>
      <c r="AR2024" s="16"/>
      <c r="AS2024" s="16"/>
    </row>
    <row r="2025" spans="18:45" x14ac:dyDescent="0.35">
      <c r="R2025" s="191"/>
      <c r="S2025" s="191"/>
      <c r="T2025" s="193"/>
      <c r="U2025" s="191"/>
      <c r="V2025" s="194"/>
      <c r="W2025" s="191"/>
      <c r="Y2025" s="191"/>
      <c r="Z2025" s="191"/>
      <c r="AA2025" s="191"/>
      <c r="AB2025" s="191"/>
      <c r="AC2025" s="191"/>
      <c r="AD2025" s="16"/>
      <c r="AE2025" s="16"/>
      <c r="AF2025" s="16"/>
      <c r="AG2025" s="16"/>
      <c r="AH2025" s="16"/>
      <c r="AI2025" s="16"/>
      <c r="AJ2025" s="16"/>
      <c r="AK2025" s="16"/>
      <c r="AL2025" s="16"/>
      <c r="AM2025" s="16"/>
      <c r="AN2025" s="16"/>
      <c r="AO2025" s="16"/>
      <c r="AP2025" s="16"/>
      <c r="AQ2025" s="16"/>
      <c r="AR2025" s="16"/>
      <c r="AS2025" s="16"/>
    </row>
    <row r="2026" spans="18:45" x14ac:dyDescent="0.35">
      <c r="R2026" s="191"/>
      <c r="S2026" s="191"/>
      <c r="T2026" s="193"/>
      <c r="U2026" s="191"/>
      <c r="V2026" s="194"/>
      <c r="W2026" s="191"/>
      <c r="Y2026" s="191"/>
      <c r="Z2026" s="191"/>
      <c r="AA2026" s="191"/>
      <c r="AB2026" s="191"/>
      <c r="AC2026" s="191"/>
      <c r="AD2026" s="16"/>
      <c r="AE2026" s="16"/>
      <c r="AF2026" s="16"/>
      <c r="AG2026" s="16"/>
      <c r="AH2026" s="16"/>
      <c r="AI2026" s="16"/>
      <c r="AJ2026" s="16"/>
      <c r="AK2026" s="16"/>
      <c r="AL2026" s="16"/>
      <c r="AM2026" s="16"/>
      <c r="AN2026" s="16"/>
      <c r="AO2026" s="16"/>
      <c r="AP2026" s="16"/>
      <c r="AQ2026" s="16"/>
      <c r="AR2026" s="16"/>
      <c r="AS2026" s="16"/>
    </row>
    <row r="2027" spans="18:45" x14ac:dyDescent="0.35">
      <c r="R2027" s="191"/>
      <c r="S2027" s="191"/>
      <c r="T2027" s="193"/>
      <c r="U2027" s="191"/>
      <c r="V2027" s="194"/>
      <c r="W2027" s="191"/>
      <c r="Y2027" s="191"/>
      <c r="Z2027" s="191"/>
      <c r="AA2027" s="191"/>
      <c r="AB2027" s="191"/>
      <c r="AC2027" s="191"/>
      <c r="AD2027" s="16"/>
      <c r="AE2027" s="16"/>
      <c r="AF2027" s="16"/>
      <c r="AG2027" s="16"/>
      <c r="AH2027" s="16"/>
      <c r="AI2027" s="16"/>
      <c r="AJ2027" s="16"/>
      <c r="AK2027" s="16"/>
      <c r="AL2027" s="16"/>
      <c r="AM2027" s="16"/>
      <c r="AN2027" s="16"/>
      <c r="AO2027" s="16"/>
      <c r="AP2027" s="16"/>
      <c r="AQ2027" s="16"/>
      <c r="AR2027" s="16"/>
      <c r="AS2027" s="16"/>
    </row>
    <row r="2028" spans="18:45" x14ac:dyDescent="0.35">
      <c r="R2028" s="191"/>
      <c r="S2028" s="191"/>
      <c r="T2028" s="193"/>
      <c r="U2028" s="191"/>
      <c r="V2028" s="194"/>
      <c r="W2028" s="191"/>
      <c r="Y2028" s="191"/>
      <c r="Z2028" s="191"/>
      <c r="AA2028" s="191"/>
      <c r="AB2028" s="191"/>
      <c r="AC2028" s="191"/>
      <c r="AD2028" s="16"/>
      <c r="AE2028" s="16"/>
      <c r="AF2028" s="16"/>
      <c r="AG2028" s="16"/>
      <c r="AH2028" s="16"/>
      <c r="AI2028" s="16"/>
      <c r="AJ2028" s="16"/>
      <c r="AK2028" s="16"/>
      <c r="AL2028" s="16"/>
      <c r="AM2028" s="16"/>
      <c r="AN2028" s="16"/>
      <c r="AO2028" s="16"/>
      <c r="AP2028" s="16"/>
      <c r="AQ2028" s="16"/>
      <c r="AR2028" s="16"/>
      <c r="AS2028" s="16"/>
    </row>
    <row r="2029" spans="18:45" x14ac:dyDescent="0.35">
      <c r="R2029" s="191"/>
      <c r="S2029" s="191"/>
      <c r="T2029" s="193"/>
      <c r="U2029" s="191"/>
      <c r="V2029" s="194"/>
      <c r="W2029" s="191"/>
      <c r="Y2029" s="191"/>
      <c r="Z2029" s="191"/>
      <c r="AA2029" s="191"/>
      <c r="AB2029" s="191"/>
      <c r="AC2029" s="191"/>
      <c r="AD2029" s="16"/>
      <c r="AE2029" s="16"/>
      <c r="AF2029" s="16"/>
      <c r="AG2029" s="16"/>
      <c r="AH2029" s="16"/>
      <c r="AI2029" s="16"/>
      <c r="AJ2029" s="16"/>
      <c r="AK2029" s="16"/>
      <c r="AL2029" s="16"/>
      <c r="AM2029" s="16"/>
      <c r="AN2029" s="16"/>
      <c r="AO2029" s="16"/>
      <c r="AP2029" s="16"/>
      <c r="AQ2029" s="16"/>
      <c r="AR2029" s="16"/>
      <c r="AS2029" s="16"/>
    </row>
    <row r="2030" spans="18:45" x14ac:dyDescent="0.35">
      <c r="R2030" s="191"/>
      <c r="S2030" s="191"/>
      <c r="T2030" s="193"/>
      <c r="U2030" s="191"/>
      <c r="V2030" s="194"/>
      <c r="W2030" s="191"/>
      <c r="Y2030" s="191"/>
      <c r="Z2030" s="191"/>
      <c r="AA2030" s="191"/>
      <c r="AB2030" s="191"/>
      <c r="AC2030" s="191"/>
      <c r="AD2030" s="16"/>
      <c r="AE2030" s="16"/>
      <c r="AF2030" s="16"/>
      <c r="AG2030" s="16"/>
      <c r="AH2030" s="16"/>
      <c r="AI2030" s="16"/>
      <c r="AJ2030" s="16"/>
      <c r="AK2030" s="16"/>
      <c r="AL2030" s="16"/>
      <c r="AM2030" s="16"/>
      <c r="AN2030" s="16"/>
      <c r="AO2030" s="16"/>
      <c r="AP2030" s="16"/>
      <c r="AQ2030" s="16"/>
      <c r="AR2030" s="16"/>
      <c r="AS2030" s="16"/>
    </row>
    <row r="2031" spans="18:45" x14ac:dyDescent="0.35">
      <c r="R2031" s="191"/>
      <c r="S2031" s="191"/>
      <c r="T2031" s="193"/>
      <c r="U2031" s="191"/>
      <c r="V2031" s="194"/>
      <c r="W2031" s="191"/>
      <c r="Y2031" s="191"/>
      <c r="Z2031" s="191"/>
      <c r="AA2031" s="191"/>
      <c r="AB2031" s="191"/>
      <c r="AC2031" s="191"/>
      <c r="AD2031" s="16"/>
      <c r="AE2031" s="16"/>
      <c r="AF2031" s="16"/>
      <c r="AG2031" s="16"/>
      <c r="AH2031" s="16"/>
      <c r="AI2031" s="16"/>
      <c r="AJ2031" s="16"/>
      <c r="AK2031" s="16"/>
      <c r="AL2031" s="16"/>
      <c r="AM2031" s="16"/>
      <c r="AN2031" s="16"/>
      <c r="AO2031" s="16"/>
      <c r="AP2031" s="16"/>
      <c r="AQ2031" s="16"/>
      <c r="AR2031" s="16"/>
      <c r="AS2031" s="16"/>
    </row>
    <row r="2032" spans="18:45" x14ac:dyDescent="0.35">
      <c r="R2032" s="191"/>
      <c r="S2032" s="191"/>
      <c r="T2032" s="193"/>
      <c r="U2032" s="191"/>
      <c r="V2032" s="194"/>
      <c r="W2032" s="191"/>
      <c r="Y2032" s="191"/>
      <c r="Z2032" s="191"/>
      <c r="AA2032" s="191"/>
      <c r="AB2032" s="191"/>
      <c r="AC2032" s="191"/>
      <c r="AD2032" s="16"/>
      <c r="AE2032" s="16"/>
      <c r="AF2032" s="16"/>
      <c r="AG2032" s="16"/>
      <c r="AH2032" s="16"/>
      <c r="AI2032" s="16"/>
      <c r="AJ2032" s="16"/>
      <c r="AK2032" s="16"/>
      <c r="AL2032" s="16"/>
      <c r="AM2032" s="16"/>
      <c r="AN2032" s="16"/>
      <c r="AO2032" s="16"/>
      <c r="AP2032" s="16"/>
      <c r="AQ2032" s="16"/>
      <c r="AR2032" s="16"/>
      <c r="AS2032" s="16"/>
    </row>
    <row r="2033" spans="18:45" x14ac:dyDescent="0.35">
      <c r="R2033" s="191"/>
      <c r="S2033" s="191"/>
      <c r="T2033" s="193"/>
      <c r="U2033" s="191"/>
      <c r="V2033" s="194"/>
      <c r="W2033" s="191"/>
      <c r="Y2033" s="191"/>
      <c r="Z2033" s="191"/>
      <c r="AA2033" s="191"/>
      <c r="AB2033" s="191"/>
      <c r="AC2033" s="191"/>
      <c r="AD2033" s="16"/>
      <c r="AE2033" s="16"/>
      <c r="AF2033" s="16"/>
      <c r="AG2033" s="16"/>
      <c r="AH2033" s="16"/>
      <c r="AI2033" s="16"/>
      <c r="AJ2033" s="16"/>
      <c r="AK2033" s="16"/>
      <c r="AL2033" s="16"/>
      <c r="AM2033" s="16"/>
      <c r="AN2033" s="16"/>
      <c r="AO2033" s="16"/>
      <c r="AP2033" s="16"/>
      <c r="AQ2033" s="16"/>
      <c r="AR2033" s="16"/>
      <c r="AS2033" s="16"/>
    </row>
    <row r="2034" spans="18:45" x14ac:dyDescent="0.35">
      <c r="R2034" s="191"/>
      <c r="S2034" s="191"/>
      <c r="T2034" s="193"/>
      <c r="U2034" s="191"/>
      <c r="V2034" s="194"/>
      <c r="W2034" s="191"/>
      <c r="Y2034" s="191"/>
      <c r="Z2034" s="191"/>
      <c r="AA2034" s="191"/>
      <c r="AB2034" s="191"/>
      <c r="AC2034" s="191"/>
      <c r="AD2034" s="16"/>
      <c r="AE2034" s="16"/>
      <c r="AF2034" s="16"/>
      <c r="AG2034" s="16"/>
      <c r="AH2034" s="16"/>
      <c r="AI2034" s="16"/>
      <c r="AJ2034" s="16"/>
      <c r="AK2034" s="16"/>
      <c r="AL2034" s="16"/>
      <c r="AM2034" s="16"/>
      <c r="AN2034" s="16"/>
      <c r="AO2034" s="16"/>
      <c r="AP2034" s="16"/>
      <c r="AQ2034" s="16"/>
      <c r="AR2034" s="16"/>
      <c r="AS2034" s="16"/>
    </row>
    <row r="2035" spans="18:45" x14ac:dyDescent="0.35">
      <c r="R2035" s="191"/>
      <c r="S2035" s="191"/>
      <c r="T2035" s="193"/>
      <c r="U2035" s="191"/>
      <c r="V2035" s="194"/>
      <c r="W2035" s="191"/>
      <c r="Y2035" s="191"/>
      <c r="Z2035" s="191"/>
      <c r="AA2035" s="191"/>
      <c r="AB2035" s="191"/>
      <c r="AC2035" s="191"/>
      <c r="AD2035" s="16"/>
      <c r="AE2035" s="16"/>
      <c r="AF2035" s="16"/>
      <c r="AG2035" s="16"/>
      <c r="AH2035" s="16"/>
      <c r="AI2035" s="16"/>
      <c r="AJ2035" s="16"/>
      <c r="AK2035" s="16"/>
      <c r="AL2035" s="16"/>
      <c r="AM2035" s="16"/>
      <c r="AN2035" s="16"/>
      <c r="AO2035" s="16"/>
      <c r="AP2035" s="16"/>
      <c r="AQ2035" s="16"/>
      <c r="AR2035" s="16"/>
      <c r="AS2035" s="16"/>
    </row>
    <row r="2036" spans="18:45" x14ac:dyDescent="0.35">
      <c r="R2036" s="191"/>
      <c r="S2036" s="191"/>
      <c r="T2036" s="193"/>
      <c r="U2036" s="191"/>
      <c r="V2036" s="194"/>
      <c r="W2036" s="191"/>
      <c r="Y2036" s="191"/>
      <c r="Z2036" s="191"/>
      <c r="AA2036" s="191"/>
      <c r="AB2036" s="191"/>
      <c r="AC2036" s="191"/>
      <c r="AD2036" s="16"/>
      <c r="AE2036" s="16"/>
      <c r="AF2036" s="16"/>
      <c r="AG2036" s="16"/>
      <c r="AH2036" s="16"/>
      <c r="AI2036" s="16"/>
      <c r="AJ2036" s="16"/>
      <c r="AK2036" s="16"/>
      <c r="AL2036" s="16"/>
      <c r="AM2036" s="16"/>
      <c r="AN2036" s="16"/>
      <c r="AO2036" s="16"/>
      <c r="AP2036" s="16"/>
      <c r="AQ2036" s="16"/>
      <c r="AR2036" s="16"/>
      <c r="AS2036" s="16"/>
    </row>
    <row r="2037" spans="18:45" x14ac:dyDescent="0.35">
      <c r="R2037" s="191"/>
      <c r="S2037" s="191"/>
      <c r="T2037" s="193"/>
      <c r="U2037" s="191"/>
      <c r="V2037" s="194"/>
      <c r="W2037" s="191"/>
      <c r="Y2037" s="191"/>
      <c r="Z2037" s="191"/>
      <c r="AA2037" s="191"/>
      <c r="AB2037" s="191"/>
      <c r="AC2037" s="191"/>
      <c r="AD2037" s="16"/>
      <c r="AE2037" s="16"/>
      <c r="AF2037" s="16"/>
      <c r="AG2037" s="16"/>
      <c r="AH2037" s="16"/>
      <c r="AI2037" s="16"/>
      <c r="AJ2037" s="16"/>
      <c r="AK2037" s="16"/>
      <c r="AL2037" s="16"/>
      <c r="AM2037" s="16"/>
      <c r="AN2037" s="16"/>
      <c r="AO2037" s="16"/>
      <c r="AP2037" s="16"/>
      <c r="AQ2037" s="16"/>
      <c r="AR2037" s="16"/>
      <c r="AS2037" s="16"/>
    </row>
    <row r="2038" spans="18:45" x14ac:dyDescent="0.35">
      <c r="R2038" s="191"/>
      <c r="S2038" s="191"/>
      <c r="T2038" s="193"/>
      <c r="U2038" s="191"/>
      <c r="V2038" s="194"/>
      <c r="W2038" s="191"/>
      <c r="Y2038" s="191"/>
      <c r="Z2038" s="191"/>
      <c r="AA2038" s="191"/>
      <c r="AB2038" s="191"/>
      <c r="AC2038" s="191"/>
      <c r="AD2038" s="16"/>
      <c r="AE2038" s="16"/>
      <c r="AF2038" s="16"/>
      <c r="AG2038" s="16"/>
      <c r="AH2038" s="16"/>
      <c r="AI2038" s="16"/>
      <c r="AJ2038" s="16"/>
      <c r="AK2038" s="16"/>
      <c r="AL2038" s="16"/>
      <c r="AM2038" s="16"/>
      <c r="AN2038" s="16"/>
      <c r="AO2038" s="16"/>
      <c r="AP2038" s="16"/>
      <c r="AQ2038" s="16"/>
      <c r="AR2038" s="16"/>
      <c r="AS2038" s="16"/>
    </row>
    <row r="2039" spans="18:45" x14ac:dyDescent="0.35">
      <c r="R2039" s="191"/>
      <c r="S2039" s="191"/>
      <c r="T2039" s="193"/>
      <c r="U2039" s="191"/>
      <c r="V2039" s="194"/>
      <c r="W2039" s="191"/>
      <c r="Y2039" s="191"/>
      <c r="Z2039" s="191"/>
      <c r="AA2039" s="191"/>
      <c r="AB2039" s="191"/>
      <c r="AC2039" s="191"/>
      <c r="AD2039" s="16"/>
      <c r="AE2039" s="16"/>
      <c r="AF2039" s="16"/>
      <c r="AG2039" s="16"/>
      <c r="AH2039" s="16"/>
      <c r="AI2039" s="16"/>
      <c r="AJ2039" s="16"/>
      <c r="AK2039" s="16"/>
      <c r="AL2039" s="16"/>
      <c r="AM2039" s="16"/>
      <c r="AN2039" s="16"/>
      <c r="AO2039" s="16"/>
      <c r="AP2039" s="16"/>
      <c r="AQ2039" s="16"/>
      <c r="AR2039" s="16"/>
      <c r="AS2039" s="16"/>
    </row>
    <row r="2040" spans="18:45" x14ac:dyDescent="0.35">
      <c r="R2040" s="191"/>
      <c r="S2040" s="191"/>
      <c r="T2040" s="193"/>
      <c r="U2040" s="191"/>
      <c r="V2040" s="194"/>
      <c r="W2040" s="191"/>
      <c r="Y2040" s="191"/>
      <c r="Z2040" s="191"/>
      <c r="AA2040" s="191"/>
      <c r="AB2040" s="191"/>
      <c r="AC2040" s="191"/>
      <c r="AD2040" s="16"/>
      <c r="AE2040" s="16"/>
      <c r="AF2040" s="16"/>
      <c r="AG2040" s="16"/>
      <c r="AH2040" s="16"/>
      <c r="AI2040" s="16"/>
      <c r="AJ2040" s="16"/>
      <c r="AK2040" s="16"/>
      <c r="AL2040" s="16"/>
      <c r="AM2040" s="16"/>
      <c r="AN2040" s="16"/>
      <c r="AO2040" s="16"/>
      <c r="AP2040" s="16"/>
      <c r="AQ2040" s="16"/>
      <c r="AR2040" s="16"/>
      <c r="AS2040" s="16"/>
    </row>
    <row r="2041" spans="18:45" x14ac:dyDescent="0.35">
      <c r="R2041" s="191"/>
      <c r="S2041" s="191"/>
      <c r="T2041" s="193"/>
      <c r="U2041" s="191"/>
      <c r="V2041" s="194"/>
      <c r="W2041" s="191"/>
      <c r="Y2041" s="191"/>
      <c r="Z2041" s="191"/>
      <c r="AA2041" s="191"/>
      <c r="AB2041" s="191"/>
      <c r="AC2041" s="191"/>
      <c r="AD2041" s="16"/>
      <c r="AE2041" s="16"/>
      <c r="AF2041" s="16"/>
      <c r="AG2041" s="16"/>
      <c r="AH2041" s="16"/>
      <c r="AI2041" s="16"/>
      <c r="AJ2041" s="16"/>
      <c r="AK2041" s="16"/>
      <c r="AL2041" s="16"/>
      <c r="AM2041" s="16"/>
      <c r="AN2041" s="16"/>
      <c r="AO2041" s="16"/>
      <c r="AP2041" s="16"/>
      <c r="AQ2041" s="16"/>
      <c r="AR2041" s="16"/>
      <c r="AS2041" s="16"/>
    </row>
    <row r="2042" spans="18:45" x14ac:dyDescent="0.35">
      <c r="R2042" s="191"/>
      <c r="S2042" s="191"/>
      <c r="T2042" s="193"/>
      <c r="U2042" s="191"/>
      <c r="V2042" s="194"/>
      <c r="W2042" s="191"/>
      <c r="Y2042" s="191"/>
      <c r="Z2042" s="191"/>
      <c r="AA2042" s="191"/>
      <c r="AB2042" s="191"/>
      <c r="AC2042" s="191"/>
      <c r="AD2042" s="16"/>
      <c r="AE2042" s="16"/>
      <c r="AF2042" s="16"/>
      <c r="AG2042" s="16"/>
      <c r="AH2042" s="16"/>
      <c r="AI2042" s="16"/>
      <c r="AJ2042" s="16"/>
      <c r="AK2042" s="16"/>
      <c r="AL2042" s="16"/>
      <c r="AM2042" s="16"/>
      <c r="AN2042" s="16"/>
      <c r="AO2042" s="16"/>
      <c r="AP2042" s="16"/>
      <c r="AQ2042" s="16"/>
      <c r="AR2042" s="16"/>
      <c r="AS2042" s="16"/>
    </row>
    <row r="2043" spans="18:45" x14ac:dyDescent="0.35">
      <c r="R2043" s="191"/>
      <c r="S2043" s="191"/>
      <c r="T2043" s="193"/>
      <c r="U2043" s="191"/>
      <c r="V2043" s="194"/>
      <c r="W2043" s="191"/>
      <c r="Y2043" s="191"/>
      <c r="Z2043" s="191"/>
      <c r="AA2043" s="191"/>
      <c r="AB2043" s="191"/>
      <c r="AC2043" s="191"/>
      <c r="AD2043" s="16"/>
      <c r="AE2043" s="16"/>
      <c r="AF2043" s="16"/>
      <c r="AG2043" s="16"/>
      <c r="AH2043" s="16"/>
      <c r="AI2043" s="16"/>
      <c r="AJ2043" s="16"/>
      <c r="AK2043" s="16"/>
      <c r="AL2043" s="16"/>
      <c r="AM2043" s="16"/>
      <c r="AN2043" s="16"/>
      <c r="AO2043" s="16"/>
      <c r="AP2043" s="16"/>
      <c r="AQ2043" s="16"/>
      <c r="AR2043" s="16"/>
      <c r="AS2043" s="16"/>
    </row>
    <row r="2044" spans="18:45" x14ac:dyDescent="0.35">
      <c r="R2044" s="191"/>
      <c r="S2044" s="191"/>
      <c r="T2044" s="193"/>
      <c r="U2044" s="191"/>
      <c r="V2044" s="194"/>
      <c r="W2044" s="191"/>
      <c r="Y2044" s="191"/>
      <c r="Z2044" s="191"/>
      <c r="AA2044" s="191"/>
      <c r="AB2044" s="191"/>
      <c r="AC2044" s="191"/>
      <c r="AD2044" s="16"/>
      <c r="AE2044" s="16"/>
      <c r="AF2044" s="16"/>
      <c r="AG2044" s="16"/>
      <c r="AH2044" s="16"/>
      <c r="AI2044" s="16"/>
      <c r="AJ2044" s="16"/>
      <c r="AK2044" s="16"/>
      <c r="AL2044" s="16"/>
      <c r="AM2044" s="16"/>
      <c r="AN2044" s="16"/>
      <c r="AO2044" s="16"/>
      <c r="AP2044" s="16"/>
      <c r="AQ2044" s="16"/>
      <c r="AR2044" s="16"/>
      <c r="AS2044" s="16"/>
    </row>
    <row r="2045" spans="18:45" x14ac:dyDescent="0.35">
      <c r="R2045" s="191"/>
      <c r="S2045" s="191"/>
      <c r="T2045" s="193"/>
      <c r="U2045" s="191"/>
      <c r="V2045" s="194"/>
      <c r="W2045" s="191"/>
      <c r="Y2045" s="191"/>
      <c r="Z2045" s="191"/>
      <c r="AA2045" s="191"/>
      <c r="AB2045" s="191"/>
      <c r="AC2045" s="191"/>
      <c r="AD2045" s="16"/>
      <c r="AE2045" s="16"/>
      <c r="AF2045" s="16"/>
      <c r="AG2045" s="16"/>
      <c r="AH2045" s="16"/>
      <c r="AI2045" s="16"/>
      <c r="AJ2045" s="16"/>
      <c r="AK2045" s="16"/>
      <c r="AL2045" s="16"/>
      <c r="AM2045" s="16"/>
      <c r="AN2045" s="16"/>
      <c r="AO2045" s="16"/>
      <c r="AP2045" s="16"/>
      <c r="AQ2045" s="16"/>
      <c r="AR2045" s="16"/>
      <c r="AS2045" s="16"/>
    </row>
    <row r="2046" spans="18:45" x14ac:dyDescent="0.35">
      <c r="R2046" s="191"/>
      <c r="S2046" s="191"/>
      <c r="T2046" s="193"/>
      <c r="U2046" s="191"/>
      <c r="V2046" s="194"/>
      <c r="W2046" s="191"/>
      <c r="Y2046" s="191"/>
      <c r="Z2046" s="191"/>
      <c r="AA2046" s="191"/>
      <c r="AB2046" s="191"/>
      <c r="AC2046" s="191"/>
      <c r="AD2046" s="16"/>
      <c r="AE2046" s="16"/>
      <c r="AF2046" s="16"/>
      <c r="AG2046" s="16"/>
      <c r="AH2046" s="16"/>
      <c r="AI2046" s="16"/>
      <c r="AJ2046" s="16"/>
      <c r="AK2046" s="16"/>
      <c r="AL2046" s="16"/>
      <c r="AM2046" s="16"/>
      <c r="AN2046" s="16"/>
      <c r="AO2046" s="16"/>
      <c r="AP2046" s="16"/>
      <c r="AQ2046" s="16"/>
      <c r="AR2046" s="16"/>
      <c r="AS2046" s="16"/>
    </row>
    <row r="2047" spans="18:45" x14ac:dyDescent="0.35">
      <c r="R2047" s="191"/>
      <c r="S2047" s="191"/>
      <c r="T2047" s="193"/>
      <c r="U2047" s="191"/>
      <c r="V2047" s="194"/>
      <c r="W2047" s="191"/>
      <c r="Y2047" s="191"/>
      <c r="Z2047" s="191"/>
      <c r="AA2047" s="191"/>
      <c r="AB2047" s="191"/>
      <c r="AC2047" s="191"/>
      <c r="AD2047" s="16"/>
      <c r="AE2047" s="16"/>
      <c r="AF2047" s="16"/>
      <c r="AG2047" s="16"/>
      <c r="AH2047" s="16"/>
      <c r="AI2047" s="16"/>
      <c r="AJ2047" s="16"/>
      <c r="AK2047" s="16"/>
      <c r="AL2047" s="16"/>
      <c r="AM2047" s="16"/>
      <c r="AN2047" s="16"/>
      <c r="AO2047" s="16"/>
      <c r="AP2047" s="16"/>
      <c r="AQ2047" s="16"/>
      <c r="AR2047" s="16"/>
      <c r="AS2047" s="16"/>
    </row>
    <row r="2048" spans="18:45" x14ac:dyDescent="0.35">
      <c r="R2048" s="191"/>
      <c r="S2048" s="191"/>
      <c r="T2048" s="193"/>
      <c r="U2048" s="191"/>
      <c r="V2048" s="194"/>
      <c r="W2048" s="191"/>
      <c r="Y2048" s="191"/>
      <c r="Z2048" s="191"/>
      <c r="AA2048" s="191"/>
      <c r="AB2048" s="191"/>
      <c r="AC2048" s="191"/>
      <c r="AD2048" s="16"/>
      <c r="AE2048" s="16"/>
      <c r="AF2048" s="16"/>
      <c r="AG2048" s="16"/>
      <c r="AH2048" s="16"/>
      <c r="AI2048" s="16"/>
      <c r="AJ2048" s="16"/>
      <c r="AK2048" s="16"/>
      <c r="AL2048" s="16"/>
      <c r="AM2048" s="16"/>
      <c r="AN2048" s="16"/>
      <c r="AO2048" s="16"/>
      <c r="AP2048" s="16"/>
      <c r="AQ2048" s="16"/>
      <c r="AR2048" s="16"/>
      <c r="AS2048" s="16"/>
    </row>
    <row r="2049" spans="18:45" x14ac:dyDescent="0.35">
      <c r="R2049" s="191"/>
      <c r="S2049" s="191"/>
      <c r="T2049" s="193"/>
      <c r="U2049" s="191"/>
      <c r="V2049" s="194"/>
      <c r="W2049" s="191"/>
      <c r="Y2049" s="191"/>
      <c r="Z2049" s="191"/>
      <c r="AA2049" s="191"/>
      <c r="AB2049" s="191"/>
      <c r="AC2049" s="191"/>
      <c r="AD2049" s="16"/>
      <c r="AE2049" s="16"/>
      <c r="AF2049" s="16"/>
      <c r="AG2049" s="16"/>
      <c r="AH2049" s="16"/>
      <c r="AI2049" s="16"/>
      <c r="AJ2049" s="16"/>
      <c r="AK2049" s="16"/>
      <c r="AL2049" s="16"/>
      <c r="AM2049" s="16"/>
      <c r="AN2049" s="16"/>
      <c r="AO2049" s="16"/>
      <c r="AP2049" s="16"/>
      <c r="AQ2049" s="16"/>
      <c r="AR2049" s="16"/>
      <c r="AS2049" s="16"/>
    </row>
    <row r="2050" spans="18:45" x14ac:dyDescent="0.35">
      <c r="R2050" s="191"/>
      <c r="S2050" s="191"/>
      <c r="T2050" s="193"/>
      <c r="U2050" s="191"/>
      <c r="V2050" s="194"/>
      <c r="W2050" s="191"/>
      <c r="Y2050" s="191"/>
      <c r="Z2050" s="191"/>
      <c r="AA2050" s="191"/>
      <c r="AB2050" s="191"/>
      <c r="AC2050" s="191"/>
      <c r="AD2050" s="16"/>
      <c r="AE2050" s="16"/>
      <c r="AF2050" s="16"/>
      <c r="AG2050" s="16"/>
      <c r="AH2050" s="16"/>
      <c r="AI2050" s="16"/>
      <c r="AJ2050" s="16"/>
      <c r="AK2050" s="16"/>
      <c r="AL2050" s="16"/>
      <c r="AM2050" s="16"/>
      <c r="AN2050" s="16"/>
      <c r="AO2050" s="16"/>
      <c r="AP2050" s="16"/>
      <c r="AQ2050" s="16"/>
      <c r="AR2050" s="16"/>
      <c r="AS2050" s="16"/>
    </row>
    <row r="2051" spans="18:45" x14ac:dyDescent="0.35">
      <c r="R2051" s="191"/>
      <c r="S2051" s="191"/>
      <c r="T2051" s="193"/>
      <c r="U2051" s="191"/>
      <c r="V2051" s="194"/>
      <c r="W2051" s="191"/>
      <c r="Y2051" s="191"/>
      <c r="Z2051" s="191"/>
      <c r="AA2051" s="191"/>
      <c r="AB2051" s="191"/>
      <c r="AC2051" s="191"/>
      <c r="AD2051" s="16"/>
      <c r="AE2051" s="16"/>
      <c r="AF2051" s="16"/>
      <c r="AG2051" s="16"/>
      <c r="AH2051" s="16"/>
      <c r="AI2051" s="16"/>
      <c r="AJ2051" s="16"/>
      <c r="AK2051" s="16"/>
      <c r="AL2051" s="16"/>
      <c r="AM2051" s="16"/>
      <c r="AN2051" s="16"/>
      <c r="AO2051" s="16"/>
      <c r="AP2051" s="16"/>
      <c r="AQ2051" s="16"/>
      <c r="AR2051" s="16"/>
      <c r="AS2051" s="16"/>
    </row>
    <row r="2052" spans="18:45" x14ac:dyDescent="0.35">
      <c r="R2052" s="191"/>
      <c r="S2052" s="191"/>
      <c r="T2052" s="193"/>
      <c r="U2052" s="191"/>
      <c r="V2052" s="194"/>
      <c r="W2052" s="191"/>
      <c r="Y2052" s="191"/>
      <c r="Z2052" s="191"/>
      <c r="AA2052" s="191"/>
      <c r="AB2052" s="191"/>
      <c r="AC2052" s="191"/>
      <c r="AD2052" s="16"/>
      <c r="AE2052" s="16"/>
      <c r="AF2052" s="16"/>
      <c r="AG2052" s="16"/>
      <c r="AH2052" s="16"/>
      <c r="AI2052" s="16"/>
      <c r="AJ2052" s="16"/>
      <c r="AK2052" s="16"/>
      <c r="AL2052" s="16"/>
      <c r="AM2052" s="16"/>
      <c r="AN2052" s="16"/>
      <c r="AO2052" s="16"/>
      <c r="AP2052" s="16"/>
      <c r="AQ2052" s="16"/>
      <c r="AR2052" s="16"/>
      <c r="AS2052" s="16"/>
    </row>
    <row r="2053" spans="18:45" x14ac:dyDescent="0.35">
      <c r="R2053" s="191"/>
      <c r="S2053" s="191"/>
      <c r="T2053" s="193"/>
      <c r="U2053" s="191"/>
      <c r="V2053" s="194"/>
      <c r="W2053" s="191"/>
      <c r="Y2053" s="191"/>
      <c r="Z2053" s="191"/>
      <c r="AA2053" s="191"/>
      <c r="AB2053" s="191"/>
      <c r="AC2053" s="191"/>
      <c r="AD2053" s="16"/>
      <c r="AE2053" s="16"/>
      <c r="AF2053" s="16"/>
      <c r="AG2053" s="16"/>
      <c r="AH2053" s="16"/>
      <c r="AI2053" s="16"/>
      <c r="AJ2053" s="16"/>
      <c r="AK2053" s="16"/>
      <c r="AL2053" s="16"/>
      <c r="AM2053" s="16"/>
      <c r="AN2053" s="16"/>
      <c r="AO2053" s="16"/>
      <c r="AP2053" s="16"/>
      <c r="AQ2053" s="16"/>
      <c r="AR2053" s="16"/>
      <c r="AS2053" s="16"/>
    </row>
    <row r="2054" spans="18:45" x14ac:dyDescent="0.35">
      <c r="R2054" s="191"/>
      <c r="S2054" s="191"/>
      <c r="T2054" s="193"/>
      <c r="U2054" s="191"/>
      <c r="V2054" s="194"/>
      <c r="W2054" s="191"/>
      <c r="Y2054" s="191"/>
      <c r="Z2054" s="191"/>
      <c r="AA2054" s="191"/>
      <c r="AB2054" s="191"/>
      <c r="AC2054" s="191"/>
      <c r="AD2054" s="16"/>
      <c r="AE2054" s="16"/>
      <c r="AF2054" s="16"/>
      <c r="AG2054" s="16"/>
      <c r="AH2054" s="16"/>
      <c r="AI2054" s="16"/>
      <c r="AJ2054" s="16"/>
      <c r="AK2054" s="16"/>
      <c r="AL2054" s="16"/>
      <c r="AM2054" s="16"/>
      <c r="AN2054" s="16"/>
      <c r="AO2054" s="16"/>
      <c r="AP2054" s="16"/>
      <c r="AQ2054" s="16"/>
      <c r="AR2054" s="16"/>
      <c r="AS2054" s="16"/>
    </row>
    <row r="2055" spans="18:45" x14ac:dyDescent="0.35">
      <c r="R2055" s="191"/>
      <c r="S2055" s="191"/>
      <c r="T2055" s="193"/>
      <c r="U2055" s="191"/>
      <c r="V2055" s="194"/>
      <c r="W2055" s="191"/>
      <c r="Y2055" s="191"/>
      <c r="Z2055" s="191"/>
      <c r="AA2055" s="191"/>
      <c r="AB2055" s="191"/>
      <c r="AC2055" s="191"/>
      <c r="AD2055" s="16"/>
      <c r="AE2055" s="16"/>
      <c r="AF2055" s="16"/>
      <c r="AG2055" s="16"/>
      <c r="AH2055" s="16"/>
      <c r="AI2055" s="16"/>
      <c r="AJ2055" s="16"/>
      <c r="AK2055" s="16"/>
      <c r="AL2055" s="16"/>
      <c r="AM2055" s="16"/>
      <c r="AN2055" s="16"/>
      <c r="AO2055" s="16"/>
      <c r="AP2055" s="16"/>
      <c r="AQ2055" s="16"/>
      <c r="AR2055" s="16"/>
      <c r="AS2055" s="16"/>
    </row>
    <row r="2056" spans="18:45" x14ac:dyDescent="0.35">
      <c r="R2056" s="191"/>
      <c r="S2056" s="191"/>
      <c r="T2056" s="193"/>
      <c r="U2056" s="191"/>
      <c r="V2056" s="194"/>
      <c r="W2056" s="191"/>
      <c r="Y2056" s="191"/>
      <c r="Z2056" s="191"/>
      <c r="AA2056" s="191"/>
      <c r="AB2056" s="191"/>
      <c r="AC2056" s="191"/>
      <c r="AD2056" s="16"/>
      <c r="AE2056" s="16"/>
      <c r="AF2056" s="16"/>
      <c r="AG2056" s="16"/>
      <c r="AH2056" s="16"/>
      <c r="AI2056" s="16"/>
      <c r="AJ2056" s="16"/>
      <c r="AK2056" s="16"/>
      <c r="AL2056" s="16"/>
      <c r="AM2056" s="16"/>
      <c r="AN2056" s="16"/>
      <c r="AO2056" s="16"/>
      <c r="AP2056" s="16"/>
      <c r="AQ2056" s="16"/>
      <c r="AR2056" s="16"/>
      <c r="AS2056" s="16"/>
    </row>
    <row r="2057" spans="18:45" x14ac:dyDescent="0.35">
      <c r="R2057" s="191"/>
      <c r="S2057" s="191"/>
      <c r="T2057" s="193"/>
      <c r="U2057" s="191"/>
      <c r="V2057" s="194"/>
      <c r="W2057" s="191"/>
      <c r="Y2057" s="191"/>
      <c r="Z2057" s="191"/>
      <c r="AA2057" s="191"/>
      <c r="AB2057" s="191"/>
      <c r="AC2057" s="191"/>
      <c r="AD2057" s="16"/>
      <c r="AE2057" s="16"/>
      <c r="AF2057" s="16"/>
      <c r="AG2057" s="16"/>
      <c r="AH2057" s="16"/>
      <c r="AI2057" s="16"/>
      <c r="AJ2057" s="16"/>
      <c r="AK2057" s="16"/>
      <c r="AL2057" s="16"/>
      <c r="AM2057" s="16"/>
      <c r="AN2057" s="16"/>
      <c r="AO2057" s="16"/>
      <c r="AP2057" s="16"/>
      <c r="AQ2057" s="16"/>
      <c r="AR2057" s="16"/>
      <c r="AS2057" s="16"/>
    </row>
    <row r="2058" spans="18:45" x14ac:dyDescent="0.35">
      <c r="R2058" s="191"/>
      <c r="S2058" s="191"/>
      <c r="T2058" s="193"/>
      <c r="U2058" s="191"/>
      <c r="V2058" s="194"/>
      <c r="W2058" s="191"/>
      <c r="Y2058" s="191"/>
      <c r="Z2058" s="191"/>
      <c r="AA2058" s="191"/>
      <c r="AB2058" s="191"/>
      <c r="AC2058" s="191"/>
      <c r="AD2058" s="16"/>
      <c r="AE2058" s="16"/>
      <c r="AF2058" s="16"/>
      <c r="AG2058" s="16"/>
      <c r="AH2058" s="16"/>
      <c r="AI2058" s="16"/>
      <c r="AJ2058" s="16"/>
      <c r="AK2058" s="16"/>
      <c r="AL2058" s="16"/>
      <c r="AM2058" s="16"/>
      <c r="AN2058" s="16"/>
      <c r="AO2058" s="16"/>
      <c r="AP2058" s="16"/>
      <c r="AQ2058" s="16"/>
      <c r="AR2058" s="16"/>
      <c r="AS2058" s="16"/>
    </row>
    <row r="2059" spans="18:45" x14ac:dyDescent="0.35">
      <c r="R2059" s="191"/>
      <c r="S2059" s="191"/>
      <c r="T2059" s="193"/>
      <c r="U2059" s="191"/>
      <c r="V2059" s="194"/>
      <c r="W2059" s="191"/>
      <c r="Y2059" s="191"/>
      <c r="Z2059" s="191"/>
      <c r="AA2059" s="191"/>
      <c r="AB2059" s="191"/>
      <c r="AC2059" s="191"/>
      <c r="AD2059" s="16"/>
      <c r="AE2059" s="16"/>
      <c r="AF2059" s="16"/>
      <c r="AG2059" s="16"/>
      <c r="AH2059" s="16"/>
      <c r="AI2059" s="16"/>
      <c r="AJ2059" s="16"/>
      <c r="AK2059" s="16"/>
      <c r="AL2059" s="16"/>
      <c r="AM2059" s="16"/>
      <c r="AN2059" s="16"/>
      <c r="AO2059" s="16"/>
      <c r="AP2059" s="16"/>
      <c r="AQ2059" s="16"/>
      <c r="AR2059" s="16"/>
      <c r="AS2059" s="16"/>
    </row>
    <row r="2060" spans="18:45" x14ac:dyDescent="0.35">
      <c r="R2060" s="191"/>
      <c r="S2060" s="191"/>
      <c r="T2060" s="193"/>
      <c r="U2060" s="191"/>
      <c r="V2060" s="194"/>
      <c r="W2060" s="191"/>
      <c r="Y2060" s="191"/>
      <c r="Z2060" s="191"/>
      <c r="AA2060" s="191"/>
      <c r="AB2060" s="191"/>
      <c r="AC2060" s="191"/>
      <c r="AD2060" s="16"/>
      <c r="AE2060" s="16"/>
      <c r="AF2060" s="16"/>
      <c r="AG2060" s="16"/>
      <c r="AH2060" s="16"/>
      <c r="AI2060" s="16"/>
      <c r="AJ2060" s="16"/>
      <c r="AK2060" s="16"/>
      <c r="AL2060" s="16"/>
      <c r="AM2060" s="16"/>
      <c r="AN2060" s="16"/>
      <c r="AO2060" s="16"/>
      <c r="AP2060" s="16"/>
      <c r="AQ2060" s="16"/>
      <c r="AR2060" s="16"/>
      <c r="AS2060" s="16"/>
    </row>
    <row r="2061" spans="18:45" x14ac:dyDescent="0.35">
      <c r="R2061" s="191"/>
      <c r="S2061" s="191"/>
      <c r="T2061" s="193"/>
      <c r="U2061" s="191"/>
      <c r="V2061" s="194"/>
      <c r="W2061" s="191"/>
      <c r="Y2061" s="191"/>
      <c r="Z2061" s="191"/>
      <c r="AA2061" s="191"/>
      <c r="AB2061" s="191"/>
      <c r="AC2061" s="191"/>
      <c r="AD2061" s="16"/>
      <c r="AE2061" s="16"/>
      <c r="AF2061" s="16"/>
      <c r="AG2061" s="16"/>
      <c r="AH2061" s="16"/>
      <c r="AI2061" s="16"/>
      <c r="AJ2061" s="16"/>
      <c r="AK2061" s="16"/>
      <c r="AL2061" s="16"/>
      <c r="AM2061" s="16"/>
      <c r="AN2061" s="16"/>
      <c r="AO2061" s="16"/>
      <c r="AP2061" s="16"/>
      <c r="AQ2061" s="16"/>
      <c r="AR2061" s="16"/>
      <c r="AS2061" s="16"/>
    </row>
    <row r="2062" spans="18:45" x14ac:dyDescent="0.35">
      <c r="R2062" s="191"/>
      <c r="S2062" s="191"/>
      <c r="T2062" s="193"/>
      <c r="U2062" s="191"/>
      <c r="V2062" s="194"/>
      <c r="W2062" s="191"/>
      <c r="Y2062" s="191"/>
      <c r="Z2062" s="191"/>
      <c r="AA2062" s="191"/>
      <c r="AB2062" s="191"/>
      <c r="AC2062" s="191"/>
      <c r="AD2062" s="16"/>
      <c r="AE2062" s="16"/>
      <c r="AF2062" s="16"/>
      <c r="AG2062" s="16"/>
      <c r="AH2062" s="16"/>
      <c r="AI2062" s="16"/>
      <c r="AJ2062" s="16"/>
      <c r="AK2062" s="16"/>
      <c r="AL2062" s="16"/>
      <c r="AM2062" s="16"/>
      <c r="AN2062" s="16"/>
      <c r="AO2062" s="16"/>
      <c r="AP2062" s="16"/>
      <c r="AQ2062" s="16"/>
      <c r="AR2062" s="16"/>
      <c r="AS2062" s="16"/>
    </row>
    <row r="2063" spans="18:45" x14ac:dyDescent="0.35">
      <c r="R2063" s="191"/>
      <c r="S2063" s="191"/>
      <c r="T2063" s="193"/>
      <c r="U2063" s="191"/>
      <c r="V2063" s="194"/>
      <c r="W2063" s="191"/>
      <c r="Y2063" s="191"/>
      <c r="Z2063" s="191"/>
      <c r="AA2063" s="191"/>
      <c r="AB2063" s="191"/>
      <c r="AC2063" s="191"/>
      <c r="AD2063" s="16"/>
      <c r="AE2063" s="16"/>
      <c r="AF2063" s="16"/>
      <c r="AG2063" s="16"/>
      <c r="AH2063" s="16"/>
      <c r="AI2063" s="16"/>
      <c r="AJ2063" s="16"/>
      <c r="AK2063" s="16"/>
      <c r="AL2063" s="16"/>
      <c r="AM2063" s="16"/>
      <c r="AN2063" s="16"/>
      <c r="AO2063" s="16"/>
      <c r="AP2063" s="16"/>
      <c r="AQ2063" s="16"/>
      <c r="AR2063" s="16"/>
      <c r="AS2063" s="16"/>
    </row>
    <row r="2064" spans="18:45" x14ac:dyDescent="0.35">
      <c r="R2064" s="191"/>
      <c r="S2064" s="191"/>
      <c r="T2064" s="193"/>
      <c r="U2064" s="191"/>
      <c r="V2064" s="194"/>
      <c r="W2064" s="191"/>
      <c r="Y2064" s="191"/>
      <c r="Z2064" s="191"/>
      <c r="AA2064" s="191"/>
      <c r="AB2064" s="191"/>
      <c r="AC2064" s="191"/>
      <c r="AD2064" s="16"/>
      <c r="AE2064" s="16"/>
      <c r="AF2064" s="16"/>
      <c r="AG2064" s="16"/>
      <c r="AH2064" s="16"/>
      <c r="AI2064" s="16"/>
      <c r="AJ2064" s="16"/>
      <c r="AK2064" s="16"/>
      <c r="AL2064" s="16"/>
      <c r="AM2064" s="16"/>
      <c r="AN2064" s="16"/>
      <c r="AO2064" s="16"/>
      <c r="AP2064" s="16"/>
      <c r="AQ2064" s="16"/>
      <c r="AR2064" s="16"/>
      <c r="AS2064" s="16"/>
    </row>
    <row r="2065" spans="18:45" x14ac:dyDescent="0.35">
      <c r="R2065" s="191"/>
      <c r="S2065" s="191"/>
      <c r="T2065" s="193"/>
      <c r="U2065" s="191"/>
      <c r="V2065" s="194"/>
      <c r="W2065" s="191"/>
      <c r="Y2065" s="191"/>
      <c r="Z2065" s="191"/>
      <c r="AA2065" s="191"/>
      <c r="AB2065" s="191"/>
      <c r="AC2065" s="191"/>
      <c r="AD2065" s="16"/>
      <c r="AE2065" s="16"/>
      <c r="AF2065" s="16"/>
      <c r="AG2065" s="16"/>
      <c r="AH2065" s="16"/>
      <c r="AI2065" s="16"/>
      <c r="AJ2065" s="16"/>
      <c r="AK2065" s="16"/>
      <c r="AL2065" s="16"/>
      <c r="AM2065" s="16"/>
      <c r="AN2065" s="16"/>
      <c r="AO2065" s="16"/>
      <c r="AP2065" s="16"/>
      <c r="AQ2065" s="16"/>
      <c r="AR2065" s="16"/>
      <c r="AS2065" s="16"/>
    </row>
    <row r="2066" spans="18:45" x14ac:dyDescent="0.35">
      <c r="R2066" s="191"/>
      <c r="S2066" s="191"/>
      <c r="T2066" s="193"/>
      <c r="U2066" s="191"/>
      <c r="V2066" s="194"/>
      <c r="W2066" s="191"/>
      <c r="Y2066" s="191"/>
      <c r="Z2066" s="191"/>
      <c r="AA2066" s="191"/>
      <c r="AB2066" s="191"/>
      <c r="AC2066" s="191"/>
      <c r="AD2066" s="16"/>
      <c r="AE2066" s="16"/>
      <c r="AF2066" s="16"/>
      <c r="AG2066" s="16"/>
      <c r="AH2066" s="16"/>
      <c r="AI2066" s="16"/>
      <c r="AJ2066" s="16"/>
      <c r="AK2066" s="16"/>
      <c r="AL2066" s="16"/>
      <c r="AM2066" s="16"/>
      <c r="AN2066" s="16"/>
      <c r="AO2066" s="16"/>
      <c r="AP2066" s="16"/>
      <c r="AQ2066" s="16"/>
      <c r="AR2066" s="16"/>
      <c r="AS2066" s="16"/>
    </row>
    <row r="2067" spans="18:45" x14ac:dyDescent="0.35">
      <c r="R2067" s="191"/>
      <c r="S2067" s="191"/>
      <c r="T2067" s="193"/>
      <c r="U2067" s="191"/>
      <c r="V2067" s="194"/>
      <c r="W2067" s="191"/>
      <c r="Y2067" s="191"/>
      <c r="Z2067" s="191"/>
      <c r="AA2067" s="191"/>
      <c r="AB2067" s="191"/>
      <c r="AC2067" s="191"/>
      <c r="AD2067" s="16"/>
      <c r="AE2067" s="16"/>
      <c r="AF2067" s="16"/>
      <c r="AG2067" s="16"/>
      <c r="AH2067" s="16"/>
      <c r="AI2067" s="16"/>
      <c r="AJ2067" s="16"/>
      <c r="AK2067" s="16"/>
      <c r="AL2067" s="16"/>
      <c r="AM2067" s="16"/>
      <c r="AN2067" s="16"/>
      <c r="AO2067" s="16"/>
      <c r="AP2067" s="16"/>
      <c r="AQ2067" s="16"/>
      <c r="AR2067" s="16"/>
      <c r="AS2067" s="16"/>
    </row>
    <row r="2068" spans="18:45" x14ac:dyDescent="0.35">
      <c r="R2068" s="191"/>
      <c r="S2068" s="191"/>
      <c r="T2068" s="193"/>
      <c r="U2068" s="191"/>
      <c r="V2068" s="194"/>
      <c r="W2068" s="191"/>
      <c r="Y2068" s="191"/>
      <c r="Z2068" s="191"/>
      <c r="AA2068" s="191"/>
      <c r="AB2068" s="191"/>
      <c r="AC2068" s="191"/>
      <c r="AD2068" s="16"/>
      <c r="AE2068" s="16"/>
      <c r="AF2068" s="16"/>
      <c r="AG2068" s="16"/>
      <c r="AH2068" s="16"/>
      <c r="AI2068" s="16"/>
      <c r="AJ2068" s="16"/>
      <c r="AK2068" s="16"/>
      <c r="AL2068" s="16"/>
      <c r="AM2068" s="16"/>
      <c r="AN2068" s="16"/>
      <c r="AO2068" s="16"/>
      <c r="AP2068" s="16"/>
      <c r="AQ2068" s="16"/>
      <c r="AR2068" s="16"/>
      <c r="AS2068" s="16"/>
    </row>
    <row r="2069" spans="18:45" x14ac:dyDescent="0.35">
      <c r="R2069" s="191"/>
      <c r="S2069" s="191"/>
      <c r="T2069" s="193"/>
      <c r="U2069" s="191"/>
      <c r="V2069" s="194"/>
      <c r="W2069" s="191"/>
      <c r="Y2069" s="191"/>
      <c r="Z2069" s="191"/>
      <c r="AA2069" s="191"/>
      <c r="AB2069" s="191"/>
      <c r="AC2069" s="191"/>
      <c r="AD2069" s="16"/>
      <c r="AE2069" s="16"/>
      <c r="AF2069" s="16"/>
      <c r="AG2069" s="16"/>
      <c r="AH2069" s="16"/>
      <c r="AI2069" s="16"/>
      <c r="AJ2069" s="16"/>
      <c r="AK2069" s="16"/>
      <c r="AL2069" s="16"/>
      <c r="AM2069" s="16"/>
      <c r="AN2069" s="16"/>
      <c r="AO2069" s="16"/>
      <c r="AP2069" s="16"/>
      <c r="AQ2069" s="16"/>
      <c r="AR2069" s="16"/>
      <c r="AS2069" s="16"/>
    </row>
    <row r="2070" spans="18:45" x14ac:dyDescent="0.35">
      <c r="R2070" s="191"/>
      <c r="S2070" s="191"/>
      <c r="T2070" s="193"/>
      <c r="U2070" s="191"/>
      <c r="V2070" s="194"/>
      <c r="W2070" s="191"/>
      <c r="Y2070" s="191"/>
      <c r="Z2070" s="191"/>
      <c r="AA2070" s="191"/>
      <c r="AB2070" s="191"/>
      <c r="AC2070" s="191"/>
      <c r="AD2070" s="16"/>
      <c r="AE2070" s="16"/>
      <c r="AF2070" s="16"/>
      <c r="AG2070" s="16"/>
      <c r="AH2070" s="16"/>
      <c r="AI2070" s="16"/>
      <c r="AJ2070" s="16"/>
      <c r="AK2070" s="16"/>
      <c r="AL2070" s="16"/>
      <c r="AM2070" s="16"/>
      <c r="AN2070" s="16"/>
      <c r="AO2070" s="16"/>
      <c r="AP2070" s="16"/>
      <c r="AQ2070" s="16"/>
      <c r="AR2070" s="16"/>
      <c r="AS2070" s="16"/>
    </row>
    <row r="2071" spans="18:45" x14ac:dyDescent="0.35">
      <c r="R2071" s="191"/>
      <c r="S2071" s="191"/>
      <c r="T2071" s="193"/>
      <c r="U2071" s="191"/>
      <c r="V2071" s="194"/>
      <c r="W2071" s="191"/>
      <c r="Y2071" s="191"/>
      <c r="Z2071" s="191"/>
      <c r="AA2071" s="191"/>
      <c r="AB2071" s="191"/>
      <c r="AC2071" s="191"/>
      <c r="AD2071" s="16"/>
      <c r="AE2071" s="16"/>
      <c r="AF2071" s="16"/>
      <c r="AG2071" s="16"/>
      <c r="AH2071" s="16"/>
      <c r="AI2071" s="16"/>
      <c r="AJ2071" s="16"/>
      <c r="AK2071" s="16"/>
      <c r="AL2071" s="16"/>
      <c r="AM2071" s="16"/>
      <c r="AN2071" s="16"/>
      <c r="AO2071" s="16"/>
      <c r="AP2071" s="16"/>
      <c r="AQ2071" s="16"/>
      <c r="AR2071" s="16"/>
      <c r="AS2071" s="16"/>
    </row>
    <row r="2072" spans="18:45" x14ac:dyDescent="0.35">
      <c r="R2072" s="191"/>
      <c r="S2072" s="191"/>
      <c r="T2072" s="193"/>
      <c r="U2072" s="191"/>
      <c r="V2072" s="194"/>
      <c r="W2072" s="191"/>
      <c r="Y2072" s="191"/>
      <c r="Z2072" s="191"/>
      <c r="AA2072" s="191"/>
      <c r="AB2072" s="191"/>
      <c r="AC2072" s="191"/>
      <c r="AD2072" s="16"/>
      <c r="AE2072" s="16"/>
      <c r="AF2072" s="16"/>
      <c r="AG2072" s="16"/>
      <c r="AH2072" s="16"/>
      <c r="AI2072" s="16"/>
      <c r="AJ2072" s="16"/>
      <c r="AK2072" s="16"/>
      <c r="AL2072" s="16"/>
      <c r="AM2072" s="16"/>
      <c r="AN2072" s="16"/>
      <c r="AO2072" s="16"/>
      <c r="AP2072" s="16"/>
      <c r="AQ2072" s="16"/>
      <c r="AR2072" s="16"/>
      <c r="AS2072" s="16"/>
    </row>
    <row r="2073" spans="18:45" x14ac:dyDescent="0.35">
      <c r="R2073" s="191"/>
      <c r="S2073" s="191"/>
      <c r="T2073" s="193"/>
      <c r="U2073" s="191"/>
      <c r="V2073" s="194"/>
      <c r="W2073" s="191"/>
      <c r="Y2073" s="191"/>
      <c r="Z2073" s="191"/>
      <c r="AA2073" s="191"/>
      <c r="AB2073" s="191"/>
      <c r="AC2073" s="191"/>
      <c r="AD2073" s="16"/>
      <c r="AE2073" s="16"/>
      <c r="AF2073" s="16"/>
      <c r="AG2073" s="16"/>
      <c r="AH2073" s="16"/>
      <c r="AI2073" s="16"/>
      <c r="AJ2073" s="16"/>
      <c r="AK2073" s="16"/>
      <c r="AL2073" s="16"/>
      <c r="AM2073" s="16"/>
      <c r="AN2073" s="16"/>
      <c r="AO2073" s="16"/>
      <c r="AP2073" s="16"/>
      <c r="AQ2073" s="16"/>
      <c r="AR2073" s="16"/>
      <c r="AS2073" s="16"/>
    </row>
    <row r="2074" spans="18:45" x14ac:dyDescent="0.35">
      <c r="R2074" s="191"/>
      <c r="S2074" s="191"/>
      <c r="T2074" s="193"/>
      <c r="U2074" s="191"/>
      <c r="V2074" s="194"/>
      <c r="W2074" s="191"/>
      <c r="Y2074" s="191"/>
      <c r="Z2074" s="191"/>
      <c r="AA2074" s="191"/>
      <c r="AB2074" s="191"/>
      <c r="AC2074" s="191"/>
      <c r="AD2074" s="16"/>
      <c r="AE2074" s="16"/>
      <c r="AF2074" s="16"/>
      <c r="AG2074" s="16"/>
      <c r="AH2074" s="16"/>
      <c r="AI2074" s="16"/>
      <c r="AJ2074" s="16"/>
      <c r="AK2074" s="16"/>
      <c r="AL2074" s="16"/>
      <c r="AM2074" s="16"/>
      <c r="AN2074" s="16"/>
      <c r="AO2074" s="16"/>
      <c r="AP2074" s="16"/>
      <c r="AQ2074" s="16"/>
      <c r="AR2074" s="16"/>
      <c r="AS2074" s="16"/>
    </row>
    <row r="2075" spans="18:45" x14ac:dyDescent="0.35">
      <c r="R2075" s="191"/>
      <c r="S2075" s="191"/>
      <c r="T2075" s="193"/>
      <c r="U2075" s="191"/>
      <c r="V2075" s="194"/>
      <c r="W2075" s="191"/>
      <c r="Y2075" s="191"/>
      <c r="Z2075" s="191"/>
      <c r="AA2075" s="191"/>
      <c r="AB2075" s="191"/>
      <c r="AC2075" s="191"/>
      <c r="AD2075" s="16"/>
      <c r="AE2075" s="16"/>
      <c r="AF2075" s="16"/>
      <c r="AG2075" s="16"/>
      <c r="AH2075" s="16"/>
      <c r="AI2075" s="16"/>
      <c r="AJ2075" s="16"/>
      <c r="AK2075" s="16"/>
      <c r="AL2075" s="16"/>
      <c r="AM2075" s="16"/>
      <c r="AN2075" s="16"/>
      <c r="AO2075" s="16"/>
      <c r="AP2075" s="16"/>
      <c r="AQ2075" s="16"/>
      <c r="AR2075" s="16"/>
      <c r="AS2075" s="16"/>
    </row>
    <row r="2076" spans="18:45" x14ac:dyDescent="0.35">
      <c r="R2076" s="191"/>
      <c r="S2076" s="191"/>
      <c r="T2076" s="193"/>
      <c r="U2076" s="191"/>
      <c r="V2076" s="194"/>
      <c r="W2076" s="191"/>
      <c r="Y2076" s="191"/>
      <c r="Z2076" s="191"/>
      <c r="AA2076" s="191"/>
      <c r="AB2076" s="191"/>
      <c r="AC2076" s="191"/>
      <c r="AD2076" s="16"/>
      <c r="AE2076" s="16"/>
      <c r="AF2076" s="16"/>
      <c r="AG2076" s="16"/>
      <c r="AH2076" s="16"/>
      <c r="AI2076" s="16"/>
      <c r="AJ2076" s="16"/>
      <c r="AK2076" s="16"/>
      <c r="AL2076" s="16"/>
      <c r="AM2076" s="16"/>
      <c r="AN2076" s="16"/>
      <c r="AO2076" s="16"/>
      <c r="AP2076" s="16"/>
      <c r="AQ2076" s="16"/>
      <c r="AR2076" s="16"/>
      <c r="AS2076" s="16"/>
    </row>
    <row r="2077" spans="18:45" x14ac:dyDescent="0.35">
      <c r="R2077" s="191"/>
      <c r="S2077" s="191"/>
      <c r="T2077" s="193"/>
      <c r="U2077" s="191"/>
      <c r="V2077" s="194"/>
      <c r="W2077" s="191"/>
      <c r="Y2077" s="191"/>
      <c r="Z2077" s="191"/>
      <c r="AA2077" s="191"/>
      <c r="AB2077" s="191"/>
      <c r="AC2077" s="191"/>
      <c r="AD2077" s="16"/>
      <c r="AE2077" s="16"/>
      <c r="AF2077" s="16"/>
      <c r="AG2077" s="16"/>
      <c r="AH2077" s="16"/>
      <c r="AI2077" s="16"/>
      <c r="AJ2077" s="16"/>
      <c r="AK2077" s="16"/>
      <c r="AL2077" s="16"/>
      <c r="AM2077" s="16"/>
      <c r="AN2077" s="16"/>
      <c r="AO2077" s="16"/>
      <c r="AP2077" s="16"/>
      <c r="AQ2077" s="16"/>
      <c r="AR2077" s="16"/>
      <c r="AS2077" s="16"/>
    </row>
    <row r="2078" spans="18:45" x14ac:dyDescent="0.35">
      <c r="R2078" s="191"/>
      <c r="S2078" s="191"/>
      <c r="T2078" s="193"/>
      <c r="U2078" s="191"/>
      <c r="V2078" s="194"/>
      <c r="W2078" s="191"/>
      <c r="Y2078" s="191"/>
      <c r="Z2078" s="191"/>
      <c r="AA2078" s="191"/>
      <c r="AB2078" s="191"/>
      <c r="AC2078" s="191"/>
      <c r="AD2078" s="16"/>
      <c r="AE2078" s="16"/>
      <c r="AF2078" s="16"/>
      <c r="AG2078" s="16"/>
      <c r="AH2078" s="16"/>
      <c r="AI2078" s="16"/>
      <c r="AJ2078" s="16"/>
      <c r="AK2078" s="16"/>
      <c r="AL2078" s="16"/>
      <c r="AM2078" s="16"/>
      <c r="AN2078" s="16"/>
      <c r="AO2078" s="16"/>
      <c r="AP2078" s="16"/>
      <c r="AQ2078" s="16"/>
      <c r="AR2078" s="16"/>
      <c r="AS2078" s="16"/>
    </row>
    <row r="2079" spans="18:45" x14ac:dyDescent="0.35">
      <c r="R2079" s="191"/>
      <c r="S2079" s="191"/>
      <c r="T2079" s="193"/>
      <c r="U2079" s="191"/>
      <c r="V2079" s="194"/>
      <c r="W2079" s="191"/>
      <c r="Y2079" s="191"/>
      <c r="Z2079" s="191"/>
      <c r="AA2079" s="191"/>
      <c r="AB2079" s="191"/>
      <c r="AC2079" s="191"/>
      <c r="AD2079" s="16"/>
      <c r="AE2079" s="16"/>
      <c r="AF2079" s="16"/>
      <c r="AG2079" s="16"/>
      <c r="AH2079" s="16"/>
      <c r="AI2079" s="16"/>
      <c r="AJ2079" s="16"/>
      <c r="AK2079" s="16"/>
      <c r="AL2079" s="16"/>
      <c r="AM2079" s="16"/>
      <c r="AN2079" s="16"/>
      <c r="AO2079" s="16"/>
      <c r="AP2079" s="16"/>
      <c r="AQ2079" s="16"/>
      <c r="AR2079" s="16"/>
      <c r="AS2079" s="16"/>
    </row>
    <row r="2080" spans="18:45" x14ac:dyDescent="0.35">
      <c r="R2080" s="191"/>
      <c r="S2080" s="191"/>
      <c r="T2080" s="193"/>
      <c r="U2080" s="191"/>
      <c r="V2080" s="194"/>
      <c r="W2080" s="191"/>
      <c r="Y2080" s="191"/>
      <c r="Z2080" s="191"/>
      <c r="AA2080" s="191"/>
      <c r="AB2080" s="191"/>
      <c r="AC2080" s="191"/>
      <c r="AD2080" s="16"/>
      <c r="AE2080" s="16"/>
      <c r="AF2080" s="16"/>
      <c r="AG2080" s="16"/>
      <c r="AH2080" s="16"/>
      <c r="AI2080" s="16"/>
      <c r="AJ2080" s="16"/>
      <c r="AK2080" s="16"/>
      <c r="AL2080" s="16"/>
      <c r="AM2080" s="16"/>
      <c r="AN2080" s="16"/>
      <c r="AO2080" s="16"/>
      <c r="AP2080" s="16"/>
      <c r="AQ2080" s="16"/>
      <c r="AR2080" s="16"/>
      <c r="AS2080" s="16"/>
    </row>
    <row r="2081" spans="18:45" x14ac:dyDescent="0.35">
      <c r="R2081" s="191"/>
      <c r="S2081" s="191"/>
      <c r="T2081" s="193"/>
      <c r="U2081" s="191"/>
      <c r="V2081" s="194"/>
      <c r="W2081" s="191"/>
      <c r="Y2081" s="191"/>
      <c r="Z2081" s="191"/>
      <c r="AA2081" s="191"/>
      <c r="AB2081" s="191"/>
      <c r="AC2081" s="191"/>
      <c r="AD2081" s="16"/>
      <c r="AE2081" s="16"/>
      <c r="AF2081" s="16"/>
      <c r="AG2081" s="16"/>
      <c r="AH2081" s="16"/>
      <c r="AI2081" s="16"/>
      <c r="AJ2081" s="16"/>
      <c r="AK2081" s="16"/>
      <c r="AL2081" s="16"/>
      <c r="AM2081" s="16"/>
      <c r="AN2081" s="16"/>
      <c r="AO2081" s="16"/>
      <c r="AP2081" s="16"/>
      <c r="AQ2081" s="16"/>
      <c r="AR2081" s="16"/>
      <c r="AS2081" s="16"/>
    </row>
    <row r="2082" spans="18:45" x14ac:dyDescent="0.35">
      <c r="R2082" s="191"/>
      <c r="S2082" s="191"/>
      <c r="T2082" s="193"/>
      <c r="U2082" s="191"/>
      <c r="V2082" s="194"/>
      <c r="W2082" s="191"/>
      <c r="Y2082" s="191"/>
      <c r="Z2082" s="191"/>
      <c r="AA2082" s="191"/>
      <c r="AB2082" s="191"/>
      <c r="AC2082" s="191"/>
      <c r="AD2082" s="16"/>
      <c r="AE2082" s="16"/>
      <c r="AF2082" s="16"/>
      <c r="AG2082" s="16"/>
      <c r="AH2082" s="16"/>
      <c r="AI2082" s="16"/>
      <c r="AJ2082" s="16"/>
      <c r="AK2082" s="16"/>
      <c r="AL2082" s="16"/>
      <c r="AM2082" s="16"/>
      <c r="AN2082" s="16"/>
      <c r="AO2082" s="16"/>
      <c r="AP2082" s="16"/>
      <c r="AQ2082" s="16"/>
      <c r="AR2082" s="16"/>
      <c r="AS2082" s="16"/>
    </row>
    <row r="2083" spans="18:45" x14ac:dyDescent="0.35">
      <c r="R2083" s="191"/>
      <c r="S2083" s="191"/>
      <c r="T2083" s="193"/>
      <c r="U2083" s="191"/>
      <c r="V2083" s="194"/>
      <c r="W2083" s="191"/>
      <c r="Y2083" s="191"/>
      <c r="Z2083" s="191"/>
      <c r="AA2083" s="191"/>
      <c r="AB2083" s="191"/>
      <c r="AC2083" s="191"/>
      <c r="AD2083" s="16"/>
      <c r="AE2083" s="16"/>
      <c r="AF2083" s="16"/>
      <c r="AG2083" s="16"/>
      <c r="AH2083" s="16"/>
      <c r="AI2083" s="16"/>
      <c r="AJ2083" s="16"/>
      <c r="AK2083" s="16"/>
      <c r="AL2083" s="16"/>
      <c r="AM2083" s="16"/>
      <c r="AN2083" s="16"/>
      <c r="AO2083" s="16"/>
      <c r="AP2083" s="16"/>
      <c r="AQ2083" s="16"/>
      <c r="AR2083" s="16"/>
      <c r="AS2083" s="16"/>
    </row>
    <row r="2084" spans="18:45" x14ac:dyDescent="0.35">
      <c r="R2084" s="191"/>
      <c r="S2084" s="191"/>
      <c r="T2084" s="193"/>
      <c r="U2084" s="191"/>
      <c r="V2084" s="194"/>
      <c r="W2084" s="191"/>
      <c r="Y2084" s="191"/>
      <c r="Z2084" s="191"/>
      <c r="AA2084" s="191"/>
      <c r="AB2084" s="191"/>
      <c r="AC2084" s="191"/>
      <c r="AD2084" s="16"/>
      <c r="AE2084" s="16"/>
      <c r="AF2084" s="16"/>
      <c r="AG2084" s="16"/>
      <c r="AH2084" s="16"/>
      <c r="AI2084" s="16"/>
      <c r="AJ2084" s="16"/>
      <c r="AK2084" s="16"/>
      <c r="AL2084" s="16"/>
      <c r="AM2084" s="16"/>
      <c r="AN2084" s="16"/>
      <c r="AO2084" s="16"/>
      <c r="AP2084" s="16"/>
      <c r="AQ2084" s="16"/>
      <c r="AR2084" s="16"/>
      <c r="AS2084" s="16"/>
    </row>
    <row r="2085" spans="18:45" x14ac:dyDescent="0.35">
      <c r="R2085" s="191"/>
      <c r="S2085" s="191"/>
      <c r="T2085" s="193"/>
      <c r="U2085" s="191"/>
      <c r="V2085" s="194"/>
      <c r="W2085" s="191"/>
      <c r="Y2085" s="191"/>
      <c r="Z2085" s="191"/>
      <c r="AA2085" s="191"/>
      <c r="AB2085" s="191"/>
      <c r="AC2085" s="191"/>
      <c r="AD2085" s="16"/>
      <c r="AE2085" s="16"/>
      <c r="AF2085" s="16"/>
      <c r="AG2085" s="16"/>
      <c r="AH2085" s="16"/>
      <c r="AI2085" s="16"/>
      <c r="AJ2085" s="16"/>
      <c r="AK2085" s="16"/>
      <c r="AL2085" s="16"/>
      <c r="AM2085" s="16"/>
      <c r="AN2085" s="16"/>
      <c r="AO2085" s="16"/>
      <c r="AP2085" s="16"/>
      <c r="AQ2085" s="16"/>
      <c r="AR2085" s="16"/>
      <c r="AS2085" s="16"/>
    </row>
    <row r="2086" spans="18:45" x14ac:dyDescent="0.35">
      <c r="R2086" s="191"/>
      <c r="S2086" s="191"/>
      <c r="T2086" s="193"/>
      <c r="U2086" s="191"/>
      <c r="V2086" s="194"/>
      <c r="W2086" s="191"/>
      <c r="Y2086" s="191"/>
      <c r="Z2086" s="191"/>
      <c r="AA2086" s="191"/>
      <c r="AB2086" s="191"/>
      <c r="AC2086" s="191"/>
      <c r="AD2086" s="16"/>
      <c r="AE2086" s="16"/>
      <c r="AF2086" s="16"/>
      <c r="AG2086" s="16"/>
      <c r="AH2086" s="16"/>
      <c r="AI2086" s="16"/>
      <c r="AJ2086" s="16"/>
      <c r="AK2086" s="16"/>
      <c r="AL2086" s="16"/>
      <c r="AM2086" s="16"/>
      <c r="AN2086" s="16"/>
      <c r="AO2086" s="16"/>
      <c r="AP2086" s="16"/>
      <c r="AQ2086" s="16"/>
      <c r="AR2086" s="16"/>
      <c r="AS2086" s="16"/>
    </row>
    <row r="2087" spans="18:45" x14ac:dyDescent="0.35">
      <c r="R2087" s="191"/>
      <c r="S2087" s="191"/>
      <c r="T2087" s="193"/>
      <c r="U2087" s="191"/>
      <c r="V2087" s="194"/>
      <c r="W2087" s="191"/>
      <c r="Y2087" s="191"/>
      <c r="Z2087" s="191"/>
      <c r="AA2087" s="191"/>
      <c r="AB2087" s="191"/>
      <c r="AC2087" s="191"/>
      <c r="AD2087" s="16"/>
      <c r="AE2087" s="16"/>
      <c r="AF2087" s="16"/>
      <c r="AG2087" s="16"/>
      <c r="AH2087" s="16"/>
      <c r="AI2087" s="16"/>
      <c r="AJ2087" s="16"/>
      <c r="AK2087" s="16"/>
      <c r="AL2087" s="16"/>
      <c r="AM2087" s="16"/>
      <c r="AN2087" s="16"/>
      <c r="AO2087" s="16"/>
      <c r="AP2087" s="16"/>
      <c r="AQ2087" s="16"/>
      <c r="AR2087" s="16"/>
      <c r="AS2087" s="16"/>
    </row>
    <row r="2088" spans="18:45" x14ac:dyDescent="0.35">
      <c r="R2088" s="191"/>
      <c r="S2088" s="191"/>
      <c r="T2088" s="193"/>
      <c r="U2088" s="191"/>
      <c r="V2088" s="194"/>
      <c r="W2088" s="191"/>
      <c r="Y2088" s="191"/>
      <c r="Z2088" s="191"/>
      <c r="AA2088" s="191"/>
      <c r="AB2088" s="191"/>
      <c r="AC2088" s="191"/>
      <c r="AD2088" s="16"/>
      <c r="AE2088" s="16"/>
      <c r="AF2088" s="16"/>
      <c r="AG2088" s="16"/>
      <c r="AH2088" s="16"/>
      <c r="AI2088" s="16"/>
      <c r="AJ2088" s="16"/>
      <c r="AK2088" s="16"/>
      <c r="AL2088" s="16"/>
      <c r="AM2088" s="16"/>
      <c r="AN2088" s="16"/>
      <c r="AO2088" s="16"/>
      <c r="AP2088" s="16"/>
      <c r="AQ2088" s="16"/>
      <c r="AR2088" s="16"/>
      <c r="AS2088" s="16"/>
    </row>
    <row r="2089" spans="18:45" x14ac:dyDescent="0.35">
      <c r="R2089" s="191"/>
      <c r="S2089" s="191"/>
      <c r="T2089" s="193"/>
      <c r="U2089" s="191"/>
      <c r="V2089" s="194"/>
      <c r="W2089" s="191"/>
      <c r="Y2089" s="191"/>
      <c r="Z2089" s="191"/>
      <c r="AA2089" s="191"/>
      <c r="AB2089" s="191"/>
      <c r="AC2089" s="191"/>
      <c r="AD2089" s="16"/>
      <c r="AE2089" s="16"/>
      <c r="AF2089" s="16"/>
      <c r="AG2089" s="16"/>
      <c r="AH2089" s="16"/>
      <c r="AI2089" s="16"/>
      <c r="AJ2089" s="16"/>
      <c r="AK2089" s="16"/>
      <c r="AL2089" s="16"/>
      <c r="AM2089" s="16"/>
      <c r="AN2089" s="16"/>
      <c r="AO2089" s="16"/>
      <c r="AP2089" s="16"/>
      <c r="AQ2089" s="16"/>
      <c r="AR2089" s="16"/>
      <c r="AS2089" s="16"/>
    </row>
    <row r="2090" spans="18:45" x14ac:dyDescent="0.35">
      <c r="R2090" s="191"/>
      <c r="S2090" s="191"/>
      <c r="T2090" s="193"/>
      <c r="U2090" s="191"/>
      <c r="V2090" s="194"/>
      <c r="W2090" s="191"/>
      <c r="Y2090" s="191"/>
      <c r="Z2090" s="191"/>
      <c r="AA2090" s="191"/>
      <c r="AB2090" s="191"/>
      <c r="AC2090" s="191"/>
      <c r="AD2090" s="16"/>
      <c r="AE2090" s="16"/>
      <c r="AF2090" s="16"/>
      <c r="AG2090" s="16"/>
      <c r="AH2090" s="16"/>
      <c r="AI2090" s="16"/>
      <c r="AJ2090" s="16"/>
      <c r="AK2090" s="16"/>
      <c r="AL2090" s="16"/>
      <c r="AM2090" s="16"/>
      <c r="AN2090" s="16"/>
      <c r="AO2090" s="16"/>
      <c r="AP2090" s="16"/>
      <c r="AQ2090" s="16"/>
      <c r="AR2090" s="16"/>
      <c r="AS2090" s="16"/>
    </row>
    <row r="2091" spans="18:45" x14ac:dyDescent="0.35">
      <c r="R2091" s="191"/>
      <c r="S2091" s="191"/>
      <c r="T2091" s="193"/>
      <c r="U2091" s="191"/>
      <c r="V2091" s="194"/>
      <c r="W2091" s="191"/>
      <c r="Y2091" s="191"/>
      <c r="Z2091" s="191"/>
      <c r="AA2091" s="191"/>
      <c r="AB2091" s="191"/>
      <c r="AC2091" s="191"/>
      <c r="AD2091" s="16"/>
      <c r="AE2091" s="16"/>
      <c r="AF2091" s="16"/>
      <c r="AG2091" s="16"/>
      <c r="AH2091" s="16"/>
      <c r="AI2091" s="16"/>
      <c r="AJ2091" s="16"/>
      <c r="AK2091" s="16"/>
      <c r="AL2091" s="16"/>
      <c r="AM2091" s="16"/>
      <c r="AN2091" s="16"/>
      <c r="AO2091" s="16"/>
      <c r="AP2091" s="16"/>
      <c r="AQ2091" s="16"/>
      <c r="AR2091" s="16"/>
      <c r="AS2091" s="16"/>
    </row>
    <row r="2092" spans="18:45" x14ac:dyDescent="0.35">
      <c r="R2092" s="191"/>
      <c r="S2092" s="191"/>
      <c r="T2092" s="193"/>
      <c r="U2092" s="191"/>
      <c r="V2092" s="194"/>
      <c r="W2092" s="191"/>
      <c r="Y2092" s="191"/>
      <c r="Z2092" s="191"/>
      <c r="AA2092" s="191"/>
      <c r="AB2092" s="191"/>
      <c r="AC2092" s="191"/>
      <c r="AD2092" s="16"/>
      <c r="AE2092" s="16"/>
      <c r="AF2092" s="16"/>
      <c r="AG2092" s="16"/>
      <c r="AH2092" s="16"/>
      <c r="AI2092" s="16"/>
      <c r="AJ2092" s="16"/>
      <c r="AK2092" s="16"/>
      <c r="AL2092" s="16"/>
      <c r="AM2092" s="16"/>
      <c r="AN2092" s="16"/>
      <c r="AO2092" s="16"/>
      <c r="AP2092" s="16"/>
      <c r="AQ2092" s="16"/>
      <c r="AR2092" s="16"/>
      <c r="AS2092" s="16"/>
    </row>
    <row r="2093" spans="18:45" x14ac:dyDescent="0.35">
      <c r="R2093" s="191"/>
      <c r="S2093" s="191"/>
      <c r="T2093" s="193"/>
      <c r="U2093" s="191"/>
      <c r="V2093" s="194"/>
      <c r="W2093" s="191"/>
      <c r="Y2093" s="191"/>
      <c r="Z2093" s="191"/>
      <c r="AA2093" s="191"/>
      <c r="AB2093" s="191"/>
      <c r="AC2093" s="191"/>
      <c r="AD2093" s="16"/>
      <c r="AE2093" s="16"/>
      <c r="AF2093" s="16"/>
      <c r="AG2093" s="16"/>
      <c r="AH2093" s="16"/>
      <c r="AI2093" s="16"/>
      <c r="AJ2093" s="16"/>
      <c r="AK2093" s="16"/>
      <c r="AL2093" s="16"/>
      <c r="AM2093" s="16"/>
      <c r="AN2093" s="16"/>
      <c r="AO2093" s="16"/>
      <c r="AP2093" s="16"/>
      <c r="AQ2093" s="16"/>
      <c r="AR2093" s="16"/>
      <c r="AS2093" s="16"/>
    </row>
    <row r="2094" spans="18:45" x14ac:dyDescent="0.35">
      <c r="R2094" s="191"/>
      <c r="S2094" s="191"/>
      <c r="T2094" s="193"/>
      <c r="U2094" s="191"/>
      <c r="V2094" s="194"/>
      <c r="W2094" s="191"/>
      <c r="Y2094" s="191"/>
      <c r="Z2094" s="191"/>
      <c r="AA2094" s="191"/>
      <c r="AB2094" s="191"/>
      <c r="AC2094" s="191"/>
      <c r="AD2094" s="16"/>
      <c r="AE2094" s="16"/>
      <c r="AF2094" s="16"/>
      <c r="AG2094" s="16"/>
      <c r="AH2094" s="16"/>
      <c r="AI2094" s="16"/>
      <c r="AJ2094" s="16"/>
      <c r="AK2094" s="16"/>
      <c r="AL2094" s="16"/>
      <c r="AM2094" s="16"/>
      <c r="AN2094" s="16"/>
      <c r="AO2094" s="16"/>
      <c r="AP2094" s="16"/>
      <c r="AQ2094" s="16"/>
      <c r="AR2094" s="16"/>
      <c r="AS2094" s="16"/>
    </row>
    <row r="2095" spans="18:45" x14ac:dyDescent="0.35">
      <c r="R2095" s="191"/>
      <c r="S2095" s="191"/>
      <c r="T2095" s="193"/>
      <c r="U2095" s="191"/>
      <c r="V2095" s="194"/>
      <c r="W2095" s="191"/>
      <c r="Y2095" s="191"/>
      <c r="Z2095" s="191"/>
      <c r="AA2095" s="191"/>
      <c r="AB2095" s="191"/>
      <c r="AC2095" s="191"/>
      <c r="AD2095" s="16"/>
      <c r="AE2095" s="16"/>
      <c r="AF2095" s="16"/>
      <c r="AG2095" s="16"/>
      <c r="AH2095" s="16"/>
      <c r="AI2095" s="16"/>
      <c r="AJ2095" s="16"/>
      <c r="AK2095" s="16"/>
      <c r="AL2095" s="16"/>
      <c r="AM2095" s="16"/>
      <c r="AN2095" s="16"/>
      <c r="AO2095" s="16"/>
      <c r="AP2095" s="16"/>
      <c r="AQ2095" s="16"/>
      <c r="AR2095" s="16"/>
      <c r="AS2095" s="16"/>
    </row>
    <row r="2096" spans="18:45" x14ac:dyDescent="0.35">
      <c r="R2096" s="191"/>
      <c r="S2096" s="191"/>
      <c r="T2096" s="193"/>
      <c r="U2096" s="191"/>
      <c r="V2096" s="194"/>
      <c r="W2096" s="191"/>
      <c r="Y2096" s="191"/>
      <c r="Z2096" s="191"/>
      <c r="AA2096" s="191"/>
      <c r="AB2096" s="191"/>
      <c r="AC2096" s="191"/>
      <c r="AD2096" s="16"/>
      <c r="AE2096" s="16"/>
      <c r="AF2096" s="16"/>
      <c r="AG2096" s="16"/>
      <c r="AH2096" s="16"/>
      <c r="AI2096" s="16"/>
      <c r="AJ2096" s="16"/>
      <c r="AK2096" s="16"/>
      <c r="AL2096" s="16"/>
      <c r="AM2096" s="16"/>
      <c r="AN2096" s="16"/>
      <c r="AO2096" s="16"/>
      <c r="AP2096" s="16"/>
      <c r="AQ2096" s="16"/>
      <c r="AR2096" s="16"/>
      <c r="AS2096" s="16"/>
    </row>
    <row r="2097" spans="18:45" x14ac:dyDescent="0.35">
      <c r="R2097" s="191"/>
      <c r="S2097" s="191"/>
      <c r="T2097" s="193"/>
      <c r="U2097" s="191"/>
      <c r="V2097" s="194"/>
      <c r="W2097" s="191"/>
      <c r="Y2097" s="191"/>
      <c r="Z2097" s="191"/>
      <c r="AA2097" s="191"/>
      <c r="AB2097" s="191"/>
      <c r="AC2097" s="191"/>
      <c r="AD2097" s="16"/>
      <c r="AE2097" s="16"/>
      <c r="AF2097" s="16"/>
      <c r="AG2097" s="16"/>
      <c r="AH2097" s="16"/>
      <c r="AI2097" s="16"/>
      <c r="AJ2097" s="16"/>
      <c r="AK2097" s="16"/>
      <c r="AL2097" s="16"/>
      <c r="AM2097" s="16"/>
      <c r="AN2097" s="16"/>
      <c r="AO2097" s="16"/>
      <c r="AP2097" s="16"/>
      <c r="AQ2097" s="16"/>
      <c r="AR2097" s="16"/>
      <c r="AS2097" s="16"/>
    </row>
    <row r="2098" spans="18:45" x14ac:dyDescent="0.35">
      <c r="R2098" s="191"/>
      <c r="S2098" s="191"/>
      <c r="T2098" s="193"/>
      <c r="U2098" s="191"/>
      <c r="V2098" s="194"/>
      <c r="W2098" s="191"/>
      <c r="Y2098" s="191"/>
      <c r="Z2098" s="191"/>
      <c r="AA2098" s="191"/>
      <c r="AB2098" s="191"/>
      <c r="AC2098" s="191"/>
      <c r="AD2098" s="16"/>
      <c r="AE2098" s="16"/>
      <c r="AF2098" s="16"/>
      <c r="AG2098" s="16"/>
      <c r="AH2098" s="16"/>
      <c r="AI2098" s="16"/>
      <c r="AJ2098" s="16"/>
      <c r="AK2098" s="16"/>
      <c r="AL2098" s="16"/>
      <c r="AM2098" s="16"/>
      <c r="AN2098" s="16"/>
      <c r="AO2098" s="16"/>
      <c r="AP2098" s="16"/>
      <c r="AQ2098" s="16"/>
      <c r="AR2098" s="16"/>
      <c r="AS2098" s="16"/>
    </row>
    <row r="2099" spans="18:45" x14ac:dyDescent="0.35">
      <c r="R2099" s="191"/>
      <c r="S2099" s="191"/>
      <c r="T2099" s="193"/>
      <c r="U2099" s="191"/>
      <c r="V2099" s="194"/>
      <c r="W2099" s="191"/>
      <c r="Y2099" s="191"/>
      <c r="Z2099" s="191"/>
      <c r="AA2099" s="191"/>
      <c r="AB2099" s="191"/>
      <c r="AC2099" s="191"/>
      <c r="AD2099" s="16"/>
      <c r="AE2099" s="16"/>
      <c r="AF2099" s="16"/>
      <c r="AG2099" s="16"/>
      <c r="AH2099" s="16"/>
      <c r="AI2099" s="16"/>
      <c r="AJ2099" s="16"/>
      <c r="AK2099" s="16"/>
      <c r="AL2099" s="16"/>
      <c r="AM2099" s="16"/>
      <c r="AN2099" s="16"/>
      <c r="AO2099" s="16"/>
      <c r="AP2099" s="16"/>
      <c r="AQ2099" s="16"/>
      <c r="AR2099" s="16"/>
      <c r="AS2099" s="16"/>
    </row>
    <row r="2100" spans="18:45" x14ac:dyDescent="0.35">
      <c r="R2100" s="191"/>
      <c r="S2100" s="191"/>
      <c r="T2100" s="193"/>
      <c r="U2100" s="191"/>
      <c r="V2100" s="194"/>
      <c r="W2100" s="191"/>
      <c r="Y2100" s="191"/>
      <c r="Z2100" s="191"/>
      <c r="AA2100" s="191"/>
      <c r="AB2100" s="191"/>
      <c r="AC2100" s="191"/>
      <c r="AD2100" s="16"/>
      <c r="AE2100" s="16"/>
      <c r="AF2100" s="16"/>
      <c r="AG2100" s="16"/>
      <c r="AH2100" s="16"/>
      <c r="AI2100" s="16"/>
      <c r="AJ2100" s="16"/>
      <c r="AK2100" s="16"/>
      <c r="AL2100" s="16"/>
      <c r="AM2100" s="16"/>
      <c r="AN2100" s="16"/>
      <c r="AO2100" s="16"/>
      <c r="AP2100" s="16"/>
      <c r="AQ2100" s="16"/>
      <c r="AR2100" s="16"/>
      <c r="AS2100" s="16"/>
    </row>
    <row r="2101" spans="18:45" x14ac:dyDescent="0.35">
      <c r="R2101" s="191"/>
      <c r="S2101" s="191"/>
      <c r="T2101" s="193"/>
      <c r="U2101" s="191"/>
      <c r="V2101" s="194"/>
      <c r="W2101" s="191"/>
      <c r="Y2101" s="191"/>
      <c r="Z2101" s="191"/>
      <c r="AA2101" s="191"/>
      <c r="AB2101" s="191"/>
      <c r="AC2101" s="191"/>
      <c r="AD2101" s="16"/>
      <c r="AE2101" s="16"/>
      <c r="AF2101" s="16"/>
      <c r="AG2101" s="16"/>
      <c r="AH2101" s="16"/>
      <c r="AI2101" s="16"/>
      <c r="AJ2101" s="16"/>
      <c r="AK2101" s="16"/>
      <c r="AL2101" s="16"/>
      <c r="AM2101" s="16"/>
      <c r="AN2101" s="16"/>
      <c r="AO2101" s="16"/>
      <c r="AP2101" s="16"/>
      <c r="AQ2101" s="16"/>
      <c r="AR2101" s="16"/>
      <c r="AS2101" s="16"/>
    </row>
    <row r="2102" spans="18:45" x14ac:dyDescent="0.35">
      <c r="R2102" s="191"/>
      <c r="S2102" s="191"/>
      <c r="T2102" s="193"/>
      <c r="U2102" s="191"/>
      <c r="V2102" s="194"/>
      <c r="W2102" s="191"/>
      <c r="Y2102" s="191"/>
      <c r="Z2102" s="191"/>
      <c r="AA2102" s="191"/>
      <c r="AB2102" s="191"/>
      <c r="AC2102" s="191"/>
      <c r="AD2102" s="16"/>
      <c r="AE2102" s="16"/>
      <c r="AF2102" s="16"/>
      <c r="AG2102" s="16"/>
      <c r="AH2102" s="16"/>
      <c r="AI2102" s="16"/>
      <c r="AJ2102" s="16"/>
      <c r="AK2102" s="16"/>
      <c r="AL2102" s="16"/>
      <c r="AM2102" s="16"/>
      <c r="AN2102" s="16"/>
      <c r="AO2102" s="16"/>
      <c r="AP2102" s="16"/>
      <c r="AQ2102" s="16"/>
      <c r="AR2102" s="16"/>
      <c r="AS2102" s="16"/>
    </row>
    <row r="2103" spans="18:45" x14ac:dyDescent="0.35">
      <c r="R2103" s="191"/>
      <c r="S2103" s="191"/>
      <c r="T2103" s="193"/>
      <c r="U2103" s="191"/>
      <c r="V2103" s="194"/>
      <c r="W2103" s="191"/>
      <c r="Y2103" s="191"/>
      <c r="Z2103" s="191"/>
      <c r="AA2103" s="191"/>
      <c r="AB2103" s="191"/>
      <c r="AC2103" s="191"/>
      <c r="AD2103" s="16"/>
      <c r="AE2103" s="16"/>
      <c r="AF2103" s="16"/>
      <c r="AG2103" s="16"/>
      <c r="AH2103" s="16"/>
      <c r="AI2103" s="16"/>
      <c r="AJ2103" s="16"/>
      <c r="AK2103" s="16"/>
      <c r="AL2103" s="16"/>
      <c r="AM2103" s="16"/>
      <c r="AN2103" s="16"/>
      <c r="AO2103" s="16"/>
      <c r="AP2103" s="16"/>
      <c r="AQ2103" s="16"/>
      <c r="AR2103" s="16"/>
      <c r="AS2103" s="16"/>
    </row>
    <row r="2104" spans="18:45" x14ac:dyDescent="0.35">
      <c r="R2104" s="191"/>
      <c r="S2104" s="191"/>
      <c r="T2104" s="193"/>
      <c r="U2104" s="191"/>
      <c r="V2104" s="194"/>
      <c r="W2104" s="191"/>
      <c r="Y2104" s="191"/>
      <c r="Z2104" s="191"/>
      <c r="AA2104" s="191"/>
      <c r="AB2104" s="191"/>
      <c r="AC2104" s="191"/>
      <c r="AD2104" s="16"/>
      <c r="AE2104" s="16"/>
      <c r="AF2104" s="16"/>
      <c r="AG2104" s="16"/>
      <c r="AH2104" s="16"/>
      <c r="AI2104" s="16"/>
      <c r="AJ2104" s="16"/>
      <c r="AK2104" s="16"/>
      <c r="AL2104" s="16"/>
      <c r="AM2104" s="16"/>
      <c r="AN2104" s="16"/>
      <c r="AO2104" s="16"/>
      <c r="AP2104" s="16"/>
      <c r="AQ2104" s="16"/>
      <c r="AR2104" s="16"/>
      <c r="AS2104" s="16"/>
    </row>
    <row r="2105" spans="18:45" x14ac:dyDescent="0.35">
      <c r="R2105" s="191"/>
      <c r="S2105" s="191"/>
      <c r="T2105" s="193"/>
      <c r="U2105" s="191"/>
      <c r="V2105" s="194"/>
      <c r="W2105" s="191"/>
      <c r="Y2105" s="191"/>
      <c r="Z2105" s="191"/>
      <c r="AA2105" s="191"/>
      <c r="AB2105" s="191"/>
      <c r="AC2105" s="191"/>
      <c r="AD2105" s="16"/>
      <c r="AE2105" s="16"/>
      <c r="AF2105" s="16"/>
      <c r="AG2105" s="16"/>
      <c r="AH2105" s="16"/>
      <c r="AI2105" s="16"/>
      <c r="AJ2105" s="16"/>
      <c r="AK2105" s="16"/>
      <c r="AL2105" s="16"/>
      <c r="AM2105" s="16"/>
      <c r="AN2105" s="16"/>
      <c r="AO2105" s="16"/>
      <c r="AP2105" s="16"/>
      <c r="AQ2105" s="16"/>
      <c r="AR2105" s="16"/>
      <c r="AS2105" s="16"/>
    </row>
    <row r="2106" spans="18:45" x14ac:dyDescent="0.35">
      <c r="R2106" s="191"/>
      <c r="S2106" s="191"/>
      <c r="T2106" s="193"/>
      <c r="U2106" s="191"/>
      <c r="V2106" s="194"/>
      <c r="W2106" s="191"/>
      <c r="Y2106" s="191"/>
      <c r="Z2106" s="191"/>
      <c r="AA2106" s="191"/>
      <c r="AB2106" s="191"/>
      <c r="AC2106" s="191"/>
      <c r="AD2106" s="16"/>
      <c r="AE2106" s="16"/>
      <c r="AF2106" s="16"/>
      <c r="AG2106" s="16"/>
      <c r="AH2106" s="16"/>
      <c r="AI2106" s="16"/>
      <c r="AJ2106" s="16"/>
      <c r="AK2106" s="16"/>
      <c r="AL2106" s="16"/>
      <c r="AM2106" s="16"/>
      <c r="AN2106" s="16"/>
      <c r="AO2106" s="16"/>
      <c r="AP2106" s="16"/>
      <c r="AQ2106" s="16"/>
      <c r="AR2106" s="16"/>
      <c r="AS2106" s="16"/>
    </row>
    <row r="2107" spans="18:45" x14ac:dyDescent="0.35">
      <c r="R2107" s="191"/>
      <c r="S2107" s="191"/>
      <c r="T2107" s="193"/>
      <c r="U2107" s="191"/>
      <c r="V2107" s="194"/>
      <c r="W2107" s="191"/>
      <c r="Y2107" s="191"/>
      <c r="Z2107" s="191"/>
      <c r="AA2107" s="191"/>
      <c r="AB2107" s="191"/>
      <c r="AC2107" s="191"/>
      <c r="AD2107" s="16"/>
      <c r="AE2107" s="16"/>
      <c r="AF2107" s="16"/>
      <c r="AG2107" s="16"/>
      <c r="AH2107" s="16"/>
      <c r="AI2107" s="16"/>
      <c r="AJ2107" s="16"/>
      <c r="AK2107" s="16"/>
      <c r="AL2107" s="16"/>
      <c r="AM2107" s="16"/>
      <c r="AN2107" s="16"/>
      <c r="AO2107" s="16"/>
      <c r="AP2107" s="16"/>
      <c r="AQ2107" s="16"/>
      <c r="AR2107" s="16"/>
      <c r="AS2107" s="16"/>
    </row>
    <row r="2108" spans="18:45" x14ac:dyDescent="0.35">
      <c r="R2108" s="191"/>
      <c r="S2108" s="191"/>
      <c r="T2108" s="193"/>
      <c r="U2108" s="191"/>
      <c r="V2108" s="194"/>
      <c r="W2108" s="191"/>
      <c r="Y2108" s="191"/>
      <c r="Z2108" s="191"/>
      <c r="AA2108" s="191"/>
      <c r="AB2108" s="191"/>
      <c r="AC2108" s="191"/>
      <c r="AD2108" s="16"/>
      <c r="AE2108" s="16"/>
      <c r="AF2108" s="16"/>
      <c r="AG2108" s="16"/>
      <c r="AH2108" s="16"/>
      <c r="AI2108" s="16"/>
      <c r="AJ2108" s="16"/>
      <c r="AK2108" s="16"/>
      <c r="AL2108" s="16"/>
      <c r="AM2108" s="16"/>
      <c r="AN2108" s="16"/>
      <c r="AO2108" s="16"/>
      <c r="AP2108" s="16"/>
      <c r="AQ2108" s="16"/>
      <c r="AR2108" s="16"/>
      <c r="AS2108" s="16"/>
    </row>
    <row r="2109" spans="18:45" x14ac:dyDescent="0.35">
      <c r="R2109" s="191"/>
      <c r="S2109" s="191"/>
      <c r="T2109" s="193"/>
      <c r="U2109" s="191"/>
      <c r="V2109" s="194"/>
      <c r="W2109" s="191"/>
      <c r="Y2109" s="191"/>
      <c r="Z2109" s="191"/>
      <c r="AA2109" s="191"/>
      <c r="AB2109" s="191"/>
      <c r="AC2109" s="191"/>
      <c r="AD2109" s="16"/>
      <c r="AE2109" s="16"/>
      <c r="AF2109" s="16"/>
      <c r="AG2109" s="16"/>
      <c r="AH2109" s="16"/>
      <c r="AI2109" s="16"/>
      <c r="AJ2109" s="16"/>
      <c r="AK2109" s="16"/>
      <c r="AL2109" s="16"/>
      <c r="AM2109" s="16"/>
      <c r="AN2109" s="16"/>
      <c r="AO2109" s="16"/>
      <c r="AP2109" s="16"/>
      <c r="AQ2109" s="16"/>
      <c r="AR2109" s="16"/>
      <c r="AS2109" s="16"/>
    </row>
    <row r="2110" spans="18:45" x14ac:dyDescent="0.35">
      <c r="R2110" s="191"/>
      <c r="S2110" s="191"/>
      <c r="T2110" s="193"/>
      <c r="U2110" s="191"/>
      <c r="V2110" s="194"/>
      <c r="W2110" s="191"/>
      <c r="Y2110" s="191"/>
      <c r="Z2110" s="191"/>
      <c r="AA2110" s="191"/>
      <c r="AB2110" s="191"/>
      <c r="AC2110" s="191"/>
      <c r="AD2110" s="16"/>
      <c r="AE2110" s="16"/>
      <c r="AF2110" s="16"/>
      <c r="AG2110" s="16"/>
      <c r="AH2110" s="16"/>
      <c r="AI2110" s="16"/>
      <c r="AJ2110" s="16"/>
      <c r="AK2110" s="16"/>
      <c r="AL2110" s="16"/>
      <c r="AM2110" s="16"/>
      <c r="AN2110" s="16"/>
      <c r="AO2110" s="16"/>
      <c r="AP2110" s="16"/>
      <c r="AQ2110" s="16"/>
      <c r="AR2110" s="16"/>
      <c r="AS2110" s="16"/>
    </row>
    <row r="2111" spans="18:45" x14ac:dyDescent="0.35">
      <c r="R2111" s="191"/>
      <c r="S2111" s="191"/>
      <c r="T2111" s="193"/>
      <c r="U2111" s="191"/>
      <c r="V2111" s="194"/>
      <c r="W2111" s="191"/>
      <c r="Y2111" s="191"/>
      <c r="Z2111" s="191"/>
      <c r="AA2111" s="191"/>
      <c r="AB2111" s="191"/>
      <c r="AC2111" s="191"/>
      <c r="AD2111" s="16"/>
      <c r="AE2111" s="16"/>
      <c r="AF2111" s="16"/>
      <c r="AG2111" s="16"/>
      <c r="AH2111" s="16"/>
      <c r="AI2111" s="16"/>
      <c r="AJ2111" s="16"/>
      <c r="AK2111" s="16"/>
      <c r="AL2111" s="16"/>
      <c r="AM2111" s="16"/>
      <c r="AN2111" s="16"/>
      <c r="AO2111" s="16"/>
      <c r="AP2111" s="16"/>
      <c r="AQ2111" s="16"/>
      <c r="AR2111" s="16"/>
      <c r="AS2111" s="16"/>
    </row>
    <row r="2112" spans="18:45" x14ac:dyDescent="0.35">
      <c r="R2112" s="191"/>
      <c r="S2112" s="191"/>
      <c r="T2112" s="193"/>
      <c r="U2112" s="191"/>
      <c r="V2112" s="194"/>
      <c r="W2112" s="191"/>
      <c r="Y2112" s="191"/>
      <c r="Z2112" s="191"/>
      <c r="AA2112" s="191"/>
      <c r="AB2112" s="191"/>
      <c r="AC2112" s="191"/>
      <c r="AD2112" s="16"/>
      <c r="AE2112" s="16"/>
      <c r="AF2112" s="16"/>
      <c r="AG2112" s="16"/>
      <c r="AH2112" s="16"/>
      <c r="AI2112" s="16"/>
      <c r="AJ2112" s="16"/>
      <c r="AK2112" s="16"/>
      <c r="AL2112" s="16"/>
      <c r="AM2112" s="16"/>
      <c r="AN2112" s="16"/>
      <c r="AO2112" s="16"/>
      <c r="AP2112" s="16"/>
      <c r="AQ2112" s="16"/>
      <c r="AR2112" s="16"/>
      <c r="AS2112" s="16"/>
    </row>
    <row r="2113" spans="18:45" x14ac:dyDescent="0.35">
      <c r="R2113" s="191"/>
      <c r="S2113" s="191"/>
      <c r="T2113" s="193"/>
      <c r="U2113" s="191"/>
      <c r="V2113" s="194"/>
      <c r="W2113" s="191"/>
      <c r="Y2113" s="191"/>
      <c r="Z2113" s="191"/>
      <c r="AA2113" s="191"/>
      <c r="AB2113" s="191"/>
      <c r="AC2113" s="191"/>
      <c r="AD2113" s="16"/>
      <c r="AE2113" s="16"/>
      <c r="AF2113" s="16"/>
      <c r="AG2113" s="16"/>
      <c r="AH2113" s="16"/>
      <c r="AI2113" s="16"/>
      <c r="AJ2113" s="16"/>
      <c r="AK2113" s="16"/>
      <c r="AL2113" s="16"/>
      <c r="AM2113" s="16"/>
      <c r="AN2113" s="16"/>
      <c r="AO2113" s="16"/>
      <c r="AP2113" s="16"/>
      <c r="AQ2113" s="16"/>
      <c r="AR2113" s="16"/>
      <c r="AS2113" s="16"/>
    </row>
    <row r="2114" spans="18:45" x14ac:dyDescent="0.35">
      <c r="R2114" s="191"/>
      <c r="S2114" s="191"/>
      <c r="T2114" s="193"/>
      <c r="U2114" s="191"/>
      <c r="V2114" s="194"/>
      <c r="W2114" s="191"/>
      <c r="Y2114" s="191"/>
      <c r="Z2114" s="191"/>
      <c r="AA2114" s="191"/>
      <c r="AB2114" s="191"/>
      <c r="AC2114" s="191"/>
      <c r="AD2114" s="16"/>
      <c r="AE2114" s="16"/>
      <c r="AF2114" s="16"/>
      <c r="AG2114" s="16"/>
      <c r="AH2114" s="16"/>
      <c r="AI2114" s="16"/>
      <c r="AJ2114" s="16"/>
      <c r="AK2114" s="16"/>
      <c r="AL2114" s="16"/>
      <c r="AM2114" s="16"/>
      <c r="AN2114" s="16"/>
      <c r="AO2114" s="16"/>
      <c r="AP2114" s="16"/>
      <c r="AQ2114" s="16"/>
      <c r="AR2114" s="16"/>
      <c r="AS2114" s="16"/>
    </row>
    <row r="2115" spans="18:45" x14ac:dyDescent="0.35">
      <c r="R2115" s="191"/>
      <c r="S2115" s="191"/>
      <c r="T2115" s="193"/>
      <c r="U2115" s="191"/>
      <c r="V2115" s="194"/>
      <c r="W2115" s="191"/>
      <c r="Y2115" s="191"/>
      <c r="Z2115" s="191"/>
      <c r="AA2115" s="191"/>
      <c r="AB2115" s="191"/>
      <c r="AC2115" s="191"/>
      <c r="AD2115" s="16"/>
      <c r="AE2115" s="16"/>
      <c r="AF2115" s="16"/>
      <c r="AG2115" s="16"/>
      <c r="AH2115" s="16"/>
      <c r="AI2115" s="16"/>
      <c r="AJ2115" s="16"/>
      <c r="AK2115" s="16"/>
      <c r="AL2115" s="16"/>
      <c r="AM2115" s="16"/>
      <c r="AN2115" s="16"/>
      <c r="AO2115" s="16"/>
      <c r="AP2115" s="16"/>
      <c r="AQ2115" s="16"/>
      <c r="AR2115" s="16"/>
      <c r="AS2115" s="16"/>
    </row>
    <row r="2116" spans="18:45" x14ac:dyDescent="0.35">
      <c r="R2116" s="191"/>
      <c r="S2116" s="191"/>
      <c r="T2116" s="193"/>
      <c r="U2116" s="191"/>
      <c r="V2116" s="194"/>
      <c r="W2116" s="191"/>
      <c r="Y2116" s="191"/>
      <c r="Z2116" s="191"/>
      <c r="AA2116" s="191"/>
      <c r="AB2116" s="191"/>
      <c r="AC2116" s="191"/>
      <c r="AD2116" s="16"/>
      <c r="AE2116" s="16"/>
      <c r="AF2116" s="16"/>
      <c r="AG2116" s="16"/>
      <c r="AH2116" s="16"/>
      <c r="AI2116" s="16"/>
      <c r="AJ2116" s="16"/>
      <c r="AK2116" s="16"/>
      <c r="AL2116" s="16"/>
      <c r="AM2116" s="16"/>
      <c r="AN2116" s="16"/>
      <c r="AO2116" s="16"/>
      <c r="AP2116" s="16"/>
      <c r="AQ2116" s="16"/>
      <c r="AR2116" s="16"/>
      <c r="AS2116" s="16"/>
    </row>
    <row r="2117" spans="18:45" x14ac:dyDescent="0.35">
      <c r="R2117" s="191"/>
      <c r="S2117" s="191"/>
      <c r="T2117" s="193"/>
      <c r="U2117" s="191"/>
      <c r="V2117" s="194"/>
      <c r="W2117" s="191"/>
      <c r="Y2117" s="191"/>
      <c r="Z2117" s="191"/>
      <c r="AA2117" s="191"/>
      <c r="AB2117" s="191"/>
      <c r="AC2117" s="191"/>
      <c r="AD2117" s="16"/>
      <c r="AE2117" s="16"/>
      <c r="AF2117" s="16"/>
      <c r="AG2117" s="16"/>
      <c r="AH2117" s="16"/>
      <c r="AI2117" s="16"/>
      <c r="AJ2117" s="16"/>
      <c r="AK2117" s="16"/>
      <c r="AL2117" s="16"/>
      <c r="AM2117" s="16"/>
      <c r="AN2117" s="16"/>
      <c r="AO2117" s="16"/>
      <c r="AP2117" s="16"/>
      <c r="AQ2117" s="16"/>
      <c r="AR2117" s="16"/>
      <c r="AS2117" s="16"/>
    </row>
    <row r="2118" spans="18:45" x14ac:dyDescent="0.35">
      <c r="R2118" s="191"/>
      <c r="S2118" s="191"/>
      <c r="T2118" s="193"/>
      <c r="U2118" s="191"/>
      <c r="V2118" s="194"/>
      <c r="W2118" s="191"/>
      <c r="Y2118" s="191"/>
      <c r="Z2118" s="191"/>
      <c r="AA2118" s="191"/>
      <c r="AB2118" s="191"/>
      <c r="AC2118" s="191"/>
      <c r="AD2118" s="16"/>
      <c r="AE2118" s="16"/>
      <c r="AF2118" s="16"/>
      <c r="AG2118" s="16"/>
      <c r="AH2118" s="16"/>
      <c r="AI2118" s="16"/>
      <c r="AJ2118" s="16"/>
      <c r="AK2118" s="16"/>
      <c r="AL2118" s="16"/>
      <c r="AM2118" s="16"/>
      <c r="AN2118" s="16"/>
      <c r="AO2118" s="16"/>
      <c r="AP2118" s="16"/>
      <c r="AQ2118" s="16"/>
      <c r="AR2118" s="16"/>
      <c r="AS2118" s="16"/>
    </row>
    <row r="2119" spans="18:45" x14ac:dyDescent="0.35">
      <c r="R2119" s="191"/>
      <c r="S2119" s="191"/>
      <c r="T2119" s="193"/>
      <c r="U2119" s="191"/>
      <c r="V2119" s="194"/>
      <c r="W2119" s="191"/>
      <c r="Y2119" s="191"/>
      <c r="Z2119" s="191"/>
      <c r="AA2119" s="191"/>
      <c r="AB2119" s="191"/>
      <c r="AC2119" s="191"/>
      <c r="AD2119" s="16"/>
      <c r="AE2119" s="16"/>
      <c r="AF2119" s="16"/>
      <c r="AG2119" s="16"/>
      <c r="AH2119" s="16"/>
      <c r="AI2119" s="16"/>
      <c r="AJ2119" s="16"/>
      <c r="AK2119" s="16"/>
      <c r="AL2119" s="16"/>
      <c r="AM2119" s="16"/>
      <c r="AN2119" s="16"/>
      <c r="AO2119" s="16"/>
      <c r="AP2119" s="16"/>
      <c r="AQ2119" s="16"/>
      <c r="AR2119" s="16"/>
      <c r="AS2119" s="16"/>
    </row>
    <row r="2120" spans="18:45" x14ac:dyDescent="0.35">
      <c r="R2120" s="191"/>
      <c r="S2120" s="191"/>
      <c r="T2120" s="193"/>
      <c r="U2120" s="191"/>
      <c r="V2120" s="194"/>
      <c r="W2120" s="191"/>
      <c r="Y2120" s="191"/>
      <c r="Z2120" s="191"/>
      <c r="AA2120" s="191"/>
      <c r="AB2120" s="191"/>
      <c r="AC2120" s="191"/>
      <c r="AD2120" s="16"/>
      <c r="AE2120" s="16"/>
      <c r="AF2120" s="16"/>
      <c r="AG2120" s="16"/>
      <c r="AH2120" s="16"/>
      <c r="AI2120" s="16"/>
      <c r="AJ2120" s="16"/>
      <c r="AK2120" s="16"/>
      <c r="AL2120" s="16"/>
      <c r="AM2120" s="16"/>
      <c r="AN2120" s="16"/>
      <c r="AO2120" s="16"/>
      <c r="AP2120" s="16"/>
      <c r="AQ2120" s="16"/>
      <c r="AR2120" s="16"/>
      <c r="AS2120" s="16"/>
    </row>
    <row r="2121" spans="18:45" x14ac:dyDescent="0.35">
      <c r="R2121" s="191"/>
      <c r="S2121" s="191"/>
      <c r="T2121" s="193"/>
      <c r="U2121" s="191"/>
      <c r="V2121" s="194"/>
      <c r="W2121" s="191"/>
      <c r="Y2121" s="191"/>
      <c r="Z2121" s="191"/>
      <c r="AA2121" s="191"/>
      <c r="AB2121" s="191"/>
      <c r="AC2121" s="191"/>
      <c r="AD2121" s="16"/>
      <c r="AE2121" s="16"/>
      <c r="AF2121" s="16"/>
      <c r="AG2121" s="16"/>
      <c r="AH2121" s="16"/>
      <c r="AI2121" s="16"/>
      <c r="AJ2121" s="16"/>
      <c r="AK2121" s="16"/>
      <c r="AL2121" s="16"/>
      <c r="AM2121" s="16"/>
      <c r="AN2121" s="16"/>
      <c r="AO2121" s="16"/>
      <c r="AP2121" s="16"/>
      <c r="AQ2121" s="16"/>
      <c r="AR2121" s="16"/>
      <c r="AS2121" s="16"/>
    </row>
    <row r="2122" spans="18:45" x14ac:dyDescent="0.35">
      <c r="R2122" s="191"/>
      <c r="S2122" s="191"/>
      <c r="T2122" s="193"/>
      <c r="U2122" s="191"/>
      <c r="V2122" s="194"/>
      <c r="W2122" s="191"/>
      <c r="Y2122" s="191"/>
      <c r="Z2122" s="191"/>
      <c r="AA2122" s="191"/>
      <c r="AB2122" s="191"/>
      <c r="AC2122" s="191"/>
      <c r="AD2122" s="16"/>
      <c r="AE2122" s="16"/>
      <c r="AF2122" s="16"/>
      <c r="AG2122" s="16"/>
      <c r="AH2122" s="16"/>
      <c r="AI2122" s="16"/>
      <c r="AJ2122" s="16"/>
      <c r="AK2122" s="16"/>
      <c r="AL2122" s="16"/>
      <c r="AM2122" s="16"/>
      <c r="AN2122" s="16"/>
      <c r="AO2122" s="16"/>
      <c r="AP2122" s="16"/>
      <c r="AQ2122" s="16"/>
      <c r="AR2122" s="16"/>
      <c r="AS2122" s="16"/>
    </row>
    <row r="2123" spans="18:45" x14ac:dyDescent="0.35">
      <c r="R2123" s="191"/>
      <c r="S2123" s="191"/>
      <c r="T2123" s="193"/>
      <c r="U2123" s="191"/>
      <c r="V2123" s="194"/>
      <c r="W2123" s="191"/>
      <c r="Y2123" s="191"/>
      <c r="Z2123" s="191"/>
      <c r="AA2123" s="191"/>
      <c r="AB2123" s="191"/>
      <c r="AC2123" s="191"/>
      <c r="AD2123" s="16"/>
      <c r="AE2123" s="16"/>
      <c r="AF2123" s="16"/>
      <c r="AG2123" s="16"/>
      <c r="AH2123" s="16"/>
      <c r="AI2123" s="16"/>
      <c r="AJ2123" s="16"/>
      <c r="AK2123" s="16"/>
      <c r="AL2123" s="16"/>
      <c r="AM2123" s="16"/>
      <c r="AN2123" s="16"/>
      <c r="AO2123" s="16"/>
      <c r="AP2123" s="16"/>
      <c r="AQ2123" s="16"/>
      <c r="AR2123" s="16"/>
      <c r="AS2123" s="16"/>
    </row>
    <row r="2124" spans="18:45" x14ac:dyDescent="0.35">
      <c r="R2124" s="191"/>
      <c r="S2124" s="191"/>
      <c r="T2124" s="193"/>
      <c r="U2124" s="191"/>
      <c r="V2124" s="194"/>
      <c r="W2124" s="191"/>
      <c r="Y2124" s="191"/>
      <c r="Z2124" s="191"/>
      <c r="AA2124" s="191"/>
      <c r="AB2124" s="191"/>
      <c r="AC2124" s="191"/>
      <c r="AD2124" s="16"/>
      <c r="AE2124" s="16"/>
      <c r="AF2124" s="16"/>
      <c r="AG2124" s="16"/>
      <c r="AH2124" s="16"/>
      <c r="AI2124" s="16"/>
      <c r="AJ2124" s="16"/>
      <c r="AK2124" s="16"/>
      <c r="AL2124" s="16"/>
      <c r="AM2124" s="16"/>
      <c r="AN2124" s="16"/>
      <c r="AO2124" s="16"/>
      <c r="AP2124" s="16"/>
      <c r="AQ2124" s="16"/>
      <c r="AR2124" s="16"/>
      <c r="AS2124" s="16"/>
    </row>
    <row r="2125" spans="18:45" x14ac:dyDescent="0.35">
      <c r="R2125" s="191"/>
      <c r="S2125" s="191"/>
      <c r="T2125" s="193"/>
      <c r="U2125" s="191"/>
      <c r="V2125" s="194"/>
      <c r="W2125" s="191"/>
      <c r="Y2125" s="191"/>
      <c r="Z2125" s="191"/>
      <c r="AA2125" s="191"/>
      <c r="AB2125" s="191"/>
      <c r="AC2125" s="191"/>
      <c r="AD2125" s="16"/>
      <c r="AE2125" s="16"/>
      <c r="AF2125" s="16"/>
      <c r="AG2125" s="16"/>
      <c r="AH2125" s="16"/>
      <c r="AI2125" s="16"/>
      <c r="AJ2125" s="16"/>
      <c r="AK2125" s="16"/>
      <c r="AL2125" s="16"/>
      <c r="AM2125" s="16"/>
      <c r="AN2125" s="16"/>
      <c r="AO2125" s="16"/>
      <c r="AP2125" s="16"/>
      <c r="AQ2125" s="16"/>
      <c r="AR2125" s="16"/>
      <c r="AS2125" s="16"/>
    </row>
    <row r="2126" spans="18:45" x14ac:dyDescent="0.35">
      <c r="R2126" s="191"/>
      <c r="S2126" s="191"/>
      <c r="T2126" s="193"/>
      <c r="U2126" s="191"/>
      <c r="V2126" s="194"/>
      <c r="W2126" s="191"/>
      <c r="Y2126" s="191"/>
      <c r="Z2126" s="191"/>
      <c r="AA2126" s="191"/>
      <c r="AB2126" s="191"/>
      <c r="AC2126" s="191"/>
      <c r="AD2126" s="16"/>
      <c r="AE2126" s="16"/>
      <c r="AF2126" s="16"/>
      <c r="AG2126" s="16"/>
      <c r="AH2126" s="16"/>
      <c r="AI2126" s="16"/>
      <c r="AJ2126" s="16"/>
      <c r="AK2126" s="16"/>
      <c r="AL2126" s="16"/>
      <c r="AM2126" s="16"/>
      <c r="AN2126" s="16"/>
      <c r="AO2126" s="16"/>
      <c r="AP2126" s="16"/>
      <c r="AQ2126" s="16"/>
      <c r="AR2126" s="16"/>
      <c r="AS2126" s="16"/>
    </row>
    <row r="2127" spans="18:45" x14ac:dyDescent="0.35">
      <c r="R2127" s="191"/>
      <c r="S2127" s="191"/>
      <c r="T2127" s="193"/>
      <c r="U2127" s="191"/>
      <c r="V2127" s="194"/>
      <c r="W2127" s="191"/>
      <c r="Y2127" s="191"/>
      <c r="Z2127" s="191"/>
      <c r="AA2127" s="191"/>
      <c r="AB2127" s="191"/>
      <c r="AC2127" s="191"/>
      <c r="AD2127" s="16"/>
      <c r="AE2127" s="16"/>
      <c r="AF2127" s="16"/>
      <c r="AG2127" s="16"/>
      <c r="AH2127" s="16"/>
      <c r="AI2127" s="16"/>
      <c r="AJ2127" s="16"/>
      <c r="AK2127" s="16"/>
      <c r="AL2127" s="16"/>
      <c r="AM2127" s="16"/>
      <c r="AN2127" s="16"/>
      <c r="AO2127" s="16"/>
      <c r="AP2127" s="16"/>
      <c r="AQ2127" s="16"/>
      <c r="AR2127" s="16"/>
      <c r="AS2127" s="16"/>
    </row>
    <row r="2128" spans="18:45" x14ac:dyDescent="0.35">
      <c r="R2128" s="191"/>
      <c r="S2128" s="191"/>
      <c r="T2128" s="193"/>
      <c r="U2128" s="191"/>
      <c r="V2128" s="194"/>
      <c r="W2128" s="191"/>
      <c r="Y2128" s="191"/>
      <c r="Z2128" s="191"/>
      <c r="AA2128" s="191"/>
      <c r="AB2128" s="191"/>
      <c r="AC2128" s="191"/>
      <c r="AD2128" s="16"/>
      <c r="AE2128" s="16"/>
      <c r="AF2128" s="16"/>
      <c r="AG2128" s="16"/>
      <c r="AH2128" s="16"/>
      <c r="AI2128" s="16"/>
      <c r="AJ2128" s="16"/>
      <c r="AK2128" s="16"/>
      <c r="AL2128" s="16"/>
      <c r="AM2128" s="16"/>
      <c r="AN2128" s="16"/>
      <c r="AO2128" s="16"/>
      <c r="AP2128" s="16"/>
      <c r="AQ2128" s="16"/>
      <c r="AR2128" s="16"/>
      <c r="AS2128" s="16"/>
    </row>
    <row r="2129" spans="18:45" x14ac:dyDescent="0.35">
      <c r="R2129" s="191"/>
      <c r="S2129" s="191"/>
      <c r="T2129" s="193"/>
      <c r="U2129" s="191"/>
      <c r="V2129" s="194"/>
      <c r="W2129" s="191"/>
      <c r="Y2129" s="191"/>
      <c r="Z2129" s="191"/>
      <c r="AA2129" s="191"/>
      <c r="AB2129" s="191"/>
      <c r="AC2129" s="191"/>
      <c r="AD2129" s="16"/>
      <c r="AE2129" s="16"/>
      <c r="AF2129" s="16"/>
      <c r="AG2129" s="16"/>
      <c r="AH2129" s="16"/>
      <c r="AI2129" s="16"/>
      <c r="AJ2129" s="16"/>
      <c r="AK2129" s="16"/>
      <c r="AL2129" s="16"/>
      <c r="AM2129" s="16"/>
      <c r="AN2129" s="16"/>
      <c r="AO2129" s="16"/>
      <c r="AP2129" s="16"/>
      <c r="AQ2129" s="16"/>
      <c r="AR2129" s="16"/>
      <c r="AS2129" s="16"/>
    </row>
    <row r="2130" spans="18:45" x14ac:dyDescent="0.35">
      <c r="R2130" s="191"/>
      <c r="S2130" s="191"/>
      <c r="T2130" s="193"/>
      <c r="U2130" s="191"/>
      <c r="V2130" s="194"/>
      <c r="W2130" s="191"/>
      <c r="Y2130" s="191"/>
      <c r="Z2130" s="191"/>
      <c r="AA2130" s="191"/>
      <c r="AB2130" s="191"/>
      <c r="AC2130" s="191"/>
      <c r="AD2130" s="16"/>
      <c r="AE2130" s="16"/>
      <c r="AF2130" s="16"/>
      <c r="AG2130" s="16"/>
      <c r="AH2130" s="16"/>
      <c r="AI2130" s="16"/>
      <c r="AJ2130" s="16"/>
      <c r="AK2130" s="16"/>
      <c r="AL2130" s="16"/>
      <c r="AM2130" s="16"/>
      <c r="AN2130" s="16"/>
      <c r="AO2130" s="16"/>
      <c r="AP2130" s="16"/>
      <c r="AQ2130" s="16"/>
      <c r="AR2130" s="16"/>
      <c r="AS2130" s="16"/>
    </row>
    <row r="2131" spans="18:45" x14ac:dyDescent="0.35">
      <c r="R2131" s="191"/>
      <c r="S2131" s="191"/>
      <c r="T2131" s="193"/>
      <c r="U2131" s="191"/>
      <c r="V2131" s="194"/>
      <c r="W2131" s="191"/>
      <c r="Y2131" s="191"/>
      <c r="Z2131" s="191"/>
      <c r="AA2131" s="191"/>
      <c r="AB2131" s="191"/>
      <c r="AC2131" s="191"/>
      <c r="AD2131" s="16"/>
      <c r="AE2131" s="16"/>
      <c r="AF2131" s="16"/>
      <c r="AG2131" s="16"/>
      <c r="AH2131" s="16"/>
      <c r="AI2131" s="16"/>
      <c r="AJ2131" s="16"/>
      <c r="AK2131" s="16"/>
      <c r="AL2131" s="16"/>
      <c r="AM2131" s="16"/>
      <c r="AN2131" s="16"/>
      <c r="AO2131" s="16"/>
      <c r="AP2131" s="16"/>
      <c r="AQ2131" s="16"/>
      <c r="AR2131" s="16"/>
      <c r="AS2131" s="16"/>
    </row>
    <row r="2132" spans="18:45" x14ac:dyDescent="0.35">
      <c r="R2132" s="191"/>
      <c r="S2132" s="191"/>
      <c r="T2132" s="193"/>
      <c r="U2132" s="191"/>
      <c r="V2132" s="194"/>
      <c r="W2132" s="191"/>
      <c r="Y2132" s="191"/>
      <c r="Z2132" s="191"/>
      <c r="AA2132" s="191"/>
      <c r="AB2132" s="191"/>
      <c r="AC2132" s="191"/>
      <c r="AD2132" s="16"/>
      <c r="AE2132" s="16"/>
      <c r="AF2132" s="16"/>
      <c r="AG2132" s="16"/>
      <c r="AH2132" s="16"/>
      <c r="AI2132" s="16"/>
      <c r="AJ2132" s="16"/>
      <c r="AK2132" s="16"/>
      <c r="AL2132" s="16"/>
      <c r="AM2132" s="16"/>
      <c r="AN2132" s="16"/>
      <c r="AO2132" s="16"/>
      <c r="AP2132" s="16"/>
      <c r="AQ2132" s="16"/>
      <c r="AR2132" s="16"/>
      <c r="AS2132" s="16"/>
    </row>
    <row r="2133" spans="18:45" x14ac:dyDescent="0.35">
      <c r="R2133" s="191"/>
      <c r="S2133" s="191"/>
      <c r="T2133" s="193"/>
      <c r="U2133" s="191"/>
      <c r="V2133" s="194"/>
      <c r="W2133" s="191"/>
      <c r="Y2133" s="191"/>
      <c r="Z2133" s="191"/>
      <c r="AA2133" s="191"/>
      <c r="AB2133" s="191"/>
      <c r="AC2133" s="191"/>
      <c r="AD2133" s="16"/>
      <c r="AE2133" s="16"/>
      <c r="AF2133" s="16"/>
      <c r="AG2133" s="16"/>
      <c r="AH2133" s="16"/>
      <c r="AI2133" s="16"/>
      <c r="AJ2133" s="16"/>
      <c r="AK2133" s="16"/>
      <c r="AL2133" s="16"/>
      <c r="AM2133" s="16"/>
      <c r="AN2133" s="16"/>
      <c r="AO2133" s="16"/>
      <c r="AP2133" s="16"/>
      <c r="AQ2133" s="16"/>
      <c r="AR2133" s="16"/>
      <c r="AS2133" s="16"/>
    </row>
    <row r="2134" spans="18:45" x14ac:dyDescent="0.35">
      <c r="R2134" s="191"/>
      <c r="S2134" s="191"/>
      <c r="T2134" s="193"/>
      <c r="U2134" s="191"/>
      <c r="V2134" s="194"/>
      <c r="W2134" s="191"/>
      <c r="Y2134" s="191"/>
      <c r="Z2134" s="191"/>
      <c r="AA2134" s="191"/>
      <c r="AB2134" s="191"/>
      <c r="AC2134" s="191"/>
      <c r="AD2134" s="16"/>
      <c r="AE2134" s="16"/>
      <c r="AF2134" s="16"/>
      <c r="AG2134" s="16"/>
      <c r="AH2134" s="16"/>
      <c r="AI2134" s="16"/>
      <c r="AJ2134" s="16"/>
      <c r="AK2134" s="16"/>
      <c r="AL2134" s="16"/>
      <c r="AM2134" s="16"/>
      <c r="AN2134" s="16"/>
      <c r="AO2134" s="16"/>
      <c r="AP2134" s="16"/>
      <c r="AQ2134" s="16"/>
      <c r="AR2134" s="16"/>
      <c r="AS2134" s="16"/>
    </row>
    <row r="2135" spans="18:45" x14ac:dyDescent="0.35">
      <c r="R2135" s="191"/>
      <c r="S2135" s="191"/>
      <c r="T2135" s="193"/>
      <c r="U2135" s="191"/>
      <c r="V2135" s="194"/>
      <c r="W2135" s="191"/>
      <c r="Y2135" s="191"/>
      <c r="Z2135" s="191"/>
      <c r="AA2135" s="191"/>
      <c r="AB2135" s="191"/>
      <c r="AC2135" s="191"/>
      <c r="AD2135" s="16"/>
      <c r="AE2135" s="16"/>
      <c r="AF2135" s="16"/>
      <c r="AG2135" s="16"/>
      <c r="AH2135" s="16"/>
      <c r="AI2135" s="16"/>
      <c r="AJ2135" s="16"/>
      <c r="AK2135" s="16"/>
      <c r="AL2135" s="16"/>
      <c r="AM2135" s="16"/>
      <c r="AN2135" s="16"/>
      <c r="AO2135" s="16"/>
      <c r="AP2135" s="16"/>
      <c r="AQ2135" s="16"/>
      <c r="AR2135" s="16"/>
      <c r="AS2135" s="16"/>
    </row>
    <row r="2136" spans="18:45" x14ac:dyDescent="0.35">
      <c r="R2136" s="191"/>
      <c r="S2136" s="191"/>
      <c r="T2136" s="193"/>
      <c r="U2136" s="191"/>
      <c r="V2136" s="194"/>
      <c r="W2136" s="191"/>
      <c r="Y2136" s="191"/>
      <c r="Z2136" s="191"/>
      <c r="AA2136" s="191"/>
      <c r="AB2136" s="191"/>
      <c r="AC2136" s="191"/>
      <c r="AD2136" s="16"/>
      <c r="AE2136" s="16"/>
      <c r="AF2136" s="16"/>
      <c r="AG2136" s="16"/>
      <c r="AH2136" s="16"/>
      <c r="AI2136" s="16"/>
      <c r="AJ2136" s="16"/>
      <c r="AK2136" s="16"/>
      <c r="AL2136" s="16"/>
      <c r="AM2136" s="16"/>
      <c r="AN2136" s="16"/>
      <c r="AO2136" s="16"/>
      <c r="AP2136" s="16"/>
      <c r="AQ2136" s="16"/>
      <c r="AR2136" s="16"/>
      <c r="AS2136" s="16"/>
    </row>
    <row r="2137" spans="18:45" x14ac:dyDescent="0.35">
      <c r="R2137" s="191"/>
      <c r="S2137" s="191"/>
      <c r="T2137" s="193"/>
      <c r="U2137" s="191"/>
      <c r="V2137" s="194"/>
      <c r="W2137" s="191"/>
      <c r="Y2137" s="191"/>
      <c r="Z2137" s="191"/>
      <c r="AA2137" s="191"/>
      <c r="AB2137" s="191"/>
      <c r="AC2137" s="191"/>
      <c r="AD2137" s="16"/>
      <c r="AE2137" s="16"/>
      <c r="AF2137" s="16"/>
      <c r="AG2137" s="16"/>
      <c r="AH2137" s="16"/>
      <c r="AI2137" s="16"/>
      <c r="AJ2137" s="16"/>
      <c r="AK2137" s="16"/>
      <c r="AL2137" s="16"/>
      <c r="AM2137" s="16"/>
      <c r="AN2137" s="16"/>
      <c r="AO2137" s="16"/>
      <c r="AP2137" s="16"/>
      <c r="AQ2137" s="16"/>
      <c r="AR2137" s="16"/>
      <c r="AS2137" s="16"/>
    </row>
    <row r="2138" spans="18:45" x14ac:dyDescent="0.35">
      <c r="R2138" s="191"/>
      <c r="S2138" s="191"/>
      <c r="T2138" s="193"/>
      <c r="U2138" s="191"/>
      <c r="V2138" s="194"/>
      <c r="W2138" s="191"/>
      <c r="Y2138" s="191"/>
      <c r="Z2138" s="191"/>
      <c r="AA2138" s="191"/>
      <c r="AB2138" s="191"/>
      <c r="AC2138" s="191"/>
      <c r="AD2138" s="16"/>
      <c r="AE2138" s="16"/>
      <c r="AF2138" s="16"/>
      <c r="AG2138" s="16"/>
      <c r="AH2138" s="16"/>
      <c r="AI2138" s="16"/>
      <c r="AJ2138" s="16"/>
      <c r="AK2138" s="16"/>
      <c r="AL2138" s="16"/>
      <c r="AM2138" s="16"/>
      <c r="AN2138" s="16"/>
      <c r="AO2138" s="16"/>
      <c r="AP2138" s="16"/>
      <c r="AQ2138" s="16"/>
      <c r="AR2138" s="16"/>
      <c r="AS2138" s="16"/>
    </row>
    <row r="2139" spans="18:45" x14ac:dyDescent="0.35">
      <c r="R2139" s="191"/>
      <c r="S2139" s="191"/>
      <c r="T2139" s="193"/>
      <c r="U2139" s="191"/>
      <c r="V2139" s="194"/>
      <c r="W2139" s="191"/>
      <c r="Y2139" s="191"/>
      <c r="Z2139" s="191"/>
      <c r="AA2139" s="191"/>
      <c r="AB2139" s="191"/>
      <c r="AC2139" s="191"/>
      <c r="AD2139" s="16"/>
      <c r="AE2139" s="16"/>
      <c r="AF2139" s="16"/>
      <c r="AG2139" s="16"/>
      <c r="AH2139" s="16"/>
      <c r="AI2139" s="16"/>
      <c r="AJ2139" s="16"/>
      <c r="AK2139" s="16"/>
      <c r="AL2139" s="16"/>
      <c r="AM2139" s="16"/>
      <c r="AN2139" s="16"/>
      <c r="AO2139" s="16"/>
      <c r="AP2139" s="16"/>
      <c r="AQ2139" s="16"/>
      <c r="AR2139" s="16"/>
      <c r="AS2139" s="16"/>
    </row>
    <row r="2140" spans="18:45" x14ac:dyDescent="0.35">
      <c r="R2140" s="191"/>
      <c r="S2140" s="191"/>
      <c r="T2140" s="193"/>
      <c r="U2140" s="191"/>
      <c r="V2140" s="194"/>
      <c r="W2140" s="191"/>
      <c r="Y2140" s="191"/>
      <c r="Z2140" s="191"/>
      <c r="AA2140" s="191"/>
      <c r="AB2140" s="191"/>
      <c r="AC2140" s="191"/>
      <c r="AD2140" s="16"/>
      <c r="AE2140" s="16"/>
      <c r="AF2140" s="16"/>
      <c r="AG2140" s="16"/>
      <c r="AH2140" s="16"/>
      <c r="AI2140" s="16"/>
      <c r="AJ2140" s="16"/>
      <c r="AK2140" s="16"/>
      <c r="AL2140" s="16"/>
      <c r="AM2140" s="16"/>
      <c r="AN2140" s="16"/>
      <c r="AO2140" s="16"/>
      <c r="AP2140" s="16"/>
      <c r="AQ2140" s="16"/>
      <c r="AR2140" s="16"/>
      <c r="AS2140" s="16"/>
    </row>
    <row r="2141" spans="18:45" x14ac:dyDescent="0.35">
      <c r="R2141" s="191"/>
      <c r="S2141" s="191"/>
      <c r="T2141" s="193"/>
      <c r="U2141" s="191"/>
      <c r="V2141" s="194"/>
      <c r="W2141" s="191"/>
      <c r="Y2141" s="191"/>
      <c r="Z2141" s="191"/>
      <c r="AA2141" s="191"/>
      <c r="AB2141" s="191"/>
      <c r="AC2141" s="191"/>
      <c r="AD2141" s="16"/>
      <c r="AE2141" s="16"/>
      <c r="AF2141" s="16"/>
      <c r="AG2141" s="16"/>
      <c r="AH2141" s="16"/>
      <c r="AI2141" s="16"/>
      <c r="AJ2141" s="16"/>
      <c r="AK2141" s="16"/>
      <c r="AL2141" s="16"/>
      <c r="AM2141" s="16"/>
      <c r="AN2141" s="16"/>
      <c r="AO2141" s="16"/>
      <c r="AP2141" s="16"/>
      <c r="AQ2141" s="16"/>
      <c r="AR2141" s="16"/>
      <c r="AS2141" s="16"/>
    </row>
    <row r="2142" spans="18:45" x14ac:dyDescent="0.35">
      <c r="R2142" s="191"/>
      <c r="S2142" s="191"/>
      <c r="T2142" s="193"/>
      <c r="U2142" s="191"/>
      <c r="V2142" s="194"/>
      <c r="W2142" s="191"/>
      <c r="Y2142" s="191"/>
      <c r="Z2142" s="191"/>
      <c r="AA2142" s="191"/>
      <c r="AB2142" s="191"/>
      <c r="AC2142" s="191"/>
      <c r="AD2142" s="16"/>
      <c r="AE2142" s="16"/>
      <c r="AF2142" s="16"/>
      <c r="AG2142" s="16"/>
      <c r="AH2142" s="16"/>
      <c r="AI2142" s="16"/>
      <c r="AJ2142" s="16"/>
      <c r="AK2142" s="16"/>
      <c r="AL2142" s="16"/>
      <c r="AM2142" s="16"/>
      <c r="AN2142" s="16"/>
      <c r="AO2142" s="16"/>
      <c r="AP2142" s="16"/>
      <c r="AQ2142" s="16"/>
      <c r="AR2142" s="16"/>
      <c r="AS2142" s="16"/>
    </row>
    <row r="2143" spans="18:45" x14ac:dyDescent="0.35">
      <c r="R2143" s="191"/>
      <c r="S2143" s="191"/>
      <c r="T2143" s="193"/>
      <c r="U2143" s="191"/>
      <c r="V2143" s="194"/>
      <c r="W2143" s="191"/>
      <c r="Y2143" s="191"/>
      <c r="Z2143" s="191"/>
      <c r="AA2143" s="191"/>
      <c r="AB2143" s="191"/>
      <c r="AC2143" s="191"/>
      <c r="AD2143" s="16"/>
      <c r="AE2143" s="16"/>
      <c r="AF2143" s="16"/>
      <c r="AG2143" s="16"/>
      <c r="AH2143" s="16"/>
      <c r="AI2143" s="16"/>
      <c r="AJ2143" s="16"/>
      <c r="AK2143" s="16"/>
      <c r="AL2143" s="16"/>
      <c r="AM2143" s="16"/>
      <c r="AN2143" s="16"/>
      <c r="AO2143" s="16"/>
      <c r="AP2143" s="16"/>
      <c r="AQ2143" s="16"/>
      <c r="AR2143" s="16"/>
      <c r="AS2143" s="16"/>
    </row>
    <row r="2144" spans="18:45" x14ac:dyDescent="0.35">
      <c r="R2144" s="191"/>
      <c r="S2144" s="191"/>
      <c r="T2144" s="193"/>
      <c r="U2144" s="191"/>
      <c r="V2144" s="194"/>
      <c r="W2144" s="191"/>
      <c r="Y2144" s="191"/>
      <c r="Z2144" s="191"/>
      <c r="AA2144" s="191"/>
      <c r="AB2144" s="191"/>
      <c r="AC2144" s="191"/>
      <c r="AD2144" s="16"/>
      <c r="AE2144" s="16"/>
      <c r="AF2144" s="16"/>
      <c r="AG2144" s="16"/>
      <c r="AH2144" s="16"/>
      <c r="AI2144" s="16"/>
      <c r="AJ2144" s="16"/>
      <c r="AK2144" s="16"/>
      <c r="AL2144" s="16"/>
      <c r="AM2144" s="16"/>
      <c r="AN2144" s="16"/>
      <c r="AO2144" s="16"/>
      <c r="AP2144" s="16"/>
      <c r="AQ2144" s="16"/>
      <c r="AR2144" s="16"/>
      <c r="AS2144" s="16"/>
    </row>
    <row r="2145" spans="18:45" x14ac:dyDescent="0.35">
      <c r="R2145" s="191"/>
      <c r="S2145" s="191"/>
      <c r="T2145" s="193"/>
      <c r="U2145" s="191"/>
      <c r="V2145" s="194"/>
      <c r="W2145" s="191"/>
      <c r="Y2145" s="191"/>
      <c r="Z2145" s="191"/>
      <c r="AA2145" s="191"/>
      <c r="AB2145" s="191"/>
      <c r="AC2145" s="191"/>
      <c r="AD2145" s="16"/>
      <c r="AE2145" s="16"/>
      <c r="AF2145" s="16"/>
      <c r="AG2145" s="16"/>
      <c r="AH2145" s="16"/>
      <c r="AI2145" s="16"/>
      <c r="AJ2145" s="16"/>
      <c r="AK2145" s="16"/>
      <c r="AL2145" s="16"/>
      <c r="AM2145" s="16"/>
      <c r="AN2145" s="16"/>
      <c r="AO2145" s="16"/>
      <c r="AP2145" s="16"/>
      <c r="AQ2145" s="16"/>
      <c r="AR2145" s="16"/>
      <c r="AS2145" s="16"/>
    </row>
    <row r="2146" spans="18:45" x14ac:dyDescent="0.35">
      <c r="R2146" s="191"/>
      <c r="S2146" s="191"/>
      <c r="T2146" s="193"/>
      <c r="U2146" s="191"/>
      <c r="V2146" s="194"/>
      <c r="W2146" s="191"/>
      <c r="Y2146" s="191"/>
      <c r="Z2146" s="191"/>
      <c r="AA2146" s="191"/>
      <c r="AB2146" s="191"/>
      <c r="AC2146" s="191"/>
      <c r="AD2146" s="16"/>
      <c r="AE2146" s="16"/>
      <c r="AF2146" s="16"/>
      <c r="AG2146" s="16"/>
      <c r="AH2146" s="16"/>
      <c r="AI2146" s="16"/>
      <c r="AJ2146" s="16"/>
      <c r="AK2146" s="16"/>
      <c r="AL2146" s="16"/>
      <c r="AM2146" s="16"/>
      <c r="AN2146" s="16"/>
      <c r="AO2146" s="16"/>
      <c r="AP2146" s="16"/>
      <c r="AQ2146" s="16"/>
      <c r="AR2146" s="16"/>
      <c r="AS2146" s="16"/>
    </row>
    <row r="2147" spans="18:45" x14ac:dyDescent="0.35">
      <c r="R2147" s="191"/>
      <c r="S2147" s="191"/>
      <c r="T2147" s="193"/>
      <c r="U2147" s="191"/>
      <c r="V2147" s="194"/>
      <c r="W2147" s="191"/>
      <c r="Y2147" s="191"/>
      <c r="Z2147" s="191"/>
      <c r="AA2147" s="191"/>
      <c r="AB2147" s="191"/>
      <c r="AC2147" s="191"/>
      <c r="AD2147" s="16"/>
      <c r="AE2147" s="16"/>
      <c r="AF2147" s="16"/>
      <c r="AG2147" s="16"/>
      <c r="AH2147" s="16"/>
      <c r="AI2147" s="16"/>
      <c r="AJ2147" s="16"/>
      <c r="AK2147" s="16"/>
      <c r="AL2147" s="16"/>
      <c r="AM2147" s="16"/>
      <c r="AN2147" s="16"/>
      <c r="AO2147" s="16"/>
      <c r="AP2147" s="16"/>
      <c r="AQ2147" s="16"/>
      <c r="AR2147" s="16"/>
      <c r="AS2147" s="16"/>
    </row>
    <row r="2148" spans="18:45" x14ac:dyDescent="0.35">
      <c r="R2148" s="191"/>
      <c r="S2148" s="191"/>
      <c r="T2148" s="193"/>
      <c r="U2148" s="191"/>
      <c r="V2148" s="194"/>
      <c r="W2148" s="191"/>
      <c r="Y2148" s="191"/>
      <c r="Z2148" s="191"/>
      <c r="AA2148" s="191"/>
      <c r="AB2148" s="191"/>
      <c r="AC2148" s="191"/>
      <c r="AD2148" s="16"/>
      <c r="AE2148" s="16"/>
      <c r="AF2148" s="16"/>
      <c r="AG2148" s="16"/>
      <c r="AH2148" s="16"/>
      <c r="AI2148" s="16"/>
      <c r="AJ2148" s="16"/>
      <c r="AK2148" s="16"/>
      <c r="AL2148" s="16"/>
      <c r="AM2148" s="16"/>
      <c r="AN2148" s="16"/>
      <c r="AO2148" s="16"/>
      <c r="AP2148" s="16"/>
      <c r="AQ2148" s="16"/>
      <c r="AR2148" s="16"/>
      <c r="AS2148" s="16"/>
    </row>
    <row r="2149" spans="18:45" x14ac:dyDescent="0.35">
      <c r="R2149" s="191"/>
      <c r="S2149" s="191"/>
      <c r="T2149" s="193"/>
      <c r="U2149" s="191"/>
      <c r="V2149" s="194"/>
      <c r="W2149" s="191"/>
      <c r="Y2149" s="191"/>
      <c r="Z2149" s="191"/>
      <c r="AA2149" s="191"/>
      <c r="AB2149" s="191"/>
      <c r="AC2149" s="191"/>
      <c r="AD2149" s="16"/>
      <c r="AE2149" s="16"/>
      <c r="AF2149" s="16"/>
      <c r="AG2149" s="16"/>
      <c r="AH2149" s="16"/>
      <c r="AI2149" s="16"/>
      <c r="AJ2149" s="16"/>
      <c r="AK2149" s="16"/>
      <c r="AL2149" s="16"/>
      <c r="AM2149" s="16"/>
      <c r="AN2149" s="16"/>
      <c r="AO2149" s="16"/>
      <c r="AP2149" s="16"/>
      <c r="AQ2149" s="16"/>
      <c r="AR2149" s="16"/>
      <c r="AS2149" s="16"/>
    </row>
    <row r="2150" spans="18:45" x14ac:dyDescent="0.35">
      <c r="R2150" s="191"/>
      <c r="S2150" s="191"/>
      <c r="T2150" s="193"/>
      <c r="U2150" s="191"/>
      <c r="V2150" s="194"/>
      <c r="W2150" s="191"/>
      <c r="Y2150" s="191"/>
      <c r="Z2150" s="191"/>
      <c r="AA2150" s="191"/>
      <c r="AB2150" s="191"/>
      <c r="AC2150" s="191"/>
      <c r="AD2150" s="16"/>
      <c r="AE2150" s="16"/>
      <c r="AF2150" s="16"/>
      <c r="AG2150" s="16"/>
      <c r="AH2150" s="16"/>
      <c r="AI2150" s="16"/>
      <c r="AJ2150" s="16"/>
      <c r="AK2150" s="16"/>
      <c r="AL2150" s="16"/>
      <c r="AM2150" s="16"/>
      <c r="AN2150" s="16"/>
      <c r="AO2150" s="16"/>
      <c r="AP2150" s="16"/>
      <c r="AQ2150" s="16"/>
      <c r="AR2150" s="16"/>
      <c r="AS2150" s="16"/>
    </row>
    <row r="2151" spans="18:45" x14ac:dyDescent="0.35">
      <c r="R2151" s="191"/>
      <c r="S2151" s="191"/>
      <c r="T2151" s="193"/>
      <c r="U2151" s="191"/>
      <c r="V2151" s="194"/>
      <c r="W2151" s="191"/>
      <c r="Y2151" s="191"/>
      <c r="Z2151" s="191"/>
      <c r="AA2151" s="191"/>
      <c r="AB2151" s="191"/>
      <c r="AC2151" s="191"/>
      <c r="AD2151" s="16"/>
      <c r="AE2151" s="16"/>
      <c r="AF2151" s="16"/>
      <c r="AG2151" s="16"/>
      <c r="AH2151" s="16"/>
      <c r="AI2151" s="16"/>
      <c r="AJ2151" s="16"/>
      <c r="AK2151" s="16"/>
      <c r="AL2151" s="16"/>
      <c r="AM2151" s="16"/>
      <c r="AN2151" s="16"/>
      <c r="AO2151" s="16"/>
      <c r="AP2151" s="16"/>
      <c r="AQ2151" s="16"/>
      <c r="AR2151" s="16"/>
      <c r="AS2151" s="16"/>
    </row>
    <row r="2152" spans="18:45" x14ac:dyDescent="0.35">
      <c r="R2152" s="191"/>
      <c r="S2152" s="191"/>
      <c r="T2152" s="193"/>
      <c r="U2152" s="191"/>
      <c r="V2152" s="194"/>
      <c r="W2152" s="191"/>
      <c r="Y2152" s="191"/>
      <c r="Z2152" s="191"/>
      <c r="AA2152" s="191"/>
      <c r="AB2152" s="191"/>
      <c r="AC2152" s="191"/>
      <c r="AD2152" s="16"/>
      <c r="AE2152" s="16"/>
      <c r="AF2152" s="16"/>
      <c r="AG2152" s="16"/>
      <c r="AH2152" s="16"/>
      <c r="AI2152" s="16"/>
      <c r="AJ2152" s="16"/>
      <c r="AK2152" s="16"/>
      <c r="AL2152" s="16"/>
      <c r="AM2152" s="16"/>
      <c r="AN2152" s="16"/>
      <c r="AO2152" s="16"/>
      <c r="AP2152" s="16"/>
      <c r="AQ2152" s="16"/>
      <c r="AR2152" s="16"/>
      <c r="AS2152" s="16"/>
    </row>
    <row r="2153" spans="18:45" x14ac:dyDescent="0.35">
      <c r="R2153" s="191"/>
      <c r="S2153" s="191"/>
      <c r="T2153" s="193"/>
      <c r="U2153" s="191"/>
      <c r="V2153" s="194"/>
      <c r="W2153" s="191"/>
      <c r="Y2153" s="191"/>
      <c r="Z2153" s="191"/>
      <c r="AA2153" s="191"/>
      <c r="AB2153" s="191"/>
      <c r="AC2153" s="191"/>
      <c r="AD2153" s="16"/>
      <c r="AE2153" s="16"/>
      <c r="AF2153" s="16"/>
      <c r="AG2153" s="16"/>
      <c r="AH2153" s="16"/>
      <c r="AI2153" s="16"/>
      <c r="AJ2153" s="16"/>
      <c r="AK2153" s="16"/>
      <c r="AL2153" s="16"/>
      <c r="AM2153" s="16"/>
      <c r="AN2153" s="16"/>
      <c r="AO2153" s="16"/>
      <c r="AP2153" s="16"/>
      <c r="AQ2153" s="16"/>
      <c r="AR2153" s="16"/>
      <c r="AS2153" s="16"/>
    </row>
    <row r="2154" spans="18:45" x14ac:dyDescent="0.35">
      <c r="R2154" s="191"/>
      <c r="S2154" s="191"/>
      <c r="T2154" s="193"/>
      <c r="U2154" s="191"/>
      <c r="V2154" s="194"/>
      <c r="W2154" s="191"/>
      <c r="Y2154" s="191"/>
      <c r="Z2154" s="191"/>
      <c r="AA2154" s="191"/>
      <c r="AB2154" s="191"/>
      <c r="AC2154" s="191"/>
      <c r="AD2154" s="16"/>
      <c r="AE2154" s="16"/>
      <c r="AF2154" s="16"/>
      <c r="AG2154" s="16"/>
      <c r="AH2154" s="16"/>
      <c r="AI2154" s="16"/>
      <c r="AJ2154" s="16"/>
      <c r="AK2154" s="16"/>
      <c r="AL2154" s="16"/>
      <c r="AM2154" s="16"/>
      <c r="AN2154" s="16"/>
      <c r="AO2154" s="16"/>
      <c r="AP2154" s="16"/>
      <c r="AQ2154" s="16"/>
      <c r="AR2154" s="16"/>
      <c r="AS2154" s="16"/>
    </row>
    <row r="2155" spans="18:45" x14ac:dyDescent="0.35">
      <c r="R2155" s="191"/>
      <c r="S2155" s="191"/>
      <c r="T2155" s="193"/>
      <c r="U2155" s="191"/>
      <c r="V2155" s="194"/>
      <c r="W2155" s="191"/>
      <c r="Y2155" s="191"/>
      <c r="Z2155" s="191"/>
      <c r="AA2155" s="191"/>
      <c r="AB2155" s="191"/>
      <c r="AC2155" s="191"/>
      <c r="AD2155" s="16"/>
      <c r="AE2155" s="16"/>
      <c r="AF2155" s="16"/>
      <c r="AG2155" s="16"/>
      <c r="AH2155" s="16"/>
      <c r="AI2155" s="16"/>
      <c r="AJ2155" s="16"/>
      <c r="AK2155" s="16"/>
      <c r="AL2155" s="16"/>
      <c r="AM2155" s="16"/>
      <c r="AN2155" s="16"/>
      <c r="AO2155" s="16"/>
      <c r="AP2155" s="16"/>
      <c r="AQ2155" s="16"/>
      <c r="AR2155" s="16"/>
      <c r="AS2155" s="16"/>
    </row>
    <row r="2156" spans="18:45" x14ac:dyDescent="0.35">
      <c r="R2156" s="191"/>
      <c r="S2156" s="191"/>
      <c r="T2156" s="193"/>
      <c r="U2156" s="191"/>
      <c r="V2156" s="194"/>
      <c r="W2156" s="191"/>
      <c r="Y2156" s="191"/>
      <c r="Z2156" s="191"/>
      <c r="AA2156" s="191"/>
      <c r="AB2156" s="191"/>
      <c r="AC2156" s="191"/>
      <c r="AD2156" s="16"/>
      <c r="AE2156" s="16"/>
      <c r="AF2156" s="16"/>
      <c r="AG2156" s="16"/>
      <c r="AH2156" s="16"/>
      <c r="AI2156" s="16"/>
      <c r="AJ2156" s="16"/>
      <c r="AK2156" s="16"/>
      <c r="AL2156" s="16"/>
      <c r="AM2156" s="16"/>
      <c r="AN2156" s="16"/>
      <c r="AO2156" s="16"/>
      <c r="AP2156" s="16"/>
      <c r="AQ2156" s="16"/>
      <c r="AR2156" s="16"/>
      <c r="AS2156" s="16"/>
    </row>
    <row r="2157" spans="18:45" x14ac:dyDescent="0.35">
      <c r="R2157" s="191"/>
      <c r="S2157" s="191"/>
      <c r="T2157" s="193"/>
      <c r="U2157" s="191"/>
      <c r="V2157" s="194"/>
      <c r="W2157" s="191"/>
      <c r="Y2157" s="191"/>
      <c r="Z2157" s="191"/>
      <c r="AA2157" s="191"/>
      <c r="AB2157" s="191"/>
      <c r="AC2157" s="191"/>
      <c r="AD2157" s="16"/>
      <c r="AE2157" s="16"/>
      <c r="AF2157" s="16"/>
      <c r="AG2157" s="16"/>
      <c r="AH2157" s="16"/>
      <c r="AI2157" s="16"/>
      <c r="AJ2157" s="16"/>
      <c r="AK2157" s="16"/>
      <c r="AL2157" s="16"/>
      <c r="AM2157" s="16"/>
      <c r="AN2157" s="16"/>
      <c r="AO2157" s="16"/>
      <c r="AP2157" s="16"/>
      <c r="AQ2157" s="16"/>
      <c r="AR2157" s="16"/>
      <c r="AS2157" s="16"/>
    </row>
    <row r="2158" spans="18:45" x14ac:dyDescent="0.35">
      <c r="R2158" s="191"/>
      <c r="S2158" s="191"/>
      <c r="T2158" s="193"/>
      <c r="U2158" s="191"/>
      <c r="V2158" s="194"/>
      <c r="W2158" s="191"/>
      <c r="Y2158" s="191"/>
      <c r="Z2158" s="191"/>
      <c r="AA2158" s="191"/>
      <c r="AB2158" s="191"/>
      <c r="AC2158" s="191"/>
      <c r="AD2158" s="16"/>
      <c r="AE2158" s="16"/>
      <c r="AF2158" s="16"/>
      <c r="AG2158" s="16"/>
      <c r="AH2158" s="16"/>
      <c r="AI2158" s="16"/>
      <c r="AJ2158" s="16"/>
      <c r="AK2158" s="16"/>
      <c r="AL2158" s="16"/>
      <c r="AM2158" s="16"/>
      <c r="AN2158" s="16"/>
      <c r="AO2158" s="16"/>
      <c r="AP2158" s="16"/>
      <c r="AQ2158" s="16"/>
      <c r="AR2158" s="16"/>
      <c r="AS2158" s="16"/>
    </row>
    <row r="2159" spans="18:45" x14ac:dyDescent="0.35">
      <c r="R2159" s="191"/>
      <c r="S2159" s="191"/>
      <c r="T2159" s="193"/>
      <c r="U2159" s="191"/>
      <c r="V2159" s="194"/>
      <c r="W2159" s="191"/>
      <c r="Y2159" s="191"/>
      <c r="Z2159" s="191"/>
      <c r="AA2159" s="191"/>
      <c r="AB2159" s="191"/>
      <c r="AC2159" s="191"/>
      <c r="AD2159" s="16"/>
      <c r="AE2159" s="16"/>
      <c r="AF2159" s="16"/>
      <c r="AG2159" s="16"/>
      <c r="AH2159" s="16"/>
      <c r="AI2159" s="16"/>
      <c r="AJ2159" s="16"/>
      <c r="AK2159" s="16"/>
      <c r="AL2159" s="16"/>
      <c r="AM2159" s="16"/>
      <c r="AN2159" s="16"/>
      <c r="AO2159" s="16"/>
      <c r="AP2159" s="16"/>
      <c r="AQ2159" s="16"/>
      <c r="AR2159" s="16"/>
      <c r="AS2159" s="16"/>
    </row>
    <row r="2160" spans="18:45" x14ac:dyDescent="0.35">
      <c r="R2160" s="191"/>
      <c r="S2160" s="191"/>
      <c r="T2160" s="193"/>
      <c r="U2160" s="191"/>
      <c r="V2160" s="194"/>
      <c r="W2160" s="191"/>
      <c r="Y2160" s="191"/>
      <c r="Z2160" s="191"/>
      <c r="AA2160" s="191"/>
      <c r="AB2160" s="191"/>
      <c r="AC2160" s="191"/>
      <c r="AD2160" s="16"/>
      <c r="AE2160" s="16"/>
      <c r="AF2160" s="16"/>
      <c r="AG2160" s="16"/>
      <c r="AH2160" s="16"/>
      <c r="AI2160" s="16"/>
      <c r="AJ2160" s="16"/>
      <c r="AK2160" s="16"/>
      <c r="AL2160" s="16"/>
      <c r="AM2160" s="16"/>
      <c r="AN2160" s="16"/>
      <c r="AO2160" s="16"/>
      <c r="AP2160" s="16"/>
      <c r="AQ2160" s="16"/>
      <c r="AR2160" s="16"/>
      <c r="AS2160" s="16"/>
    </row>
    <row r="2161" spans="18:45" x14ac:dyDescent="0.35">
      <c r="R2161" s="191"/>
      <c r="S2161" s="191"/>
      <c r="T2161" s="193"/>
      <c r="U2161" s="191"/>
      <c r="V2161" s="194"/>
      <c r="W2161" s="191"/>
      <c r="Y2161" s="191"/>
      <c r="Z2161" s="191"/>
      <c r="AA2161" s="191"/>
      <c r="AB2161" s="191"/>
      <c r="AC2161" s="191"/>
      <c r="AD2161" s="16"/>
      <c r="AE2161" s="16"/>
      <c r="AF2161" s="16"/>
      <c r="AG2161" s="16"/>
      <c r="AH2161" s="16"/>
      <c r="AI2161" s="16"/>
      <c r="AJ2161" s="16"/>
      <c r="AK2161" s="16"/>
      <c r="AL2161" s="16"/>
      <c r="AM2161" s="16"/>
      <c r="AN2161" s="16"/>
      <c r="AO2161" s="16"/>
      <c r="AP2161" s="16"/>
      <c r="AQ2161" s="16"/>
      <c r="AR2161" s="16"/>
      <c r="AS2161" s="16"/>
    </row>
    <row r="2162" spans="18:45" x14ac:dyDescent="0.35">
      <c r="R2162" s="191"/>
      <c r="S2162" s="191"/>
      <c r="T2162" s="193"/>
      <c r="U2162" s="191"/>
      <c r="V2162" s="194"/>
      <c r="W2162" s="191"/>
      <c r="Y2162" s="191"/>
      <c r="Z2162" s="191"/>
      <c r="AA2162" s="191"/>
      <c r="AB2162" s="191"/>
      <c r="AC2162" s="191"/>
      <c r="AD2162" s="16"/>
      <c r="AE2162" s="16"/>
      <c r="AF2162" s="16"/>
      <c r="AG2162" s="16"/>
      <c r="AH2162" s="16"/>
      <c r="AI2162" s="16"/>
      <c r="AJ2162" s="16"/>
      <c r="AK2162" s="16"/>
      <c r="AL2162" s="16"/>
      <c r="AM2162" s="16"/>
      <c r="AN2162" s="16"/>
      <c r="AO2162" s="16"/>
      <c r="AP2162" s="16"/>
      <c r="AQ2162" s="16"/>
      <c r="AR2162" s="16"/>
      <c r="AS2162" s="16"/>
    </row>
    <row r="2163" spans="18:45" x14ac:dyDescent="0.35">
      <c r="R2163" s="191"/>
      <c r="S2163" s="191"/>
      <c r="T2163" s="193"/>
      <c r="U2163" s="191"/>
      <c r="V2163" s="194"/>
      <c r="W2163" s="191"/>
      <c r="Y2163" s="191"/>
      <c r="Z2163" s="191"/>
      <c r="AA2163" s="191"/>
      <c r="AB2163" s="191"/>
      <c r="AC2163" s="191"/>
      <c r="AD2163" s="16"/>
      <c r="AE2163" s="16"/>
      <c r="AF2163" s="16"/>
      <c r="AG2163" s="16"/>
      <c r="AH2163" s="16"/>
      <c r="AI2163" s="16"/>
      <c r="AJ2163" s="16"/>
      <c r="AK2163" s="16"/>
      <c r="AL2163" s="16"/>
      <c r="AM2163" s="16"/>
      <c r="AN2163" s="16"/>
      <c r="AO2163" s="16"/>
      <c r="AP2163" s="16"/>
      <c r="AQ2163" s="16"/>
      <c r="AR2163" s="16"/>
      <c r="AS2163" s="16"/>
    </row>
    <row r="2164" spans="18:45" x14ac:dyDescent="0.35">
      <c r="R2164" s="191"/>
      <c r="S2164" s="191"/>
      <c r="T2164" s="193"/>
      <c r="U2164" s="191"/>
      <c r="V2164" s="194"/>
      <c r="W2164" s="191"/>
      <c r="Y2164" s="191"/>
      <c r="Z2164" s="191"/>
      <c r="AA2164" s="191"/>
      <c r="AB2164" s="191"/>
      <c r="AC2164" s="191"/>
      <c r="AD2164" s="16"/>
      <c r="AE2164" s="16"/>
      <c r="AF2164" s="16"/>
      <c r="AG2164" s="16"/>
      <c r="AH2164" s="16"/>
      <c r="AI2164" s="16"/>
      <c r="AJ2164" s="16"/>
      <c r="AK2164" s="16"/>
      <c r="AL2164" s="16"/>
      <c r="AM2164" s="16"/>
      <c r="AN2164" s="16"/>
      <c r="AO2164" s="16"/>
      <c r="AP2164" s="16"/>
      <c r="AQ2164" s="16"/>
      <c r="AR2164" s="16"/>
      <c r="AS2164" s="16"/>
    </row>
    <row r="2165" spans="18:45" x14ac:dyDescent="0.35">
      <c r="R2165" s="191"/>
      <c r="S2165" s="191"/>
      <c r="T2165" s="193"/>
      <c r="U2165" s="191"/>
      <c r="V2165" s="194"/>
      <c r="W2165" s="191"/>
      <c r="Y2165" s="191"/>
      <c r="Z2165" s="191"/>
      <c r="AA2165" s="191"/>
      <c r="AB2165" s="191"/>
      <c r="AC2165" s="191"/>
      <c r="AD2165" s="16"/>
      <c r="AE2165" s="16"/>
      <c r="AF2165" s="16"/>
      <c r="AG2165" s="16"/>
      <c r="AH2165" s="16"/>
      <c r="AI2165" s="16"/>
      <c r="AJ2165" s="16"/>
      <c r="AK2165" s="16"/>
      <c r="AL2165" s="16"/>
      <c r="AM2165" s="16"/>
      <c r="AN2165" s="16"/>
      <c r="AO2165" s="16"/>
      <c r="AP2165" s="16"/>
      <c r="AQ2165" s="16"/>
      <c r="AR2165" s="16"/>
      <c r="AS2165" s="16"/>
    </row>
    <row r="2166" spans="18:45" x14ac:dyDescent="0.35">
      <c r="R2166" s="191"/>
      <c r="S2166" s="191"/>
      <c r="T2166" s="193"/>
      <c r="U2166" s="191"/>
      <c r="V2166" s="194"/>
      <c r="W2166" s="191"/>
      <c r="Y2166" s="191"/>
      <c r="Z2166" s="191"/>
      <c r="AA2166" s="191"/>
      <c r="AB2166" s="191"/>
      <c r="AC2166" s="191"/>
      <c r="AD2166" s="16"/>
      <c r="AE2166" s="16"/>
      <c r="AF2166" s="16"/>
      <c r="AG2166" s="16"/>
      <c r="AH2166" s="16"/>
      <c r="AI2166" s="16"/>
      <c r="AJ2166" s="16"/>
      <c r="AK2166" s="16"/>
      <c r="AL2166" s="16"/>
      <c r="AM2166" s="16"/>
      <c r="AN2166" s="16"/>
      <c r="AO2166" s="16"/>
      <c r="AP2166" s="16"/>
      <c r="AQ2166" s="16"/>
      <c r="AR2166" s="16"/>
      <c r="AS2166" s="16"/>
    </row>
    <row r="2167" spans="18:45" x14ac:dyDescent="0.35">
      <c r="R2167" s="191"/>
      <c r="S2167" s="191"/>
      <c r="T2167" s="193"/>
      <c r="U2167" s="191"/>
      <c r="V2167" s="194"/>
      <c r="W2167" s="191"/>
      <c r="Y2167" s="191"/>
      <c r="Z2167" s="191"/>
      <c r="AA2167" s="191"/>
      <c r="AB2167" s="191"/>
      <c r="AC2167" s="191"/>
      <c r="AD2167" s="16"/>
      <c r="AE2167" s="16"/>
      <c r="AF2167" s="16"/>
      <c r="AG2167" s="16"/>
      <c r="AH2167" s="16"/>
      <c r="AI2167" s="16"/>
      <c r="AJ2167" s="16"/>
      <c r="AK2167" s="16"/>
      <c r="AL2167" s="16"/>
      <c r="AM2167" s="16"/>
      <c r="AN2167" s="16"/>
      <c r="AO2167" s="16"/>
      <c r="AP2167" s="16"/>
      <c r="AQ2167" s="16"/>
      <c r="AR2167" s="16"/>
      <c r="AS2167" s="16"/>
    </row>
    <row r="2168" spans="18:45" x14ac:dyDescent="0.35">
      <c r="R2168" s="191"/>
      <c r="S2168" s="191"/>
      <c r="T2168" s="193"/>
      <c r="U2168" s="191"/>
      <c r="V2168" s="194"/>
      <c r="W2168" s="191"/>
      <c r="Y2168" s="191"/>
      <c r="Z2168" s="191"/>
      <c r="AA2168" s="191"/>
      <c r="AB2168" s="191"/>
      <c r="AC2168" s="191"/>
      <c r="AD2168" s="16"/>
      <c r="AE2168" s="16"/>
      <c r="AF2168" s="16"/>
      <c r="AG2168" s="16"/>
      <c r="AH2168" s="16"/>
      <c r="AI2168" s="16"/>
      <c r="AJ2168" s="16"/>
      <c r="AK2168" s="16"/>
      <c r="AL2168" s="16"/>
      <c r="AM2168" s="16"/>
      <c r="AN2168" s="16"/>
      <c r="AO2168" s="16"/>
      <c r="AP2168" s="16"/>
      <c r="AQ2168" s="16"/>
      <c r="AR2168" s="16"/>
      <c r="AS2168" s="16"/>
    </row>
    <row r="2169" spans="18:45" x14ac:dyDescent="0.35">
      <c r="R2169" s="191"/>
      <c r="S2169" s="191"/>
      <c r="T2169" s="193"/>
      <c r="U2169" s="191"/>
      <c r="V2169" s="194"/>
      <c r="W2169" s="191"/>
      <c r="Y2169" s="191"/>
      <c r="Z2169" s="191"/>
      <c r="AA2169" s="191"/>
      <c r="AB2169" s="191"/>
      <c r="AC2169" s="191"/>
      <c r="AD2169" s="16"/>
      <c r="AE2169" s="16"/>
      <c r="AF2169" s="16"/>
      <c r="AG2169" s="16"/>
      <c r="AH2169" s="16"/>
      <c r="AI2169" s="16"/>
      <c r="AJ2169" s="16"/>
      <c r="AK2169" s="16"/>
      <c r="AL2169" s="16"/>
      <c r="AM2169" s="16"/>
      <c r="AN2169" s="16"/>
      <c r="AO2169" s="16"/>
      <c r="AP2169" s="16"/>
      <c r="AQ2169" s="16"/>
      <c r="AR2169" s="16"/>
      <c r="AS2169" s="16"/>
    </row>
    <row r="2170" spans="18:45" x14ac:dyDescent="0.35">
      <c r="R2170" s="191"/>
      <c r="S2170" s="191"/>
      <c r="T2170" s="193"/>
      <c r="U2170" s="191"/>
      <c r="V2170" s="194"/>
      <c r="W2170" s="191"/>
      <c r="Y2170" s="191"/>
      <c r="Z2170" s="191"/>
      <c r="AA2170" s="191"/>
      <c r="AB2170" s="191"/>
      <c r="AC2170" s="191"/>
      <c r="AD2170" s="16"/>
      <c r="AE2170" s="16"/>
      <c r="AF2170" s="16"/>
      <c r="AG2170" s="16"/>
      <c r="AH2170" s="16"/>
      <c r="AI2170" s="16"/>
      <c r="AJ2170" s="16"/>
      <c r="AK2170" s="16"/>
      <c r="AL2170" s="16"/>
      <c r="AM2170" s="16"/>
      <c r="AN2170" s="16"/>
      <c r="AO2170" s="16"/>
      <c r="AP2170" s="16"/>
      <c r="AQ2170" s="16"/>
      <c r="AR2170" s="16"/>
      <c r="AS2170" s="16"/>
    </row>
    <row r="2171" spans="18:45" x14ac:dyDescent="0.35">
      <c r="R2171" s="191"/>
      <c r="S2171" s="191"/>
      <c r="T2171" s="193"/>
      <c r="U2171" s="191"/>
      <c r="V2171" s="194"/>
      <c r="W2171" s="191"/>
      <c r="Y2171" s="191"/>
      <c r="Z2171" s="191"/>
      <c r="AA2171" s="191"/>
      <c r="AB2171" s="191"/>
      <c r="AC2171" s="191"/>
      <c r="AD2171" s="16"/>
      <c r="AE2171" s="16"/>
      <c r="AF2171" s="16"/>
      <c r="AG2171" s="16"/>
      <c r="AH2171" s="16"/>
      <c r="AI2171" s="16"/>
      <c r="AJ2171" s="16"/>
      <c r="AK2171" s="16"/>
      <c r="AL2171" s="16"/>
      <c r="AM2171" s="16"/>
      <c r="AN2171" s="16"/>
      <c r="AO2171" s="16"/>
      <c r="AP2171" s="16"/>
      <c r="AQ2171" s="16"/>
      <c r="AR2171" s="16"/>
      <c r="AS2171" s="16"/>
    </row>
    <row r="2172" spans="18:45" x14ac:dyDescent="0.35">
      <c r="R2172" s="191"/>
      <c r="S2172" s="191"/>
      <c r="T2172" s="193"/>
      <c r="U2172" s="191"/>
      <c r="V2172" s="194"/>
      <c r="W2172" s="191"/>
      <c r="Y2172" s="191"/>
      <c r="Z2172" s="191"/>
      <c r="AA2172" s="191"/>
      <c r="AB2172" s="191"/>
      <c r="AC2172" s="191"/>
      <c r="AD2172" s="16"/>
      <c r="AE2172" s="16"/>
      <c r="AF2172" s="16"/>
      <c r="AG2172" s="16"/>
      <c r="AH2172" s="16"/>
      <c r="AI2172" s="16"/>
      <c r="AJ2172" s="16"/>
      <c r="AK2172" s="16"/>
      <c r="AL2172" s="16"/>
      <c r="AM2172" s="16"/>
      <c r="AN2172" s="16"/>
      <c r="AO2172" s="16"/>
      <c r="AP2172" s="16"/>
      <c r="AQ2172" s="16"/>
      <c r="AR2172" s="16"/>
      <c r="AS2172" s="16"/>
    </row>
    <row r="2173" spans="18:45" x14ac:dyDescent="0.35">
      <c r="R2173" s="191"/>
      <c r="S2173" s="191"/>
      <c r="T2173" s="193"/>
      <c r="U2173" s="191"/>
      <c r="V2173" s="194"/>
      <c r="W2173" s="191"/>
      <c r="Y2173" s="191"/>
      <c r="Z2173" s="191"/>
      <c r="AA2173" s="191"/>
      <c r="AB2173" s="191"/>
      <c r="AC2173" s="191"/>
      <c r="AD2173" s="16"/>
      <c r="AE2173" s="16"/>
      <c r="AF2173" s="16"/>
      <c r="AG2173" s="16"/>
      <c r="AH2173" s="16"/>
      <c r="AI2173" s="16"/>
      <c r="AJ2173" s="16"/>
      <c r="AK2173" s="16"/>
      <c r="AL2173" s="16"/>
      <c r="AM2173" s="16"/>
      <c r="AN2173" s="16"/>
      <c r="AO2173" s="16"/>
      <c r="AP2173" s="16"/>
      <c r="AQ2173" s="16"/>
      <c r="AR2173" s="16"/>
      <c r="AS2173" s="16"/>
    </row>
    <row r="2174" spans="18:45" x14ac:dyDescent="0.35">
      <c r="R2174" s="191"/>
      <c r="S2174" s="191"/>
      <c r="T2174" s="193"/>
      <c r="U2174" s="191"/>
      <c r="V2174" s="194"/>
      <c r="W2174" s="191"/>
      <c r="Y2174" s="191"/>
      <c r="Z2174" s="191"/>
      <c r="AA2174" s="191"/>
      <c r="AB2174" s="191"/>
      <c r="AC2174" s="191"/>
      <c r="AD2174" s="16"/>
      <c r="AE2174" s="16"/>
      <c r="AF2174" s="16"/>
      <c r="AG2174" s="16"/>
      <c r="AH2174" s="16"/>
      <c r="AI2174" s="16"/>
      <c r="AJ2174" s="16"/>
      <c r="AK2174" s="16"/>
      <c r="AL2174" s="16"/>
      <c r="AM2174" s="16"/>
      <c r="AN2174" s="16"/>
      <c r="AO2174" s="16"/>
      <c r="AP2174" s="16"/>
      <c r="AQ2174" s="16"/>
      <c r="AR2174" s="16"/>
      <c r="AS2174" s="16"/>
    </row>
    <row r="2175" spans="18:45" x14ac:dyDescent="0.35">
      <c r="R2175" s="191"/>
      <c r="S2175" s="191"/>
      <c r="T2175" s="193"/>
      <c r="U2175" s="191"/>
      <c r="V2175" s="194"/>
      <c r="W2175" s="191"/>
      <c r="Y2175" s="191"/>
      <c r="Z2175" s="191"/>
      <c r="AA2175" s="191"/>
      <c r="AB2175" s="191"/>
      <c r="AC2175" s="191"/>
      <c r="AD2175" s="16"/>
      <c r="AE2175" s="16"/>
      <c r="AF2175" s="16"/>
      <c r="AG2175" s="16"/>
      <c r="AH2175" s="16"/>
      <c r="AI2175" s="16"/>
      <c r="AJ2175" s="16"/>
      <c r="AK2175" s="16"/>
      <c r="AL2175" s="16"/>
      <c r="AM2175" s="16"/>
      <c r="AN2175" s="16"/>
      <c r="AO2175" s="16"/>
      <c r="AP2175" s="16"/>
      <c r="AQ2175" s="16"/>
      <c r="AR2175" s="16"/>
      <c r="AS2175" s="16"/>
    </row>
    <row r="2176" spans="18:45" x14ac:dyDescent="0.35">
      <c r="R2176" s="191"/>
      <c r="S2176" s="191"/>
      <c r="T2176" s="193"/>
      <c r="U2176" s="191"/>
      <c r="V2176" s="194"/>
      <c r="W2176" s="191"/>
      <c r="Y2176" s="191"/>
      <c r="Z2176" s="191"/>
      <c r="AA2176" s="191"/>
      <c r="AB2176" s="191"/>
      <c r="AC2176" s="191"/>
      <c r="AD2176" s="16"/>
      <c r="AE2176" s="16"/>
      <c r="AF2176" s="16"/>
      <c r="AG2176" s="16"/>
      <c r="AH2176" s="16"/>
      <c r="AI2176" s="16"/>
      <c r="AJ2176" s="16"/>
      <c r="AK2176" s="16"/>
      <c r="AL2176" s="16"/>
      <c r="AM2176" s="16"/>
      <c r="AN2176" s="16"/>
      <c r="AO2176" s="16"/>
      <c r="AP2176" s="16"/>
      <c r="AQ2176" s="16"/>
      <c r="AR2176" s="16"/>
      <c r="AS2176" s="16"/>
    </row>
    <row r="2177" spans="18:45" x14ac:dyDescent="0.35">
      <c r="R2177" s="191"/>
      <c r="S2177" s="191"/>
      <c r="T2177" s="193"/>
      <c r="U2177" s="191"/>
      <c r="V2177" s="194"/>
      <c r="W2177" s="191"/>
      <c r="Y2177" s="191"/>
      <c r="Z2177" s="191"/>
      <c r="AA2177" s="191"/>
      <c r="AB2177" s="191"/>
      <c r="AC2177" s="191"/>
      <c r="AD2177" s="16"/>
      <c r="AE2177" s="16"/>
      <c r="AF2177" s="16"/>
      <c r="AG2177" s="16"/>
      <c r="AH2177" s="16"/>
      <c r="AI2177" s="16"/>
      <c r="AJ2177" s="16"/>
      <c r="AK2177" s="16"/>
      <c r="AL2177" s="16"/>
      <c r="AM2177" s="16"/>
      <c r="AN2177" s="16"/>
      <c r="AO2177" s="16"/>
      <c r="AP2177" s="16"/>
      <c r="AQ2177" s="16"/>
      <c r="AR2177" s="16"/>
      <c r="AS2177" s="16"/>
    </row>
    <row r="2178" spans="18:45" x14ac:dyDescent="0.35">
      <c r="R2178" s="191"/>
      <c r="S2178" s="191"/>
      <c r="T2178" s="193"/>
      <c r="U2178" s="191"/>
      <c r="V2178" s="194"/>
      <c r="W2178" s="191"/>
      <c r="Y2178" s="191"/>
      <c r="Z2178" s="191"/>
      <c r="AA2178" s="191"/>
      <c r="AB2178" s="191"/>
      <c r="AC2178" s="191"/>
      <c r="AD2178" s="16"/>
      <c r="AE2178" s="16"/>
      <c r="AF2178" s="16"/>
      <c r="AG2178" s="16"/>
      <c r="AH2178" s="16"/>
      <c r="AI2178" s="16"/>
      <c r="AJ2178" s="16"/>
      <c r="AK2178" s="16"/>
      <c r="AL2178" s="16"/>
      <c r="AM2178" s="16"/>
      <c r="AN2178" s="16"/>
      <c r="AO2178" s="16"/>
      <c r="AP2178" s="16"/>
      <c r="AQ2178" s="16"/>
      <c r="AR2178" s="16"/>
      <c r="AS2178" s="16"/>
    </row>
    <row r="2179" spans="18:45" x14ac:dyDescent="0.35">
      <c r="R2179" s="191"/>
      <c r="S2179" s="191"/>
      <c r="T2179" s="193"/>
      <c r="U2179" s="191"/>
      <c r="V2179" s="194"/>
      <c r="W2179" s="191"/>
      <c r="Y2179" s="191"/>
      <c r="Z2179" s="191"/>
      <c r="AA2179" s="191"/>
      <c r="AB2179" s="191"/>
      <c r="AC2179" s="191"/>
      <c r="AD2179" s="16"/>
      <c r="AE2179" s="16"/>
      <c r="AF2179" s="16"/>
      <c r="AG2179" s="16"/>
      <c r="AH2179" s="16"/>
      <c r="AI2179" s="16"/>
      <c r="AJ2179" s="16"/>
      <c r="AK2179" s="16"/>
      <c r="AL2179" s="16"/>
      <c r="AM2179" s="16"/>
      <c r="AN2179" s="16"/>
      <c r="AO2179" s="16"/>
      <c r="AP2179" s="16"/>
      <c r="AQ2179" s="16"/>
      <c r="AR2179" s="16"/>
      <c r="AS2179" s="16"/>
    </row>
    <row r="2180" spans="18:45" x14ac:dyDescent="0.35">
      <c r="R2180" s="191"/>
      <c r="S2180" s="191"/>
      <c r="T2180" s="193"/>
      <c r="U2180" s="191"/>
      <c r="V2180" s="194"/>
      <c r="W2180" s="191"/>
      <c r="Y2180" s="191"/>
      <c r="Z2180" s="191"/>
      <c r="AA2180" s="191"/>
      <c r="AB2180" s="191"/>
      <c r="AC2180" s="191"/>
      <c r="AD2180" s="16"/>
      <c r="AE2180" s="16"/>
      <c r="AF2180" s="16"/>
      <c r="AG2180" s="16"/>
      <c r="AH2180" s="16"/>
      <c r="AI2180" s="16"/>
      <c r="AJ2180" s="16"/>
      <c r="AK2180" s="16"/>
      <c r="AL2180" s="16"/>
      <c r="AM2180" s="16"/>
      <c r="AN2180" s="16"/>
      <c r="AO2180" s="16"/>
      <c r="AP2180" s="16"/>
      <c r="AQ2180" s="16"/>
      <c r="AR2180" s="16"/>
      <c r="AS2180" s="16"/>
    </row>
    <row r="2181" spans="18:45" x14ac:dyDescent="0.35">
      <c r="R2181" s="191"/>
      <c r="S2181" s="191"/>
      <c r="T2181" s="193"/>
      <c r="U2181" s="191"/>
      <c r="V2181" s="194"/>
      <c r="W2181" s="191"/>
      <c r="Y2181" s="191"/>
      <c r="Z2181" s="191"/>
      <c r="AA2181" s="191"/>
      <c r="AB2181" s="191"/>
      <c r="AC2181" s="191"/>
      <c r="AD2181" s="16"/>
      <c r="AE2181" s="16"/>
      <c r="AF2181" s="16"/>
      <c r="AG2181" s="16"/>
      <c r="AH2181" s="16"/>
      <c r="AI2181" s="16"/>
      <c r="AJ2181" s="16"/>
      <c r="AK2181" s="16"/>
      <c r="AL2181" s="16"/>
      <c r="AM2181" s="16"/>
      <c r="AN2181" s="16"/>
      <c r="AO2181" s="16"/>
      <c r="AP2181" s="16"/>
      <c r="AQ2181" s="16"/>
      <c r="AR2181" s="16"/>
      <c r="AS2181" s="16"/>
    </row>
    <row r="2182" spans="18:45" x14ac:dyDescent="0.35">
      <c r="R2182" s="191"/>
      <c r="S2182" s="191"/>
      <c r="T2182" s="193"/>
      <c r="U2182" s="191"/>
      <c r="V2182" s="194"/>
      <c r="W2182" s="191"/>
      <c r="Y2182" s="191"/>
      <c r="Z2182" s="191"/>
      <c r="AA2182" s="191"/>
      <c r="AB2182" s="191"/>
      <c r="AC2182" s="191"/>
      <c r="AD2182" s="16"/>
      <c r="AE2182" s="16"/>
      <c r="AF2182" s="16"/>
      <c r="AG2182" s="16"/>
      <c r="AH2182" s="16"/>
      <c r="AI2182" s="16"/>
      <c r="AJ2182" s="16"/>
      <c r="AK2182" s="16"/>
      <c r="AL2182" s="16"/>
      <c r="AM2182" s="16"/>
      <c r="AN2182" s="16"/>
      <c r="AO2182" s="16"/>
      <c r="AP2182" s="16"/>
      <c r="AQ2182" s="16"/>
      <c r="AR2182" s="16"/>
      <c r="AS2182" s="16"/>
    </row>
    <row r="2183" spans="18:45" x14ac:dyDescent="0.35">
      <c r="R2183" s="191"/>
      <c r="S2183" s="191"/>
      <c r="T2183" s="193"/>
      <c r="U2183" s="191"/>
      <c r="V2183" s="194"/>
      <c r="W2183" s="191"/>
      <c r="Y2183" s="191"/>
      <c r="Z2183" s="191"/>
      <c r="AA2183" s="191"/>
      <c r="AB2183" s="191"/>
      <c r="AC2183" s="191"/>
      <c r="AD2183" s="16"/>
      <c r="AE2183" s="16"/>
      <c r="AF2183" s="16"/>
      <c r="AG2183" s="16"/>
      <c r="AH2183" s="16"/>
      <c r="AI2183" s="16"/>
      <c r="AJ2183" s="16"/>
      <c r="AK2183" s="16"/>
      <c r="AL2183" s="16"/>
      <c r="AM2183" s="16"/>
      <c r="AN2183" s="16"/>
      <c r="AO2183" s="16"/>
      <c r="AP2183" s="16"/>
      <c r="AQ2183" s="16"/>
      <c r="AR2183" s="16"/>
      <c r="AS2183" s="16"/>
    </row>
    <row r="2184" spans="18:45" x14ac:dyDescent="0.35">
      <c r="R2184" s="191"/>
      <c r="S2184" s="191"/>
      <c r="T2184" s="193"/>
      <c r="U2184" s="191"/>
      <c r="V2184" s="194"/>
      <c r="W2184" s="191"/>
      <c r="Y2184" s="191"/>
      <c r="Z2184" s="191"/>
      <c r="AA2184" s="191"/>
      <c r="AB2184" s="191"/>
      <c r="AC2184" s="191"/>
      <c r="AD2184" s="16"/>
      <c r="AE2184" s="16"/>
      <c r="AF2184" s="16"/>
      <c r="AG2184" s="16"/>
      <c r="AH2184" s="16"/>
      <c r="AI2184" s="16"/>
      <c r="AJ2184" s="16"/>
      <c r="AK2184" s="16"/>
      <c r="AL2184" s="16"/>
      <c r="AM2184" s="16"/>
      <c r="AN2184" s="16"/>
      <c r="AO2184" s="16"/>
      <c r="AP2184" s="16"/>
      <c r="AQ2184" s="16"/>
      <c r="AR2184" s="16"/>
      <c r="AS2184" s="16"/>
    </row>
    <row r="2185" spans="18:45" x14ac:dyDescent="0.35">
      <c r="R2185" s="191"/>
      <c r="S2185" s="191"/>
      <c r="T2185" s="193"/>
      <c r="U2185" s="191"/>
      <c r="V2185" s="194"/>
      <c r="W2185" s="191"/>
      <c r="Y2185" s="191"/>
      <c r="Z2185" s="191"/>
      <c r="AA2185" s="191"/>
      <c r="AB2185" s="191"/>
      <c r="AC2185" s="191"/>
      <c r="AD2185" s="16"/>
      <c r="AE2185" s="16"/>
      <c r="AF2185" s="16"/>
      <c r="AG2185" s="16"/>
      <c r="AH2185" s="16"/>
      <c r="AI2185" s="16"/>
      <c r="AJ2185" s="16"/>
      <c r="AK2185" s="16"/>
      <c r="AL2185" s="16"/>
      <c r="AM2185" s="16"/>
      <c r="AN2185" s="16"/>
      <c r="AO2185" s="16"/>
      <c r="AP2185" s="16"/>
      <c r="AQ2185" s="16"/>
      <c r="AR2185" s="16"/>
      <c r="AS2185" s="16"/>
    </row>
    <row r="2186" spans="18:45" x14ac:dyDescent="0.35">
      <c r="R2186" s="191"/>
      <c r="S2186" s="191"/>
      <c r="T2186" s="193"/>
      <c r="U2186" s="191"/>
      <c r="V2186" s="194"/>
      <c r="W2186" s="191"/>
      <c r="Y2186" s="191"/>
      <c r="Z2186" s="191"/>
      <c r="AA2186" s="191"/>
      <c r="AB2186" s="191"/>
      <c r="AC2186" s="191"/>
      <c r="AD2186" s="16"/>
      <c r="AE2186" s="16"/>
      <c r="AF2186" s="16"/>
      <c r="AG2186" s="16"/>
      <c r="AH2186" s="16"/>
      <c r="AI2186" s="16"/>
      <c r="AJ2186" s="16"/>
      <c r="AK2186" s="16"/>
      <c r="AL2186" s="16"/>
      <c r="AM2186" s="16"/>
      <c r="AN2186" s="16"/>
      <c r="AO2186" s="16"/>
      <c r="AP2186" s="16"/>
      <c r="AQ2186" s="16"/>
      <c r="AR2186" s="16"/>
      <c r="AS2186" s="16"/>
    </row>
    <row r="2187" spans="18:45" x14ac:dyDescent="0.35">
      <c r="R2187" s="191"/>
      <c r="S2187" s="191"/>
      <c r="T2187" s="193"/>
      <c r="U2187" s="191"/>
      <c r="V2187" s="194"/>
      <c r="W2187" s="191"/>
      <c r="Y2187" s="191"/>
      <c r="Z2187" s="191"/>
      <c r="AA2187" s="191"/>
      <c r="AB2187" s="191"/>
      <c r="AC2187" s="191"/>
      <c r="AD2187" s="16"/>
      <c r="AE2187" s="16"/>
      <c r="AF2187" s="16"/>
      <c r="AG2187" s="16"/>
      <c r="AH2187" s="16"/>
      <c r="AI2187" s="16"/>
      <c r="AJ2187" s="16"/>
      <c r="AK2187" s="16"/>
      <c r="AL2187" s="16"/>
      <c r="AM2187" s="16"/>
      <c r="AN2187" s="16"/>
      <c r="AO2187" s="16"/>
      <c r="AP2187" s="16"/>
      <c r="AQ2187" s="16"/>
      <c r="AR2187" s="16"/>
      <c r="AS2187" s="16"/>
    </row>
    <row r="2188" spans="18:45" x14ac:dyDescent="0.35">
      <c r="R2188" s="191"/>
      <c r="S2188" s="191"/>
      <c r="T2188" s="193"/>
      <c r="U2188" s="191"/>
      <c r="V2188" s="194"/>
      <c r="W2188" s="191"/>
      <c r="Y2188" s="191"/>
      <c r="Z2188" s="191"/>
      <c r="AA2188" s="191"/>
      <c r="AB2188" s="191"/>
      <c r="AC2188" s="191"/>
      <c r="AD2188" s="16"/>
      <c r="AE2188" s="16"/>
      <c r="AF2188" s="16"/>
      <c r="AG2188" s="16"/>
      <c r="AH2188" s="16"/>
      <c r="AI2188" s="16"/>
      <c r="AJ2188" s="16"/>
      <c r="AK2188" s="16"/>
      <c r="AL2188" s="16"/>
      <c r="AM2188" s="16"/>
      <c r="AN2188" s="16"/>
      <c r="AO2188" s="16"/>
      <c r="AP2188" s="16"/>
      <c r="AQ2188" s="16"/>
      <c r="AR2188" s="16"/>
      <c r="AS2188" s="16"/>
    </row>
    <row r="2189" spans="18:45" x14ac:dyDescent="0.35">
      <c r="R2189" s="191"/>
      <c r="S2189" s="191"/>
      <c r="T2189" s="193"/>
      <c r="U2189" s="191"/>
      <c r="V2189" s="194"/>
      <c r="W2189" s="191"/>
      <c r="Y2189" s="191"/>
      <c r="Z2189" s="191"/>
      <c r="AA2189" s="191"/>
      <c r="AB2189" s="191"/>
      <c r="AC2189" s="191"/>
      <c r="AD2189" s="16"/>
      <c r="AE2189" s="16"/>
      <c r="AF2189" s="16"/>
      <c r="AG2189" s="16"/>
      <c r="AH2189" s="16"/>
      <c r="AI2189" s="16"/>
      <c r="AJ2189" s="16"/>
      <c r="AK2189" s="16"/>
      <c r="AL2189" s="16"/>
      <c r="AM2189" s="16"/>
      <c r="AN2189" s="16"/>
      <c r="AO2189" s="16"/>
      <c r="AP2189" s="16"/>
      <c r="AQ2189" s="16"/>
      <c r="AR2189" s="16"/>
      <c r="AS2189" s="16"/>
    </row>
    <row r="2190" spans="18:45" x14ac:dyDescent="0.35">
      <c r="R2190" s="191"/>
      <c r="S2190" s="191"/>
      <c r="T2190" s="193"/>
      <c r="U2190" s="191"/>
      <c r="V2190" s="194"/>
      <c r="W2190" s="191"/>
      <c r="Y2190" s="191"/>
      <c r="Z2190" s="191"/>
      <c r="AA2190" s="191"/>
      <c r="AB2190" s="191"/>
      <c r="AC2190" s="191"/>
      <c r="AD2190" s="16"/>
      <c r="AE2190" s="16"/>
      <c r="AF2190" s="16"/>
      <c r="AG2190" s="16"/>
      <c r="AH2190" s="16"/>
      <c r="AI2190" s="16"/>
      <c r="AJ2190" s="16"/>
      <c r="AK2190" s="16"/>
      <c r="AL2190" s="16"/>
      <c r="AM2190" s="16"/>
      <c r="AN2190" s="16"/>
      <c r="AO2190" s="16"/>
      <c r="AP2190" s="16"/>
      <c r="AQ2190" s="16"/>
      <c r="AR2190" s="16"/>
      <c r="AS2190" s="16"/>
    </row>
    <row r="2191" spans="18:45" x14ac:dyDescent="0.35">
      <c r="R2191" s="191"/>
      <c r="S2191" s="191"/>
      <c r="T2191" s="193"/>
      <c r="U2191" s="191"/>
      <c r="V2191" s="194"/>
      <c r="W2191" s="191"/>
      <c r="Y2191" s="191"/>
      <c r="Z2191" s="191"/>
      <c r="AA2191" s="191"/>
      <c r="AB2191" s="191"/>
      <c r="AC2191" s="191"/>
      <c r="AD2191" s="16"/>
      <c r="AE2191" s="16"/>
      <c r="AF2191" s="16"/>
      <c r="AG2191" s="16"/>
      <c r="AH2191" s="16"/>
      <c r="AI2191" s="16"/>
      <c r="AJ2191" s="16"/>
      <c r="AK2191" s="16"/>
      <c r="AL2191" s="16"/>
      <c r="AM2191" s="16"/>
      <c r="AN2191" s="16"/>
      <c r="AO2191" s="16"/>
      <c r="AP2191" s="16"/>
      <c r="AQ2191" s="16"/>
      <c r="AR2191" s="16"/>
      <c r="AS2191" s="16"/>
    </row>
    <row r="2192" spans="18:45" x14ac:dyDescent="0.35">
      <c r="R2192" s="191"/>
      <c r="S2192" s="191"/>
      <c r="T2192" s="193"/>
      <c r="U2192" s="191"/>
      <c r="V2192" s="194"/>
      <c r="W2192" s="191"/>
      <c r="Y2192" s="191"/>
      <c r="Z2192" s="191"/>
      <c r="AA2192" s="191"/>
      <c r="AB2192" s="191"/>
      <c r="AC2192" s="191"/>
      <c r="AD2192" s="16"/>
      <c r="AE2192" s="16"/>
      <c r="AF2192" s="16"/>
      <c r="AG2192" s="16"/>
      <c r="AH2192" s="16"/>
      <c r="AI2192" s="16"/>
      <c r="AJ2192" s="16"/>
      <c r="AK2192" s="16"/>
      <c r="AL2192" s="16"/>
      <c r="AM2192" s="16"/>
      <c r="AN2192" s="16"/>
      <c r="AO2192" s="16"/>
      <c r="AP2192" s="16"/>
      <c r="AQ2192" s="16"/>
      <c r="AR2192" s="16"/>
      <c r="AS2192" s="16"/>
    </row>
    <row r="2193" spans="18:45" x14ac:dyDescent="0.35">
      <c r="R2193" s="191"/>
      <c r="S2193" s="191"/>
      <c r="T2193" s="193"/>
      <c r="U2193" s="191"/>
      <c r="V2193" s="194"/>
      <c r="W2193" s="191"/>
      <c r="Y2193" s="191"/>
      <c r="Z2193" s="191"/>
      <c r="AA2193" s="191"/>
      <c r="AB2193" s="191"/>
      <c r="AC2193" s="191"/>
      <c r="AD2193" s="16"/>
      <c r="AE2193" s="16"/>
      <c r="AF2193" s="16"/>
      <c r="AG2193" s="16"/>
      <c r="AH2193" s="16"/>
      <c r="AI2193" s="16"/>
      <c r="AJ2193" s="16"/>
      <c r="AK2193" s="16"/>
      <c r="AL2193" s="16"/>
      <c r="AM2193" s="16"/>
      <c r="AN2193" s="16"/>
      <c r="AO2193" s="16"/>
      <c r="AP2193" s="16"/>
      <c r="AQ2193" s="16"/>
      <c r="AR2193" s="16"/>
      <c r="AS2193" s="16"/>
    </row>
    <row r="2194" spans="18:45" x14ac:dyDescent="0.35">
      <c r="R2194" s="191"/>
      <c r="S2194" s="191"/>
      <c r="T2194" s="193"/>
      <c r="U2194" s="191"/>
      <c r="V2194" s="194"/>
      <c r="W2194" s="191"/>
      <c r="Y2194" s="191"/>
      <c r="Z2194" s="191"/>
      <c r="AA2194" s="191"/>
      <c r="AB2194" s="191"/>
      <c r="AC2194" s="191"/>
      <c r="AD2194" s="16"/>
      <c r="AE2194" s="16"/>
      <c r="AF2194" s="16"/>
      <c r="AG2194" s="16"/>
      <c r="AH2194" s="16"/>
      <c r="AI2194" s="16"/>
      <c r="AJ2194" s="16"/>
      <c r="AK2194" s="16"/>
      <c r="AL2194" s="16"/>
      <c r="AM2194" s="16"/>
      <c r="AN2194" s="16"/>
      <c r="AO2194" s="16"/>
      <c r="AP2194" s="16"/>
      <c r="AQ2194" s="16"/>
      <c r="AR2194" s="16"/>
      <c r="AS2194" s="16"/>
    </row>
    <row r="2195" spans="18:45" x14ac:dyDescent="0.35">
      <c r="R2195" s="191"/>
      <c r="S2195" s="191"/>
      <c r="T2195" s="193"/>
      <c r="U2195" s="191"/>
      <c r="V2195" s="194"/>
      <c r="W2195" s="191"/>
      <c r="Y2195" s="191"/>
      <c r="Z2195" s="191"/>
      <c r="AA2195" s="191"/>
      <c r="AB2195" s="191"/>
      <c r="AC2195" s="191"/>
      <c r="AD2195" s="16"/>
      <c r="AE2195" s="16"/>
      <c r="AF2195" s="16"/>
      <c r="AG2195" s="16"/>
      <c r="AH2195" s="16"/>
      <c r="AI2195" s="16"/>
      <c r="AJ2195" s="16"/>
      <c r="AK2195" s="16"/>
      <c r="AL2195" s="16"/>
      <c r="AM2195" s="16"/>
      <c r="AN2195" s="16"/>
      <c r="AO2195" s="16"/>
      <c r="AP2195" s="16"/>
      <c r="AQ2195" s="16"/>
      <c r="AR2195" s="16"/>
      <c r="AS2195" s="16"/>
    </row>
    <row r="2196" spans="18:45" x14ac:dyDescent="0.35">
      <c r="R2196" s="191"/>
      <c r="S2196" s="191"/>
      <c r="T2196" s="193"/>
      <c r="U2196" s="191"/>
      <c r="V2196" s="194"/>
      <c r="W2196" s="191"/>
      <c r="Y2196" s="191"/>
      <c r="Z2196" s="191"/>
      <c r="AA2196" s="191"/>
      <c r="AB2196" s="191"/>
      <c r="AC2196" s="191"/>
      <c r="AD2196" s="16"/>
      <c r="AE2196" s="16"/>
      <c r="AF2196" s="16"/>
      <c r="AG2196" s="16"/>
      <c r="AH2196" s="16"/>
      <c r="AI2196" s="16"/>
      <c r="AJ2196" s="16"/>
      <c r="AK2196" s="16"/>
      <c r="AL2196" s="16"/>
      <c r="AM2196" s="16"/>
      <c r="AN2196" s="16"/>
      <c r="AO2196" s="16"/>
      <c r="AP2196" s="16"/>
      <c r="AQ2196" s="16"/>
      <c r="AR2196" s="16"/>
      <c r="AS2196" s="16"/>
    </row>
    <row r="2197" spans="18:45" x14ac:dyDescent="0.35">
      <c r="R2197" s="191"/>
      <c r="S2197" s="191"/>
      <c r="T2197" s="193"/>
      <c r="U2197" s="191"/>
      <c r="V2197" s="194"/>
      <c r="W2197" s="191"/>
      <c r="Y2197" s="191"/>
      <c r="Z2197" s="191"/>
      <c r="AA2197" s="191"/>
      <c r="AB2197" s="191"/>
      <c r="AC2197" s="191"/>
      <c r="AD2197" s="16"/>
      <c r="AE2197" s="16"/>
      <c r="AF2197" s="16"/>
      <c r="AG2197" s="16"/>
      <c r="AH2197" s="16"/>
      <c r="AI2197" s="16"/>
      <c r="AJ2197" s="16"/>
      <c r="AK2197" s="16"/>
      <c r="AL2197" s="16"/>
      <c r="AM2197" s="16"/>
      <c r="AN2197" s="16"/>
      <c r="AO2197" s="16"/>
      <c r="AP2197" s="16"/>
      <c r="AQ2197" s="16"/>
      <c r="AR2197" s="16"/>
      <c r="AS2197" s="16"/>
    </row>
    <row r="2198" spans="18:45" x14ac:dyDescent="0.35">
      <c r="R2198" s="191"/>
      <c r="S2198" s="191"/>
      <c r="T2198" s="193"/>
      <c r="U2198" s="191"/>
      <c r="V2198" s="194"/>
      <c r="W2198" s="191"/>
      <c r="Y2198" s="191"/>
      <c r="Z2198" s="191"/>
      <c r="AA2198" s="191"/>
      <c r="AB2198" s="191"/>
      <c r="AC2198" s="191"/>
      <c r="AD2198" s="16"/>
      <c r="AE2198" s="16"/>
      <c r="AF2198" s="16"/>
      <c r="AG2198" s="16"/>
      <c r="AH2198" s="16"/>
      <c r="AI2198" s="16"/>
      <c r="AJ2198" s="16"/>
      <c r="AK2198" s="16"/>
      <c r="AL2198" s="16"/>
      <c r="AM2198" s="16"/>
      <c r="AN2198" s="16"/>
      <c r="AO2198" s="16"/>
      <c r="AP2198" s="16"/>
      <c r="AQ2198" s="16"/>
      <c r="AR2198" s="16"/>
      <c r="AS2198" s="16"/>
    </row>
    <row r="2199" spans="18:45" x14ac:dyDescent="0.35">
      <c r="R2199" s="191"/>
      <c r="S2199" s="191"/>
      <c r="T2199" s="193"/>
      <c r="U2199" s="191"/>
      <c r="V2199" s="194"/>
      <c r="W2199" s="191"/>
      <c r="Y2199" s="191"/>
      <c r="Z2199" s="191"/>
      <c r="AA2199" s="191"/>
      <c r="AB2199" s="191"/>
      <c r="AC2199" s="191"/>
      <c r="AD2199" s="16"/>
      <c r="AE2199" s="16"/>
      <c r="AF2199" s="16"/>
      <c r="AG2199" s="16"/>
      <c r="AH2199" s="16"/>
      <c r="AI2199" s="16"/>
      <c r="AJ2199" s="16"/>
      <c r="AK2199" s="16"/>
      <c r="AL2199" s="16"/>
      <c r="AM2199" s="16"/>
      <c r="AN2199" s="16"/>
      <c r="AO2199" s="16"/>
      <c r="AP2199" s="16"/>
      <c r="AQ2199" s="16"/>
      <c r="AR2199" s="16"/>
      <c r="AS2199" s="16"/>
    </row>
    <row r="2200" spans="18:45" x14ac:dyDescent="0.35">
      <c r="R2200" s="191"/>
      <c r="S2200" s="191"/>
      <c r="T2200" s="193"/>
      <c r="U2200" s="191"/>
      <c r="V2200" s="194"/>
      <c r="W2200" s="191"/>
      <c r="Y2200" s="191"/>
      <c r="Z2200" s="191"/>
      <c r="AA2200" s="191"/>
      <c r="AB2200" s="191"/>
      <c r="AC2200" s="191"/>
      <c r="AD2200" s="16"/>
      <c r="AE2200" s="16"/>
      <c r="AF2200" s="16"/>
      <c r="AG2200" s="16"/>
      <c r="AH2200" s="16"/>
      <c r="AI2200" s="16"/>
      <c r="AJ2200" s="16"/>
      <c r="AK2200" s="16"/>
      <c r="AL2200" s="16"/>
      <c r="AM2200" s="16"/>
      <c r="AN2200" s="16"/>
      <c r="AO2200" s="16"/>
      <c r="AP2200" s="16"/>
      <c r="AQ2200" s="16"/>
      <c r="AR2200" s="16"/>
      <c r="AS2200" s="16"/>
    </row>
    <row r="2201" spans="18:45" x14ac:dyDescent="0.35">
      <c r="R2201" s="191"/>
      <c r="S2201" s="191"/>
      <c r="T2201" s="193"/>
      <c r="U2201" s="191"/>
      <c r="V2201" s="194"/>
      <c r="W2201" s="191"/>
      <c r="Y2201" s="191"/>
      <c r="Z2201" s="191"/>
      <c r="AA2201" s="191"/>
      <c r="AB2201" s="191"/>
      <c r="AC2201" s="191"/>
      <c r="AD2201" s="16"/>
      <c r="AE2201" s="16"/>
      <c r="AF2201" s="16"/>
      <c r="AG2201" s="16"/>
      <c r="AH2201" s="16"/>
      <c r="AI2201" s="16"/>
      <c r="AJ2201" s="16"/>
      <c r="AK2201" s="16"/>
      <c r="AL2201" s="16"/>
      <c r="AM2201" s="16"/>
      <c r="AN2201" s="16"/>
      <c r="AO2201" s="16"/>
      <c r="AP2201" s="16"/>
      <c r="AQ2201" s="16"/>
      <c r="AR2201" s="16"/>
      <c r="AS2201" s="16"/>
    </row>
    <row r="2202" spans="18:45" x14ac:dyDescent="0.35">
      <c r="R2202" s="191"/>
      <c r="S2202" s="191"/>
      <c r="T2202" s="193"/>
      <c r="U2202" s="191"/>
      <c r="V2202" s="194"/>
      <c r="W2202" s="191"/>
      <c r="Y2202" s="191"/>
      <c r="Z2202" s="191"/>
      <c r="AA2202" s="191"/>
      <c r="AB2202" s="191"/>
      <c r="AC2202" s="191"/>
      <c r="AD2202" s="16"/>
      <c r="AE2202" s="16"/>
      <c r="AF2202" s="16"/>
      <c r="AG2202" s="16"/>
      <c r="AH2202" s="16"/>
      <c r="AI2202" s="16"/>
      <c r="AJ2202" s="16"/>
      <c r="AK2202" s="16"/>
      <c r="AL2202" s="16"/>
      <c r="AM2202" s="16"/>
      <c r="AN2202" s="16"/>
      <c r="AO2202" s="16"/>
      <c r="AP2202" s="16"/>
      <c r="AQ2202" s="16"/>
      <c r="AR2202" s="16"/>
      <c r="AS2202" s="16"/>
    </row>
    <row r="2203" spans="18:45" x14ac:dyDescent="0.35">
      <c r="R2203" s="191"/>
      <c r="S2203" s="191"/>
      <c r="T2203" s="193"/>
      <c r="U2203" s="191"/>
      <c r="V2203" s="194"/>
      <c r="W2203" s="191"/>
      <c r="Y2203" s="191"/>
      <c r="Z2203" s="191"/>
      <c r="AA2203" s="191"/>
      <c r="AB2203" s="191"/>
      <c r="AC2203" s="191"/>
      <c r="AD2203" s="16"/>
      <c r="AE2203" s="16"/>
      <c r="AF2203" s="16"/>
      <c r="AG2203" s="16"/>
      <c r="AH2203" s="16"/>
      <c r="AI2203" s="16"/>
      <c r="AJ2203" s="16"/>
      <c r="AK2203" s="16"/>
      <c r="AL2203" s="16"/>
      <c r="AM2203" s="16"/>
      <c r="AN2203" s="16"/>
      <c r="AO2203" s="16"/>
      <c r="AP2203" s="16"/>
      <c r="AQ2203" s="16"/>
      <c r="AR2203" s="16"/>
      <c r="AS2203" s="16"/>
    </row>
    <row r="2204" spans="18:45" x14ac:dyDescent="0.35">
      <c r="R2204" s="191"/>
      <c r="S2204" s="191"/>
      <c r="T2204" s="193"/>
      <c r="U2204" s="191"/>
      <c r="V2204" s="194"/>
      <c r="W2204" s="191"/>
      <c r="Y2204" s="191"/>
      <c r="Z2204" s="191"/>
      <c r="AA2204" s="191"/>
      <c r="AB2204" s="191"/>
      <c r="AC2204" s="191"/>
      <c r="AD2204" s="16"/>
      <c r="AE2204" s="16"/>
      <c r="AF2204" s="16"/>
      <c r="AG2204" s="16"/>
      <c r="AH2204" s="16"/>
      <c r="AI2204" s="16"/>
      <c r="AJ2204" s="16"/>
      <c r="AK2204" s="16"/>
      <c r="AL2204" s="16"/>
      <c r="AM2204" s="16"/>
      <c r="AN2204" s="16"/>
      <c r="AO2204" s="16"/>
      <c r="AP2204" s="16"/>
      <c r="AQ2204" s="16"/>
      <c r="AR2204" s="16"/>
      <c r="AS2204" s="16"/>
    </row>
    <row r="2205" spans="18:45" x14ac:dyDescent="0.35">
      <c r="R2205" s="191"/>
      <c r="S2205" s="191"/>
      <c r="T2205" s="193"/>
      <c r="U2205" s="191"/>
      <c r="V2205" s="194"/>
      <c r="W2205" s="191"/>
      <c r="Y2205" s="191"/>
      <c r="Z2205" s="191"/>
      <c r="AA2205" s="191"/>
      <c r="AB2205" s="191"/>
      <c r="AC2205" s="191"/>
      <c r="AD2205" s="16"/>
      <c r="AE2205" s="16"/>
      <c r="AF2205" s="16"/>
      <c r="AG2205" s="16"/>
      <c r="AH2205" s="16"/>
      <c r="AI2205" s="16"/>
      <c r="AJ2205" s="16"/>
      <c r="AK2205" s="16"/>
      <c r="AL2205" s="16"/>
      <c r="AM2205" s="16"/>
      <c r="AN2205" s="16"/>
      <c r="AO2205" s="16"/>
      <c r="AP2205" s="16"/>
      <c r="AQ2205" s="16"/>
      <c r="AR2205" s="16"/>
      <c r="AS2205" s="16"/>
    </row>
    <row r="2206" spans="18:45" x14ac:dyDescent="0.35">
      <c r="R2206" s="191"/>
      <c r="S2206" s="191"/>
      <c r="T2206" s="193"/>
      <c r="U2206" s="191"/>
      <c r="V2206" s="194"/>
      <c r="W2206" s="191"/>
      <c r="Y2206" s="191"/>
      <c r="Z2206" s="191"/>
      <c r="AA2206" s="191"/>
      <c r="AB2206" s="191"/>
      <c r="AC2206" s="191"/>
      <c r="AD2206" s="16"/>
      <c r="AE2206" s="16"/>
      <c r="AF2206" s="16"/>
      <c r="AG2206" s="16"/>
      <c r="AH2206" s="16"/>
      <c r="AI2206" s="16"/>
      <c r="AJ2206" s="16"/>
      <c r="AK2206" s="16"/>
      <c r="AL2206" s="16"/>
      <c r="AM2206" s="16"/>
      <c r="AN2206" s="16"/>
      <c r="AO2206" s="16"/>
      <c r="AP2206" s="16"/>
      <c r="AQ2206" s="16"/>
      <c r="AR2206" s="16"/>
      <c r="AS2206" s="16"/>
    </row>
    <row r="2207" spans="18:45" x14ac:dyDescent="0.35">
      <c r="R2207" s="191"/>
      <c r="S2207" s="191"/>
      <c r="T2207" s="193"/>
      <c r="U2207" s="191"/>
      <c r="V2207" s="194"/>
      <c r="W2207" s="191"/>
      <c r="Y2207" s="191"/>
      <c r="Z2207" s="191"/>
      <c r="AA2207" s="191"/>
      <c r="AB2207" s="191"/>
      <c r="AC2207" s="191"/>
      <c r="AD2207" s="16"/>
      <c r="AE2207" s="16"/>
      <c r="AF2207" s="16"/>
      <c r="AG2207" s="16"/>
      <c r="AH2207" s="16"/>
      <c r="AI2207" s="16"/>
      <c r="AJ2207" s="16"/>
      <c r="AK2207" s="16"/>
      <c r="AL2207" s="16"/>
      <c r="AM2207" s="16"/>
      <c r="AN2207" s="16"/>
      <c r="AO2207" s="16"/>
      <c r="AP2207" s="16"/>
      <c r="AQ2207" s="16"/>
      <c r="AR2207" s="16"/>
      <c r="AS2207" s="16"/>
    </row>
    <row r="2208" spans="18:45" x14ac:dyDescent="0.35">
      <c r="R2208" s="191"/>
      <c r="S2208" s="191"/>
      <c r="T2208" s="193"/>
      <c r="U2208" s="191"/>
      <c r="V2208" s="194"/>
      <c r="W2208" s="191"/>
      <c r="Y2208" s="191"/>
      <c r="Z2208" s="191"/>
      <c r="AA2208" s="191"/>
      <c r="AB2208" s="191"/>
      <c r="AC2208" s="191"/>
      <c r="AD2208" s="16"/>
      <c r="AE2208" s="16"/>
      <c r="AF2208" s="16"/>
      <c r="AG2208" s="16"/>
      <c r="AH2208" s="16"/>
      <c r="AI2208" s="16"/>
      <c r="AJ2208" s="16"/>
      <c r="AK2208" s="16"/>
      <c r="AL2208" s="16"/>
      <c r="AM2208" s="16"/>
      <c r="AN2208" s="16"/>
      <c r="AO2208" s="16"/>
      <c r="AP2208" s="16"/>
      <c r="AQ2208" s="16"/>
      <c r="AR2208" s="16"/>
      <c r="AS2208" s="16"/>
    </row>
    <row r="2209" spans="18:45" x14ac:dyDescent="0.35">
      <c r="R2209" s="191"/>
      <c r="S2209" s="191"/>
      <c r="T2209" s="193"/>
      <c r="U2209" s="191"/>
      <c r="V2209" s="194"/>
      <c r="W2209" s="191"/>
      <c r="Y2209" s="191"/>
      <c r="Z2209" s="191"/>
      <c r="AA2209" s="191"/>
      <c r="AB2209" s="191"/>
      <c r="AC2209" s="191"/>
      <c r="AD2209" s="16"/>
      <c r="AE2209" s="16"/>
      <c r="AF2209" s="16"/>
      <c r="AG2209" s="16"/>
      <c r="AH2209" s="16"/>
      <c r="AI2209" s="16"/>
      <c r="AJ2209" s="16"/>
      <c r="AK2209" s="16"/>
      <c r="AL2209" s="16"/>
      <c r="AM2209" s="16"/>
      <c r="AN2209" s="16"/>
      <c r="AO2209" s="16"/>
      <c r="AP2209" s="16"/>
      <c r="AQ2209" s="16"/>
      <c r="AR2209" s="16"/>
      <c r="AS2209" s="16"/>
    </row>
    <row r="2210" spans="18:45" x14ac:dyDescent="0.35">
      <c r="R2210" s="191"/>
      <c r="S2210" s="191"/>
      <c r="T2210" s="193"/>
      <c r="U2210" s="191"/>
      <c r="V2210" s="194"/>
      <c r="W2210" s="191"/>
      <c r="Y2210" s="191"/>
      <c r="Z2210" s="191"/>
      <c r="AA2210" s="191"/>
      <c r="AB2210" s="191"/>
      <c r="AC2210" s="191"/>
      <c r="AD2210" s="16"/>
      <c r="AE2210" s="16"/>
      <c r="AF2210" s="16"/>
      <c r="AG2210" s="16"/>
      <c r="AH2210" s="16"/>
      <c r="AI2210" s="16"/>
      <c r="AJ2210" s="16"/>
      <c r="AK2210" s="16"/>
      <c r="AL2210" s="16"/>
      <c r="AM2210" s="16"/>
      <c r="AN2210" s="16"/>
      <c r="AO2210" s="16"/>
      <c r="AP2210" s="16"/>
      <c r="AQ2210" s="16"/>
      <c r="AR2210" s="16"/>
      <c r="AS2210" s="16"/>
    </row>
    <row r="2211" spans="18:45" x14ac:dyDescent="0.35">
      <c r="R2211" s="191"/>
      <c r="S2211" s="191"/>
      <c r="T2211" s="193"/>
      <c r="U2211" s="191"/>
      <c r="V2211" s="194"/>
      <c r="W2211" s="191"/>
      <c r="Y2211" s="191"/>
      <c r="Z2211" s="191"/>
      <c r="AA2211" s="191"/>
      <c r="AB2211" s="191"/>
      <c r="AC2211" s="191"/>
      <c r="AD2211" s="16"/>
      <c r="AE2211" s="16"/>
      <c r="AF2211" s="16"/>
      <c r="AG2211" s="16"/>
      <c r="AH2211" s="16"/>
      <c r="AI2211" s="16"/>
      <c r="AJ2211" s="16"/>
      <c r="AK2211" s="16"/>
      <c r="AL2211" s="16"/>
      <c r="AM2211" s="16"/>
      <c r="AN2211" s="16"/>
      <c r="AO2211" s="16"/>
      <c r="AP2211" s="16"/>
      <c r="AQ2211" s="16"/>
      <c r="AR2211" s="16"/>
      <c r="AS2211" s="16"/>
    </row>
    <row r="2212" spans="18:45" x14ac:dyDescent="0.35">
      <c r="R2212" s="191"/>
      <c r="S2212" s="191"/>
      <c r="T2212" s="193"/>
      <c r="U2212" s="191"/>
      <c r="V2212" s="194"/>
      <c r="W2212" s="191"/>
      <c r="Y2212" s="191"/>
      <c r="Z2212" s="191"/>
      <c r="AA2212" s="191"/>
      <c r="AB2212" s="191"/>
      <c r="AC2212" s="191"/>
      <c r="AD2212" s="16"/>
      <c r="AE2212" s="16"/>
      <c r="AF2212" s="16"/>
      <c r="AG2212" s="16"/>
      <c r="AH2212" s="16"/>
      <c r="AI2212" s="16"/>
      <c r="AJ2212" s="16"/>
      <c r="AK2212" s="16"/>
      <c r="AL2212" s="16"/>
      <c r="AM2212" s="16"/>
      <c r="AN2212" s="16"/>
      <c r="AO2212" s="16"/>
      <c r="AP2212" s="16"/>
      <c r="AQ2212" s="16"/>
      <c r="AR2212" s="16"/>
      <c r="AS2212" s="16"/>
    </row>
    <row r="2213" spans="18:45" x14ac:dyDescent="0.35">
      <c r="R2213" s="191"/>
      <c r="S2213" s="191"/>
      <c r="T2213" s="193"/>
      <c r="U2213" s="191"/>
      <c r="V2213" s="194"/>
      <c r="W2213" s="191"/>
      <c r="Y2213" s="191"/>
      <c r="Z2213" s="191"/>
      <c r="AA2213" s="191"/>
      <c r="AB2213" s="191"/>
      <c r="AC2213" s="191"/>
      <c r="AD2213" s="16"/>
      <c r="AE2213" s="16"/>
      <c r="AF2213" s="16"/>
      <c r="AG2213" s="16"/>
      <c r="AH2213" s="16"/>
      <c r="AI2213" s="16"/>
      <c r="AJ2213" s="16"/>
      <c r="AK2213" s="16"/>
      <c r="AL2213" s="16"/>
      <c r="AM2213" s="16"/>
      <c r="AN2213" s="16"/>
      <c r="AO2213" s="16"/>
      <c r="AP2213" s="16"/>
      <c r="AQ2213" s="16"/>
      <c r="AR2213" s="16"/>
      <c r="AS2213" s="16"/>
    </row>
    <row r="2214" spans="18:45" x14ac:dyDescent="0.35">
      <c r="R2214" s="191"/>
      <c r="S2214" s="191"/>
      <c r="T2214" s="193"/>
      <c r="U2214" s="191"/>
      <c r="V2214" s="194"/>
      <c r="W2214" s="191"/>
      <c r="Y2214" s="191"/>
      <c r="Z2214" s="191"/>
      <c r="AA2214" s="191"/>
      <c r="AB2214" s="191"/>
      <c r="AC2214" s="191"/>
      <c r="AD2214" s="16"/>
      <c r="AE2214" s="16"/>
      <c r="AF2214" s="16"/>
      <c r="AG2214" s="16"/>
      <c r="AH2214" s="16"/>
      <c r="AI2214" s="16"/>
      <c r="AJ2214" s="16"/>
      <c r="AK2214" s="16"/>
      <c r="AL2214" s="16"/>
      <c r="AM2214" s="16"/>
      <c r="AN2214" s="16"/>
      <c r="AO2214" s="16"/>
      <c r="AP2214" s="16"/>
      <c r="AQ2214" s="16"/>
      <c r="AR2214" s="16"/>
      <c r="AS2214" s="16"/>
    </row>
    <row r="2215" spans="18:45" x14ac:dyDescent="0.35">
      <c r="R2215" s="191"/>
      <c r="S2215" s="191"/>
      <c r="T2215" s="193"/>
      <c r="U2215" s="191"/>
      <c r="V2215" s="194"/>
      <c r="W2215" s="191"/>
      <c r="Y2215" s="191"/>
      <c r="Z2215" s="191"/>
      <c r="AA2215" s="191"/>
      <c r="AB2215" s="191"/>
      <c r="AC2215" s="191"/>
      <c r="AD2215" s="16"/>
      <c r="AE2215" s="16"/>
      <c r="AF2215" s="16"/>
      <c r="AG2215" s="16"/>
      <c r="AH2215" s="16"/>
      <c r="AI2215" s="16"/>
      <c r="AJ2215" s="16"/>
      <c r="AK2215" s="16"/>
      <c r="AL2215" s="16"/>
      <c r="AM2215" s="16"/>
      <c r="AN2215" s="16"/>
      <c r="AO2215" s="16"/>
      <c r="AP2215" s="16"/>
      <c r="AQ2215" s="16"/>
      <c r="AR2215" s="16"/>
      <c r="AS2215" s="16"/>
    </row>
    <row r="2216" spans="18:45" x14ac:dyDescent="0.35">
      <c r="R2216" s="191"/>
      <c r="S2216" s="191"/>
      <c r="T2216" s="193"/>
      <c r="U2216" s="191"/>
      <c r="V2216" s="194"/>
      <c r="W2216" s="191"/>
      <c r="Y2216" s="191"/>
      <c r="Z2216" s="191"/>
      <c r="AA2216" s="191"/>
      <c r="AB2216" s="191"/>
      <c r="AC2216" s="191"/>
      <c r="AD2216" s="16"/>
      <c r="AE2216" s="16"/>
      <c r="AF2216" s="16"/>
      <c r="AG2216" s="16"/>
      <c r="AH2216" s="16"/>
      <c r="AI2216" s="16"/>
      <c r="AJ2216" s="16"/>
      <c r="AK2216" s="16"/>
      <c r="AL2216" s="16"/>
      <c r="AM2216" s="16"/>
      <c r="AN2216" s="16"/>
      <c r="AO2216" s="16"/>
      <c r="AP2216" s="16"/>
      <c r="AQ2216" s="16"/>
      <c r="AR2216" s="16"/>
      <c r="AS2216" s="16"/>
    </row>
    <row r="2217" spans="18:45" x14ac:dyDescent="0.35">
      <c r="R2217" s="191"/>
      <c r="S2217" s="191"/>
      <c r="T2217" s="193"/>
      <c r="U2217" s="191"/>
      <c r="V2217" s="194"/>
      <c r="W2217" s="191"/>
      <c r="Y2217" s="191"/>
      <c r="Z2217" s="191"/>
      <c r="AA2217" s="191"/>
      <c r="AB2217" s="191"/>
      <c r="AC2217" s="191"/>
      <c r="AD2217" s="16"/>
      <c r="AE2217" s="16"/>
      <c r="AF2217" s="16"/>
      <c r="AG2217" s="16"/>
      <c r="AH2217" s="16"/>
      <c r="AI2217" s="16"/>
      <c r="AJ2217" s="16"/>
      <c r="AK2217" s="16"/>
      <c r="AL2217" s="16"/>
      <c r="AM2217" s="16"/>
      <c r="AN2217" s="16"/>
      <c r="AO2217" s="16"/>
      <c r="AP2217" s="16"/>
      <c r="AQ2217" s="16"/>
      <c r="AR2217" s="16"/>
      <c r="AS2217" s="16"/>
    </row>
    <row r="2218" spans="18:45" x14ac:dyDescent="0.35">
      <c r="R2218" s="191"/>
      <c r="S2218" s="191"/>
      <c r="T2218" s="193"/>
      <c r="U2218" s="191"/>
      <c r="V2218" s="194"/>
      <c r="W2218" s="191"/>
      <c r="Y2218" s="191"/>
      <c r="Z2218" s="191"/>
      <c r="AA2218" s="191"/>
      <c r="AB2218" s="191"/>
      <c r="AC2218" s="191"/>
      <c r="AD2218" s="16"/>
      <c r="AE2218" s="16"/>
      <c r="AF2218" s="16"/>
      <c r="AG2218" s="16"/>
      <c r="AH2218" s="16"/>
      <c r="AI2218" s="16"/>
      <c r="AJ2218" s="16"/>
      <c r="AK2218" s="16"/>
      <c r="AL2218" s="16"/>
      <c r="AM2218" s="16"/>
      <c r="AN2218" s="16"/>
      <c r="AO2218" s="16"/>
      <c r="AP2218" s="16"/>
      <c r="AQ2218" s="16"/>
      <c r="AR2218" s="16"/>
      <c r="AS2218" s="16"/>
    </row>
    <row r="2219" spans="18:45" x14ac:dyDescent="0.35">
      <c r="R2219" s="191"/>
      <c r="S2219" s="191"/>
      <c r="T2219" s="193"/>
      <c r="U2219" s="191"/>
      <c r="V2219" s="194"/>
      <c r="W2219" s="191"/>
      <c r="Y2219" s="191"/>
      <c r="Z2219" s="191"/>
      <c r="AA2219" s="191"/>
      <c r="AB2219" s="191"/>
      <c r="AC2219" s="191"/>
      <c r="AD2219" s="16"/>
      <c r="AE2219" s="16"/>
      <c r="AF2219" s="16"/>
      <c r="AG2219" s="16"/>
      <c r="AH2219" s="16"/>
      <c r="AI2219" s="16"/>
      <c r="AJ2219" s="16"/>
      <c r="AK2219" s="16"/>
      <c r="AL2219" s="16"/>
      <c r="AM2219" s="16"/>
      <c r="AN2219" s="16"/>
      <c r="AO2219" s="16"/>
      <c r="AP2219" s="16"/>
      <c r="AQ2219" s="16"/>
      <c r="AR2219" s="16"/>
      <c r="AS2219" s="16"/>
    </row>
    <row r="2220" spans="18:45" x14ac:dyDescent="0.35">
      <c r="R2220" s="191"/>
      <c r="S2220" s="191"/>
      <c r="T2220" s="193"/>
      <c r="U2220" s="191"/>
      <c r="V2220" s="194"/>
      <c r="W2220" s="191"/>
      <c r="Y2220" s="191"/>
      <c r="Z2220" s="191"/>
      <c r="AA2220" s="191"/>
      <c r="AB2220" s="191"/>
      <c r="AC2220" s="191"/>
      <c r="AD2220" s="16"/>
      <c r="AE2220" s="16"/>
      <c r="AF2220" s="16"/>
      <c r="AG2220" s="16"/>
      <c r="AH2220" s="16"/>
      <c r="AI2220" s="16"/>
      <c r="AJ2220" s="16"/>
      <c r="AK2220" s="16"/>
      <c r="AL2220" s="16"/>
      <c r="AM2220" s="16"/>
      <c r="AN2220" s="16"/>
      <c r="AO2220" s="16"/>
      <c r="AP2220" s="16"/>
      <c r="AQ2220" s="16"/>
      <c r="AR2220" s="16"/>
      <c r="AS2220" s="16"/>
    </row>
    <row r="2221" spans="18:45" x14ac:dyDescent="0.35">
      <c r="R2221" s="191"/>
      <c r="S2221" s="191"/>
      <c r="T2221" s="193"/>
      <c r="U2221" s="191"/>
      <c r="V2221" s="194"/>
      <c r="W2221" s="191"/>
      <c r="Y2221" s="191"/>
      <c r="Z2221" s="191"/>
      <c r="AA2221" s="191"/>
      <c r="AB2221" s="191"/>
      <c r="AC2221" s="191"/>
      <c r="AD2221" s="16"/>
      <c r="AE2221" s="16"/>
      <c r="AF2221" s="16"/>
      <c r="AG2221" s="16"/>
      <c r="AH2221" s="16"/>
      <c r="AI2221" s="16"/>
      <c r="AJ2221" s="16"/>
      <c r="AK2221" s="16"/>
      <c r="AL2221" s="16"/>
      <c r="AM2221" s="16"/>
      <c r="AN2221" s="16"/>
      <c r="AO2221" s="16"/>
      <c r="AP2221" s="16"/>
      <c r="AQ2221" s="16"/>
      <c r="AR2221" s="16"/>
      <c r="AS2221" s="16"/>
    </row>
    <row r="2222" spans="18:45" x14ac:dyDescent="0.35">
      <c r="R2222" s="191"/>
      <c r="S2222" s="191"/>
      <c r="T2222" s="193"/>
      <c r="U2222" s="191"/>
      <c r="V2222" s="194"/>
      <c r="W2222" s="191"/>
      <c r="Y2222" s="191"/>
      <c r="Z2222" s="191"/>
      <c r="AA2222" s="191"/>
      <c r="AB2222" s="191"/>
      <c r="AC2222" s="191"/>
      <c r="AD2222" s="16"/>
      <c r="AE2222" s="16"/>
      <c r="AF2222" s="16"/>
      <c r="AG2222" s="16"/>
      <c r="AH2222" s="16"/>
      <c r="AI2222" s="16"/>
      <c r="AJ2222" s="16"/>
      <c r="AK2222" s="16"/>
      <c r="AL2222" s="16"/>
      <c r="AM2222" s="16"/>
      <c r="AN2222" s="16"/>
      <c r="AO2222" s="16"/>
      <c r="AP2222" s="16"/>
      <c r="AQ2222" s="16"/>
      <c r="AR2222" s="16"/>
      <c r="AS2222" s="16"/>
    </row>
    <row r="2223" spans="18:45" x14ac:dyDescent="0.35">
      <c r="R2223" s="191"/>
      <c r="S2223" s="191"/>
      <c r="T2223" s="193"/>
      <c r="U2223" s="191"/>
      <c r="V2223" s="194"/>
      <c r="W2223" s="191"/>
      <c r="Y2223" s="191"/>
      <c r="Z2223" s="191"/>
      <c r="AA2223" s="191"/>
      <c r="AB2223" s="191"/>
      <c r="AC2223" s="191"/>
      <c r="AD2223" s="16"/>
      <c r="AE2223" s="16"/>
      <c r="AF2223" s="16"/>
      <c r="AG2223" s="16"/>
      <c r="AH2223" s="16"/>
      <c r="AI2223" s="16"/>
      <c r="AJ2223" s="16"/>
      <c r="AK2223" s="16"/>
      <c r="AL2223" s="16"/>
      <c r="AM2223" s="16"/>
      <c r="AN2223" s="16"/>
      <c r="AO2223" s="16"/>
      <c r="AP2223" s="16"/>
      <c r="AQ2223" s="16"/>
      <c r="AR2223" s="16"/>
      <c r="AS2223" s="16"/>
    </row>
    <row r="2224" spans="18:45" x14ac:dyDescent="0.35">
      <c r="R2224" s="191"/>
      <c r="S2224" s="191"/>
      <c r="T2224" s="193"/>
      <c r="U2224" s="191"/>
      <c r="V2224" s="194"/>
      <c r="W2224" s="191"/>
      <c r="Y2224" s="191"/>
      <c r="Z2224" s="191"/>
      <c r="AA2224" s="191"/>
      <c r="AB2224" s="191"/>
      <c r="AC2224" s="191"/>
      <c r="AD2224" s="16"/>
      <c r="AE2224" s="16"/>
      <c r="AF2224" s="16"/>
      <c r="AG2224" s="16"/>
      <c r="AH2224" s="16"/>
      <c r="AI2224" s="16"/>
      <c r="AJ2224" s="16"/>
      <c r="AK2224" s="16"/>
      <c r="AL2224" s="16"/>
      <c r="AM2224" s="16"/>
      <c r="AN2224" s="16"/>
      <c r="AO2224" s="16"/>
      <c r="AP2224" s="16"/>
      <c r="AQ2224" s="16"/>
      <c r="AR2224" s="16"/>
      <c r="AS2224" s="16"/>
    </row>
    <row r="2225" spans="18:45" x14ac:dyDescent="0.35">
      <c r="R2225" s="191"/>
      <c r="S2225" s="191"/>
      <c r="T2225" s="193"/>
      <c r="U2225" s="191"/>
      <c r="V2225" s="194"/>
      <c r="W2225" s="191"/>
      <c r="Y2225" s="191"/>
      <c r="Z2225" s="191"/>
      <c r="AA2225" s="191"/>
      <c r="AB2225" s="191"/>
      <c r="AC2225" s="191"/>
      <c r="AD2225" s="16"/>
      <c r="AE2225" s="16"/>
      <c r="AF2225" s="16"/>
      <c r="AG2225" s="16"/>
      <c r="AH2225" s="16"/>
      <c r="AI2225" s="16"/>
      <c r="AJ2225" s="16"/>
      <c r="AK2225" s="16"/>
      <c r="AL2225" s="16"/>
      <c r="AM2225" s="16"/>
      <c r="AN2225" s="16"/>
      <c r="AO2225" s="16"/>
      <c r="AP2225" s="16"/>
      <c r="AQ2225" s="16"/>
      <c r="AR2225" s="16"/>
      <c r="AS2225" s="16"/>
    </row>
    <row r="2226" spans="18:45" x14ac:dyDescent="0.35">
      <c r="R2226" s="191"/>
      <c r="S2226" s="191"/>
      <c r="T2226" s="193"/>
      <c r="U2226" s="191"/>
      <c r="V2226" s="194"/>
      <c r="W2226" s="191"/>
      <c r="Y2226" s="191"/>
      <c r="Z2226" s="191"/>
      <c r="AA2226" s="191"/>
      <c r="AB2226" s="191"/>
      <c r="AC2226" s="191"/>
      <c r="AD2226" s="16"/>
      <c r="AE2226" s="16"/>
      <c r="AF2226" s="16"/>
      <c r="AG2226" s="16"/>
      <c r="AH2226" s="16"/>
      <c r="AI2226" s="16"/>
      <c r="AJ2226" s="16"/>
      <c r="AK2226" s="16"/>
      <c r="AL2226" s="16"/>
      <c r="AM2226" s="16"/>
      <c r="AN2226" s="16"/>
      <c r="AO2226" s="16"/>
      <c r="AP2226" s="16"/>
      <c r="AQ2226" s="16"/>
      <c r="AR2226" s="16"/>
      <c r="AS2226" s="16"/>
    </row>
    <row r="2227" spans="18:45" x14ac:dyDescent="0.35">
      <c r="R2227" s="191"/>
      <c r="S2227" s="191"/>
      <c r="T2227" s="193"/>
      <c r="U2227" s="191"/>
      <c r="V2227" s="194"/>
      <c r="W2227" s="191"/>
      <c r="Y2227" s="191"/>
      <c r="Z2227" s="191"/>
      <c r="AA2227" s="191"/>
      <c r="AB2227" s="191"/>
      <c r="AC2227" s="191"/>
      <c r="AD2227" s="16"/>
      <c r="AE2227" s="16"/>
      <c r="AF2227" s="16"/>
      <c r="AG2227" s="16"/>
      <c r="AH2227" s="16"/>
      <c r="AI2227" s="16"/>
      <c r="AJ2227" s="16"/>
      <c r="AK2227" s="16"/>
      <c r="AL2227" s="16"/>
      <c r="AM2227" s="16"/>
      <c r="AN2227" s="16"/>
      <c r="AO2227" s="16"/>
      <c r="AP2227" s="16"/>
      <c r="AQ2227" s="16"/>
      <c r="AR2227" s="16"/>
      <c r="AS2227" s="16"/>
    </row>
    <row r="2228" spans="18:45" x14ac:dyDescent="0.35">
      <c r="R2228" s="191"/>
      <c r="S2228" s="191"/>
      <c r="T2228" s="193"/>
      <c r="U2228" s="191"/>
      <c r="V2228" s="194"/>
      <c r="W2228" s="191"/>
      <c r="Y2228" s="191"/>
      <c r="Z2228" s="191"/>
      <c r="AA2228" s="191"/>
      <c r="AB2228" s="191"/>
      <c r="AC2228" s="191"/>
      <c r="AD2228" s="16"/>
      <c r="AE2228" s="16"/>
      <c r="AF2228" s="16"/>
      <c r="AG2228" s="16"/>
      <c r="AH2228" s="16"/>
      <c r="AI2228" s="16"/>
      <c r="AJ2228" s="16"/>
      <c r="AK2228" s="16"/>
      <c r="AL2228" s="16"/>
      <c r="AM2228" s="16"/>
      <c r="AN2228" s="16"/>
      <c r="AO2228" s="16"/>
      <c r="AP2228" s="16"/>
      <c r="AQ2228" s="16"/>
      <c r="AR2228" s="16"/>
      <c r="AS2228" s="16"/>
    </row>
    <row r="2229" spans="18:45" x14ac:dyDescent="0.35">
      <c r="R2229" s="191"/>
      <c r="S2229" s="191"/>
      <c r="T2229" s="193"/>
      <c r="U2229" s="191"/>
      <c r="V2229" s="194"/>
      <c r="W2229" s="191"/>
      <c r="Y2229" s="191"/>
      <c r="Z2229" s="191"/>
      <c r="AA2229" s="191"/>
      <c r="AB2229" s="191"/>
      <c r="AC2229" s="191"/>
      <c r="AD2229" s="16"/>
      <c r="AE2229" s="16"/>
      <c r="AF2229" s="16"/>
      <c r="AG2229" s="16"/>
      <c r="AH2229" s="16"/>
      <c r="AI2229" s="16"/>
      <c r="AJ2229" s="16"/>
      <c r="AK2229" s="16"/>
      <c r="AL2229" s="16"/>
      <c r="AM2229" s="16"/>
      <c r="AN2229" s="16"/>
      <c r="AO2229" s="16"/>
      <c r="AP2229" s="16"/>
      <c r="AQ2229" s="16"/>
      <c r="AR2229" s="16"/>
      <c r="AS2229" s="16"/>
    </row>
    <row r="2230" spans="18:45" x14ac:dyDescent="0.35">
      <c r="R2230" s="191"/>
      <c r="S2230" s="191"/>
      <c r="T2230" s="193"/>
      <c r="U2230" s="191"/>
      <c r="V2230" s="194"/>
      <c r="W2230" s="191"/>
      <c r="Y2230" s="191"/>
      <c r="Z2230" s="191"/>
      <c r="AA2230" s="191"/>
      <c r="AB2230" s="191"/>
      <c r="AC2230" s="191"/>
      <c r="AD2230" s="16"/>
      <c r="AE2230" s="16"/>
      <c r="AF2230" s="16"/>
      <c r="AG2230" s="16"/>
      <c r="AH2230" s="16"/>
      <c r="AI2230" s="16"/>
      <c r="AJ2230" s="16"/>
      <c r="AK2230" s="16"/>
      <c r="AL2230" s="16"/>
      <c r="AM2230" s="16"/>
      <c r="AN2230" s="16"/>
      <c r="AO2230" s="16"/>
      <c r="AP2230" s="16"/>
      <c r="AQ2230" s="16"/>
      <c r="AR2230" s="16"/>
      <c r="AS2230" s="16"/>
    </row>
    <row r="2231" spans="18:45" x14ac:dyDescent="0.35">
      <c r="R2231" s="191"/>
      <c r="S2231" s="191"/>
      <c r="T2231" s="193"/>
      <c r="U2231" s="191"/>
      <c r="V2231" s="194"/>
      <c r="W2231" s="191"/>
      <c r="Y2231" s="191"/>
      <c r="Z2231" s="191"/>
      <c r="AA2231" s="191"/>
      <c r="AB2231" s="191"/>
      <c r="AC2231" s="191"/>
      <c r="AD2231" s="16"/>
      <c r="AE2231" s="16"/>
      <c r="AF2231" s="16"/>
      <c r="AG2231" s="16"/>
      <c r="AH2231" s="16"/>
      <c r="AI2231" s="16"/>
      <c r="AJ2231" s="16"/>
      <c r="AK2231" s="16"/>
      <c r="AL2231" s="16"/>
      <c r="AM2231" s="16"/>
      <c r="AN2231" s="16"/>
      <c r="AO2231" s="16"/>
      <c r="AP2231" s="16"/>
      <c r="AQ2231" s="16"/>
      <c r="AR2231" s="16"/>
      <c r="AS2231" s="16"/>
    </row>
    <row r="2232" spans="18:45" x14ac:dyDescent="0.35">
      <c r="R2232" s="191"/>
      <c r="S2232" s="191"/>
      <c r="T2232" s="193"/>
      <c r="U2232" s="191"/>
      <c r="V2232" s="194"/>
      <c r="W2232" s="191"/>
      <c r="Y2232" s="191"/>
      <c r="Z2232" s="191"/>
      <c r="AA2232" s="191"/>
      <c r="AB2232" s="191"/>
      <c r="AC2232" s="191"/>
      <c r="AD2232" s="16"/>
      <c r="AE2232" s="16"/>
      <c r="AF2232" s="16"/>
      <c r="AG2232" s="16"/>
      <c r="AH2232" s="16"/>
      <c r="AI2232" s="16"/>
      <c r="AJ2232" s="16"/>
      <c r="AK2232" s="16"/>
      <c r="AL2232" s="16"/>
      <c r="AM2232" s="16"/>
      <c r="AN2232" s="16"/>
      <c r="AO2232" s="16"/>
      <c r="AP2232" s="16"/>
      <c r="AQ2232" s="16"/>
      <c r="AR2232" s="16"/>
      <c r="AS2232" s="16"/>
    </row>
    <row r="2233" spans="18:45" x14ac:dyDescent="0.35">
      <c r="R2233" s="191"/>
      <c r="S2233" s="191"/>
      <c r="T2233" s="193"/>
      <c r="U2233" s="191"/>
      <c r="V2233" s="194"/>
      <c r="W2233" s="191"/>
      <c r="Y2233" s="191"/>
      <c r="Z2233" s="191"/>
      <c r="AA2233" s="191"/>
      <c r="AB2233" s="191"/>
      <c r="AC2233" s="191"/>
      <c r="AD2233" s="16"/>
      <c r="AE2233" s="16"/>
      <c r="AF2233" s="16"/>
      <c r="AG2233" s="16"/>
      <c r="AH2233" s="16"/>
      <c r="AI2233" s="16"/>
      <c r="AJ2233" s="16"/>
      <c r="AK2233" s="16"/>
      <c r="AL2233" s="16"/>
      <c r="AM2233" s="16"/>
      <c r="AN2233" s="16"/>
      <c r="AO2233" s="16"/>
      <c r="AP2233" s="16"/>
      <c r="AQ2233" s="16"/>
      <c r="AR2233" s="16"/>
      <c r="AS2233" s="16"/>
    </row>
    <row r="2234" spans="18:45" x14ac:dyDescent="0.35">
      <c r="R2234" s="191"/>
      <c r="S2234" s="191"/>
      <c r="T2234" s="193"/>
      <c r="U2234" s="191"/>
      <c r="V2234" s="194"/>
      <c r="W2234" s="191"/>
      <c r="Y2234" s="191"/>
      <c r="Z2234" s="191"/>
      <c r="AA2234" s="191"/>
      <c r="AB2234" s="191"/>
      <c r="AC2234" s="191"/>
      <c r="AD2234" s="16"/>
      <c r="AE2234" s="16"/>
      <c r="AF2234" s="16"/>
      <c r="AG2234" s="16"/>
      <c r="AH2234" s="16"/>
      <c r="AI2234" s="16"/>
      <c r="AJ2234" s="16"/>
      <c r="AK2234" s="16"/>
      <c r="AL2234" s="16"/>
      <c r="AM2234" s="16"/>
      <c r="AN2234" s="16"/>
      <c r="AO2234" s="16"/>
      <c r="AP2234" s="16"/>
      <c r="AQ2234" s="16"/>
      <c r="AR2234" s="16"/>
      <c r="AS2234" s="16"/>
    </row>
    <row r="2235" spans="18:45" x14ac:dyDescent="0.35">
      <c r="R2235" s="191"/>
      <c r="S2235" s="191"/>
      <c r="T2235" s="193"/>
      <c r="U2235" s="191"/>
      <c r="V2235" s="194"/>
      <c r="W2235" s="191"/>
      <c r="Y2235" s="191"/>
      <c r="Z2235" s="191"/>
      <c r="AA2235" s="191"/>
      <c r="AB2235" s="191"/>
      <c r="AC2235" s="191"/>
      <c r="AD2235" s="16"/>
      <c r="AE2235" s="16"/>
      <c r="AF2235" s="16"/>
      <c r="AG2235" s="16"/>
      <c r="AH2235" s="16"/>
      <c r="AI2235" s="16"/>
      <c r="AJ2235" s="16"/>
      <c r="AK2235" s="16"/>
      <c r="AL2235" s="16"/>
      <c r="AM2235" s="16"/>
      <c r="AN2235" s="16"/>
      <c r="AO2235" s="16"/>
      <c r="AP2235" s="16"/>
      <c r="AQ2235" s="16"/>
      <c r="AR2235" s="16"/>
      <c r="AS2235" s="16"/>
    </row>
    <row r="2236" spans="18:45" x14ac:dyDescent="0.35">
      <c r="R2236" s="191"/>
      <c r="S2236" s="191"/>
      <c r="T2236" s="193"/>
      <c r="U2236" s="191"/>
      <c r="V2236" s="194"/>
      <c r="W2236" s="191"/>
      <c r="Y2236" s="191"/>
      <c r="Z2236" s="191"/>
      <c r="AA2236" s="191"/>
      <c r="AB2236" s="191"/>
      <c r="AC2236" s="191"/>
      <c r="AD2236" s="16"/>
      <c r="AE2236" s="16"/>
      <c r="AF2236" s="16"/>
      <c r="AG2236" s="16"/>
      <c r="AH2236" s="16"/>
      <c r="AI2236" s="16"/>
      <c r="AJ2236" s="16"/>
      <c r="AK2236" s="16"/>
      <c r="AL2236" s="16"/>
      <c r="AM2236" s="16"/>
      <c r="AN2236" s="16"/>
      <c r="AO2236" s="16"/>
      <c r="AP2236" s="16"/>
      <c r="AQ2236" s="16"/>
      <c r="AR2236" s="16"/>
      <c r="AS2236" s="16"/>
    </row>
    <row r="2237" spans="18:45" x14ac:dyDescent="0.35">
      <c r="R2237" s="191"/>
      <c r="S2237" s="191"/>
      <c r="T2237" s="193"/>
      <c r="U2237" s="191"/>
      <c r="V2237" s="194"/>
      <c r="W2237" s="191"/>
      <c r="Y2237" s="191"/>
      <c r="Z2237" s="191"/>
      <c r="AA2237" s="191"/>
      <c r="AB2237" s="191"/>
      <c r="AC2237" s="191"/>
      <c r="AD2237" s="16"/>
      <c r="AE2237" s="16"/>
      <c r="AF2237" s="16"/>
      <c r="AG2237" s="16"/>
      <c r="AH2237" s="16"/>
      <c r="AI2237" s="16"/>
      <c r="AJ2237" s="16"/>
      <c r="AK2237" s="16"/>
      <c r="AL2237" s="16"/>
      <c r="AM2237" s="16"/>
      <c r="AN2237" s="16"/>
      <c r="AO2237" s="16"/>
      <c r="AP2237" s="16"/>
      <c r="AQ2237" s="16"/>
      <c r="AR2237" s="16"/>
      <c r="AS2237" s="16"/>
    </row>
    <row r="2238" spans="18:45" x14ac:dyDescent="0.35">
      <c r="R2238" s="191"/>
      <c r="S2238" s="191"/>
      <c r="T2238" s="193"/>
      <c r="U2238" s="191"/>
      <c r="V2238" s="194"/>
      <c r="W2238" s="191"/>
      <c r="Y2238" s="191"/>
      <c r="Z2238" s="191"/>
      <c r="AA2238" s="191"/>
      <c r="AB2238" s="191"/>
      <c r="AC2238" s="191"/>
      <c r="AD2238" s="16"/>
      <c r="AE2238" s="16"/>
      <c r="AF2238" s="16"/>
      <c r="AG2238" s="16"/>
      <c r="AH2238" s="16"/>
      <c r="AI2238" s="16"/>
      <c r="AJ2238" s="16"/>
      <c r="AK2238" s="16"/>
      <c r="AL2238" s="16"/>
      <c r="AM2238" s="16"/>
      <c r="AN2238" s="16"/>
      <c r="AO2238" s="16"/>
      <c r="AP2238" s="16"/>
      <c r="AQ2238" s="16"/>
      <c r="AR2238" s="16"/>
      <c r="AS2238" s="16"/>
    </row>
    <row r="2239" spans="18:45" x14ac:dyDescent="0.35">
      <c r="R2239" s="191"/>
      <c r="S2239" s="191"/>
      <c r="T2239" s="193"/>
      <c r="U2239" s="191"/>
      <c r="V2239" s="194"/>
      <c r="W2239" s="191"/>
      <c r="Y2239" s="191"/>
      <c r="Z2239" s="191"/>
      <c r="AA2239" s="191"/>
      <c r="AB2239" s="191"/>
      <c r="AC2239" s="191"/>
      <c r="AD2239" s="16"/>
      <c r="AE2239" s="16"/>
      <c r="AF2239" s="16"/>
      <c r="AG2239" s="16"/>
      <c r="AH2239" s="16"/>
      <c r="AI2239" s="16"/>
      <c r="AJ2239" s="16"/>
      <c r="AK2239" s="16"/>
      <c r="AL2239" s="16"/>
      <c r="AM2239" s="16"/>
      <c r="AN2239" s="16"/>
      <c r="AO2239" s="16"/>
      <c r="AP2239" s="16"/>
      <c r="AQ2239" s="16"/>
      <c r="AR2239" s="16"/>
      <c r="AS2239" s="16"/>
    </row>
    <row r="2240" spans="18:45" x14ac:dyDescent="0.35">
      <c r="R2240" s="191"/>
      <c r="S2240" s="191"/>
      <c r="T2240" s="193"/>
      <c r="U2240" s="191"/>
      <c r="V2240" s="194"/>
      <c r="W2240" s="191"/>
      <c r="Y2240" s="191"/>
      <c r="Z2240" s="191"/>
      <c r="AA2240" s="191"/>
      <c r="AB2240" s="191"/>
      <c r="AC2240" s="191"/>
      <c r="AD2240" s="16"/>
      <c r="AE2240" s="16"/>
      <c r="AF2240" s="16"/>
      <c r="AG2240" s="16"/>
      <c r="AH2240" s="16"/>
      <c r="AI2240" s="16"/>
      <c r="AJ2240" s="16"/>
      <c r="AK2240" s="16"/>
      <c r="AL2240" s="16"/>
      <c r="AM2240" s="16"/>
      <c r="AN2240" s="16"/>
      <c r="AO2240" s="16"/>
      <c r="AP2240" s="16"/>
      <c r="AQ2240" s="16"/>
      <c r="AR2240" s="16"/>
      <c r="AS2240" s="16"/>
    </row>
    <row r="2241" spans="18:45" x14ac:dyDescent="0.35">
      <c r="R2241" s="191"/>
      <c r="S2241" s="191"/>
      <c r="T2241" s="193"/>
      <c r="U2241" s="191"/>
      <c r="V2241" s="194"/>
      <c r="W2241" s="191"/>
      <c r="Y2241" s="191"/>
      <c r="Z2241" s="191"/>
      <c r="AA2241" s="191"/>
      <c r="AB2241" s="191"/>
      <c r="AC2241" s="191"/>
      <c r="AD2241" s="16"/>
      <c r="AE2241" s="16"/>
      <c r="AF2241" s="16"/>
      <c r="AG2241" s="16"/>
      <c r="AH2241" s="16"/>
      <c r="AI2241" s="16"/>
      <c r="AJ2241" s="16"/>
      <c r="AK2241" s="16"/>
      <c r="AL2241" s="16"/>
      <c r="AM2241" s="16"/>
      <c r="AN2241" s="16"/>
      <c r="AO2241" s="16"/>
      <c r="AP2241" s="16"/>
      <c r="AQ2241" s="16"/>
      <c r="AR2241" s="16"/>
      <c r="AS2241" s="16"/>
    </row>
    <row r="2242" spans="18:45" x14ac:dyDescent="0.35">
      <c r="R2242" s="191"/>
      <c r="S2242" s="191"/>
      <c r="T2242" s="193"/>
      <c r="U2242" s="191"/>
      <c r="V2242" s="194"/>
      <c r="W2242" s="191"/>
      <c r="Y2242" s="191"/>
      <c r="Z2242" s="191"/>
      <c r="AA2242" s="191"/>
      <c r="AB2242" s="191"/>
      <c r="AC2242" s="191"/>
      <c r="AD2242" s="16"/>
      <c r="AE2242" s="16"/>
      <c r="AF2242" s="16"/>
      <c r="AG2242" s="16"/>
      <c r="AH2242" s="16"/>
      <c r="AI2242" s="16"/>
      <c r="AJ2242" s="16"/>
      <c r="AK2242" s="16"/>
      <c r="AL2242" s="16"/>
      <c r="AM2242" s="16"/>
      <c r="AN2242" s="16"/>
      <c r="AO2242" s="16"/>
      <c r="AP2242" s="16"/>
      <c r="AQ2242" s="16"/>
      <c r="AR2242" s="16"/>
      <c r="AS2242" s="16"/>
    </row>
    <row r="2243" spans="18:45" x14ac:dyDescent="0.35">
      <c r="R2243" s="191"/>
      <c r="S2243" s="191"/>
      <c r="T2243" s="193"/>
      <c r="U2243" s="191"/>
      <c r="V2243" s="194"/>
      <c r="W2243" s="191"/>
      <c r="Y2243" s="191"/>
      <c r="Z2243" s="191"/>
      <c r="AA2243" s="191"/>
      <c r="AB2243" s="191"/>
      <c r="AC2243" s="191"/>
      <c r="AD2243" s="16"/>
      <c r="AE2243" s="16"/>
      <c r="AF2243" s="16"/>
      <c r="AG2243" s="16"/>
      <c r="AH2243" s="16"/>
      <c r="AI2243" s="16"/>
      <c r="AJ2243" s="16"/>
      <c r="AK2243" s="16"/>
      <c r="AL2243" s="16"/>
      <c r="AM2243" s="16"/>
      <c r="AN2243" s="16"/>
      <c r="AO2243" s="16"/>
      <c r="AP2243" s="16"/>
      <c r="AQ2243" s="16"/>
      <c r="AR2243" s="16"/>
      <c r="AS2243" s="16"/>
    </row>
    <row r="2244" spans="18:45" x14ac:dyDescent="0.35">
      <c r="R2244" s="191"/>
      <c r="S2244" s="191"/>
      <c r="T2244" s="193"/>
      <c r="U2244" s="191"/>
      <c r="V2244" s="194"/>
      <c r="W2244" s="191"/>
      <c r="Y2244" s="191"/>
      <c r="Z2244" s="191"/>
      <c r="AA2244" s="191"/>
      <c r="AB2244" s="191"/>
      <c r="AC2244" s="191"/>
      <c r="AD2244" s="16"/>
      <c r="AE2244" s="16"/>
      <c r="AF2244" s="16"/>
      <c r="AG2244" s="16"/>
      <c r="AH2244" s="16"/>
      <c r="AI2244" s="16"/>
      <c r="AJ2244" s="16"/>
      <c r="AK2244" s="16"/>
      <c r="AL2244" s="16"/>
      <c r="AM2244" s="16"/>
      <c r="AN2244" s="16"/>
      <c r="AO2244" s="16"/>
      <c r="AP2244" s="16"/>
      <c r="AQ2244" s="16"/>
      <c r="AR2244" s="16"/>
      <c r="AS2244" s="16"/>
    </row>
    <row r="2245" spans="18:45" x14ac:dyDescent="0.35">
      <c r="R2245" s="191"/>
      <c r="S2245" s="191"/>
      <c r="T2245" s="193"/>
      <c r="U2245" s="191"/>
      <c r="V2245" s="194"/>
      <c r="W2245" s="191"/>
      <c r="Y2245" s="191"/>
      <c r="Z2245" s="191"/>
      <c r="AA2245" s="191"/>
      <c r="AB2245" s="191"/>
      <c r="AC2245" s="191"/>
      <c r="AD2245" s="16"/>
      <c r="AE2245" s="16"/>
      <c r="AF2245" s="16"/>
      <c r="AG2245" s="16"/>
      <c r="AH2245" s="16"/>
      <c r="AI2245" s="16"/>
      <c r="AJ2245" s="16"/>
      <c r="AK2245" s="16"/>
      <c r="AL2245" s="16"/>
      <c r="AM2245" s="16"/>
      <c r="AN2245" s="16"/>
      <c r="AO2245" s="16"/>
      <c r="AP2245" s="16"/>
      <c r="AQ2245" s="16"/>
      <c r="AR2245" s="16"/>
      <c r="AS2245" s="16"/>
    </row>
    <row r="2246" spans="18:45" x14ac:dyDescent="0.35">
      <c r="R2246" s="191"/>
      <c r="S2246" s="191"/>
      <c r="T2246" s="193"/>
      <c r="U2246" s="191"/>
      <c r="V2246" s="194"/>
      <c r="W2246" s="191"/>
      <c r="Y2246" s="191"/>
      <c r="Z2246" s="191"/>
      <c r="AA2246" s="191"/>
      <c r="AB2246" s="191"/>
      <c r="AC2246" s="191"/>
      <c r="AD2246" s="16"/>
      <c r="AE2246" s="16"/>
      <c r="AF2246" s="16"/>
      <c r="AG2246" s="16"/>
      <c r="AH2246" s="16"/>
      <c r="AI2246" s="16"/>
      <c r="AJ2246" s="16"/>
      <c r="AK2246" s="16"/>
      <c r="AL2246" s="16"/>
      <c r="AM2246" s="16"/>
      <c r="AN2246" s="16"/>
      <c r="AO2246" s="16"/>
      <c r="AP2246" s="16"/>
      <c r="AQ2246" s="16"/>
      <c r="AR2246" s="16"/>
      <c r="AS2246" s="16"/>
    </row>
    <row r="2247" spans="18:45" x14ac:dyDescent="0.35">
      <c r="R2247" s="191"/>
      <c r="S2247" s="191"/>
      <c r="T2247" s="193"/>
      <c r="U2247" s="191"/>
      <c r="V2247" s="194"/>
      <c r="W2247" s="191"/>
      <c r="Y2247" s="191"/>
      <c r="Z2247" s="191"/>
      <c r="AA2247" s="191"/>
      <c r="AB2247" s="191"/>
      <c r="AC2247" s="191"/>
      <c r="AD2247" s="16"/>
      <c r="AE2247" s="16"/>
      <c r="AF2247" s="16"/>
      <c r="AG2247" s="16"/>
      <c r="AH2247" s="16"/>
      <c r="AI2247" s="16"/>
      <c r="AJ2247" s="16"/>
      <c r="AK2247" s="16"/>
      <c r="AL2247" s="16"/>
      <c r="AM2247" s="16"/>
      <c r="AN2247" s="16"/>
      <c r="AO2247" s="16"/>
      <c r="AP2247" s="16"/>
      <c r="AQ2247" s="16"/>
      <c r="AR2247" s="16"/>
      <c r="AS2247" s="16"/>
    </row>
    <row r="2248" spans="18:45" x14ac:dyDescent="0.35">
      <c r="R2248" s="191"/>
      <c r="S2248" s="191"/>
      <c r="T2248" s="193"/>
      <c r="U2248" s="191"/>
      <c r="V2248" s="194"/>
      <c r="W2248" s="191"/>
      <c r="Y2248" s="191"/>
      <c r="Z2248" s="191"/>
      <c r="AA2248" s="191"/>
      <c r="AB2248" s="191"/>
      <c r="AC2248" s="191"/>
      <c r="AD2248" s="16"/>
      <c r="AE2248" s="16"/>
      <c r="AF2248" s="16"/>
      <c r="AG2248" s="16"/>
      <c r="AH2248" s="16"/>
      <c r="AI2248" s="16"/>
      <c r="AJ2248" s="16"/>
      <c r="AK2248" s="16"/>
      <c r="AL2248" s="16"/>
      <c r="AM2248" s="16"/>
      <c r="AN2248" s="16"/>
      <c r="AO2248" s="16"/>
      <c r="AP2248" s="16"/>
      <c r="AQ2248" s="16"/>
      <c r="AR2248" s="16"/>
      <c r="AS2248" s="16"/>
    </row>
    <row r="2249" spans="18:45" x14ac:dyDescent="0.35">
      <c r="R2249" s="191"/>
      <c r="S2249" s="191"/>
      <c r="T2249" s="193"/>
      <c r="U2249" s="191"/>
      <c r="V2249" s="194"/>
      <c r="W2249" s="191"/>
      <c r="Y2249" s="191"/>
      <c r="Z2249" s="191"/>
      <c r="AA2249" s="191"/>
      <c r="AB2249" s="191"/>
      <c r="AC2249" s="191"/>
      <c r="AD2249" s="16"/>
      <c r="AE2249" s="16"/>
      <c r="AF2249" s="16"/>
      <c r="AG2249" s="16"/>
      <c r="AH2249" s="16"/>
      <c r="AI2249" s="16"/>
      <c r="AJ2249" s="16"/>
      <c r="AK2249" s="16"/>
      <c r="AL2249" s="16"/>
      <c r="AM2249" s="16"/>
      <c r="AN2249" s="16"/>
      <c r="AO2249" s="16"/>
      <c r="AP2249" s="16"/>
      <c r="AQ2249" s="16"/>
      <c r="AR2249" s="16"/>
      <c r="AS2249" s="16"/>
    </row>
    <row r="2250" spans="18:45" x14ac:dyDescent="0.35">
      <c r="R2250" s="191"/>
      <c r="S2250" s="191"/>
      <c r="T2250" s="193"/>
      <c r="U2250" s="191"/>
      <c r="V2250" s="194"/>
      <c r="W2250" s="191"/>
      <c r="Y2250" s="191"/>
      <c r="Z2250" s="191"/>
      <c r="AA2250" s="191"/>
      <c r="AB2250" s="191"/>
      <c r="AC2250" s="191"/>
      <c r="AD2250" s="16"/>
      <c r="AE2250" s="16"/>
      <c r="AF2250" s="16"/>
      <c r="AG2250" s="16"/>
      <c r="AH2250" s="16"/>
      <c r="AI2250" s="16"/>
      <c r="AJ2250" s="16"/>
      <c r="AK2250" s="16"/>
      <c r="AL2250" s="16"/>
      <c r="AM2250" s="16"/>
      <c r="AN2250" s="16"/>
      <c r="AO2250" s="16"/>
      <c r="AP2250" s="16"/>
      <c r="AQ2250" s="16"/>
      <c r="AR2250" s="16"/>
      <c r="AS2250" s="16"/>
    </row>
    <row r="2251" spans="18:45" x14ac:dyDescent="0.35">
      <c r="R2251" s="191"/>
      <c r="S2251" s="191"/>
      <c r="T2251" s="193"/>
      <c r="U2251" s="191"/>
      <c r="V2251" s="194"/>
      <c r="W2251" s="191"/>
      <c r="Y2251" s="191"/>
      <c r="Z2251" s="191"/>
      <c r="AA2251" s="191"/>
      <c r="AB2251" s="191"/>
      <c r="AC2251" s="191"/>
      <c r="AD2251" s="16"/>
      <c r="AE2251" s="16"/>
      <c r="AF2251" s="16"/>
      <c r="AG2251" s="16"/>
      <c r="AH2251" s="16"/>
      <c r="AI2251" s="16"/>
      <c r="AJ2251" s="16"/>
      <c r="AK2251" s="16"/>
      <c r="AL2251" s="16"/>
      <c r="AM2251" s="16"/>
      <c r="AN2251" s="16"/>
      <c r="AO2251" s="16"/>
      <c r="AP2251" s="16"/>
      <c r="AQ2251" s="16"/>
      <c r="AR2251" s="16"/>
      <c r="AS2251" s="16"/>
    </row>
    <row r="2252" spans="18:45" x14ac:dyDescent="0.35">
      <c r="R2252" s="191"/>
      <c r="S2252" s="191"/>
      <c r="T2252" s="193"/>
      <c r="U2252" s="191"/>
      <c r="V2252" s="194"/>
      <c r="W2252" s="191"/>
      <c r="Y2252" s="191"/>
      <c r="Z2252" s="191"/>
      <c r="AA2252" s="191"/>
      <c r="AB2252" s="191"/>
      <c r="AC2252" s="191"/>
      <c r="AD2252" s="16"/>
      <c r="AE2252" s="16"/>
      <c r="AF2252" s="16"/>
      <c r="AG2252" s="16"/>
      <c r="AH2252" s="16"/>
      <c r="AI2252" s="16"/>
      <c r="AJ2252" s="16"/>
      <c r="AK2252" s="16"/>
      <c r="AL2252" s="16"/>
      <c r="AM2252" s="16"/>
      <c r="AN2252" s="16"/>
      <c r="AO2252" s="16"/>
      <c r="AP2252" s="16"/>
      <c r="AQ2252" s="16"/>
      <c r="AR2252" s="16"/>
      <c r="AS2252" s="16"/>
    </row>
    <row r="2253" spans="18:45" x14ac:dyDescent="0.35">
      <c r="R2253" s="191"/>
      <c r="S2253" s="191"/>
      <c r="T2253" s="193"/>
      <c r="U2253" s="191"/>
      <c r="V2253" s="194"/>
      <c r="W2253" s="191"/>
      <c r="Y2253" s="191"/>
      <c r="Z2253" s="191"/>
      <c r="AA2253" s="191"/>
      <c r="AB2253" s="191"/>
      <c r="AC2253" s="191"/>
      <c r="AD2253" s="16"/>
      <c r="AE2253" s="16"/>
      <c r="AF2253" s="16"/>
      <c r="AG2253" s="16"/>
      <c r="AH2253" s="16"/>
      <c r="AI2253" s="16"/>
      <c r="AJ2253" s="16"/>
      <c r="AK2253" s="16"/>
      <c r="AL2253" s="16"/>
      <c r="AM2253" s="16"/>
      <c r="AN2253" s="16"/>
      <c r="AO2253" s="16"/>
      <c r="AP2253" s="16"/>
      <c r="AQ2253" s="16"/>
      <c r="AR2253" s="16"/>
      <c r="AS2253" s="16"/>
    </row>
    <row r="2254" spans="18:45" x14ac:dyDescent="0.35">
      <c r="R2254" s="191"/>
      <c r="S2254" s="191"/>
      <c r="T2254" s="193"/>
      <c r="U2254" s="191"/>
      <c r="V2254" s="194"/>
      <c r="W2254" s="191"/>
      <c r="Y2254" s="191"/>
      <c r="Z2254" s="191"/>
      <c r="AA2254" s="191"/>
      <c r="AB2254" s="191"/>
      <c r="AC2254" s="191"/>
      <c r="AD2254" s="16"/>
      <c r="AE2254" s="16"/>
      <c r="AF2254" s="16"/>
      <c r="AG2254" s="16"/>
      <c r="AH2254" s="16"/>
      <c r="AI2254" s="16"/>
      <c r="AJ2254" s="16"/>
      <c r="AK2254" s="16"/>
      <c r="AL2254" s="16"/>
      <c r="AM2254" s="16"/>
      <c r="AN2254" s="16"/>
      <c r="AO2254" s="16"/>
      <c r="AP2254" s="16"/>
      <c r="AQ2254" s="16"/>
      <c r="AR2254" s="16"/>
      <c r="AS2254" s="16"/>
    </row>
    <row r="2255" spans="18:45" x14ac:dyDescent="0.35">
      <c r="R2255" s="191"/>
      <c r="S2255" s="191"/>
      <c r="T2255" s="193"/>
      <c r="U2255" s="191"/>
      <c r="V2255" s="194"/>
      <c r="W2255" s="191"/>
      <c r="Y2255" s="191"/>
      <c r="Z2255" s="191"/>
      <c r="AA2255" s="191"/>
      <c r="AB2255" s="191"/>
      <c r="AC2255" s="191"/>
      <c r="AD2255" s="16"/>
      <c r="AE2255" s="16"/>
      <c r="AF2255" s="16"/>
      <c r="AG2255" s="16"/>
      <c r="AH2255" s="16"/>
      <c r="AI2255" s="16"/>
      <c r="AJ2255" s="16"/>
      <c r="AK2255" s="16"/>
      <c r="AL2255" s="16"/>
      <c r="AM2255" s="16"/>
      <c r="AN2255" s="16"/>
      <c r="AO2255" s="16"/>
      <c r="AP2255" s="16"/>
      <c r="AQ2255" s="16"/>
      <c r="AR2255" s="16"/>
      <c r="AS2255" s="16"/>
    </row>
    <row r="2256" spans="18:45" x14ac:dyDescent="0.35">
      <c r="R2256" s="191"/>
      <c r="S2256" s="191"/>
      <c r="T2256" s="193"/>
      <c r="U2256" s="191"/>
      <c r="V2256" s="194"/>
      <c r="W2256" s="191"/>
      <c r="Y2256" s="191"/>
      <c r="Z2256" s="191"/>
      <c r="AA2256" s="191"/>
      <c r="AB2256" s="191"/>
      <c r="AC2256" s="191"/>
      <c r="AD2256" s="16"/>
      <c r="AE2256" s="16"/>
      <c r="AF2256" s="16"/>
      <c r="AG2256" s="16"/>
      <c r="AH2256" s="16"/>
      <c r="AI2256" s="16"/>
      <c r="AJ2256" s="16"/>
      <c r="AK2256" s="16"/>
      <c r="AL2256" s="16"/>
      <c r="AM2256" s="16"/>
      <c r="AN2256" s="16"/>
      <c r="AO2256" s="16"/>
      <c r="AP2256" s="16"/>
      <c r="AQ2256" s="16"/>
      <c r="AR2256" s="16"/>
      <c r="AS2256" s="16"/>
    </row>
    <row r="2257" spans="18:45" x14ac:dyDescent="0.35">
      <c r="R2257" s="191"/>
      <c r="S2257" s="191"/>
      <c r="T2257" s="193"/>
      <c r="U2257" s="191"/>
      <c r="V2257" s="194"/>
      <c r="W2257" s="191"/>
      <c r="Y2257" s="191"/>
      <c r="Z2257" s="191"/>
      <c r="AA2257" s="191"/>
      <c r="AB2257" s="191"/>
      <c r="AC2257" s="191"/>
      <c r="AD2257" s="16"/>
      <c r="AE2257" s="16"/>
      <c r="AF2257" s="16"/>
      <c r="AG2257" s="16"/>
      <c r="AH2257" s="16"/>
      <c r="AI2257" s="16"/>
      <c r="AJ2257" s="16"/>
      <c r="AK2257" s="16"/>
      <c r="AL2257" s="16"/>
      <c r="AM2257" s="16"/>
      <c r="AN2257" s="16"/>
      <c r="AO2257" s="16"/>
      <c r="AP2257" s="16"/>
      <c r="AQ2257" s="16"/>
      <c r="AR2257" s="16"/>
      <c r="AS2257" s="16"/>
    </row>
    <row r="2258" spans="18:45" x14ac:dyDescent="0.35">
      <c r="R2258" s="191"/>
      <c r="S2258" s="191"/>
      <c r="T2258" s="193"/>
      <c r="U2258" s="191"/>
      <c r="V2258" s="194"/>
      <c r="W2258" s="191"/>
      <c r="Y2258" s="191"/>
      <c r="Z2258" s="191"/>
      <c r="AA2258" s="191"/>
      <c r="AB2258" s="191"/>
      <c r="AC2258" s="191"/>
      <c r="AD2258" s="16"/>
      <c r="AE2258" s="16"/>
      <c r="AF2258" s="16"/>
      <c r="AG2258" s="16"/>
      <c r="AH2258" s="16"/>
      <c r="AI2258" s="16"/>
      <c r="AJ2258" s="16"/>
      <c r="AK2258" s="16"/>
      <c r="AL2258" s="16"/>
      <c r="AM2258" s="16"/>
      <c r="AN2258" s="16"/>
      <c r="AO2258" s="16"/>
      <c r="AP2258" s="16"/>
      <c r="AQ2258" s="16"/>
      <c r="AR2258" s="16"/>
      <c r="AS2258" s="16"/>
    </row>
    <row r="2259" spans="18:45" x14ac:dyDescent="0.35">
      <c r="R2259" s="191"/>
      <c r="S2259" s="191"/>
      <c r="T2259" s="193"/>
      <c r="U2259" s="191"/>
      <c r="V2259" s="194"/>
      <c r="W2259" s="191"/>
      <c r="Y2259" s="191"/>
      <c r="Z2259" s="191"/>
      <c r="AA2259" s="191"/>
      <c r="AB2259" s="191"/>
      <c r="AC2259" s="191"/>
      <c r="AD2259" s="16"/>
      <c r="AE2259" s="16"/>
      <c r="AF2259" s="16"/>
      <c r="AG2259" s="16"/>
      <c r="AH2259" s="16"/>
      <c r="AI2259" s="16"/>
      <c r="AJ2259" s="16"/>
      <c r="AK2259" s="16"/>
      <c r="AL2259" s="16"/>
      <c r="AM2259" s="16"/>
      <c r="AN2259" s="16"/>
      <c r="AO2259" s="16"/>
      <c r="AP2259" s="16"/>
      <c r="AQ2259" s="16"/>
      <c r="AR2259" s="16"/>
      <c r="AS2259" s="16"/>
    </row>
    <row r="2260" spans="18:45" x14ac:dyDescent="0.35">
      <c r="R2260" s="191"/>
      <c r="S2260" s="191"/>
      <c r="T2260" s="193"/>
      <c r="U2260" s="191"/>
      <c r="V2260" s="194"/>
      <c r="W2260" s="191"/>
      <c r="Y2260" s="191"/>
      <c r="Z2260" s="191"/>
      <c r="AA2260" s="191"/>
      <c r="AB2260" s="191"/>
      <c r="AC2260" s="191"/>
      <c r="AD2260" s="16"/>
      <c r="AE2260" s="16"/>
      <c r="AF2260" s="16"/>
      <c r="AG2260" s="16"/>
      <c r="AH2260" s="16"/>
      <c r="AI2260" s="16"/>
      <c r="AJ2260" s="16"/>
      <c r="AK2260" s="16"/>
      <c r="AL2260" s="16"/>
      <c r="AM2260" s="16"/>
      <c r="AN2260" s="16"/>
      <c r="AO2260" s="16"/>
      <c r="AP2260" s="16"/>
      <c r="AQ2260" s="16"/>
      <c r="AR2260" s="16"/>
      <c r="AS2260" s="16"/>
    </row>
    <row r="2261" spans="18:45" x14ac:dyDescent="0.35">
      <c r="R2261" s="191"/>
      <c r="S2261" s="191"/>
      <c r="T2261" s="193"/>
      <c r="U2261" s="191"/>
      <c r="V2261" s="194"/>
      <c r="W2261" s="191"/>
      <c r="Y2261" s="191"/>
      <c r="Z2261" s="191"/>
      <c r="AA2261" s="191"/>
      <c r="AB2261" s="191"/>
      <c r="AC2261" s="191"/>
      <c r="AD2261" s="16"/>
      <c r="AE2261" s="16"/>
      <c r="AF2261" s="16"/>
      <c r="AG2261" s="16"/>
      <c r="AH2261" s="16"/>
      <c r="AI2261" s="16"/>
      <c r="AJ2261" s="16"/>
      <c r="AK2261" s="16"/>
      <c r="AL2261" s="16"/>
      <c r="AM2261" s="16"/>
      <c r="AN2261" s="16"/>
      <c r="AO2261" s="16"/>
      <c r="AP2261" s="16"/>
      <c r="AQ2261" s="16"/>
      <c r="AR2261" s="16"/>
      <c r="AS2261" s="16"/>
    </row>
    <row r="2262" spans="18:45" x14ac:dyDescent="0.35">
      <c r="R2262" s="191"/>
      <c r="S2262" s="191"/>
      <c r="T2262" s="193"/>
      <c r="U2262" s="191"/>
      <c r="V2262" s="194"/>
      <c r="W2262" s="191"/>
      <c r="Y2262" s="191"/>
      <c r="Z2262" s="191"/>
      <c r="AA2262" s="191"/>
      <c r="AB2262" s="191"/>
      <c r="AC2262" s="191"/>
      <c r="AD2262" s="16"/>
      <c r="AE2262" s="16"/>
      <c r="AF2262" s="16"/>
      <c r="AG2262" s="16"/>
      <c r="AH2262" s="16"/>
      <c r="AI2262" s="16"/>
      <c r="AJ2262" s="16"/>
      <c r="AK2262" s="16"/>
      <c r="AL2262" s="16"/>
      <c r="AM2262" s="16"/>
      <c r="AN2262" s="16"/>
      <c r="AO2262" s="16"/>
      <c r="AP2262" s="16"/>
      <c r="AQ2262" s="16"/>
      <c r="AR2262" s="16"/>
      <c r="AS2262" s="16"/>
    </row>
    <row r="2263" spans="18:45" x14ac:dyDescent="0.35">
      <c r="R2263" s="191"/>
      <c r="S2263" s="191"/>
      <c r="T2263" s="193"/>
      <c r="U2263" s="191"/>
      <c r="V2263" s="194"/>
      <c r="W2263" s="191"/>
      <c r="Y2263" s="191"/>
      <c r="Z2263" s="191"/>
      <c r="AA2263" s="191"/>
      <c r="AB2263" s="191"/>
      <c r="AC2263" s="191"/>
      <c r="AD2263" s="16"/>
      <c r="AE2263" s="16"/>
      <c r="AF2263" s="16"/>
      <c r="AG2263" s="16"/>
      <c r="AH2263" s="16"/>
      <c r="AI2263" s="16"/>
      <c r="AJ2263" s="16"/>
      <c r="AK2263" s="16"/>
      <c r="AL2263" s="16"/>
      <c r="AM2263" s="16"/>
      <c r="AN2263" s="16"/>
      <c r="AO2263" s="16"/>
      <c r="AP2263" s="16"/>
      <c r="AQ2263" s="16"/>
      <c r="AR2263" s="16"/>
      <c r="AS2263" s="16"/>
    </row>
    <row r="2264" spans="18:45" x14ac:dyDescent="0.35">
      <c r="R2264" s="191"/>
      <c r="S2264" s="191"/>
      <c r="T2264" s="193"/>
      <c r="U2264" s="191"/>
      <c r="V2264" s="194"/>
      <c r="W2264" s="191"/>
      <c r="Y2264" s="191"/>
      <c r="Z2264" s="191"/>
      <c r="AA2264" s="191"/>
      <c r="AB2264" s="191"/>
      <c r="AC2264" s="191"/>
      <c r="AD2264" s="16"/>
      <c r="AE2264" s="16"/>
      <c r="AF2264" s="16"/>
      <c r="AG2264" s="16"/>
      <c r="AH2264" s="16"/>
      <c r="AI2264" s="16"/>
      <c r="AJ2264" s="16"/>
      <c r="AK2264" s="16"/>
      <c r="AL2264" s="16"/>
      <c r="AM2264" s="16"/>
      <c r="AN2264" s="16"/>
      <c r="AO2264" s="16"/>
      <c r="AP2264" s="16"/>
      <c r="AQ2264" s="16"/>
      <c r="AR2264" s="16"/>
      <c r="AS2264" s="16"/>
    </row>
    <row r="2265" spans="18:45" x14ac:dyDescent="0.35">
      <c r="R2265" s="191"/>
      <c r="S2265" s="191"/>
      <c r="T2265" s="193"/>
      <c r="U2265" s="191"/>
      <c r="V2265" s="194"/>
      <c r="W2265" s="191"/>
      <c r="Y2265" s="191"/>
      <c r="Z2265" s="191"/>
      <c r="AA2265" s="191"/>
      <c r="AB2265" s="191"/>
      <c r="AC2265" s="191"/>
      <c r="AD2265" s="16"/>
      <c r="AE2265" s="16"/>
      <c r="AF2265" s="16"/>
      <c r="AG2265" s="16"/>
      <c r="AH2265" s="16"/>
      <c r="AI2265" s="16"/>
      <c r="AJ2265" s="16"/>
      <c r="AK2265" s="16"/>
      <c r="AL2265" s="16"/>
      <c r="AM2265" s="16"/>
      <c r="AN2265" s="16"/>
      <c r="AO2265" s="16"/>
      <c r="AP2265" s="16"/>
      <c r="AQ2265" s="16"/>
      <c r="AR2265" s="16"/>
      <c r="AS2265" s="16"/>
    </row>
    <row r="2266" spans="18:45" x14ac:dyDescent="0.35">
      <c r="R2266" s="191"/>
      <c r="S2266" s="191"/>
      <c r="T2266" s="193"/>
      <c r="U2266" s="191"/>
      <c r="V2266" s="194"/>
      <c r="W2266" s="191"/>
      <c r="Y2266" s="191"/>
      <c r="Z2266" s="191"/>
      <c r="AA2266" s="191"/>
      <c r="AB2266" s="191"/>
      <c r="AC2266" s="191"/>
      <c r="AD2266" s="16"/>
      <c r="AE2266" s="16"/>
      <c r="AF2266" s="16"/>
      <c r="AG2266" s="16"/>
      <c r="AH2266" s="16"/>
      <c r="AI2266" s="16"/>
      <c r="AJ2266" s="16"/>
      <c r="AK2266" s="16"/>
      <c r="AL2266" s="16"/>
      <c r="AM2266" s="16"/>
      <c r="AN2266" s="16"/>
      <c r="AO2266" s="16"/>
      <c r="AP2266" s="16"/>
      <c r="AQ2266" s="16"/>
      <c r="AR2266" s="16"/>
      <c r="AS2266" s="16"/>
    </row>
    <row r="2267" spans="18:45" x14ac:dyDescent="0.35">
      <c r="R2267" s="191"/>
      <c r="S2267" s="191"/>
      <c r="T2267" s="193"/>
      <c r="U2267" s="191"/>
      <c r="V2267" s="194"/>
      <c r="W2267" s="191"/>
      <c r="Y2267" s="191"/>
      <c r="Z2267" s="191"/>
      <c r="AA2267" s="191"/>
      <c r="AB2267" s="191"/>
      <c r="AC2267" s="191"/>
      <c r="AD2267" s="16"/>
      <c r="AE2267" s="16"/>
      <c r="AF2267" s="16"/>
      <c r="AG2267" s="16"/>
      <c r="AH2267" s="16"/>
      <c r="AI2267" s="16"/>
      <c r="AJ2267" s="16"/>
      <c r="AK2267" s="16"/>
      <c r="AL2267" s="16"/>
      <c r="AM2267" s="16"/>
      <c r="AN2267" s="16"/>
      <c r="AO2267" s="16"/>
      <c r="AP2267" s="16"/>
      <c r="AQ2267" s="16"/>
      <c r="AR2267" s="16"/>
      <c r="AS2267" s="16"/>
    </row>
    <row r="2268" spans="18:45" x14ac:dyDescent="0.35">
      <c r="R2268" s="191"/>
      <c r="S2268" s="191"/>
      <c r="T2268" s="193"/>
      <c r="U2268" s="191"/>
      <c r="V2268" s="194"/>
      <c r="W2268" s="191"/>
      <c r="Y2268" s="191"/>
      <c r="Z2268" s="191"/>
      <c r="AA2268" s="191"/>
      <c r="AB2268" s="191"/>
      <c r="AC2268" s="191"/>
      <c r="AD2268" s="16"/>
      <c r="AE2268" s="16"/>
      <c r="AF2268" s="16"/>
      <c r="AG2268" s="16"/>
      <c r="AH2268" s="16"/>
      <c r="AI2268" s="16"/>
      <c r="AJ2268" s="16"/>
      <c r="AK2268" s="16"/>
      <c r="AL2268" s="16"/>
      <c r="AM2268" s="16"/>
      <c r="AN2268" s="16"/>
      <c r="AO2268" s="16"/>
      <c r="AP2268" s="16"/>
      <c r="AQ2268" s="16"/>
      <c r="AR2268" s="16"/>
      <c r="AS2268" s="16"/>
    </row>
    <row r="2269" spans="18:45" x14ac:dyDescent="0.35">
      <c r="R2269" s="191"/>
      <c r="S2269" s="191"/>
      <c r="T2269" s="193"/>
      <c r="U2269" s="191"/>
      <c r="V2269" s="194"/>
      <c r="W2269" s="191"/>
      <c r="Y2269" s="191"/>
      <c r="Z2269" s="191"/>
      <c r="AA2269" s="191"/>
      <c r="AB2269" s="191"/>
      <c r="AC2269" s="191"/>
      <c r="AD2269" s="16"/>
      <c r="AE2269" s="16"/>
      <c r="AF2269" s="16"/>
      <c r="AG2269" s="16"/>
      <c r="AH2269" s="16"/>
      <c r="AI2269" s="16"/>
      <c r="AJ2269" s="16"/>
      <c r="AK2269" s="16"/>
      <c r="AL2269" s="16"/>
      <c r="AM2269" s="16"/>
      <c r="AN2269" s="16"/>
      <c r="AO2269" s="16"/>
      <c r="AP2269" s="16"/>
      <c r="AQ2269" s="16"/>
      <c r="AR2269" s="16"/>
      <c r="AS2269" s="16"/>
    </row>
    <row r="2270" spans="18:45" x14ac:dyDescent="0.35">
      <c r="R2270" s="191"/>
      <c r="S2270" s="191"/>
      <c r="T2270" s="193"/>
      <c r="U2270" s="191"/>
      <c r="V2270" s="194"/>
      <c r="W2270" s="191"/>
      <c r="Y2270" s="191"/>
      <c r="Z2270" s="191"/>
      <c r="AA2270" s="191"/>
      <c r="AB2270" s="191"/>
      <c r="AC2270" s="191"/>
      <c r="AD2270" s="16"/>
      <c r="AE2270" s="16"/>
      <c r="AF2270" s="16"/>
      <c r="AG2270" s="16"/>
      <c r="AH2270" s="16"/>
      <c r="AI2270" s="16"/>
      <c r="AJ2270" s="16"/>
      <c r="AK2270" s="16"/>
      <c r="AL2270" s="16"/>
      <c r="AM2270" s="16"/>
      <c r="AN2270" s="16"/>
      <c r="AO2270" s="16"/>
      <c r="AP2270" s="16"/>
      <c r="AQ2270" s="16"/>
      <c r="AR2270" s="16"/>
      <c r="AS2270" s="16"/>
    </row>
    <row r="2271" spans="18:45" x14ac:dyDescent="0.35">
      <c r="R2271" s="191"/>
      <c r="S2271" s="191"/>
      <c r="T2271" s="193"/>
      <c r="U2271" s="191"/>
      <c r="V2271" s="194"/>
      <c r="W2271" s="191"/>
      <c r="Y2271" s="191"/>
      <c r="Z2271" s="191"/>
      <c r="AA2271" s="191"/>
      <c r="AB2271" s="191"/>
      <c r="AC2271" s="191"/>
      <c r="AD2271" s="16"/>
      <c r="AE2271" s="16"/>
      <c r="AF2271" s="16"/>
      <c r="AG2271" s="16"/>
      <c r="AH2271" s="16"/>
      <c r="AI2271" s="16"/>
      <c r="AJ2271" s="16"/>
      <c r="AK2271" s="16"/>
      <c r="AL2271" s="16"/>
      <c r="AM2271" s="16"/>
      <c r="AN2271" s="16"/>
      <c r="AO2271" s="16"/>
      <c r="AP2271" s="16"/>
      <c r="AQ2271" s="16"/>
      <c r="AR2271" s="16"/>
      <c r="AS2271" s="16"/>
    </row>
    <row r="2272" spans="18:45" x14ac:dyDescent="0.35">
      <c r="R2272" s="191"/>
      <c r="S2272" s="191"/>
      <c r="T2272" s="193"/>
      <c r="U2272" s="191"/>
      <c r="V2272" s="194"/>
      <c r="W2272" s="191"/>
      <c r="Y2272" s="191"/>
      <c r="Z2272" s="191"/>
      <c r="AA2272" s="191"/>
      <c r="AB2272" s="191"/>
      <c r="AC2272" s="191"/>
      <c r="AD2272" s="16"/>
      <c r="AE2272" s="16"/>
      <c r="AF2272" s="16"/>
      <c r="AG2272" s="16"/>
      <c r="AH2272" s="16"/>
      <c r="AI2272" s="16"/>
      <c r="AJ2272" s="16"/>
      <c r="AK2272" s="16"/>
      <c r="AL2272" s="16"/>
      <c r="AM2272" s="16"/>
      <c r="AN2272" s="16"/>
      <c r="AO2272" s="16"/>
      <c r="AP2272" s="16"/>
      <c r="AQ2272" s="16"/>
      <c r="AR2272" s="16"/>
      <c r="AS2272" s="16"/>
    </row>
    <row r="2273" spans="18:45" x14ac:dyDescent="0.35">
      <c r="R2273" s="191"/>
      <c r="S2273" s="191"/>
      <c r="T2273" s="193"/>
      <c r="U2273" s="191"/>
      <c r="V2273" s="194"/>
      <c r="W2273" s="191"/>
      <c r="Y2273" s="191"/>
      <c r="Z2273" s="191"/>
      <c r="AA2273" s="191"/>
      <c r="AB2273" s="191"/>
      <c r="AC2273" s="191"/>
      <c r="AD2273" s="16"/>
      <c r="AE2273" s="16"/>
      <c r="AF2273" s="16"/>
      <c r="AG2273" s="16"/>
      <c r="AH2273" s="16"/>
      <c r="AI2273" s="16"/>
      <c r="AJ2273" s="16"/>
      <c r="AK2273" s="16"/>
      <c r="AL2273" s="16"/>
      <c r="AM2273" s="16"/>
      <c r="AN2273" s="16"/>
      <c r="AO2273" s="16"/>
      <c r="AP2273" s="16"/>
      <c r="AQ2273" s="16"/>
      <c r="AR2273" s="16"/>
      <c r="AS2273" s="16"/>
    </row>
    <row r="2274" spans="18:45" x14ac:dyDescent="0.35">
      <c r="R2274" s="191"/>
      <c r="S2274" s="191"/>
      <c r="T2274" s="193"/>
      <c r="U2274" s="191"/>
      <c r="V2274" s="194"/>
      <c r="W2274" s="191"/>
      <c r="Y2274" s="191"/>
      <c r="Z2274" s="191"/>
      <c r="AA2274" s="191"/>
      <c r="AB2274" s="191"/>
      <c r="AC2274" s="191"/>
      <c r="AD2274" s="16"/>
      <c r="AE2274" s="16"/>
      <c r="AF2274" s="16"/>
      <c r="AG2274" s="16"/>
      <c r="AH2274" s="16"/>
      <c r="AI2274" s="16"/>
      <c r="AJ2274" s="16"/>
      <c r="AK2274" s="16"/>
      <c r="AL2274" s="16"/>
      <c r="AM2274" s="16"/>
      <c r="AN2274" s="16"/>
      <c r="AO2274" s="16"/>
      <c r="AP2274" s="16"/>
      <c r="AQ2274" s="16"/>
      <c r="AR2274" s="16"/>
      <c r="AS2274" s="16"/>
    </row>
    <row r="2275" spans="18:45" x14ac:dyDescent="0.35">
      <c r="R2275" s="191"/>
      <c r="S2275" s="191"/>
      <c r="T2275" s="193"/>
      <c r="U2275" s="191"/>
      <c r="V2275" s="194"/>
      <c r="W2275" s="191"/>
      <c r="Y2275" s="191"/>
      <c r="Z2275" s="191"/>
      <c r="AA2275" s="191"/>
      <c r="AB2275" s="191"/>
      <c r="AC2275" s="191"/>
      <c r="AD2275" s="16"/>
      <c r="AE2275" s="16"/>
      <c r="AF2275" s="16"/>
      <c r="AG2275" s="16"/>
      <c r="AH2275" s="16"/>
      <c r="AI2275" s="16"/>
      <c r="AJ2275" s="16"/>
      <c r="AK2275" s="16"/>
      <c r="AL2275" s="16"/>
      <c r="AM2275" s="16"/>
      <c r="AN2275" s="16"/>
      <c r="AO2275" s="16"/>
      <c r="AP2275" s="16"/>
      <c r="AQ2275" s="16"/>
      <c r="AR2275" s="16"/>
      <c r="AS2275" s="16"/>
    </row>
    <row r="2276" spans="18:45" x14ac:dyDescent="0.35">
      <c r="R2276" s="191"/>
      <c r="S2276" s="191"/>
      <c r="T2276" s="193"/>
      <c r="U2276" s="191"/>
      <c r="V2276" s="194"/>
      <c r="W2276" s="191"/>
      <c r="Y2276" s="191"/>
      <c r="Z2276" s="191"/>
      <c r="AA2276" s="191"/>
      <c r="AB2276" s="191"/>
      <c r="AC2276" s="191"/>
      <c r="AD2276" s="16"/>
      <c r="AE2276" s="16"/>
      <c r="AF2276" s="16"/>
      <c r="AG2276" s="16"/>
      <c r="AH2276" s="16"/>
      <c r="AI2276" s="16"/>
      <c r="AJ2276" s="16"/>
      <c r="AK2276" s="16"/>
      <c r="AL2276" s="16"/>
      <c r="AM2276" s="16"/>
      <c r="AN2276" s="16"/>
      <c r="AO2276" s="16"/>
      <c r="AP2276" s="16"/>
      <c r="AQ2276" s="16"/>
      <c r="AR2276" s="16"/>
      <c r="AS2276" s="16"/>
    </row>
    <row r="2277" spans="18:45" x14ac:dyDescent="0.35">
      <c r="R2277" s="191"/>
      <c r="S2277" s="191"/>
      <c r="T2277" s="193"/>
      <c r="U2277" s="191"/>
      <c r="V2277" s="194"/>
      <c r="W2277" s="191"/>
      <c r="Y2277" s="191"/>
      <c r="Z2277" s="191"/>
      <c r="AA2277" s="191"/>
      <c r="AB2277" s="191"/>
      <c r="AC2277" s="191"/>
      <c r="AD2277" s="16"/>
      <c r="AE2277" s="16"/>
      <c r="AF2277" s="16"/>
      <c r="AG2277" s="16"/>
      <c r="AH2277" s="16"/>
      <c r="AI2277" s="16"/>
      <c r="AJ2277" s="16"/>
      <c r="AK2277" s="16"/>
      <c r="AL2277" s="16"/>
      <c r="AM2277" s="16"/>
      <c r="AN2277" s="16"/>
      <c r="AO2277" s="16"/>
      <c r="AP2277" s="16"/>
      <c r="AQ2277" s="16"/>
      <c r="AR2277" s="16"/>
      <c r="AS2277" s="16"/>
    </row>
    <row r="2278" spans="18:45" x14ac:dyDescent="0.35">
      <c r="R2278" s="191"/>
      <c r="S2278" s="191"/>
      <c r="T2278" s="193"/>
      <c r="U2278" s="191"/>
      <c r="V2278" s="194"/>
      <c r="W2278" s="191"/>
      <c r="Y2278" s="191"/>
      <c r="Z2278" s="191"/>
      <c r="AA2278" s="191"/>
      <c r="AB2278" s="191"/>
      <c r="AC2278" s="191"/>
      <c r="AD2278" s="16"/>
      <c r="AE2278" s="16"/>
      <c r="AF2278" s="16"/>
      <c r="AG2278" s="16"/>
      <c r="AH2278" s="16"/>
      <c r="AI2278" s="16"/>
      <c r="AJ2278" s="16"/>
      <c r="AK2278" s="16"/>
      <c r="AL2278" s="16"/>
      <c r="AM2278" s="16"/>
      <c r="AN2278" s="16"/>
      <c r="AO2278" s="16"/>
      <c r="AP2278" s="16"/>
      <c r="AQ2278" s="16"/>
      <c r="AR2278" s="16"/>
      <c r="AS2278" s="16"/>
    </row>
    <row r="2279" spans="18:45" x14ac:dyDescent="0.35">
      <c r="R2279" s="191"/>
      <c r="S2279" s="191"/>
      <c r="T2279" s="193"/>
      <c r="U2279" s="191"/>
      <c r="V2279" s="194"/>
      <c r="W2279" s="191"/>
      <c r="Y2279" s="191"/>
      <c r="Z2279" s="191"/>
      <c r="AA2279" s="191"/>
      <c r="AB2279" s="191"/>
      <c r="AC2279" s="191"/>
      <c r="AD2279" s="16"/>
      <c r="AE2279" s="16"/>
      <c r="AF2279" s="16"/>
      <c r="AG2279" s="16"/>
      <c r="AH2279" s="16"/>
      <c r="AI2279" s="16"/>
      <c r="AJ2279" s="16"/>
      <c r="AK2279" s="16"/>
      <c r="AL2279" s="16"/>
      <c r="AM2279" s="16"/>
      <c r="AN2279" s="16"/>
      <c r="AO2279" s="16"/>
      <c r="AP2279" s="16"/>
      <c r="AQ2279" s="16"/>
      <c r="AR2279" s="16"/>
      <c r="AS2279" s="16"/>
    </row>
    <row r="2280" spans="18:45" x14ac:dyDescent="0.35">
      <c r="R2280" s="191"/>
      <c r="S2280" s="191"/>
      <c r="T2280" s="193"/>
      <c r="U2280" s="191"/>
      <c r="V2280" s="194"/>
      <c r="W2280" s="191"/>
      <c r="Y2280" s="191"/>
      <c r="Z2280" s="191"/>
      <c r="AA2280" s="191"/>
      <c r="AB2280" s="191"/>
      <c r="AC2280" s="191"/>
      <c r="AD2280" s="16"/>
      <c r="AE2280" s="16"/>
      <c r="AF2280" s="16"/>
      <c r="AG2280" s="16"/>
      <c r="AH2280" s="16"/>
      <c r="AI2280" s="16"/>
      <c r="AJ2280" s="16"/>
      <c r="AK2280" s="16"/>
      <c r="AL2280" s="16"/>
      <c r="AM2280" s="16"/>
      <c r="AN2280" s="16"/>
      <c r="AO2280" s="16"/>
      <c r="AP2280" s="16"/>
      <c r="AQ2280" s="16"/>
      <c r="AR2280" s="16"/>
      <c r="AS2280" s="16"/>
    </row>
    <row r="2281" spans="18:45" x14ac:dyDescent="0.35">
      <c r="R2281" s="191"/>
      <c r="S2281" s="191"/>
      <c r="T2281" s="193"/>
      <c r="U2281" s="191"/>
      <c r="V2281" s="194"/>
      <c r="W2281" s="191"/>
      <c r="Y2281" s="191"/>
      <c r="Z2281" s="191"/>
      <c r="AA2281" s="191"/>
      <c r="AB2281" s="191"/>
      <c r="AC2281" s="191"/>
      <c r="AD2281" s="16"/>
      <c r="AE2281" s="16"/>
      <c r="AF2281" s="16"/>
      <c r="AG2281" s="16"/>
      <c r="AH2281" s="16"/>
      <c r="AI2281" s="16"/>
      <c r="AJ2281" s="16"/>
      <c r="AK2281" s="16"/>
      <c r="AL2281" s="16"/>
      <c r="AM2281" s="16"/>
      <c r="AN2281" s="16"/>
      <c r="AO2281" s="16"/>
      <c r="AP2281" s="16"/>
      <c r="AQ2281" s="16"/>
      <c r="AR2281" s="16"/>
      <c r="AS2281" s="16"/>
    </row>
    <row r="2282" spans="18:45" x14ac:dyDescent="0.35">
      <c r="R2282" s="191"/>
      <c r="S2282" s="191"/>
      <c r="T2282" s="193"/>
      <c r="U2282" s="191"/>
      <c r="V2282" s="194"/>
      <c r="W2282" s="191"/>
      <c r="Y2282" s="191"/>
      <c r="Z2282" s="191"/>
      <c r="AA2282" s="191"/>
      <c r="AB2282" s="191"/>
      <c r="AC2282" s="191"/>
      <c r="AD2282" s="16"/>
      <c r="AE2282" s="16"/>
      <c r="AF2282" s="16"/>
      <c r="AG2282" s="16"/>
      <c r="AH2282" s="16"/>
      <c r="AI2282" s="16"/>
      <c r="AJ2282" s="16"/>
      <c r="AK2282" s="16"/>
      <c r="AL2282" s="16"/>
      <c r="AM2282" s="16"/>
      <c r="AN2282" s="16"/>
      <c r="AO2282" s="16"/>
      <c r="AP2282" s="16"/>
      <c r="AQ2282" s="16"/>
      <c r="AR2282" s="16"/>
      <c r="AS2282" s="16"/>
    </row>
    <row r="2283" spans="18:45" x14ac:dyDescent="0.35">
      <c r="R2283" s="191"/>
      <c r="S2283" s="191"/>
      <c r="T2283" s="193"/>
      <c r="U2283" s="191"/>
      <c r="V2283" s="194"/>
      <c r="W2283" s="191"/>
      <c r="Y2283" s="191"/>
      <c r="Z2283" s="191"/>
      <c r="AA2283" s="191"/>
      <c r="AB2283" s="191"/>
      <c r="AC2283" s="191"/>
      <c r="AD2283" s="16"/>
      <c r="AE2283" s="16"/>
      <c r="AF2283" s="16"/>
      <c r="AG2283" s="16"/>
      <c r="AH2283" s="16"/>
      <c r="AI2283" s="16"/>
      <c r="AJ2283" s="16"/>
      <c r="AK2283" s="16"/>
      <c r="AL2283" s="16"/>
      <c r="AM2283" s="16"/>
      <c r="AN2283" s="16"/>
      <c r="AO2283" s="16"/>
      <c r="AP2283" s="16"/>
      <c r="AQ2283" s="16"/>
      <c r="AR2283" s="16"/>
      <c r="AS2283" s="16"/>
    </row>
    <row r="2284" spans="18:45" x14ac:dyDescent="0.35">
      <c r="R2284" s="191"/>
      <c r="S2284" s="191"/>
      <c r="T2284" s="193"/>
      <c r="U2284" s="191"/>
      <c r="V2284" s="194"/>
      <c r="W2284" s="191"/>
      <c r="Y2284" s="191"/>
      <c r="Z2284" s="191"/>
      <c r="AA2284" s="191"/>
      <c r="AB2284" s="191"/>
      <c r="AC2284" s="191"/>
      <c r="AD2284" s="16"/>
      <c r="AE2284" s="16"/>
      <c r="AF2284" s="16"/>
      <c r="AG2284" s="16"/>
      <c r="AH2284" s="16"/>
      <c r="AI2284" s="16"/>
      <c r="AJ2284" s="16"/>
      <c r="AK2284" s="16"/>
      <c r="AL2284" s="16"/>
      <c r="AM2284" s="16"/>
      <c r="AN2284" s="16"/>
      <c r="AO2284" s="16"/>
      <c r="AP2284" s="16"/>
      <c r="AQ2284" s="16"/>
      <c r="AR2284" s="16"/>
      <c r="AS2284" s="16"/>
    </row>
    <row r="2285" spans="18:45" x14ac:dyDescent="0.35">
      <c r="R2285" s="191"/>
      <c r="S2285" s="191"/>
      <c r="T2285" s="193"/>
      <c r="U2285" s="191"/>
      <c r="V2285" s="194"/>
      <c r="W2285" s="191"/>
      <c r="Y2285" s="191"/>
      <c r="Z2285" s="191"/>
      <c r="AA2285" s="191"/>
      <c r="AB2285" s="191"/>
      <c r="AC2285" s="191"/>
      <c r="AD2285" s="16"/>
      <c r="AE2285" s="16"/>
      <c r="AF2285" s="16"/>
      <c r="AG2285" s="16"/>
      <c r="AH2285" s="16"/>
      <c r="AI2285" s="16"/>
      <c r="AJ2285" s="16"/>
      <c r="AK2285" s="16"/>
      <c r="AL2285" s="16"/>
      <c r="AM2285" s="16"/>
      <c r="AN2285" s="16"/>
      <c r="AO2285" s="16"/>
      <c r="AP2285" s="16"/>
      <c r="AQ2285" s="16"/>
      <c r="AR2285" s="16"/>
      <c r="AS2285" s="16"/>
    </row>
    <row r="2286" spans="18:45" x14ac:dyDescent="0.35">
      <c r="R2286" s="191"/>
      <c r="S2286" s="191"/>
      <c r="T2286" s="193"/>
      <c r="U2286" s="191"/>
      <c r="V2286" s="194"/>
      <c r="W2286" s="191"/>
      <c r="Y2286" s="191"/>
      <c r="Z2286" s="191"/>
      <c r="AA2286" s="191"/>
      <c r="AB2286" s="191"/>
      <c r="AC2286" s="191"/>
      <c r="AD2286" s="16"/>
      <c r="AE2286" s="16"/>
      <c r="AF2286" s="16"/>
      <c r="AG2286" s="16"/>
      <c r="AH2286" s="16"/>
      <c r="AI2286" s="16"/>
      <c r="AJ2286" s="16"/>
      <c r="AK2286" s="16"/>
      <c r="AL2286" s="16"/>
      <c r="AM2286" s="16"/>
      <c r="AN2286" s="16"/>
      <c r="AO2286" s="16"/>
      <c r="AP2286" s="16"/>
      <c r="AQ2286" s="16"/>
      <c r="AR2286" s="16"/>
      <c r="AS2286" s="16"/>
    </row>
    <row r="2287" spans="18:45" x14ac:dyDescent="0.35">
      <c r="R2287" s="191"/>
      <c r="S2287" s="191"/>
      <c r="T2287" s="193"/>
      <c r="U2287" s="191"/>
      <c r="V2287" s="194"/>
      <c r="W2287" s="191"/>
      <c r="Y2287" s="191"/>
      <c r="Z2287" s="191"/>
      <c r="AA2287" s="191"/>
      <c r="AB2287" s="191"/>
      <c r="AC2287" s="191"/>
      <c r="AD2287" s="16"/>
      <c r="AE2287" s="16"/>
      <c r="AF2287" s="16"/>
      <c r="AG2287" s="16"/>
      <c r="AH2287" s="16"/>
      <c r="AI2287" s="16"/>
      <c r="AJ2287" s="16"/>
      <c r="AK2287" s="16"/>
      <c r="AL2287" s="16"/>
      <c r="AM2287" s="16"/>
      <c r="AN2287" s="16"/>
      <c r="AO2287" s="16"/>
      <c r="AP2287" s="16"/>
      <c r="AQ2287" s="16"/>
      <c r="AR2287" s="16"/>
      <c r="AS2287" s="16"/>
    </row>
    <row r="2288" spans="18:45" x14ac:dyDescent="0.35">
      <c r="R2288" s="191"/>
      <c r="S2288" s="191"/>
      <c r="T2288" s="193"/>
      <c r="U2288" s="191"/>
      <c r="V2288" s="194"/>
      <c r="W2288" s="191"/>
      <c r="Y2288" s="191"/>
      <c r="Z2288" s="191"/>
      <c r="AA2288" s="191"/>
      <c r="AB2288" s="191"/>
      <c r="AC2288" s="191"/>
      <c r="AD2288" s="16"/>
      <c r="AE2288" s="16"/>
      <c r="AF2288" s="16"/>
      <c r="AG2288" s="16"/>
      <c r="AH2288" s="16"/>
      <c r="AI2288" s="16"/>
      <c r="AJ2288" s="16"/>
      <c r="AK2288" s="16"/>
      <c r="AL2288" s="16"/>
      <c r="AM2288" s="16"/>
      <c r="AN2288" s="16"/>
      <c r="AO2288" s="16"/>
      <c r="AP2288" s="16"/>
      <c r="AQ2288" s="16"/>
      <c r="AR2288" s="16"/>
      <c r="AS2288" s="16"/>
    </row>
    <row r="2289" spans="18:45" x14ac:dyDescent="0.35">
      <c r="R2289" s="191"/>
      <c r="S2289" s="191"/>
      <c r="T2289" s="193"/>
      <c r="U2289" s="191"/>
      <c r="V2289" s="194"/>
      <c r="W2289" s="191"/>
      <c r="Y2289" s="191"/>
      <c r="Z2289" s="191"/>
      <c r="AA2289" s="191"/>
      <c r="AB2289" s="191"/>
      <c r="AC2289" s="191"/>
      <c r="AD2289" s="16"/>
      <c r="AE2289" s="16"/>
      <c r="AF2289" s="16"/>
      <c r="AG2289" s="16"/>
      <c r="AH2289" s="16"/>
      <c r="AI2289" s="16"/>
      <c r="AJ2289" s="16"/>
      <c r="AK2289" s="16"/>
      <c r="AL2289" s="16"/>
      <c r="AM2289" s="16"/>
      <c r="AN2289" s="16"/>
      <c r="AO2289" s="16"/>
      <c r="AP2289" s="16"/>
      <c r="AQ2289" s="16"/>
      <c r="AR2289" s="16"/>
      <c r="AS2289" s="16"/>
    </row>
    <row r="2290" spans="18:45" x14ac:dyDescent="0.35">
      <c r="R2290" s="191"/>
      <c r="S2290" s="191"/>
      <c r="T2290" s="193"/>
      <c r="U2290" s="191"/>
      <c r="V2290" s="194"/>
      <c r="W2290" s="191"/>
      <c r="Y2290" s="191"/>
      <c r="Z2290" s="191"/>
      <c r="AA2290" s="191"/>
      <c r="AB2290" s="191"/>
      <c r="AC2290" s="191"/>
      <c r="AD2290" s="16"/>
      <c r="AE2290" s="16"/>
      <c r="AF2290" s="16"/>
      <c r="AG2290" s="16"/>
      <c r="AH2290" s="16"/>
      <c r="AI2290" s="16"/>
      <c r="AJ2290" s="16"/>
      <c r="AK2290" s="16"/>
      <c r="AL2290" s="16"/>
      <c r="AM2290" s="16"/>
      <c r="AN2290" s="16"/>
      <c r="AO2290" s="16"/>
      <c r="AP2290" s="16"/>
      <c r="AQ2290" s="16"/>
      <c r="AR2290" s="16"/>
      <c r="AS2290" s="16"/>
    </row>
    <row r="2291" spans="18:45" x14ac:dyDescent="0.35">
      <c r="R2291" s="191"/>
      <c r="S2291" s="191"/>
      <c r="T2291" s="193"/>
      <c r="U2291" s="191"/>
      <c r="V2291" s="194"/>
      <c r="W2291" s="191"/>
      <c r="Y2291" s="191"/>
      <c r="Z2291" s="191"/>
      <c r="AA2291" s="191"/>
      <c r="AB2291" s="191"/>
      <c r="AC2291" s="191"/>
      <c r="AD2291" s="16"/>
      <c r="AE2291" s="16"/>
      <c r="AF2291" s="16"/>
      <c r="AG2291" s="16"/>
      <c r="AH2291" s="16"/>
      <c r="AI2291" s="16"/>
      <c r="AJ2291" s="16"/>
      <c r="AK2291" s="16"/>
      <c r="AL2291" s="16"/>
      <c r="AM2291" s="16"/>
      <c r="AN2291" s="16"/>
      <c r="AO2291" s="16"/>
      <c r="AP2291" s="16"/>
      <c r="AQ2291" s="16"/>
      <c r="AR2291" s="16"/>
      <c r="AS2291" s="16"/>
    </row>
    <row r="2292" spans="18:45" x14ac:dyDescent="0.35">
      <c r="R2292" s="191"/>
      <c r="S2292" s="191"/>
      <c r="T2292" s="193"/>
      <c r="U2292" s="191"/>
      <c r="V2292" s="194"/>
      <c r="W2292" s="191"/>
      <c r="Y2292" s="191"/>
      <c r="Z2292" s="191"/>
      <c r="AA2292" s="191"/>
      <c r="AB2292" s="191"/>
      <c r="AC2292" s="191"/>
      <c r="AD2292" s="16"/>
      <c r="AE2292" s="16"/>
      <c r="AF2292" s="16"/>
      <c r="AG2292" s="16"/>
      <c r="AH2292" s="16"/>
      <c r="AI2292" s="16"/>
      <c r="AJ2292" s="16"/>
      <c r="AK2292" s="16"/>
      <c r="AL2292" s="16"/>
      <c r="AM2292" s="16"/>
      <c r="AN2292" s="16"/>
      <c r="AO2292" s="16"/>
      <c r="AP2292" s="16"/>
      <c r="AQ2292" s="16"/>
      <c r="AR2292" s="16"/>
      <c r="AS2292" s="16"/>
    </row>
    <row r="2293" spans="18:45" x14ac:dyDescent="0.35">
      <c r="R2293" s="191"/>
      <c r="S2293" s="191"/>
      <c r="T2293" s="193"/>
      <c r="U2293" s="191"/>
      <c r="V2293" s="194"/>
      <c r="W2293" s="191"/>
      <c r="Y2293" s="191"/>
      <c r="Z2293" s="191"/>
      <c r="AA2293" s="191"/>
      <c r="AB2293" s="191"/>
      <c r="AC2293" s="191"/>
      <c r="AD2293" s="16"/>
      <c r="AE2293" s="16"/>
      <c r="AF2293" s="16"/>
      <c r="AG2293" s="16"/>
      <c r="AH2293" s="16"/>
      <c r="AI2293" s="16"/>
      <c r="AJ2293" s="16"/>
      <c r="AK2293" s="16"/>
      <c r="AL2293" s="16"/>
      <c r="AM2293" s="16"/>
      <c r="AN2293" s="16"/>
      <c r="AO2293" s="16"/>
      <c r="AP2293" s="16"/>
      <c r="AQ2293" s="16"/>
      <c r="AR2293" s="16"/>
      <c r="AS2293" s="16"/>
    </row>
    <row r="2294" spans="18:45" x14ac:dyDescent="0.35">
      <c r="R2294" s="191"/>
      <c r="S2294" s="191"/>
      <c r="T2294" s="193"/>
      <c r="U2294" s="191"/>
      <c r="V2294" s="194"/>
      <c r="W2294" s="191"/>
      <c r="Y2294" s="191"/>
      <c r="Z2294" s="191"/>
      <c r="AA2294" s="191"/>
      <c r="AB2294" s="191"/>
      <c r="AC2294" s="191"/>
      <c r="AD2294" s="16"/>
      <c r="AE2294" s="16"/>
      <c r="AF2294" s="16"/>
      <c r="AG2294" s="16"/>
      <c r="AH2294" s="16"/>
      <c r="AI2294" s="16"/>
      <c r="AJ2294" s="16"/>
      <c r="AK2294" s="16"/>
      <c r="AL2294" s="16"/>
      <c r="AM2294" s="16"/>
      <c r="AN2294" s="16"/>
      <c r="AO2294" s="16"/>
      <c r="AP2294" s="16"/>
      <c r="AQ2294" s="16"/>
      <c r="AR2294" s="16"/>
      <c r="AS2294" s="16"/>
    </row>
    <row r="2295" spans="18:45" x14ac:dyDescent="0.35">
      <c r="R2295" s="191"/>
      <c r="S2295" s="191"/>
      <c r="T2295" s="193"/>
      <c r="U2295" s="191"/>
      <c r="V2295" s="194"/>
      <c r="W2295" s="191"/>
      <c r="Y2295" s="191"/>
      <c r="Z2295" s="191"/>
      <c r="AA2295" s="191"/>
      <c r="AB2295" s="191"/>
      <c r="AC2295" s="191"/>
      <c r="AD2295" s="16"/>
      <c r="AE2295" s="16"/>
      <c r="AF2295" s="16"/>
      <c r="AG2295" s="16"/>
      <c r="AH2295" s="16"/>
      <c r="AI2295" s="16"/>
      <c r="AJ2295" s="16"/>
      <c r="AK2295" s="16"/>
      <c r="AL2295" s="16"/>
      <c r="AM2295" s="16"/>
      <c r="AN2295" s="16"/>
      <c r="AO2295" s="16"/>
      <c r="AP2295" s="16"/>
      <c r="AQ2295" s="16"/>
      <c r="AR2295" s="16"/>
      <c r="AS2295" s="16"/>
    </row>
    <row r="2296" spans="18:45" x14ac:dyDescent="0.35">
      <c r="R2296" s="191"/>
      <c r="S2296" s="191"/>
      <c r="T2296" s="193"/>
      <c r="U2296" s="191"/>
      <c r="V2296" s="194"/>
      <c r="W2296" s="191"/>
      <c r="Y2296" s="191"/>
      <c r="Z2296" s="191"/>
      <c r="AA2296" s="191"/>
      <c r="AB2296" s="191"/>
      <c r="AC2296" s="191"/>
      <c r="AD2296" s="16"/>
      <c r="AE2296" s="16"/>
      <c r="AF2296" s="16"/>
      <c r="AG2296" s="16"/>
      <c r="AH2296" s="16"/>
      <c r="AI2296" s="16"/>
      <c r="AJ2296" s="16"/>
      <c r="AK2296" s="16"/>
      <c r="AL2296" s="16"/>
      <c r="AM2296" s="16"/>
      <c r="AN2296" s="16"/>
      <c r="AO2296" s="16"/>
      <c r="AP2296" s="16"/>
      <c r="AQ2296" s="16"/>
      <c r="AR2296" s="16"/>
      <c r="AS2296" s="16"/>
    </row>
    <row r="2297" spans="18:45" x14ac:dyDescent="0.35">
      <c r="R2297" s="191"/>
      <c r="S2297" s="191"/>
      <c r="T2297" s="193"/>
      <c r="U2297" s="191"/>
      <c r="V2297" s="194"/>
      <c r="W2297" s="191"/>
      <c r="Y2297" s="191"/>
      <c r="Z2297" s="191"/>
      <c r="AA2297" s="191"/>
      <c r="AB2297" s="191"/>
      <c r="AC2297" s="191"/>
      <c r="AD2297" s="16"/>
      <c r="AE2297" s="16"/>
      <c r="AF2297" s="16"/>
      <c r="AG2297" s="16"/>
      <c r="AH2297" s="16"/>
      <c r="AI2297" s="16"/>
      <c r="AJ2297" s="16"/>
      <c r="AK2297" s="16"/>
      <c r="AL2297" s="16"/>
      <c r="AM2297" s="16"/>
      <c r="AN2297" s="16"/>
      <c r="AO2297" s="16"/>
      <c r="AP2297" s="16"/>
      <c r="AQ2297" s="16"/>
      <c r="AR2297" s="16"/>
      <c r="AS2297" s="16"/>
    </row>
    <row r="2298" spans="18:45" x14ac:dyDescent="0.35">
      <c r="R2298" s="191"/>
      <c r="S2298" s="191"/>
      <c r="T2298" s="193"/>
      <c r="U2298" s="191"/>
      <c r="V2298" s="194"/>
      <c r="W2298" s="191"/>
      <c r="Y2298" s="191"/>
      <c r="Z2298" s="191"/>
      <c r="AA2298" s="191"/>
      <c r="AB2298" s="191"/>
      <c r="AC2298" s="191"/>
      <c r="AD2298" s="16"/>
      <c r="AE2298" s="16"/>
      <c r="AF2298" s="16"/>
      <c r="AG2298" s="16"/>
      <c r="AH2298" s="16"/>
      <c r="AI2298" s="16"/>
      <c r="AJ2298" s="16"/>
      <c r="AK2298" s="16"/>
      <c r="AL2298" s="16"/>
      <c r="AM2298" s="16"/>
      <c r="AN2298" s="16"/>
      <c r="AO2298" s="16"/>
      <c r="AP2298" s="16"/>
      <c r="AQ2298" s="16"/>
      <c r="AR2298" s="16"/>
      <c r="AS2298" s="16"/>
    </row>
    <row r="2299" spans="18:45" x14ac:dyDescent="0.35">
      <c r="R2299" s="191"/>
      <c r="S2299" s="191"/>
      <c r="T2299" s="193"/>
      <c r="U2299" s="191"/>
      <c r="V2299" s="194"/>
      <c r="W2299" s="191"/>
      <c r="Y2299" s="191"/>
      <c r="Z2299" s="191"/>
      <c r="AA2299" s="191"/>
      <c r="AB2299" s="191"/>
      <c r="AC2299" s="191"/>
      <c r="AD2299" s="16"/>
      <c r="AE2299" s="16"/>
      <c r="AF2299" s="16"/>
      <c r="AG2299" s="16"/>
      <c r="AH2299" s="16"/>
      <c r="AI2299" s="16"/>
      <c r="AJ2299" s="16"/>
      <c r="AK2299" s="16"/>
      <c r="AL2299" s="16"/>
      <c r="AM2299" s="16"/>
      <c r="AN2299" s="16"/>
      <c r="AO2299" s="16"/>
      <c r="AP2299" s="16"/>
      <c r="AQ2299" s="16"/>
      <c r="AR2299" s="16"/>
      <c r="AS2299" s="16"/>
    </row>
    <row r="2300" spans="18:45" x14ac:dyDescent="0.35">
      <c r="R2300" s="191"/>
      <c r="S2300" s="191"/>
      <c r="T2300" s="193"/>
      <c r="U2300" s="191"/>
      <c r="V2300" s="194"/>
      <c r="W2300" s="191"/>
      <c r="Y2300" s="191"/>
      <c r="Z2300" s="191"/>
      <c r="AA2300" s="191"/>
      <c r="AB2300" s="191"/>
      <c r="AC2300" s="191"/>
      <c r="AD2300" s="16"/>
      <c r="AE2300" s="16"/>
      <c r="AF2300" s="16"/>
      <c r="AG2300" s="16"/>
      <c r="AH2300" s="16"/>
      <c r="AI2300" s="16"/>
      <c r="AJ2300" s="16"/>
      <c r="AK2300" s="16"/>
      <c r="AL2300" s="16"/>
      <c r="AM2300" s="16"/>
      <c r="AN2300" s="16"/>
      <c r="AO2300" s="16"/>
      <c r="AP2300" s="16"/>
      <c r="AQ2300" s="16"/>
      <c r="AR2300" s="16"/>
      <c r="AS2300" s="16"/>
    </row>
    <row r="2301" spans="18:45" x14ac:dyDescent="0.35">
      <c r="R2301" s="191"/>
      <c r="S2301" s="191"/>
      <c r="T2301" s="193"/>
      <c r="U2301" s="191"/>
      <c r="V2301" s="194"/>
      <c r="W2301" s="191"/>
      <c r="Y2301" s="191"/>
      <c r="Z2301" s="191"/>
      <c r="AA2301" s="191"/>
      <c r="AB2301" s="191"/>
      <c r="AC2301" s="191"/>
      <c r="AD2301" s="16"/>
      <c r="AE2301" s="16"/>
      <c r="AF2301" s="16"/>
      <c r="AG2301" s="16"/>
      <c r="AH2301" s="16"/>
      <c r="AI2301" s="16"/>
      <c r="AJ2301" s="16"/>
      <c r="AK2301" s="16"/>
      <c r="AL2301" s="16"/>
      <c r="AM2301" s="16"/>
      <c r="AN2301" s="16"/>
      <c r="AO2301" s="16"/>
      <c r="AP2301" s="16"/>
      <c r="AQ2301" s="16"/>
      <c r="AR2301" s="16"/>
      <c r="AS2301" s="16"/>
    </row>
    <row r="2302" spans="18:45" x14ac:dyDescent="0.35">
      <c r="R2302" s="191"/>
      <c r="S2302" s="191"/>
      <c r="T2302" s="193"/>
      <c r="U2302" s="191"/>
      <c r="V2302" s="194"/>
      <c r="W2302" s="191"/>
      <c r="Y2302" s="191"/>
      <c r="Z2302" s="191"/>
      <c r="AA2302" s="191"/>
      <c r="AB2302" s="191"/>
      <c r="AC2302" s="191"/>
      <c r="AD2302" s="16"/>
      <c r="AE2302" s="16"/>
      <c r="AF2302" s="16"/>
      <c r="AG2302" s="16"/>
      <c r="AH2302" s="16"/>
      <c r="AI2302" s="16"/>
      <c r="AJ2302" s="16"/>
      <c r="AK2302" s="16"/>
      <c r="AL2302" s="16"/>
      <c r="AM2302" s="16"/>
      <c r="AN2302" s="16"/>
      <c r="AO2302" s="16"/>
      <c r="AP2302" s="16"/>
      <c r="AQ2302" s="16"/>
      <c r="AR2302" s="16"/>
      <c r="AS2302" s="16"/>
    </row>
    <row r="2303" spans="18:45" x14ac:dyDescent="0.35">
      <c r="R2303" s="191"/>
      <c r="S2303" s="191"/>
      <c r="T2303" s="193"/>
      <c r="U2303" s="191"/>
      <c r="V2303" s="194"/>
      <c r="W2303" s="191"/>
      <c r="Y2303" s="191"/>
      <c r="Z2303" s="191"/>
      <c r="AA2303" s="191"/>
      <c r="AB2303" s="191"/>
      <c r="AC2303" s="191"/>
      <c r="AD2303" s="16"/>
      <c r="AE2303" s="16"/>
      <c r="AF2303" s="16"/>
      <c r="AG2303" s="16"/>
      <c r="AH2303" s="16"/>
      <c r="AI2303" s="16"/>
      <c r="AJ2303" s="16"/>
      <c r="AK2303" s="16"/>
      <c r="AL2303" s="16"/>
      <c r="AM2303" s="16"/>
      <c r="AN2303" s="16"/>
      <c r="AO2303" s="16"/>
      <c r="AP2303" s="16"/>
      <c r="AQ2303" s="16"/>
      <c r="AR2303" s="16"/>
      <c r="AS2303" s="16"/>
    </row>
    <row r="2304" spans="18:45" x14ac:dyDescent="0.35">
      <c r="R2304" s="191"/>
      <c r="S2304" s="191"/>
      <c r="T2304" s="193"/>
      <c r="U2304" s="191"/>
      <c r="V2304" s="194"/>
      <c r="W2304" s="191"/>
      <c r="Y2304" s="191"/>
      <c r="Z2304" s="191"/>
      <c r="AA2304" s="191"/>
      <c r="AB2304" s="191"/>
      <c r="AC2304" s="191"/>
      <c r="AD2304" s="16"/>
      <c r="AE2304" s="16"/>
      <c r="AF2304" s="16"/>
      <c r="AG2304" s="16"/>
      <c r="AH2304" s="16"/>
      <c r="AI2304" s="16"/>
      <c r="AJ2304" s="16"/>
      <c r="AK2304" s="16"/>
      <c r="AL2304" s="16"/>
      <c r="AM2304" s="16"/>
      <c r="AN2304" s="16"/>
      <c r="AO2304" s="16"/>
      <c r="AP2304" s="16"/>
      <c r="AQ2304" s="16"/>
      <c r="AR2304" s="16"/>
      <c r="AS2304" s="16"/>
    </row>
    <row r="2305" spans="18:45" x14ac:dyDescent="0.35">
      <c r="R2305" s="191"/>
      <c r="S2305" s="191"/>
      <c r="T2305" s="193"/>
      <c r="U2305" s="191"/>
      <c r="V2305" s="194"/>
      <c r="W2305" s="191"/>
      <c r="Y2305" s="191"/>
      <c r="Z2305" s="191"/>
      <c r="AA2305" s="191"/>
      <c r="AB2305" s="191"/>
      <c r="AC2305" s="191"/>
      <c r="AD2305" s="16"/>
      <c r="AE2305" s="16"/>
      <c r="AF2305" s="16"/>
      <c r="AG2305" s="16"/>
      <c r="AH2305" s="16"/>
      <c r="AI2305" s="16"/>
      <c r="AJ2305" s="16"/>
      <c r="AK2305" s="16"/>
      <c r="AL2305" s="16"/>
      <c r="AM2305" s="16"/>
      <c r="AN2305" s="16"/>
      <c r="AO2305" s="16"/>
      <c r="AP2305" s="16"/>
      <c r="AQ2305" s="16"/>
      <c r="AR2305" s="16"/>
      <c r="AS2305" s="16"/>
    </row>
    <row r="2306" spans="18:45" x14ac:dyDescent="0.35">
      <c r="R2306" s="191"/>
      <c r="S2306" s="191"/>
      <c r="T2306" s="193"/>
      <c r="U2306" s="191"/>
      <c r="V2306" s="194"/>
      <c r="W2306" s="191"/>
      <c r="Y2306" s="191"/>
      <c r="Z2306" s="191"/>
      <c r="AA2306" s="191"/>
      <c r="AB2306" s="191"/>
      <c r="AC2306" s="191"/>
      <c r="AD2306" s="16"/>
      <c r="AE2306" s="16"/>
      <c r="AF2306" s="16"/>
      <c r="AG2306" s="16"/>
      <c r="AH2306" s="16"/>
      <c r="AI2306" s="16"/>
      <c r="AJ2306" s="16"/>
      <c r="AK2306" s="16"/>
      <c r="AL2306" s="16"/>
      <c r="AM2306" s="16"/>
      <c r="AN2306" s="16"/>
      <c r="AO2306" s="16"/>
      <c r="AP2306" s="16"/>
      <c r="AQ2306" s="16"/>
      <c r="AR2306" s="16"/>
      <c r="AS2306" s="16"/>
    </row>
    <row r="2307" spans="18:45" x14ac:dyDescent="0.35">
      <c r="R2307" s="191"/>
      <c r="S2307" s="191"/>
      <c r="T2307" s="193"/>
      <c r="U2307" s="191"/>
      <c r="V2307" s="194"/>
      <c r="W2307" s="191"/>
      <c r="Y2307" s="191"/>
      <c r="Z2307" s="191"/>
      <c r="AA2307" s="191"/>
      <c r="AB2307" s="191"/>
      <c r="AC2307" s="191"/>
      <c r="AD2307" s="16"/>
      <c r="AE2307" s="16"/>
      <c r="AF2307" s="16"/>
      <c r="AG2307" s="16"/>
      <c r="AH2307" s="16"/>
      <c r="AI2307" s="16"/>
      <c r="AJ2307" s="16"/>
      <c r="AK2307" s="16"/>
      <c r="AL2307" s="16"/>
      <c r="AM2307" s="16"/>
      <c r="AN2307" s="16"/>
      <c r="AO2307" s="16"/>
      <c r="AP2307" s="16"/>
      <c r="AQ2307" s="16"/>
      <c r="AR2307" s="16"/>
      <c r="AS2307" s="16"/>
    </row>
    <row r="2308" spans="18:45" x14ac:dyDescent="0.35">
      <c r="R2308" s="191"/>
      <c r="S2308" s="191"/>
      <c r="T2308" s="193"/>
      <c r="U2308" s="191"/>
      <c r="V2308" s="194"/>
      <c r="W2308" s="191"/>
      <c r="Y2308" s="191"/>
      <c r="Z2308" s="191"/>
      <c r="AA2308" s="191"/>
      <c r="AB2308" s="191"/>
      <c r="AC2308" s="191"/>
      <c r="AD2308" s="16"/>
      <c r="AE2308" s="16"/>
      <c r="AF2308" s="16"/>
      <c r="AG2308" s="16"/>
      <c r="AH2308" s="16"/>
      <c r="AI2308" s="16"/>
      <c r="AJ2308" s="16"/>
      <c r="AK2308" s="16"/>
      <c r="AL2308" s="16"/>
      <c r="AM2308" s="16"/>
      <c r="AN2308" s="16"/>
      <c r="AO2308" s="16"/>
      <c r="AP2308" s="16"/>
      <c r="AQ2308" s="16"/>
      <c r="AR2308" s="16"/>
      <c r="AS2308" s="16"/>
    </row>
    <row r="2309" spans="18:45" x14ac:dyDescent="0.35">
      <c r="R2309" s="191"/>
      <c r="S2309" s="191"/>
      <c r="T2309" s="193"/>
      <c r="U2309" s="191"/>
      <c r="V2309" s="194"/>
      <c r="W2309" s="191"/>
      <c r="Y2309" s="191"/>
      <c r="Z2309" s="191"/>
      <c r="AA2309" s="191"/>
      <c r="AB2309" s="191"/>
      <c r="AC2309" s="191"/>
      <c r="AD2309" s="16"/>
      <c r="AE2309" s="16"/>
      <c r="AF2309" s="16"/>
      <c r="AG2309" s="16"/>
      <c r="AH2309" s="16"/>
      <c r="AI2309" s="16"/>
      <c r="AJ2309" s="16"/>
      <c r="AK2309" s="16"/>
      <c r="AL2309" s="16"/>
      <c r="AM2309" s="16"/>
      <c r="AN2309" s="16"/>
      <c r="AO2309" s="16"/>
      <c r="AP2309" s="16"/>
      <c r="AQ2309" s="16"/>
      <c r="AR2309" s="16"/>
      <c r="AS2309" s="16"/>
    </row>
    <row r="2310" spans="18:45" x14ac:dyDescent="0.35">
      <c r="R2310" s="191"/>
      <c r="S2310" s="191"/>
      <c r="T2310" s="193"/>
      <c r="U2310" s="191"/>
      <c r="V2310" s="194"/>
      <c r="W2310" s="191"/>
      <c r="Y2310" s="191"/>
      <c r="Z2310" s="191"/>
      <c r="AA2310" s="191"/>
      <c r="AB2310" s="191"/>
      <c r="AC2310" s="191"/>
      <c r="AD2310" s="16"/>
      <c r="AE2310" s="16"/>
      <c r="AF2310" s="16"/>
      <c r="AG2310" s="16"/>
      <c r="AH2310" s="16"/>
      <c r="AI2310" s="16"/>
      <c r="AJ2310" s="16"/>
      <c r="AK2310" s="16"/>
      <c r="AL2310" s="16"/>
      <c r="AM2310" s="16"/>
      <c r="AN2310" s="16"/>
      <c r="AO2310" s="16"/>
      <c r="AP2310" s="16"/>
      <c r="AQ2310" s="16"/>
      <c r="AR2310" s="16"/>
      <c r="AS2310" s="16"/>
    </row>
    <row r="2311" spans="18:45" x14ac:dyDescent="0.35">
      <c r="R2311" s="191"/>
      <c r="S2311" s="191"/>
      <c r="T2311" s="193"/>
      <c r="U2311" s="191"/>
      <c r="V2311" s="194"/>
      <c r="W2311" s="191"/>
      <c r="Y2311" s="191"/>
      <c r="Z2311" s="191"/>
      <c r="AA2311" s="191"/>
      <c r="AB2311" s="191"/>
      <c r="AC2311" s="191"/>
      <c r="AD2311" s="16"/>
      <c r="AE2311" s="16"/>
      <c r="AF2311" s="16"/>
      <c r="AG2311" s="16"/>
      <c r="AH2311" s="16"/>
      <c r="AI2311" s="16"/>
      <c r="AJ2311" s="16"/>
      <c r="AK2311" s="16"/>
      <c r="AL2311" s="16"/>
      <c r="AM2311" s="16"/>
      <c r="AN2311" s="16"/>
      <c r="AO2311" s="16"/>
      <c r="AP2311" s="16"/>
      <c r="AQ2311" s="16"/>
      <c r="AR2311" s="16"/>
      <c r="AS2311" s="16"/>
    </row>
    <row r="2312" spans="18:45" x14ac:dyDescent="0.35">
      <c r="R2312" s="191"/>
      <c r="S2312" s="191"/>
      <c r="T2312" s="193"/>
      <c r="U2312" s="191"/>
      <c r="V2312" s="194"/>
      <c r="W2312" s="191"/>
      <c r="Y2312" s="191"/>
      <c r="Z2312" s="191"/>
      <c r="AA2312" s="191"/>
      <c r="AB2312" s="191"/>
      <c r="AC2312" s="191"/>
      <c r="AD2312" s="16"/>
      <c r="AE2312" s="16"/>
      <c r="AF2312" s="16"/>
      <c r="AG2312" s="16"/>
      <c r="AH2312" s="16"/>
      <c r="AI2312" s="16"/>
      <c r="AJ2312" s="16"/>
      <c r="AK2312" s="16"/>
      <c r="AL2312" s="16"/>
      <c r="AM2312" s="16"/>
      <c r="AN2312" s="16"/>
      <c r="AO2312" s="16"/>
      <c r="AP2312" s="16"/>
      <c r="AQ2312" s="16"/>
      <c r="AR2312" s="16"/>
      <c r="AS2312" s="16"/>
    </row>
    <row r="2313" spans="18:45" x14ac:dyDescent="0.35">
      <c r="R2313" s="191"/>
      <c r="S2313" s="191"/>
      <c r="T2313" s="193"/>
      <c r="U2313" s="191"/>
      <c r="V2313" s="194"/>
      <c r="W2313" s="191"/>
      <c r="Y2313" s="191"/>
      <c r="Z2313" s="191"/>
      <c r="AA2313" s="191"/>
      <c r="AB2313" s="191"/>
      <c r="AC2313" s="191"/>
      <c r="AD2313" s="16"/>
      <c r="AE2313" s="16"/>
      <c r="AF2313" s="16"/>
      <c r="AG2313" s="16"/>
      <c r="AH2313" s="16"/>
      <c r="AI2313" s="16"/>
      <c r="AJ2313" s="16"/>
      <c r="AK2313" s="16"/>
      <c r="AL2313" s="16"/>
      <c r="AM2313" s="16"/>
      <c r="AN2313" s="16"/>
      <c r="AO2313" s="16"/>
      <c r="AP2313" s="16"/>
      <c r="AQ2313" s="16"/>
      <c r="AR2313" s="16"/>
      <c r="AS2313" s="16"/>
    </row>
    <row r="2314" spans="18:45" x14ac:dyDescent="0.35">
      <c r="R2314" s="191"/>
      <c r="S2314" s="191"/>
      <c r="T2314" s="193"/>
      <c r="U2314" s="191"/>
      <c r="V2314" s="194"/>
      <c r="W2314" s="191"/>
      <c r="Y2314" s="191"/>
      <c r="Z2314" s="191"/>
      <c r="AA2314" s="191"/>
      <c r="AB2314" s="191"/>
      <c r="AC2314" s="191"/>
      <c r="AD2314" s="16"/>
      <c r="AE2314" s="16"/>
      <c r="AF2314" s="16"/>
      <c r="AG2314" s="16"/>
      <c r="AH2314" s="16"/>
      <c r="AI2314" s="16"/>
      <c r="AJ2314" s="16"/>
      <c r="AK2314" s="16"/>
      <c r="AL2314" s="16"/>
      <c r="AM2314" s="16"/>
      <c r="AN2314" s="16"/>
      <c r="AO2314" s="16"/>
      <c r="AP2314" s="16"/>
      <c r="AQ2314" s="16"/>
      <c r="AR2314" s="16"/>
      <c r="AS2314" s="16"/>
    </row>
    <row r="2315" spans="18:45" x14ac:dyDescent="0.35">
      <c r="R2315" s="191"/>
      <c r="S2315" s="191"/>
      <c r="T2315" s="193"/>
      <c r="U2315" s="191"/>
      <c r="V2315" s="194"/>
      <c r="W2315" s="191"/>
      <c r="Y2315" s="191"/>
      <c r="Z2315" s="191"/>
      <c r="AA2315" s="191"/>
      <c r="AB2315" s="191"/>
      <c r="AC2315" s="191"/>
      <c r="AD2315" s="16"/>
      <c r="AE2315" s="16"/>
      <c r="AF2315" s="16"/>
      <c r="AG2315" s="16"/>
      <c r="AH2315" s="16"/>
      <c r="AI2315" s="16"/>
      <c r="AJ2315" s="16"/>
      <c r="AK2315" s="16"/>
      <c r="AL2315" s="16"/>
      <c r="AM2315" s="16"/>
      <c r="AN2315" s="16"/>
      <c r="AO2315" s="16"/>
      <c r="AP2315" s="16"/>
      <c r="AQ2315" s="16"/>
      <c r="AR2315" s="16"/>
      <c r="AS2315" s="16"/>
    </row>
    <row r="2316" spans="18:45" x14ac:dyDescent="0.35">
      <c r="R2316" s="191"/>
      <c r="S2316" s="191"/>
      <c r="T2316" s="193"/>
      <c r="U2316" s="191"/>
      <c r="V2316" s="194"/>
      <c r="W2316" s="191"/>
      <c r="Y2316" s="191"/>
      <c r="Z2316" s="191"/>
      <c r="AA2316" s="191"/>
      <c r="AB2316" s="191"/>
      <c r="AC2316" s="191"/>
      <c r="AD2316" s="16"/>
      <c r="AE2316" s="16"/>
      <c r="AF2316" s="16"/>
      <c r="AG2316" s="16"/>
      <c r="AH2316" s="16"/>
      <c r="AI2316" s="16"/>
      <c r="AJ2316" s="16"/>
      <c r="AK2316" s="16"/>
      <c r="AL2316" s="16"/>
      <c r="AM2316" s="16"/>
      <c r="AN2316" s="16"/>
      <c r="AO2316" s="16"/>
      <c r="AP2316" s="16"/>
      <c r="AQ2316" s="16"/>
      <c r="AR2316" s="16"/>
      <c r="AS2316" s="16"/>
    </row>
    <row r="2317" spans="18:45" x14ac:dyDescent="0.35">
      <c r="R2317" s="191"/>
      <c r="S2317" s="191"/>
      <c r="T2317" s="193"/>
      <c r="U2317" s="191"/>
      <c r="V2317" s="194"/>
      <c r="W2317" s="191"/>
      <c r="Y2317" s="191"/>
      <c r="Z2317" s="191"/>
      <c r="AA2317" s="191"/>
      <c r="AB2317" s="191"/>
      <c r="AC2317" s="191"/>
      <c r="AD2317" s="16"/>
      <c r="AE2317" s="16"/>
      <c r="AF2317" s="16"/>
      <c r="AG2317" s="16"/>
      <c r="AH2317" s="16"/>
      <c r="AI2317" s="16"/>
      <c r="AJ2317" s="16"/>
      <c r="AK2317" s="16"/>
      <c r="AL2317" s="16"/>
      <c r="AM2317" s="16"/>
      <c r="AN2317" s="16"/>
      <c r="AO2317" s="16"/>
      <c r="AP2317" s="16"/>
      <c r="AQ2317" s="16"/>
      <c r="AR2317" s="16"/>
      <c r="AS2317" s="16"/>
    </row>
    <row r="2318" spans="18:45" x14ac:dyDescent="0.35">
      <c r="R2318" s="191"/>
      <c r="S2318" s="191"/>
      <c r="T2318" s="193"/>
      <c r="U2318" s="191"/>
      <c r="V2318" s="194"/>
      <c r="W2318" s="191"/>
      <c r="Y2318" s="191"/>
      <c r="Z2318" s="191"/>
      <c r="AA2318" s="191"/>
      <c r="AB2318" s="191"/>
      <c r="AC2318" s="191"/>
      <c r="AD2318" s="16"/>
      <c r="AE2318" s="16"/>
      <c r="AF2318" s="16"/>
      <c r="AG2318" s="16"/>
      <c r="AH2318" s="16"/>
      <c r="AI2318" s="16"/>
      <c r="AJ2318" s="16"/>
      <c r="AK2318" s="16"/>
      <c r="AL2318" s="16"/>
      <c r="AM2318" s="16"/>
      <c r="AN2318" s="16"/>
      <c r="AO2318" s="16"/>
      <c r="AP2318" s="16"/>
      <c r="AQ2318" s="16"/>
      <c r="AR2318" s="16"/>
      <c r="AS2318" s="16"/>
    </row>
    <row r="2319" spans="18:45" x14ac:dyDescent="0.35">
      <c r="R2319" s="191"/>
      <c r="S2319" s="191"/>
      <c r="T2319" s="193"/>
      <c r="U2319" s="191"/>
      <c r="V2319" s="194"/>
      <c r="W2319" s="191"/>
      <c r="Y2319" s="191"/>
      <c r="Z2319" s="191"/>
      <c r="AA2319" s="191"/>
      <c r="AB2319" s="191"/>
      <c r="AC2319" s="191"/>
      <c r="AD2319" s="16"/>
      <c r="AE2319" s="16"/>
      <c r="AF2319" s="16"/>
      <c r="AG2319" s="16"/>
      <c r="AH2319" s="16"/>
      <c r="AI2319" s="16"/>
      <c r="AJ2319" s="16"/>
      <c r="AK2319" s="16"/>
      <c r="AL2319" s="16"/>
      <c r="AM2319" s="16"/>
      <c r="AN2319" s="16"/>
      <c r="AO2319" s="16"/>
      <c r="AP2319" s="16"/>
      <c r="AQ2319" s="16"/>
      <c r="AR2319" s="16"/>
      <c r="AS2319" s="16"/>
    </row>
    <row r="2320" spans="18:45" x14ac:dyDescent="0.35">
      <c r="R2320" s="191"/>
      <c r="S2320" s="191"/>
      <c r="T2320" s="193"/>
      <c r="U2320" s="191"/>
      <c r="V2320" s="194"/>
      <c r="W2320" s="191"/>
      <c r="Y2320" s="191"/>
      <c r="Z2320" s="191"/>
      <c r="AA2320" s="191"/>
      <c r="AB2320" s="191"/>
      <c r="AC2320" s="191"/>
      <c r="AD2320" s="16"/>
      <c r="AE2320" s="16"/>
      <c r="AF2320" s="16"/>
      <c r="AG2320" s="16"/>
      <c r="AH2320" s="16"/>
      <c r="AI2320" s="16"/>
      <c r="AJ2320" s="16"/>
      <c r="AK2320" s="16"/>
      <c r="AL2320" s="16"/>
      <c r="AM2320" s="16"/>
      <c r="AN2320" s="16"/>
      <c r="AO2320" s="16"/>
      <c r="AP2320" s="16"/>
      <c r="AQ2320" s="16"/>
      <c r="AR2320" s="16"/>
      <c r="AS2320" s="16"/>
    </row>
    <row r="2321" spans="18:45" x14ac:dyDescent="0.35">
      <c r="R2321" s="191"/>
      <c r="S2321" s="191"/>
      <c r="T2321" s="193"/>
      <c r="U2321" s="191"/>
      <c r="V2321" s="194"/>
      <c r="W2321" s="191"/>
      <c r="Y2321" s="191"/>
      <c r="Z2321" s="191"/>
      <c r="AA2321" s="191"/>
      <c r="AB2321" s="191"/>
      <c r="AC2321" s="191"/>
      <c r="AD2321" s="16"/>
      <c r="AE2321" s="16"/>
      <c r="AF2321" s="16"/>
      <c r="AG2321" s="16"/>
      <c r="AH2321" s="16"/>
      <c r="AI2321" s="16"/>
      <c r="AJ2321" s="16"/>
      <c r="AK2321" s="16"/>
      <c r="AL2321" s="16"/>
      <c r="AM2321" s="16"/>
      <c r="AN2321" s="16"/>
      <c r="AO2321" s="16"/>
      <c r="AP2321" s="16"/>
      <c r="AQ2321" s="16"/>
      <c r="AR2321" s="16"/>
      <c r="AS2321" s="16"/>
    </row>
    <row r="2322" spans="18:45" x14ac:dyDescent="0.35">
      <c r="R2322" s="191"/>
      <c r="S2322" s="191"/>
      <c r="T2322" s="193"/>
      <c r="U2322" s="191"/>
      <c r="V2322" s="194"/>
      <c r="W2322" s="191"/>
      <c r="Y2322" s="191"/>
      <c r="Z2322" s="191"/>
      <c r="AA2322" s="191"/>
      <c r="AB2322" s="191"/>
      <c r="AC2322" s="191"/>
      <c r="AD2322" s="16"/>
      <c r="AE2322" s="16"/>
      <c r="AF2322" s="16"/>
      <c r="AG2322" s="16"/>
      <c r="AH2322" s="16"/>
      <c r="AI2322" s="16"/>
      <c r="AJ2322" s="16"/>
      <c r="AK2322" s="16"/>
      <c r="AL2322" s="16"/>
      <c r="AM2322" s="16"/>
      <c r="AN2322" s="16"/>
      <c r="AO2322" s="16"/>
      <c r="AP2322" s="16"/>
      <c r="AQ2322" s="16"/>
      <c r="AR2322" s="16"/>
      <c r="AS2322" s="16"/>
    </row>
    <row r="2323" spans="18:45" x14ac:dyDescent="0.35">
      <c r="R2323" s="191"/>
      <c r="S2323" s="191"/>
      <c r="T2323" s="193"/>
      <c r="U2323" s="191"/>
      <c r="V2323" s="194"/>
      <c r="W2323" s="191"/>
      <c r="Y2323" s="191"/>
      <c r="Z2323" s="191"/>
      <c r="AA2323" s="191"/>
      <c r="AB2323" s="191"/>
      <c r="AC2323" s="191"/>
      <c r="AD2323" s="16"/>
      <c r="AE2323" s="16"/>
      <c r="AF2323" s="16"/>
      <c r="AG2323" s="16"/>
      <c r="AH2323" s="16"/>
      <c r="AI2323" s="16"/>
      <c r="AJ2323" s="16"/>
      <c r="AK2323" s="16"/>
      <c r="AL2323" s="16"/>
      <c r="AM2323" s="16"/>
      <c r="AN2323" s="16"/>
      <c r="AO2323" s="16"/>
      <c r="AP2323" s="16"/>
      <c r="AQ2323" s="16"/>
      <c r="AR2323" s="16"/>
      <c r="AS2323" s="16"/>
    </row>
    <row r="2324" spans="18:45" x14ac:dyDescent="0.35">
      <c r="R2324" s="191"/>
      <c r="S2324" s="191"/>
      <c r="T2324" s="193"/>
      <c r="U2324" s="191"/>
      <c r="V2324" s="194"/>
      <c r="W2324" s="191"/>
      <c r="Y2324" s="191"/>
      <c r="Z2324" s="191"/>
      <c r="AA2324" s="191"/>
      <c r="AB2324" s="191"/>
      <c r="AC2324" s="191"/>
      <c r="AD2324" s="16"/>
      <c r="AE2324" s="16"/>
      <c r="AF2324" s="16"/>
      <c r="AG2324" s="16"/>
      <c r="AH2324" s="16"/>
      <c r="AI2324" s="16"/>
      <c r="AJ2324" s="16"/>
      <c r="AK2324" s="16"/>
      <c r="AL2324" s="16"/>
      <c r="AM2324" s="16"/>
      <c r="AN2324" s="16"/>
      <c r="AO2324" s="16"/>
      <c r="AP2324" s="16"/>
      <c r="AQ2324" s="16"/>
      <c r="AR2324" s="16"/>
      <c r="AS2324" s="16"/>
    </row>
    <row r="2325" spans="18:45" x14ac:dyDescent="0.35">
      <c r="R2325" s="191"/>
      <c r="S2325" s="191"/>
      <c r="T2325" s="193"/>
      <c r="U2325" s="191"/>
      <c r="V2325" s="194"/>
      <c r="W2325" s="191"/>
      <c r="Y2325" s="191"/>
      <c r="Z2325" s="191"/>
      <c r="AA2325" s="191"/>
      <c r="AB2325" s="191"/>
      <c r="AC2325" s="191"/>
      <c r="AD2325" s="16"/>
      <c r="AE2325" s="16"/>
      <c r="AF2325" s="16"/>
      <c r="AG2325" s="16"/>
      <c r="AH2325" s="16"/>
      <c r="AI2325" s="16"/>
      <c r="AJ2325" s="16"/>
      <c r="AK2325" s="16"/>
      <c r="AL2325" s="16"/>
      <c r="AM2325" s="16"/>
      <c r="AN2325" s="16"/>
      <c r="AO2325" s="16"/>
      <c r="AP2325" s="16"/>
      <c r="AQ2325" s="16"/>
      <c r="AR2325" s="16"/>
      <c r="AS2325" s="16"/>
    </row>
    <row r="2326" spans="18:45" x14ac:dyDescent="0.35">
      <c r="R2326" s="191"/>
      <c r="S2326" s="191"/>
      <c r="T2326" s="193"/>
      <c r="U2326" s="191"/>
      <c r="V2326" s="194"/>
      <c r="W2326" s="191"/>
      <c r="Y2326" s="191"/>
      <c r="Z2326" s="191"/>
      <c r="AA2326" s="191"/>
      <c r="AB2326" s="191"/>
      <c r="AC2326" s="191"/>
      <c r="AD2326" s="16"/>
      <c r="AE2326" s="16"/>
      <c r="AF2326" s="16"/>
      <c r="AG2326" s="16"/>
      <c r="AH2326" s="16"/>
      <c r="AI2326" s="16"/>
      <c r="AJ2326" s="16"/>
      <c r="AK2326" s="16"/>
      <c r="AL2326" s="16"/>
      <c r="AM2326" s="16"/>
      <c r="AN2326" s="16"/>
      <c r="AO2326" s="16"/>
      <c r="AP2326" s="16"/>
      <c r="AQ2326" s="16"/>
      <c r="AR2326" s="16"/>
      <c r="AS2326" s="16"/>
    </row>
    <row r="2327" spans="18:45" x14ac:dyDescent="0.35">
      <c r="R2327" s="191"/>
      <c r="S2327" s="191"/>
      <c r="T2327" s="193"/>
      <c r="U2327" s="191"/>
      <c r="V2327" s="194"/>
      <c r="W2327" s="191"/>
      <c r="Y2327" s="191"/>
      <c r="Z2327" s="191"/>
      <c r="AA2327" s="191"/>
      <c r="AB2327" s="191"/>
      <c r="AC2327" s="191"/>
      <c r="AD2327" s="16"/>
      <c r="AE2327" s="16"/>
      <c r="AF2327" s="16"/>
      <c r="AG2327" s="16"/>
      <c r="AH2327" s="16"/>
      <c r="AI2327" s="16"/>
      <c r="AJ2327" s="16"/>
      <c r="AK2327" s="16"/>
      <c r="AL2327" s="16"/>
      <c r="AM2327" s="16"/>
      <c r="AN2327" s="16"/>
      <c r="AO2327" s="16"/>
      <c r="AP2327" s="16"/>
      <c r="AQ2327" s="16"/>
      <c r="AR2327" s="16"/>
      <c r="AS2327" s="16"/>
    </row>
    <row r="2328" spans="18:45" x14ac:dyDescent="0.35">
      <c r="R2328" s="191"/>
      <c r="S2328" s="191"/>
      <c r="T2328" s="193"/>
      <c r="U2328" s="191"/>
      <c r="V2328" s="194"/>
      <c r="W2328" s="191"/>
      <c r="Y2328" s="191"/>
      <c r="Z2328" s="191"/>
      <c r="AA2328" s="191"/>
      <c r="AB2328" s="191"/>
      <c r="AC2328" s="191"/>
      <c r="AD2328" s="16"/>
      <c r="AE2328" s="16"/>
      <c r="AF2328" s="16"/>
      <c r="AG2328" s="16"/>
      <c r="AH2328" s="16"/>
      <c r="AI2328" s="16"/>
      <c r="AJ2328" s="16"/>
      <c r="AK2328" s="16"/>
      <c r="AL2328" s="16"/>
      <c r="AM2328" s="16"/>
      <c r="AN2328" s="16"/>
      <c r="AO2328" s="16"/>
      <c r="AP2328" s="16"/>
      <c r="AQ2328" s="16"/>
      <c r="AR2328" s="16"/>
      <c r="AS2328" s="16"/>
    </row>
    <row r="2329" spans="18:45" x14ac:dyDescent="0.35">
      <c r="R2329" s="191"/>
      <c r="S2329" s="191"/>
      <c r="T2329" s="193"/>
      <c r="U2329" s="191"/>
      <c r="V2329" s="194"/>
      <c r="W2329" s="191"/>
      <c r="Y2329" s="191"/>
      <c r="Z2329" s="191"/>
      <c r="AA2329" s="191"/>
      <c r="AB2329" s="191"/>
      <c r="AC2329" s="191"/>
      <c r="AD2329" s="16"/>
      <c r="AE2329" s="16"/>
      <c r="AF2329" s="16"/>
      <c r="AG2329" s="16"/>
      <c r="AH2329" s="16"/>
      <c r="AI2329" s="16"/>
      <c r="AJ2329" s="16"/>
      <c r="AK2329" s="16"/>
      <c r="AL2329" s="16"/>
      <c r="AM2329" s="16"/>
      <c r="AN2329" s="16"/>
      <c r="AO2329" s="16"/>
      <c r="AP2329" s="16"/>
      <c r="AQ2329" s="16"/>
      <c r="AR2329" s="16"/>
      <c r="AS2329" s="16"/>
    </row>
    <row r="2330" spans="18:45" x14ac:dyDescent="0.35">
      <c r="R2330" s="191"/>
      <c r="S2330" s="191"/>
      <c r="T2330" s="193"/>
      <c r="U2330" s="191"/>
      <c r="V2330" s="194"/>
      <c r="W2330" s="191"/>
      <c r="Y2330" s="191"/>
      <c r="Z2330" s="191"/>
      <c r="AA2330" s="191"/>
      <c r="AB2330" s="191"/>
      <c r="AC2330" s="191"/>
      <c r="AD2330" s="16"/>
      <c r="AE2330" s="16"/>
      <c r="AF2330" s="16"/>
      <c r="AG2330" s="16"/>
      <c r="AH2330" s="16"/>
      <c r="AI2330" s="16"/>
      <c r="AJ2330" s="16"/>
      <c r="AK2330" s="16"/>
      <c r="AL2330" s="16"/>
      <c r="AM2330" s="16"/>
      <c r="AN2330" s="16"/>
      <c r="AO2330" s="16"/>
      <c r="AP2330" s="16"/>
      <c r="AQ2330" s="16"/>
      <c r="AR2330" s="16"/>
      <c r="AS2330" s="16"/>
    </row>
    <row r="2331" spans="18:45" x14ac:dyDescent="0.35">
      <c r="R2331" s="191"/>
      <c r="S2331" s="191"/>
      <c r="T2331" s="193"/>
      <c r="U2331" s="191"/>
      <c r="V2331" s="194"/>
      <c r="W2331" s="191"/>
      <c r="Y2331" s="191"/>
      <c r="Z2331" s="191"/>
      <c r="AA2331" s="191"/>
      <c r="AB2331" s="191"/>
      <c r="AC2331" s="191"/>
      <c r="AD2331" s="16"/>
      <c r="AE2331" s="16"/>
      <c r="AF2331" s="16"/>
      <c r="AG2331" s="16"/>
      <c r="AH2331" s="16"/>
      <c r="AI2331" s="16"/>
      <c r="AJ2331" s="16"/>
      <c r="AK2331" s="16"/>
      <c r="AL2331" s="16"/>
      <c r="AM2331" s="16"/>
      <c r="AN2331" s="16"/>
      <c r="AO2331" s="16"/>
      <c r="AP2331" s="16"/>
      <c r="AQ2331" s="16"/>
      <c r="AR2331" s="16"/>
      <c r="AS2331" s="16"/>
    </row>
    <row r="2332" spans="18:45" x14ac:dyDescent="0.35">
      <c r="R2332" s="191"/>
      <c r="S2332" s="191"/>
      <c r="T2332" s="193"/>
      <c r="U2332" s="191"/>
      <c r="V2332" s="194"/>
      <c r="W2332" s="191"/>
      <c r="Y2332" s="191"/>
      <c r="Z2332" s="191"/>
      <c r="AA2332" s="191"/>
      <c r="AB2332" s="191"/>
      <c r="AC2332" s="191"/>
      <c r="AD2332" s="16"/>
      <c r="AE2332" s="16"/>
      <c r="AF2332" s="16"/>
      <c r="AG2332" s="16"/>
      <c r="AH2332" s="16"/>
      <c r="AI2332" s="16"/>
      <c r="AJ2332" s="16"/>
      <c r="AK2332" s="16"/>
      <c r="AL2332" s="16"/>
      <c r="AM2332" s="16"/>
      <c r="AN2332" s="16"/>
      <c r="AO2332" s="16"/>
      <c r="AP2332" s="16"/>
      <c r="AQ2332" s="16"/>
      <c r="AR2332" s="16"/>
      <c r="AS2332" s="16"/>
    </row>
    <row r="2333" spans="18:45" x14ac:dyDescent="0.35">
      <c r="R2333" s="191"/>
      <c r="S2333" s="191"/>
      <c r="T2333" s="193"/>
      <c r="U2333" s="191"/>
      <c r="V2333" s="194"/>
      <c r="W2333" s="191"/>
      <c r="Y2333" s="191"/>
      <c r="Z2333" s="191"/>
      <c r="AA2333" s="191"/>
      <c r="AB2333" s="191"/>
      <c r="AC2333" s="191"/>
      <c r="AD2333" s="16"/>
      <c r="AE2333" s="16"/>
      <c r="AF2333" s="16"/>
      <c r="AG2333" s="16"/>
      <c r="AH2333" s="16"/>
      <c r="AI2333" s="16"/>
      <c r="AJ2333" s="16"/>
      <c r="AK2333" s="16"/>
      <c r="AL2333" s="16"/>
      <c r="AM2333" s="16"/>
      <c r="AN2333" s="16"/>
      <c r="AO2333" s="16"/>
      <c r="AP2333" s="16"/>
      <c r="AQ2333" s="16"/>
      <c r="AR2333" s="16"/>
      <c r="AS2333" s="16"/>
    </row>
    <row r="2334" spans="18:45" x14ac:dyDescent="0.35">
      <c r="R2334" s="191"/>
      <c r="S2334" s="191"/>
      <c r="T2334" s="193"/>
      <c r="U2334" s="191"/>
      <c r="V2334" s="194"/>
      <c r="W2334" s="191"/>
      <c r="Y2334" s="191"/>
      <c r="Z2334" s="191"/>
      <c r="AA2334" s="191"/>
      <c r="AB2334" s="191"/>
      <c r="AC2334" s="191"/>
      <c r="AD2334" s="16"/>
      <c r="AE2334" s="16"/>
      <c r="AF2334" s="16"/>
      <c r="AG2334" s="16"/>
      <c r="AH2334" s="16"/>
      <c r="AI2334" s="16"/>
      <c r="AJ2334" s="16"/>
      <c r="AK2334" s="16"/>
      <c r="AL2334" s="16"/>
      <c r="AM2334" s="16"/>
      <c r="AN2334" s="16"/>
      <c r="AO2334" s="16"/>
      <c r="AP2334" s="16"/>
      <c r="AQ2334" s="16"/>
      <c r="AR2334" s="16"/>
      <c r="AS2334" s="16"/>
    </row>
    <row r="2335" spans="18:45" x14ac:dyDescent="0.35">
      <c r="R2335" s="191"/>
      <c r="S2335" s="191"/>
      <c r="T2335" s="193"/>
      <c r="U2335" s="191"/>
      <c r="V2335" s="194"/>
      <c r="W2335" s="191"/>
      <c r="Y2335" s="191"/>
      <c r="Z2335" s="191"/>
      <c r="AA2335" s="191"/>
      <c r="AB2335" s="191"/>
      <c r="AC2335" s="191"/>
      <c r="AD2335" s="16"/>
      <c r="AE2335" s="16"/>
      <c r="AF2335" s="16"/>
      <c r="AG2335" s="16"/>
      <c r="AH2335" s="16"/>
      <c r="AI2335" s="16"/>
      <c r="AJ2335" s="16"/>
      <c r="AK2335" s="16"/>
      <c r="AL2335" s="16"/>
      <c r="AM2335" s="16"/>
      <c r="AN2335" s="16"/>
      <c r="AO2335" s="16"/>
      <c r="AP2335" s="16"/>
      <c r="AQ2335" s="16"/>
      <c r="AR2335" s="16"/>
      <c r="AS2335" s="16"/>
    </row>
    <row r="2336" spans="18:45" x14ac:dyDescent="0.35">
      <c r="R2336" s="191"/>
      <c r="S2336" s="191"/>
      <c r="T2336" s="193"/>
      <c r="U2336" s="191"/>
      <c r="V2336" s="194"/>
      <c r="W2336" s="191"/>
      <c r="Y2336" s="191"/>
      <c r="Z2336" s="191"/>
      <c r="AA2336" s="191"/>
      <c r="AB2336" s="191"/>
      <c r="AC2336" s="191"/>
      <c r="AD2336" s="16"/>
      <c r="AE2336" s="16"/>
      <c r="AF2336" s="16"/>
      <c r="AG2336" s="16"/>
      <c r="AH2336" s="16"/>
      <c r="AI2336" s="16"/>
      <c r="AJ2336" s="16"/>
      <c r="AK2336" s="16"/>
      <c r="AL2336" s="16"/>
      <c r="AM2336" s="16"/>
      <c r="AN2336" s="16"/>
      <c r="AO2336" s="16"/>
      <c r="AP2336" s="16"/>
      <c r="AQ2336" s="16"/>
      <c r="AR2336" s="16"/>
      <c r="AS2336" s="16"/>
    </row>
    <row r="2337" spans="18:45" x14ac:dyDescent="0.35">
      <c r="R2337" s="191"/>
      <c r="S2337" s="191"/>
      <c r="T2337" s="193"/>
      <c r="U2337" s="191"/>
      <c r="V2337" s="194"/>
      <c r="W2337" s="191"/>
      <c r="Y2337" s="191"/>
      <c r="Z2337" s="191"/>
      <c r="AA2337" s="191"/>
      <c r="AB2337" s="191"/>
      <c r="AC2337" s="191"/>
      <c r="AD2337" s="16"/>
      <c r="AE2337" s="16"/>
      <c r="AF2337" s="16"/>
      <c r="AG2337" s="16"/>
      <c r="AH2337" s="16"/>
      <c r="AI2337" s="16"/>
      <c r="AJ2337" s="16"/>
      <c r="AK2337" s="16"/>
      <c r="AL2337" s="16"/>
      <c r="AM2337" s="16"/>
      <c r="AN2337" s="16"/>
      <c r="AO2337" s="16"/>
      <c r="AP2337" s="16"/>
      <c r="AQ2337" s="16"/>
      <c r="AR2337" s="16"/>
      <c r="AS2337" s="16"/>
    </row>
    <row r="2338" spans="18:45" x14ac:dyDescent="0.35">
      <c r="R2338" s="191"/>
      <c r="S2338" s="191"/>
      <c r="T2338" s="193"/>
      <c r="U2338" s="191"/>
      <c r="V2338" s="194"/>
      <c r="W2338" s="191"/>
      <c r="Y2338" s="191"/>
      <c r="Z2338" s="191"/>
      <c r="AA2338" s="191"/>
      <c r="AB2338" s="191"/>
      <c r="AC2338" s="191"/>
      <c r="AD2338" s="16"/>
      <c r="AE2338" s="16"/>
      <c r="AF2338" s="16"/>
      <c r="AG2338" s="16"/>
      <c r="AH2338" s="16"/>
      <c r="AI2338" s="16"/>
      <c r="AJ2338" s="16"/>
      <c r="AK2338" s="16"/>
      <c r="AL2338" s="16"/>
      <c r="AM2338" s="16"/>
      <c r="AN2338" s="16"/>
      <c r="AO2338" s="16"/>
      <c r="AP2338" s="16"/>
      <c r="AQ2338" s="16"/>
      <c r="AR2338" s="16"/>
      <c r="AS2338" s="16"/>
    </row>
    <row r="2339" spans="18:45" x14ac:dyDescent="0.35">
      <c r="R2339" s="191"/>
      <c r="S2339" s="191"/>
      <c r="T2339" s="193"/>
      <c r="U2339" s="191"/>
      <c r="V2339" s="194"/>
      <c r="W2339" s="191"/>
      <c r="Y2339" s="191"/>
      <c r="Z2339" s="191"/>
      <c r="AA2339" s="191"/>
      <c r="AB2339" s="191"/>
      <c r="AC2339" s="191"/>
      <c r="AD2339" s="16"/>
      <c r="AE2339" s="16"/>
      <c r="AF2339" s="16"/>
      <c r="AG2339" s="16"/>
      <c r="AH2339" s="16"/>
      <c r="AI2339" s="16"/>
      <c r="AJ2339" s="16"/>
      <c r="AK2339" s="16"/>
      <c r="AL2339" s="16"/>
      <c r="AM2339" s="16"/>
      <c r="AN2339" s="16"/>
      <c r="AO2339" s="16"/>
      <c r="AP2339" s="16"/>
      <c r="AQ2339" s="16"/>
      <c r="AR2339" s="16"/>
      <c r="AS2339" s="16"/>
    </row>
    <row r="2340" spans="18:45" x14ac:dyDescent="0.35">
      <c r="R2340" s="191"/>
      <c r="S2340" s="191"/>
      <c r="T2340" s="193"/>
      <c r="U2340" s="191"/>
      <c r="V2340" s="194"/>
      <c r="W2340" s="191"/>
      <c r="Y2340" s="191"/>
      <c r="Z2340" s="191"/>
      <c r="AA2340" s="191"/>
      <c r="AB2340" s="191"/>
      <c r="AC2340" s="191"/>
      <c r="AD2340" s="16"/>
      <c r="AE2340" s="16"/>
      <c r="AF2340" s="16"/>
      <c r="AG2340" s="16"/>
      <c r="AH2340" s="16"/>
      <c r="AI2340" s="16"/>
      <c r="AJ2340" s="16"/>
      <c r="AK2340" s="16"/>
      <c r="AL2340" s="16"/>
      <c r="AM2340" s="16"/>
      <c r="AN2340" s="16"/>
      <c r="AO2340" s="16"/>
      <c r="AP2340" s="16"/>
      <c r="AQ2340" s="16"/>
      <c r="AR2340" s="16"/>
      <c r="AS2340" s="16"/>
    </row>
    <row r="2341" spans="18:45" x14ac:dyDescent="0.35">
      <c r="R2341" s="191"/>
      <c r="S2341" s="191"/>
      <c r="T2341" s="193"/>
      <c r="U2341" s="191"/>
      <c r="V2341" s="194"/>
      <c r="W2341" s="191"/>
      <c r="Y2341" s="191"/>
      <c r="Z2341" s="191"/>
      <c r="AA2341" s="191"/>
      <c r="AB2341" s="191"/>
      <c r="AC2341" s="191"/>
      <c r="AD2341" s="16"/>
      <c r="AE2341" s="16"/>
      <c r="AF2341" s="16"/>
      <c r="AG2341" s="16"/>
      <c r="AH2341" s="16"/>
      <c r="AI2341" s="16"/>
      <c r="AJ2341" s="16"/>
      <c r="AK2341" s="16"/>
      <c r="AL2341" s="16"/>
      <c r="AM2341" s="16"/>
      <c r="AN2341" s="16"/>
      <c r="AO2341" s="16"/>
      <c r="AP2341" s="16"/>
      <c r="AQ2341" s="16"/>
      <c r="AR2341" s="16"/>
      <c r="AS2341" s="16"/>
    </row>
    <row r="2342" spans="18:45" x14ac:dyDescent="0.35">
      <c r="R2342" s="191"/>
      <c r="S2342" s="191"/>
      <c r="T2342" s="193"/>
      <c r="U2342" s="191"/>
      <c r="V2342" s="194"/>
      <c r="W2342" s="191"/>
      <c r="Y2342" s="191"/>
      <c r="Z2342" s="191"/>
      <c r="AA2342" s="191"/>
      <c r="AB2342" s="191"/>
      <c r="AC2342" s="191"/>
      <c r="AD2342" s="16"/>
      <c r="AE2342" s="16"/>
      <c r="AF2342" s="16"/>
      <c r="AG2342" s="16"/>
      <c r="AH2342" s="16"/>
      <c r="AI2342" s="16"/>
      <c r="AJ2342" s="16"/>
      <c r="AK2342" s="16"/>
      <c r="AL2342" s="16"/>
      <c r="AM2342" s="16"/>
      <c r="AN2342" s="16"/>
      <c r="AO2342" s="16"/>
      <c r="AP2342" s="16"/>
      <c r="AQ2342" s="16"/>
      <c r="AR2342" s="16"/>
      <c r="AS2342" s="16"/>
    </row>
    <row r="2343" spans="18:45" x14ac:dyDescent="0.35">
      <c r="R2343" s="191"/>
      <c r="S2343" s="191"/>
      <c r="T2343" s="193"/>
      <c r="U2343" s="191"/>
      <c r="V2343" s="194"/>
      <c r="W2343" s="191"/>
      <c r="Y2343" s="191"/>
      <c r="Z2343" s="191"/>
      <c r="AA2343" s="191"/>
      <c r="AB2343" s="191"/>
      <c r="AC2343" s="191"/>
      <c r="AD2343" s="16"/>
      <c r="AE2343" s="16"/>
      <c r="AF2343" s="16"/>
      <c r="AG2343" s="16"/>
      <c r="AH2343" s="16"/>
      <c r="AI2343" s="16"/>
      <c r="AJ2343" s="16"/>
      <c r="AK2343" s="16"/>
      <c r="AL2343" s="16"/>
      <c r="AM2343" s="16"/>
      <c r="AN2343" s="16"/>
      <c r="AO2343" s="16"/>
      <c r="AP2343" s="16"/>
      <c r="AQ2343" s="16"/>
      <c r="AR2343" s="16"/>
      <c r="AS2343" s="16"/>
    </row>
    <row r="2344" spans="18:45" x14ac:dyDescent="0.35">
      <c r="R2344" s="191"/>
      <c r="S2344" s="191"/>
      <c r="T2344" s="193"/>
      <c r="U2344" s="191"/>
      <c r="V2344" s="194"/>
      <c r="W2344" s="191"/>
      <c r="Y2344" s="191"/>
      <c r="Z2344" s="191"/>
      <c r="AA2344" s="191"/>
      <c r="AB2344" s="191"/>
      <c r="AC2344" s="191"/>
      <c r="AD2344" s="16"/>
      <c r="AE2344" s="16"/>
      <c r="AF2344" s="16"/>
      <c r="AG2344" s="16"/>
      <c r="AH2344" s="16"/>
      <c r="AI2344" s="16"/>
      <c r="AJ2344" s="16"/>
      <c r="AK2344" s="16"/>
      <c r="AL2344" s="16"/>
      <c r="AM2344" s="16"/>
      <c r="AN2344" s="16"/>
      <c r="AO2344" s="16"/>
      <c r="AP2344" s="16"/>
      <c r="AQ2344" s="16"/>
      <c r="AR2344" s="16"/>
      <c r="AS2344" s="16"/>
    </row>
    <row r="2345" spans="18:45" x14ac:dyDescent="0.35">
      <c r="R2345" s="191"/>
      <c r="S2345" s="191"/>
      <c r="T2345" s="193"/>
      <c r="U2345" s="191"/>
      <c r="V2345" s="194"/>
      <c r="W2345" s="191"/>
      <c r="Y2345" s="191"/>
      <c r="Z2345" s="191"/>
      <c r="AA2345" s="191"/>
      <c r="AB2345" s="191"/>
      <c r="AC2345" s="191"/>
      <c r="AD2345" s="16"/>
      <c r="AE2345" s="16"/>
      <c r="AF2345" s="16"/>
      <c r="AG2345" s="16"/>
      <c r="AH2345" s="16"/>
      <c r="AI2345" s="16"/>
      <c r="AJ2345" s="16"/>
      <c r="AK2345" s="16"/>
      <c r="AL2345" s="16"/>
      <c r="AM2345" s="16"/>
      <c r="AN2345" s="16"/>
      <c r="AO2345" s="16"/>
      <c r="AP2345" s="16"/>
      <c r="AQ2345" s="16"/>
      <c r="AR2345" s="16"/>
      <c r="AS2345" s="16"/>
    </row>
    <row r="2346" spans="18:45" x14ac:dyDescent="0.35">
      <c r="R2346" s="191"/>
      <c r="S2346" s="191"/>
      <c r="T2346" s="193"/>
      <c r="U2346" s="191"/>
      <c r="V2346" s="194"/>
      <c r="W2346" s="191"/>
      <c r="Y2346" s="191"/>
      <c r="Z2346" s="191"/>
      <c r="AA2346" s="191"/>
      <c r="AB2346" s="191"/>
      <c r="AC2346" s="191"/>
      <c r="AD2346" s="16"/>
      <c r="AE2346" s="16"/>
      <c r="AF2346" s="16"/>
      <c r="AG2346" s="16"/>
      <c r="AH2346" s="16"/>
      <c r="AI2346" s="16"/>
      <c r="AJ2346" s="16"/>
      <c r="AK2346" s="16"/>
      <c r="AL2346" s="16"/>
      <c r="AM2346" s="16"/>
      <c r="AN2346" s="16"/>
      <c r="AO2346" s="16"/>
      <c r="AP2346" s="16"/>
      <c r="AQ2346" s="16"/>
      <c r="AR2346" s="16"/>
      <c r="AS2346" s="16"/>
    </row>
    <row r="2347" spans="18:45" x14ac:dyDescent="0.35">
      <c r="R2347" s="191"/>
      <c r="S2347" s="191"/>
      <c r="T2347" s="193"/>
      <c r="U2347" s="191"/>
      <c r="V2347" s="194"/>
      <c r="W2347" s="191"/>
      <c r="Y2347" s="191"/>
      <c r="Z2347" s="191"/>
      <c r="AA2347" s="191"/>
      <c r="AB2347" s="191"/>
      <c r="AC2347" s="191"/>
      <c r="AD2347" s="16"/>
      <c r="AE2347" s="16"/>
      <c r="AF2347" s="16"/>
      <c r="AG2347" s="16"/>
      <c r="AH2347" s="16"/>
      <c r="AI2347" s="16"/>
      <c r="AJ2347" s="16"/>
      <c r="AK2347" s="16"/>
      <c r="AL2347" s="16"/>
      <c r="AM2347" s="16"/>
      <c r="AN2347" s="16"/>
      <c r="AO2347" s="16"/>
      <c r="AP2347" s="16"/>
      <c r="AQ2347" s="16"/>
      <c r="AR2347" s="16"/>
      <c r="AS2347" s="16"/>
    </row>
    <row r="2348" spans="18:45" x14ac:dyDescent="0.35">
      <c r="R2348" s="191"/>
      <c r="S2348" s="191"/>
      <c r="T2348" s="193"/>
      <c r="U2348" s="191"/>
      <c r="V2348" s="194"/>
      <c r="W2348" s="191"/>
      <c r="Y2348" s="191"/>
      <c r="Z2348" s="191"/>
      <c r="AA2348" s="191"/>
      <c r="AB2348" s="191"/>
      <c r="AC2348" s="191"/>
      <c r="AD2348" s="16"/>
      <c r="AE2348" s="16"/>
      <c r="AF2348" s="16"/>
      <c r="AG2348" s="16"/>
      <c r="AH2348" s="16"/>
      <c r="AI2348" s="16"/>
      <c r="AJ2348" s="16"/>
      <c r="AK2348" s="16"/>
      <c r="AL2348" s="16"/>
      <c r="AM2348" s="16"/>
      <c r="AN2348" s="16"/>
      <c r="AO2348" s="16"/>
      <c r="AP2348" s="16"/>
      <c r="AQ2348" s="16"/>
      <c r="AR2348" s="16"/>
      <c r="AS2348" s="16"/>
    </row>
    <row r="2349" spans="18:45" x14ac:dyDescent="0.35">
      <c r="R2349" s="191"/>
      <c r="S2349" s="191"/>
      <c r="T2349" s="193"/>
      <c r="U2349" s="191"/>
      <c r="V2349" s="194"/>
      <c r="W2349" s="191"/>
      <c r="Y2349" s="191"/>
      <c r="Z2349" s="191"/>
      <c r="AA2349" s="191"/>
      <c r="AB2349" s="191"/>
      <c r="AC2349" s="191"/>
      <c r="AD2349" s="16"/>
      <c r="AE2349" s="16"/>
      <c r="AF2349" s="16"/>
      <c r="AG2349" s="16"/>
      <c r="AH2349" s="16"/>
      <c r="AI2349" s="16"/>
      <c r="AJ2349" s="16"/>
      <c r="AK2349" s="16"/>
      <c r="AL2349" s="16"/>
      <c r="AM2349" s="16"/>
      <c r="AN2349" s="16"/>
      <c r="AO2349" s="16"/>
      <c r="AP2349" s="16"/>
      <c r="AQ2349" s="16"/>
      <c r="AR2349" s="16"/>
      <c r="AS2349" s="16"/>
    </row>
    <row r="2350" spans="18:45" x14ac:dyDescent="0.35">
      <c r="R2350" s="191"/>
      <c r="S2350" s="191"/>
      <c r="T2350" s="193"/>
      <c r="U2350" s="191"/>
      <c r="V2350" s="194"/>
      <c r="W2350" s="191"/>
      <c r="Y2350" s="191"/>
      <c r="Z2350" s="191"/>
      <c r="AA2350" s="191"/>
      <c r="AB2350" s="191"/>
      <c r="AC2350" s="191"/>
      <c r="AD2350" s="16"/>
      <c r="AE2350" s="16"/>
      <c r="AF2350" s="16"/>
      <c r="AG2350" s="16"/>
      <c r="AH2350" s="16"/>
      <c r="AI2350" s="16"/>
      <c r="AJ2350" s="16"/>
      <c r="AK2350" s="16"/>
      <c r="AL2350" s="16"/>
      <c r="AM2350" s="16"/>
      <c r="AN2350" s="16"/>
      <c r="AO2350" s="16"/>
      <c r="AP2350" s="16"/>
      <c r="AQ2350" s="16"/>
      <c r="AR2350" s="16"/>
      <c r="AS2350" s="16"/>
    </row>
    <row r="2351" spans="18:45" x14ac:dyDescent="0.35">
      <c r="R2351" s="191"/>
      <c r="S2351" s="191"/>
      <c r="T2351" s="193"/>
      <c r="U2351" s="191"/>
      <c r="V2351" s="194"/>
      <c r="W2351" s="191"/>
      <c r="Y2351" s="191"/>
      <c r="Z2351" s="191"/>
      <c r="AA2351" s="191"/>
      <c r="AB2351" s="191"/>
      <c r="AC2351" s="191"/>
      <c r="AD2351" s="16"/>
      <c r="AE2351" s="16"/>
      <c r="AF2351" s="16"/>
      <c r="AG2351" s="16"/>
      <c r="AH2351" s="16"/>
      <c r="AI2351" s="16"/>
      <c r="AJ2351" s="16"/>
      <c r="AK2351" s="16"/>
      <c r="AL2351" s="16"/>
      <c r="AM2351" s="16"/>
      <c r="AN2351" s="16"/>
      <c r="AO2351" s="16"/>
      <c r="AP2351" s="16"/>
      <c r="AQ2351" s="16"/>
      <c r="AR2351" s="16"/>
      <c r="AS2351" s="16"/>
    </row>
    <row r="2352" spans="18:45" x14ac:dyDescent="0.35">
      <c r="R2352" s="191"/>
      <c r="S2352" s="191"/>
      <c r="T2352" s="193"/>
      <c r="U2352" s="191"/>
      <c r="V2352" s="194"/>
      <c r="W2352" s="191"/>
      <c r="Y2352" s="191"/>
      <c r="Z2352" s="191"/>
      <c r="AA2352" s="191"/>
      <c r="AB2352" s="191"/>
      <c r="AC2352" s="191"/>
      <c r="AD2352" s="16"/>
      <c r="AE2352" s="16"/>
      <c r="AF2352" s="16"/>
      <c r="AG2352" s="16"/>
      <c r="AH2352" s="16"/>
      <c r="AI2352" s="16"/>
      <c r="AJ2352" s="16"/>
      <c r="AK2352" s="16"/>
      <c r="AL2352" s="16"/>
      <c r="AM2352" s="16"/>
      <c r="AN2352" s="16"/>
      <c r="AO2352" s="16"/>
      <c r="AP2352" s="16"/>
      <c r="AQ2352" s="16"/>
      <c r="AR2352" s="16"/>
      <c r="AS2352" s="16"/>
    </row>
    <row r="2353" spans="18:45" x14ac:dyDescent="0.35">
      <c r="R2353" s="191"/>
      <c r="S2353" s="191"/>
      <c r="T2353" s="193"/>
      <c r="U2353" s="191"/>
      <c r="V2353" s="194"/>
      <c r="W2353" s="191"/>
      <c r="Y2353" s="191"/>
      <c r="Z2353" s="191"/>
      <c r="AA2353" s="191"/>
      <c r="AB2353" s="191"/>
      <c r="AC2353" s="191"/>
      <c r="AD2353" s="16"/>
      <c r="AE2353" s="16"/>
      <c r="AF2353" s="16"/>
      <c r="AG2353" s="16"/>
      <c r="AH2353" s="16"/>
      <c r="AI2353" s="16"/>
      <c r="AJ2353" s="16"/>
      <c r="AK2353" s="16"/>
      <c r="AL2353" s="16"/>
      <c r="AM2353" s="16"/>
      <c r="AN2353" s="16"/>
      <c r="AO2353" s="16"/>
      <c r="AP2353" s="16"/>
      <c r="AQ2353" s="16"/>
      <c r="AR2353" s="16"/>
      <c r="AS2353" s="16"/>
    </row>
    <row r="2354" spans="18:45" x14ac:dyDescent="0.35">
      <c r="R2354" s="191"/>
      <c r="S2354" s="191"/>
      <c r="T2354" s="193"/>
      <c r="U2354" s="191"/>
      <c r="V2354" s="194"/>
      <c r="W2354" s="191"/>
      <c r="Y2354" s="191"/>
      <c r="Z2354" s="191"/>
      <c r="AA2354" s="191"/>
      <c r="AB2354" s="191"/>
      <c r="AC2354" s="191"/>
      <c r="AD2354" s="16"/>
      <c r="AE2354" s="16"/>
      <c r="AF2354" s="16"/>
      <c r="AG2354" s="16"/>
      <c r="AH2354" s="16"/>
      <c r="AI2354" s="16"/>
      <c r="AJ2354" s="16"/>
      <c r="AK2354" s="16"/>
      <c r="AL2354" s="16"/>
      <c r="AM2354" s="16"/>
      <c r="AN2354" s="16"/>
      <c r="AO2354" s="16"/>
      <c r="AP2354" s="16"/>
      <c r="AQ2354" s="16"/>
      <c r="AR2354" s="16"/>
      <c r="AS2354" s="16"/>
    </row>
    <row r="2355" spans="18:45" x14ac:dyDescent="0.35">
      <c r="R2355" s="191"/>
      <c r="S2355" s="191"/>
      <c r="T2355" s="193"/>
      <c r="U2355" s="191"/>
      <c r="V2355" s="194"/>
      <c r="W2355" s="191"/>
      <c r="Y2355" s="191"/>
      <c r="Z2355" s="191"/>
      <c r="AA2355" s="191"/>
      <c r="AB2355" s="191"/>
      <c r="AC2355" s="191"/>
      <c r="AD2355" s="16"/>
      <c r="AE2355" s="16"/>
      <c r="AF2355" s="16"/>
      <c r="AG2355" s="16"/>
      <c r="AH2355" s="16"/>
      <c r="AI2355" s="16"/>
      <c r="AJ2355" s="16"/>
      <c r="AK2355" s="16"/>
      <c r="AL2355" s="16"/>
      <c r="AM2355" s="16"/>
      <c r="AN2355" s="16"/>
      <c r="AO2355" s="16"/>
      <c r="AP2355" s="16"/>
      <c r="AQ2355" s="16"/>
      <c r="AR2355" s="16"/>
      <c r="AS2355" s="16"/>
    </row>
    <row r="2356" spans="18:45" x14ac:dyDescent="0.35">
      <c r="R2356" s="191"/>
      <c r="S2356" s="191"/>
      <c r="T2356" s="193"/>
      <c r="U2356" s="191"/>
      <c r="V2356" s="194"/>
      <c r="W2356" s="191"/>
      <c r="Y2356" s="191"/>
      <c r="Z2356" s="191"/>
      <c r="AA2356" s="191"/>
      <c r="AB2356" s="191"/>
      <c r="AC2356" s="191"/>
      <c r="AD2356" s="16"/>
      <c r="AE2356" s="16"/>
      <c r="AF2356" s="16"/>
      <c r="AG2356" s="16"/>
      <c r="AH2356" s="16"/>
      <c r="AI2356" s="16"/>
      <c r="AJ2356" s="16"/>
      <c r="AK2356" s="16"/>
      <c r="AL2356" s="16"/>
      <c r="AM2356" s="16"/>
      <c r="AN2356" s="16"/>
      <c r="AO2356" s="16"/>
      <c r="AP2356" s="16"/>
      <c r="AQ2356" s="16"/>
      <c r="AR2356" s="16"/>
      <c r="AS2356" s="16"/>
    </row>
    <row r="2357" spans="18:45" x14ac:dyDescent="0.35">
      <c r="R2357" s="191"/>
      <c r="S2357" s="191"/>
      <c r="T2357" s="193"/>
      <c r="U2357" s="191"/>
      <c r="V2357" s="194"/>
      <c r="W2357" s="191"/>
      <c r="Y2357" s="191"/>
      <c r="Z2357" s="191"/>
      <c r="AA2357" s="191"/>
      <c r="AB2357" s="191"/>
      <c r="AC2357" s="191"/>
      <c r="AD2357" s="16"/>
      <c r="AE2357" s="16"/>
      <c r="AF2357" s="16"/>
      <c r="AG2357" s="16"/>
      <c r="AH2357" s="16"/>
      <c r="AI2357" s="16"/>
      <c r="AJ2357" s="16"/>
      <c r="AK2357" s="16"/>
      <c r="AL2357" s="16"/>
      <c r="AM2357" s="16"/>
      <c r="AN2357" s="16"/>
      <c r="AO2357" s="16"/>
      <c r="AP2357" s="16"/>
      <c r="AQ2357" s="16"/>
      <c r="AR2357" s="16"/>
      <c r="AS2357" s="16"/>
    </row>
    <row r="2358" spans="18:45" x14ac:dyDescent="0.35">
      <c r="R2358" s="191"/>
      <c r="S2358" s="191"/>
      <c r="T2358" s="193"/>
      <c r="U2358" s="191"/>
      <c r="V2358" s="194"/>
      <c r="W2358" s="191"/>
      <c r="Y2358" s="191"/>
      <c r="Z2358" s="191"/>
      <c r="AA2358" s="191"/>
      <c r="AB2358" s="191"/>
      <c r="AC2358" s="191"/>
      <c r="AD2358" s="16"/>
      <c r="AE2358" s="16"/>
      <c r="AF2358" s="16"/>
      <c r="AG2358" s="16"/>
      <c r="AH2358" s="16"/>
      <c r="AI2358" s="16"/>
      <c r="AJ2358" s="16"/>
      <c r="AK2358" s="16"/>
      <c r="AL2358" s="16"/>
      <c r="AM2358" s="16"/>
      <c r="AN2358" s="16"/>
      <c r="AO2358" s="16"/>
      <c r="AP2358" s="16"/>
      <c r="AQ2358" s="16"/>
      <c r="AR2358" s="16"/>
      <c r="AS2358" s="16"/>
    </row>
    <row r="2359" spans="18:45" x14ac:dyDescent="0.35">
      <c r="R2359" s="191"/>
      <c r="S2359" s="191"/>
      <c r="T2359" s="193"/>
      <c r="U2359" s="191"/>
      <c r="V2359" s="194"/>
      <c r="W2359" s="191"/>
      <c r="Y2359" s="191"/>
      <c r="Z2359" s="191"/>
      <c r="AA2359" s="191"/>
      <c r="AB2359" s="191"/>
      <c r="AC2359" s="191"/>
      <c r="AD2359" s="16"/>
      <c r="AE2359" s="16"/>
      <c r="AF2359" s="16"/>
      <c r="AG2359" s="16"/>
      <c r="AH2359" s="16"/>
      <c r="AI2359" s="16"/>
      <c r="AJ2359" s="16"/>
      <c r="AK2359" s="16"/>
      <c r="AL2359" s="16"/>
      <c r="AM2359" s="16"/>
      <c r="AN2359" s="16"/>
      <c r="AO2359" s="16"/>
      <c r="AP2359" s="16"/>
      <c r="AQ2359" s="16"/>
      <c r="AR2359" s="16"/>
      <c r="AS2359" s="16"/>
    </row>
    <row r="2360" spans="18:45" x14ac:dyDescent="0.35">
      <c r="R2360" s="191"/>
      <c r="S2360" s="191"/>
      <c r="T2360" s="193"/>
      <c r="U2360" s="191"/>
      <c r="V2360" s="194"/>
      <c r="W2360" s="191"/>
      <c r="Y2360" s="191"/>
      <c r="Z2360" s="191"/>
      <c r="AA2360" s="191"/>
      <c r="AB2360" s="191"/>
      <c r="AC2360" s="191"/>
      <c r="AD2360" s="16"/>
      <c r="AE2360" s="16"/>
      <c r="AF2360" s="16"/>
      <c r="AG2360" s="16"/>
      <c r="AH2360" s="16"/>
      <c r="AI2360" s="16"/>
      <c r="AJ2360" s="16"/>
      <c r="AK2360" s="16"/>
      <c r="AL2360" s="16"/>
      <c r="AM2360" s="16"/>
      <c r="AN2360" s="16"/>
      <c r="AO2360" s="16"/>
      <c r="AP2360" s="16"/>
      <c r="AQ2360" s="16"/>
      <c r="AR2360" s="16"/>
      <c r="AS2360" s="16"/>
    </row>
    <row r="2361" spans="18:45" x14ac:dyDescent="0.35">
      <c r="R2361" s="191"/>
      <c r="S2361" s="191"/>
      <c r="T2361" s="193"/>
      <c r="U2361" s="191"/>
      <c r="V2361" s="194"/>
      <c r="W2361" s="191"/>
      <c r="Y2361" s="191"/>
      <c r="Z2361" s="191"/>
      <c r="AA2361" s="191"/>
      <c r="AB2361" s="191"/>
      <c r="AC2361" s="191"/>
      <c r="AD2361" s="16"/>
      <c r="AE2361" s="16"/>
      <c r="AF2361" s="16"/>
      <c r="AG2361" s="16"/>
      <c r="AH2361" s="16"/>
      <c r="AI2361" s="16"/>
      <c r="AJ2361" s="16"/>
      <c r="AK2361" s="16"/>
      <c r="AL2361" s="16"/>
      <c r="AM2361" s="16"/>
      <c r="AN2361" s="16"/>
      <c r="AO2361" s="16"/>
      <c r="AP2361" s="16"/>
      <c r="AQ2361" s="16"/>
      <c r="AR2361" s="16"/>
      <c r="AS2361" s="16"/>
    </row>
    <row r="2362" spans="18:45" x14ac:dyDescent="0.35">
      <c r="R2362" s="191"/>
      <c r="S2362" s="191"/>
      <c r="T2362" s="193"/>
      <c r="U2362" s="191"/>
      <c r="V2362" s="194"/>
      <c r="W2362" s="191"/>
      <c r="Y2362" s="191"/>
      <c r="Z2362" s="191"/>
      <c r="AA2362" s="191"/>
      <c r="AB2362" s="191"/>
      <c r="AC2362" s="191"/>
      <c r="AD2362" s="16"/>
      <c r="AE2362" s="16"/>
      <c r="AF2362" s="16"/>
      <c r="AG2362" s="16"/>
      <c r="AH2362" s="16"/>
      <c r="AI2362" s="16"/>
      <c r="AJ2362" s="16"/>
      <c r="AK2362" s="16"/>
      <c r="AL2362" s="16"/>
      <c r="AM2362" s="16"/>
      <c r="AN2362" s="16"/>
      <c r="AO2362" s="16"/>
      <c r="AP2362" s="16"/>
      <c r="AQ2362" s="16"/>
      <c r="AR2362" s="16"/>
      <c r="AS2362" s="16"/>
    </row>
    <row r="2363" spans="18:45" x14ac:dyDescent="0.35">
      <c r="R2363" s="191"/>
      <c r="S2363" s="191"/>
      <c r="T2363" s="193"/>
      <c r="U2363" s="191"/>
      <c r="V2363" s="194"/>
      <c r="W2363" s="191"/>
      <c r="Y2363" s="191"/>
      <c r="Z2363" s="191"/>
      <c r="AA2363" s="191"/>
      <c r="AB2363" s="191"/>
      <c r="AC2363" s="191"/>
      <c r="AD2363" s="16"/>
      <c r="AE2363" s="16"/>
      <c r="AF2363" s="16"/>
      <c r="AG2363" s="16"/>
      <c r="AH2363" s="16"/>
      <c r="AI2363" s="16"/>
      <c r="AJ2363" s="16"/>
      <c r="AK2363" s="16"/>
      <c r="AL2363" s="16"/>
      <c r="AM2363" s="16"/>
      <c r="AN2363" s="16"/>
      <c r="AO2363" s="16"/>
      <c r="AP2363" s="16"/>
      <c r="AQ2363" s="16"/>
      <c r="AR2363" s="16"/>
      <c r="AS2363" s="16"/>
    </row>
    <row r="2364" spans="18:45" x14ac:dyDescent="0.35">
      <c r="R2364" s="191"/>
      <c r="S2364" s="191"/>
      <c r="T2364" s="193"/>
      <c r="U2364" s="191"/>
      <c r="V2364" s="194"/>
      <c r="W2364" s="191"/>
      <c r="Y2364" s="191"/>
      <c r="Z2364" s="191"/>
      <c r="AA2364" s="191"/>
      <c r="AB2364" s="191"/>
      <c r="AC2364" s="191"/>
      <c r="AD2364" s="16"/>
      <c r="AE2364" s="16"/>
      <c r="AF2364" s="16"/>
      <c r="AG2364" s="16"/>
      <c r="AH2364" s="16"/>
      <c r="AI2364" s="16"/>
      <c r="AJ2364" s="16"/>
      <c r="AK2364" s="16"/>
      <c r="AL2364" s="16"/>
      <c r="AM2364" s="16"/>
      <c r="AN2364" s="16"/>
      <c r="AO2364" s="16"/>
      <c r="AP2364" s="16"/>
      <c r="AQ2364" s="16"/>
      <c r="AR2364" s="16"/>
      <c r="AS2364" s="16"/>
    </row>
    <row r="2365" spans="18:45" x14ac:dyDescent="0.35">
      <c r="R2365" s="191"/>
      <c r="S2365" s="191"/>
      <c r="T2365" s="193"/>
      <c r="U2365" s="191"/>
      <c r="V2365" s="194"/>
      <c r="W2365" s="191"/>
      <c r="Y2365" s="191"/>
      <c r="Z2365" s="191"/>
      <c r="AA2365" s="191"/>
      <c r="AB2365" s="191"/>
      <c r="AC2365" s="191"/>
      <c r="AD2365" s="16"/>
      <c r="AE2365" s="16"/>
      <c r="AF2365" s="16"/>
      <c r="AG2365" s="16"/>
      <c r="AH2365" s="16"/>
      <c r="AI2365" s="16"/>
      <c r="AJ2365" s="16"/>
      <c r="AK2365" s="16"/>
      <c r="AL2365" s="16"/>
      <c r="AM2365" s="16"/>
      <c r="AN2365" s="16"/>
      <c r="AO2365" s="16"/>
      <c r="AP2365" s="16"/>
      <c r="AQ2365" s="16"/>
      <c r="AR2365" s="16"/>
      <c r="AS2365" s="16"/>
    </row>
    <row r="2366" spans="18:45" x14ac:dyDescent="0.35">
      <c r="R2366" s="191"/>
      <c r="S2366" s="191"/>
      <c r="T2366" s="193"/>
      <c r="U2366" s="191"/>
      <c r="V2366" s="194"/>
      <c r="W2366" s="191"/>
      <c r="Y2366" s="191"/>
      <c r="Z2366" s="191"/>
      <c r="AA2366" s="191"/>
      <c r="AB2366" s="191"/>
      <c r="AC2366" s="191"/>
      <c r="AD2366" s="16"/>
      <c r="AE2366" s="16"/>
      <c r="AF2366" s="16"/>
      <c r="AG2366" s="16"/>
      <c r="AH2366" s="16"/>
      <c r="AI2366" s="16"/>
      <c r="AJ2366" s="16"/>
      <c r="AK2366" s="16"/>
      <c r="AL2366" s="16"/>
      <c r="AM2366" s="16"/>
      <c r="AN2366" s="16"/>
      <c r="AO2366" s="16"/>
      <c r="AP2366" s="16"/>
      <c r="AQ2366" s="16"/>
      <c r="AR2366" s="16"/>
      <c r="AS2366" s="16"/>
    </row>
    <row r="2367" spans="18:45" x14ac:dyDescent="0.35">
      <c r="R2367" s="191"/>
      <c r="S2367" s="191"/>
      <c r="T2367" s="193"/>
      <c r="U2367" s="191"/>
      <c r="V2367" s="194"/>
      <c r="W2367" s="191"/>
      <c r="Y2367" s="191"/>
      <c r="Z2367" s="191"/>
      <c r="AA2367" s="191"/>
      <c r="AB2367" s="191"/>
      <c r="AC2367" s="191"/>
      <c r="AD2367" s="16"/>
      <c r="AE2367" s="16"/>
      <c r="AF2367" s="16"/>
      <c r="AG2367" s="16"/>
      <c r="AH2367" s="16"/>
      <c r="AI2367" s="16"/>
      <c r="AJ2367" s="16"/>
      <c r="AK2367" s="16"/>
      <c r="AL2367" s="16"/>
      <c r="AM2367" s="16"/>
      <c r="AN2367" s="16"/>
      <c r="AO2367" s="16"/>
      <c r="AP2367" s="16"/>
      <c r="AQ2367" s="16"/>
      <c r="AR2367" s="16"/>
      <c r="AS2367" s="16"/>
    </row>
    <row r="2368" spans="18:45" x14ac:dyDescent="0.35">
      <c r="R2368" s="191"/>
      <c r="S2368" s="191"/>
      <c r="T2368" s="193"/>
      <c r="U2368" s="191"/>
      <c r="V2368" s="194"/>
      <c r="W2368" s="191"/>
      <c r="Y2368" s="191"/>
      <c r="Z2368" s="191"/>
      <c r="AA2368" s="191"/>
      <c r="AB2368" s="191"/>
      <c r="AC2368" s="191"/>
      <c r="AD2368" s="16"/>
      <c r="AE2368" s="16"/>
      <c r="AF2368" s="16"/>
      <c r="AG2368" s="16"/>
      <c r="AH2368" s="16"/>
      <c r="AI2368" s="16"/>
      <c r="AJ2368" s="16"/>
      <c r="AK2368" s="16"/>
      <c r="AL2368" s="16"/>
      <c r="AM2368" s="16"/>
      <c r="AN2368" s="16"/>
      <c r="AO2368" s="16"/>
      <c r="AP2368" s="16"/>
      <c r="AQ2368" s="16"/>
      <c r="AR2368" s="16"/>
      <c r="AS2368" s="16"/>
    </row>
    <row r="2369" spans="18:45" x14ac:dyDescent="0.35">
      <c r="R2369" s="191"/>
      <c r="S2369" s="191"/>
      <c r="T2369" s="193"/>
      <c r="U2369" s="191"/>
      <c r="V2369" s="194"/>
      <c r="W2369" s="191"/>
      <c r="Y2369" s="191"/>
      <c r="Z2369" s="191"/>
      <c r="AA2369" s="191"/>
      <c r="AB2369" s="191"/>
      <c r="AC2369" s="191"/>
      <c r="AD2369" s="16"/>
      <c r="AE2369" s="16"/>
      <c r="AF2369" s="16"/>
      <c r="AG2369" s="16"/>
      <c r="AH2369" s="16"/>
      <c r="AI2369" s="16"/>
      <c r="AJ2369" s="16"/>
      <c r="AK2369" s="16"/>
      <c r="AL2369" s="16"/>
      <c r="AM2369" s="16"/>
      <c r="AN2369" s="16"/>
      <c r="AO2369" s="16"/>
      <c r="AP2369" s="16"/>
      <c r="AQ2369" s="16"/>
      <c r="AR2369" s="16"/>
      <c r="AS2369" s="16"/>
    </row>
    <row r="2370" spans="18:45" x14ac:dyDescent="0.35">
      <c r="R2370" s="191"/>
      <c r="S2370" s="191"/>
      <c r="T2370" s="193"/>
      <c r="U2370" s="191"/>
      <c r="V2370" s="194"/>
      <c r="W2370" s="191"/>
      <c r="Y2370" s="191"/>
      <c r="Z2370" s="191"/>
      <c r="AA2370" s="191"/>
      <c r="AB2370" s="191"/>
      <c r="AC2370" s="191"/>
      <c r="AD2370" s="16"/>
      <c r="AE2370" s="16"/>
      <c r="AF2370" s="16"/>
      <c r="AG2370" s="16"/>
      <c r="AH2370" s="16"/>
      <c r="AI2370" s="16"/>
      <c r="AJ2370" s="16"/>
      <c r="AK2370" s="16"/>
      <c r="AL2370" s="16"/>
      <c r="AM2370" s="16"/>
      <c r="AN2370" s="16"/>
      <c r="AO2370" s="16"/>
      <c r="AP2370" s="16"/>
      <c r="AQ2370" s="16"/>
      <c r="AR2370" s="16"/>
      <c r="AS2370" s="16"/>
    </row>
    <row r="2371" spans="18:45" x14ac:dyDescent="0.35">
      <c r="R2371" s="191"/>
      <c r="S2371" s="191"/>
      <c r="T2371" s="193"/>
      <c r="U2371" s="191"/>
      <c r="V2371" s="194"/>
      <c r="W2371" s="191"/>
      <c r="Y2371" s="191"/>
      <c r="Z2371" s="191"/>
      <c r="AA2371" s="191"/>
      <c r="AB2371" s="191"/>
      <c r="AC2371" s="191"/>
      <c r="AD2371" s="16"/>
      <c r="AE2371" s="16"/>
      <c r="AF2371" s="16"/>
      <c r="AG2371" s="16"/>
      <c r="AH2371" s="16"/>
      <c r="AI2371" s="16"/>
      <c r="AJ2371" s="16"/>
      <c r="AK2371" s="16"/>
      <c r="AL2371" s="16"/>
      <c r="AM2371" s="16"/>
      <c r="AN2371" s="16"/>
      <c r="AO2371" s="16"/>
      <c r="AP2371" s="16"/>
      <c r="AQ2371" s="16"/>
      <c r="AR2371" s="16"/>
      <c r="AS2371" s="16"/>
    </row>
    <row r="2372" spans="18:45" x14ac:dyDescent="0.35">
      <c r="R2372" s="191"/>
      <c r="S2372" s="191"/>
      <c r="T2372" s="193"/>
      <c r="U2372" s="191"/>
      <c r="V2372" s="194"/>
      <c r="W2372" s="191"/>
      <c r="Y2372" s="191"/>
      <c r="Z2372" s="191"/>
      <c r="AA2372" s="191"/>
      <c r="AB2372" s="191"/>
      <c r="AC2372" s="191"/>
      <c r="AD2372" s="16"/>
      <c r="AE2372" s="16"/>
      <c r="AF2372" s="16"/>
      <c r="AG2372" s="16"/>
      <c r="AH2372" s="16"/>
      <c r="AI2372" s="16"/>
      <c r="AJ2372" s="16"/>
      <c r="AK2372" s="16"/>
      <c r="AL2372" s="16"/>
      <c r="AM2372" s="16"/>
      <c r="AN2372" s="16"/>
      <c r="AO2372" s="16"/>
      <c r="AP2372" s="16"/>
      <c r="AQ2372" s="16"/>
      <c r="AR2372" s="16"/>
      <c r="AS2372" s="16"/>
    </row>
    <row r="2373" spans="18:45" x14ac:dyDescent="0.35">
      <c r="R2373" s="191"/>
      <c r="S2373" s="191"/>
      <c r="T2373" s="193"/>
      <c r="U2373" s="191"/>
      <c r="V2373" s="194"/>
      <c r="W2373" s="191"/>
      <c r="Y2373" s="191"/>
      <c r="Z2373" s="191"/>
      <c r="AA2373" s="191"/>
      <c r="AB2373" s="191"/>
      <c r="AC2373" s="191"/>
      <c r="AD2373" s="16"/>
      <c r="AE2373" s="16"/>
      <c r="AF2373" s="16"/>
      <c r="AG2373" s="16"/>
      <c r="AH2373" s="16"/>
      <c r="AI2373" s="16"/>
      <c r="AJ2373" s="16"/>
      <c r="AK2373" s="16"/>
      <c r="AL2373" s="16"/>
      <c r="AM2373" s="16"/>
      <c r="AN2373" s="16"/>
      <c r="AO2373" s="16"/>
      <c r="AP2373" s="16"/>
      <c r="AQ2373" s="16"/>
      <c r="AR2373" s="16"/>
      <c r="AS2373" s="16"/>
    </row>
    <row r="2374" spans="18:45" x14ac:dyDescent="0.35">
      <c r="R2374" s="191"/>
      <c r="S2374" s="191"/>
      <c r="T2374" s="193"/>
      <c r="U2374" s="191"/>
      <c r="V2374" s="194"/>
      <c r="W2374" s="191"/>
      <c r="Y2374" s="191"/>
      <c r="Z2374" s="191"/>
      <c r="AA2374" s="191"/>
      <c r="AB2374" s="191"/>
      <c r="AC2374" s="191"/>
      <c r="AD2374" s="16"/>
      <c r="AE2374" s="16"/>
      <c r="AF2374" s="16"/>
      <c r="AG2374" s="16"/>
      <c r="AH2374" s="16"/>
      <c r="AI2374" s="16"/>
      <c r="AJ2374" s="16"/>
      <c r="AK2374" s="16"/>
      <c r="AL2374" s="16"/>
      <c r="AM2374" s="16"/>
      <c r="AN2374" s="16"/>
      <c r="AO2374" s="16"/>
      <c r="AP2374" s="16"/>
      <c r="AQ2374" s="16"/>
      <c r="AR2374" s="16"/>
      <c r="AS2374" s="16"/>
    </row>
    <row r="2375" spans="18:45" x14ac:dyDescent="0.35">
      <c r="R2375" s="191"/>
      <c r="S2375" s="191"/>
      <c r="T2375" s="193"/>
      <c r="U2375" s="191"/>
      <c r="V2375" s="194"/>
      <c r="W2375" s="191"/>
      <c r="Y2375" s="191"/>
      <c r="Z2375" s="191"/>
      <c r="AA2375" s="191"/>
      <c r="AB2375" s="191"/>
      <c r="AC2375" s="191"/>
      <c r="AD2375" s="16"/>
      <c r="AE2375" s="16"/>
      <c r="AF2375" s="16"/>
      <c r="AG2375" s="16"/>
      <c r="AH2375" s="16"/>
      <c r="AI2375" s="16"/>
      <c r="AJ2375" s="16"/>
      <c r="AK2375" s="16"/>
      <c r="AL2375" s="16"/>
      <c r="AM2375" s="16"/>
      <c r="AN2375" s="16"/>
      <c r="AO2375" s="16"/>
      <c r="AP2375" s="16"/>
      <c r="AQ2375" s="16"/>
      <c r="AR2375" s="16"/>
      <c r="AS2375" s="16"/>
    </row>
    <row r="2376" spans="18:45" x14ac:dyDescent="0.35">
      <c r="R2376" s="191"/>
      <c r="S2376" s="191"/>
      <c r="T2376" s="193"/>
      <c r="U2376" s="191"/>
      <c r="V2376" s="194"/>
      <c r="W2376" s="191"/>
      <c r="Y2376" s="191"/>
      <c r="Z2376" s="191"/>
      <c r="AA2376" s="191"/>
      <c r="AB2376" s="191"/>
      <c r="AC2376" s="191"/>
      <c r="AD2376" s="16"/>
      <c r="AE2376" s="16"/>
      <c r="AF2376" s="16"/>
      <c r="AG2376" s="16"/>
      <c r="AH2376" s="16"/>
      <c r="AI2376" s="16"/>
      <c r="AJ2376" s="16"/>
      <c r="AK2376" s="16"/>
      <c r="AL2376" s="16"/>
      <c r="AM2376" s="16"/>
      <c r="AN2376" s="16"/>
      <c r="AO2376" s="16"/>
      <c r="AP2376" s="16"/>
      <c r="AQ2376" s="16"/>
      <c r="AR2376" s="16"/>
      <c r="AS2376" s="16"/>
    </row>
    <row r="2377" spans="18:45" x14ac:dyDescent="0.35">
      <c r="R2377" s="191"/>
      <c r="S2377" s="191"/>
      <c r="T2377" s="193"/>
      <c r="U2377" s="191"/>
      <c r="V2377" s="194"/>
      <c r="W2377" s="191"/>
      <c r="Y2377" s="191"/>
      <c r="Z2377" s="191"/>
      <c r="AA2377" s="191"/>
      <c r="AB2377" s="191"/>
      <c r="AC2377" s="191"/>
      <c r="AD2377" s="16"/>
      <c r="AE2377" s="16"/>
      <c r="AF2377" s="16"/>
      <c r="AG2377" s="16"/>
      <c r="AH2377" s="16"/>
      <c r="AI2377" s="16"/>
      <c r="AJ2377" s="16"/>
      <c r="AK2377" s="16"/>
      <c r="AL2377" s="16"/>
      <c r="AM2377" s="16"/>
      <c r="AN2377" s="16"/>
      <c r="AO2377" s="16"/>
      <c r="AP2377" s="16"/>
      <c r="AQ2377" s="16"/>
      <c r="AR2377" s="16"/>
      <c r="AS2377" s="16"/>
    </row>
    <row r="2378" spans="18:45" x14ac:dyDescent="0.35">
      <c r="R2378" s="191"/>
      <c r="S2378" s="191"/>
      <c r="T2378" s="193"/>
      <c r="U2378" s="191"/>
      <c r="V2378" s="194"/>
      <c r="W2378" s="191"/>
      <c r="Y2378" s="191"/>
      <c r="Z2378" s="191"/>
      <c r="AA2378" s="191"/>
      <c r="AB2378" s="191"/>
      <c r="AC2378" s="191"/>
      <c r="AD2378" s="16"/>
      <c r="AE2378" s="16"/>
      <c r="AF2378" s="16"/>
      <c r="AG2378" s="16"/>
      <c r="AH2378" s="16"/>
      <c r="AI2378" s="16"/>
      <c r="AJ2378" s="16"/>
      <c r="AK2378" s="16"/>
      <c r="AL2378" s="16"/>
      <c r="AM2378" s="16"/>
      <c r="AN2378" s="16"/>
      <c r="AO2378" s="16"/>
      <c r="AP2378" s="16"/>
      <c r="AQ2378" s="16"/>
      <c r="AR2378" s="16"/>
      <c r="AS2378" s="16"/>
    </row>
    <row r="2379" spans="18:45" x14ac:dyDescent="0.35">
      <c r="R2379" s="191"/>
      <c r="S2379" s="191"/>
      <c r="T2379" s="193"/>
      <c r="U2379" s="191"/>
      <c r="V2379" s="194"/>
      <c r="W2379" s="191"/>
      <c r="Y2379" s="191"/>
      <c r="Z2379" s="191"/>
      <c r="AA2379" s="191"/>
      <c r="AB2379" s="191"/>
      <c r="AC2379" s="191"/>
      <c r="AD2379" s="16"/>
      <c r="AE2379" s="16"/>
      <c r="AF2379" s="16"/>
      <c r="AG2379" s="16"/>
      <c r="AH2379" s="16"/>
      <c r="AI2379" s="16"/>
      <c r="AJ2379" s="16"/>
      <c r="AK2379" s="16"/>
      <c r="AL2379" s="16"/>
      <c r="AM2379" s="16"/>
      <c r="AN2379" s="16"/>
      <c r="AO2379" s="16"/>
      <c r="AP2379" s="16"/>
      <c r="AQ2379" s="16"/>
      <c r="AR2379" s="16"/>
      <c r="AS2379" s="16"/>
    </row>
    <row r="2380" spans="18:45" x14ac:dyDescent="0.35">
      <c r="R2380" s="191"/>
      <c r="S2380" s="191"/>
      <c r="T2380" s="193"/>
      <c r="U2380" s="191"/>
      <c r="V2380" s="194"/>
      <c r="W2380" s="191"/>
      <c r="Y2380" s="191"/>
      <c r="Z2380" s="191"/>
      <c r="AA2380" s="191"/>
      <c r="AB2380" s="191"/>
      <c r="AC2380" s="191"/>
      <c r="AD2380" s="16"/>
      <c r="AE2380" s="16"/>
      <c r="AF2380" s="16"/>
      <c r="AG2380" s="16"/>
      <c r="AH2380" s="16"/>
      <c r="AI2380" s="16"/>
      <c r="AJ2380" s="16"/>
      <c r="AK2380" s="16"/>
      <c r="AL2380" s="16"/>
      <c r="AM2380" s="16"/>
      <c r="AN2380" s="16"/>
      <c r="AO2380" s="16"/>
      <c r="AP2380" s="16"/>
      <c r="AQ2380" s="16"/>
      <c r="AR2380" s="16"/>
      <c r="AS2380" s="16"/>
    </row>
    <row r="2381" spans="18:45" x14ac:dyDescent="0.35">
      <c r="R2381" s="191"/>
      <c r="S2381" s="191"/>
      <c r="T2381" s="193"/>
      <c r="U2381" s="191"/>
      <c r="V2381" s="194"/>
      <c r="W2381" s="191"/>
      <c r="Y2381" s="191"/>
      <c r="Z2381" s="191"/>
      <c r="AA2381" s="191"/>
      <c r="AB2381" s="191"/>
      <c r="AC2381" s="191"/>
      <c r="AD2381" s="16"/>
      <c r="AE2381" s="16"/>
      <c r="AF2381" s="16"/>
      <c r="AG2381" s="16"/>
      <c r="AH2381" s="16"/>
      <c r="AI2381" s="16"/>
      <c r="AJ2381" s="16"/>
      <c r="AK2381" s="16"/>
      <c r="AL2381" s="16"/>
      <c r="AM2381" s="16"/>
      <c r="AN2381" s="16"/>
      <c r="AO2381" s="16"/>
      <c r="AP2381" s="16"/>
      <c r="AQ2381" s="16"/>
      <c r="AR2381" s="16"/>
      <c r="AS2381" s="16"/>
    </row>
    <row r="2382" spans="18:45" x14ac:dyDescent="0.35">
      <c r="R2382" s="191"/>
      <c r="S2382" s="191"/>
      <c r="T2382" s="193"/>
      <c r="U2382" s="191"/>
      <c r="V2382" s="194"/>
      <c r="W2382" s="191"/>
      <c r="Y2382" s="191"/>
      <c r="Z2382" s="191"/>
      <c r="AA2382" s="191"/>
      <c r="AB2382" s="191"/>
      <c r="AC2382" s="191"/>
      <c r="AD2382" s="16"/>
      <c r="AE2382" s="16"/>
      <c r="AF2382" s="16"/>
      <c r="AG2382" s="16"/>
      <c r="AH2382" s="16"/>
      <c r="AI2382" s="16"/>
      <c r="AJ2382" s="16"/>
      <c r="AK2382" s="16"/>
      <c r="AL2382" s="16"/>
      <c r="AM2382" s="16"/>
      <c r="AN2382" s="16"/>
      <c r="AO2382" s="16"/>
      <c r="AP2382" s="16"/>
      <c r="AQ2382" s="16"/>
      <c r="AR2382" s="16"/>
      <c r="AS2382" s="16"/>
    </row>
    <row r="2383" spans="18:45" x14ac:dyDescent="0.35">
      <c r="R2383" s="191"/>
      <c r="S2383" s="191"/>
      <c r="T2383" s="193"/>
      <c r="U2383" s="191"/>
      <c r="V2383" s="194"/>
      <c r="W2383" s="191"/>
      <c r="Y2383" s="191"/>
      <c r="Z2383" s="191"/>
      <c r="AA2383" s="191"/>
      <c r="AB2383" s="191"/>
      <c r="AC2383" s="191"/>
      <c r="AD2383" s="16"/>
      <c r="AE2383" s="16"/>
      <c r="AF2383" s="16"/>
      <c r="AG2383" s="16"/>
      <c r="AH2383" s="16"/>
      <c r="AI2383" s="16"/>
      <c r="AJ2383" s="16"/>
      <c r="AK2383" s="16"/>
      <c r="AL2383" s="16"/>
      <c r="AM2383" s="16"/>
      <c r="AN2383" s="16"/>
      <c r="AO2383" s="16"/>
      <c r="AP2383" s="16"/>
      <c r="AQ2383" s="16"/>
      <c r="AR2383" s="16"/>
      <c r="AS2383" s="16"/>
    </row>
    <row r="2384" spans="18:45" x14ac:dyDescent="0.35">
      <c r="R2384" s="191"/>
      <c r="S2384" s="191"/>
      <c r="T2384" s="193"/>
      <c r="U2384" s="191"/>
      <c r="V2384" s="194"/>
      <c r="W2384" s="191"/>
      <c r="Y2384" s="191"/>
      <c r="Z2384" s="191"/>
      <c r="AA2384" s="191"/>
      <c r="AB2384" s="191"/>
      <c r="AC2384" s="191"/>
      <c r="AD2384" s="16"/>
      <c r="AE2384" s="16"/>
      <c r="AF2384" s="16"/>
      <c r="AG2384" s="16"/>
      <c r="AH2384" s="16"/>
      <c r="AI2384" s="16"/>
      <c r="AJ2384" s="16"/>
      <c r="AK2384" s="16"/>
      <c r="AL2384" s="16"/>
      <c r="AM2384" s="16"/>
      <c r="AN2384" s="16"/>
      <c r="AO2384" s="16"/>
      <c r="AP2384" s="16"/>
      <c r="AQ2384" s="16"/>
      <c r="AR2384" s="16"/>
      <c r="AS2384" s="16"/>
    </row>
    <row r="2385" spans="18:45" x14ac:dyDescent="0.35">
      <c r="R2385" s="191"/>
      <c r="S2385" s="191"/>
      <c r="T2385" s="193"/>
      <c r="U2385" s="191"/>
      <c r="V2385" s="194"/>
      <c r="W2385" s="191"/>
      <c r="Y2385" s="191"/>
      <c r="Z2385" s="191"/>
      <c r="AA2385" s="191"/>
      <c r="AB2385" s="191"/>
      <c r="AC2385" s="191"/>
      <c r="AD2385" s="16"/>
      <c r="AE2385" s="16"/>
      <c r="AF2385" s="16"/>
      <c r="AG2385" s="16"/>
      <c r="AH2385" s="16"/>
      <c r="AI2385" s="16"/>
      <c r="AJ2385" s="16"/>
      <c r="AK2385" s="16"/>
      <c r="AL2385" s="16"/>
      <c r="AM2385" s="16"/>
      <c r="AN2385" s="16"/>
      <c r="AO2385" s="16"/>
      <c r="AP2385" s="16"/>
      <c r="AQ2385" s="16"/>
      <c r="AR2385" s="16"/>
      <c r="AS2385" s="16"/>
    </row>
    <row r="2386" spans="18:45" x14ac:dyDescent="0.35">
      <c r="R2386" s="191"/>
      <c r="S2386" s="191"/>
      <c r="T2386" s="193"/>
      <c r="U2386" s="191"/>
      <c r="V2386" s="194"/>
      <c r="W2386" s="191"/>
      <c r="Y2386" s="191"/>
      <c r="Z2386" s="191"/>
      <c r="AA2386" s="191"/>
      <c r="AB2386" s="191"/>
      <c r="AC2386" s="191"/>
      <c r="AD2386" s="16"/>
      <c r="AE2386" s="16"/>
      <c r="AF2386" s="16"/>
      <c r="AG2386" s="16"/>
      <c r="AH2386" s="16"/>
      <c r="AI2386" s="16"/>
      <c r="AJ2386" s="16"/>
      <c r="AK2386" s="16"/>
      <c r="AL2386" s="16"/>
      <c r="AM2386" s="16"/>
      <c r="AN2386" s="16"/>
      <c r="AO2386" s="16"/>
      <c r="AP2386" s="16"/>
      <c r="AQ2386" s="16"/>
      <c r="AR2386" s="16"/>
      <c r="AS2386" s="16"/>
    </row>
    <row r="2387" spans="18:45" x14ac:dyDescent="0.35">
      <c r="R2387" s="191"/>
      <c r="S2387" s="191"/>
      <c r="T2387" s="193"/>
      <c r="U2387" s="191"/>
      <c r="V2387" s="194"/>
      <c r="W2387" s="191"/>
      <c r="Y2387" s="191"/>
      <c r="Z2387" s="191"/>
      <c r="AA2387" s="191"/>
      <c r="AB2387" s="191"/>
      <c r="AC2387" s="191"/>
      <c r="AD2387" s="16"/>
      <c r="AE2387" s="16"/>
      <c r="AF2387" s="16"/>
      <c r="AG2387" s="16"/>
      <c r="AH2387" s="16"/>
      <c r="AI2387" s="16"/>
      <c r="AJ2387" s="16"/>
      <c r="AK2387" s="16"/>
      <c r="AL2387" s="16"/>
      <c r="AM2387" s="16"/>
      <c r="AN2387" s="16"/>
      <c r="AO2387" s="16"/>
      <c r="AP2387" s="16"/>
      <c r="AQ2387" s="16"/>
      <c r="AR2387" s="16"/>
      <c r="AS2387" s="16"/>
    </row>
    <row r="2388" spans="18:45" x14ac:dyDescent="0.35">
      <c r="R2388" s="191"/>
      <c r="S2388" s="191"/>
      <c r="T2388" s="193"/>
      <c r="U2388" s="191"/>
      <c r="V2388" s="194"/>
      <c r="W2388" s="191"/>
      <c r="Y2388" s="191"/>
      <c r="Z2388" s="191"/>
      <c r="AA2388" s="191"/>
      <c r="AB2388" s="191"/>
      <c r="AC2388" s="191"/>
      <c r="AD2388" s="16"/>
      <c r="AE2388" s="16"/>
      <c r="AF2388" s="16"/>
      <c r="AG2388" s="16"/>
      <c r="AH2388" s="16"/>
      <c r="AI2388" s="16"/>
      <c r="AJ2388" s="16"/>
      <c r="AK2388" s="16"/>
      <c r="AL2388" s="16"/>
      <c r="AM2388" s="16"/>
      <c r="AN2388" s="16"/>
      <c r="AO2388" s="16"/>
      <c r="AP2388" s="16"/>
      <c r="AQ2388" s="16"/>
      <c r="AR2388" s="16"/>
      <c r="AS2388" s="16"/>
    </row>
    <row r="2389" spans="18:45" x14ac:dyDescent="0.35">
      <c r="R2389" s="191"/>
      <c r="S2389" s="191"/>
      <c r="T2389" s="193"/>
      <c r="U2389" s="191"/>
      <c r="V2389" s="194"/>
      <c r="W2389" s="191"/>
      <c r="Y2389" s="191"/>
      <c r="Z2389" s="191"/>
      <c r="AA2389" s="191"/>
      <c r="AB2389" s="191"/>
      <c r="AC2389" s="191"/>
      <c r="AD2389" s="16"/>
      <c r="AE2389" s="16"/>
      <c r="AF2389" s="16"/>
      <c r="AG2389" s="16"/>
      <c r="AH2389" s="16"/>
      <c r="AI2389" s="16"/>
      <c r="AJ2389" s="16"/>
      <c r="AK2389" s="16"/>
      <c r="AL2389" s="16"/>
      <c r="AM2389" s="16"/>
      <c r="AN2389" s="16"/>
      <c r="AO2389" s="16"/>
      <c r="AP2389" s="16"/>
      <c r="AQ2389" s="16"/>
      <c r="AR2389" s="16"/>
      <c r="AS2389" s="16"/>
    </row>
    <row r="2390" spans="18:45" x14ac:dyDescent="0.35">
      <c r="R2390" s="191"/>
      <c r="S2390" s="191"/>
      <c r="T2390" s="193"/>
      <c r="U2390" s="191"/>
      <c r="V2390" s="194"/>
      <c r="W2390" s="191"/>
      <c r="Y2390" s="191"/>
      <c r="Z2390" s="191"/>
      <c r="AA2390" s="191"/>
      <c r="AB2390" s="191"/>
      <c r="AC2390" s="191"/>
      <c r="AD2390" s="16"/>
      <c r="AE2390" s="16"/>
      <c r="AF2390" s="16"/>
      <c r="AG2390" s="16"/>
      <c r="AH2390" s="16"/>
      <c r="AI2390" s="16"/>
      <c r="AJ2390" s="16"/>
      <c r="AK2390" s="16"/>
      <c r="AL2390" s="16"/>
      <c r="AM2390" s="16"/>
      <c r="AN2390" s="16"/>
      <c r="AO2390" s="16"/>
      <c r="AP2390" s="16"/>
      <c r="AQ2390" s="16"/>
      <c r="AR2390" s="16"/>
      <c r="AS2390" s="16"/>
    </row>
    <row r="2391" spans="18:45" x14ac:dyDescent="0.35">
      <c r="R2391" s="191"/>
      <c r="S2391" s="191"/>
      <c r="T2391" s="193"/>
      <c r="U2391" s="191"/>
      <c r="V2391" s="194"/>
      <c r="W2391" s="191"/>
      <c r="Y2391" s="191"/>
      <c r="Z2391" s="191"/>
      <c r="AA2391" s="191"/>
      <c r="AB2391" s="191"/>
      <c r="AC2391" s="191"/>
      <c r="AD2391" s="16"/>
      <c r="AE2391" s="16"/>
      <c r="AF2391" s="16"/>
      <c r="AG2391" s="16"/>
      <c r="AH2391" s="16"/>
      <c r="AI2391" s="16"/>
      <c r="AJ2391" s="16"/>
      <c r="AK2391" s="16"/>
      <c r="AL2391" s="16"/>
      <c r="AM2391" s="16"/>
      <c r="AN2391" s="16"/>
      <c r="AO2391" s="16"/>
      <c r="AP2391" s="16"/>
      <c r="AQ2391" s="16"/>
      <c r="AR2391" s="16"/>
      <c r="AS2391" s="16"/>
    </row>
    <row r="2392" spans="18:45" x14ac:dyDescent="0.35">
      <c r="R2392" s="191"/>
      <c r="S2392" s="191"/>
      <c r="T2392" s="193"/>
      <c r="U2392" s="191"/>
      <c r="V2392" s="194"/>
      <c r="W2392" s="191"/>
      <c r="Y2392" s="191"/>
      <c r="Z2392" s="191"/>
      <c r="AA2392" s="191"/>
      <c r="AB2392" s="191"/>
      <c r="AC2392" s="191"/>
      <c r="AD2392" s="16"/>
      <c r="AE2392" s="16"/>
      <c r="AF2392" s="16"/>
      <c r="AG2392" s="16"/>
      <c r="AH2392" s="16"/>
      <c r="AI2392" s="16"/>
      <c r="AJ2392" s="16"/>
      <c r="AK2392" s="16"/>
      <c r="AL2392" s="16"/>
      <c r="AM2392" s="16"/>
      <c r="AN2392" s="16"/>
      <c r="AO2392" s="16"/>
      <c r="AP2392" s="16"/>
      <c r="AQ2392" s="16"/>
      <c r="AR2392" s="16"/>
      <c r="AS2392" s="16"/>
    </row>
    <row r="2393" spans="18:45" x14ac:dyDescent="0.35">
      <c r="R2393" s="191"/>
      <c r="S2393" s="191"/>
      <c r="T2393" s="193"/>
      <c r="U2393" s="191"/>
      <c r="V2393" s="194"/>
      <c r="W2393" s="191"/>
      <c r="Y2393" s="191"/>
      <c r="Z2393" s="191"/>
      <c r="AA2393" s="191"/>
      <c r="AB2393" s="191"/>
      <c r="AC2393" s="191"/>
      <c r="AD2393" s="16"/>
      <c r="AE2393" s="16"/>
      <c r="AF2393" s="16"/>
      <c r="AG2393" s="16"/>
      <c r="AH2393" s="16"/>
      <c r="AI2393" s="16"/>
      <c r="AJ2393" s="16"/>
      <c r="AK2393" s="16"/>
      <c r="AL2393" s="16"/>
      <c r="AM2393" s="16"/>
      <c r="AN2393" s="16"/>
      <c r="AO2393" s="16"/>
      <c r="AP2393" s="16"/>
      <c r="AQ2393" s="16"/>
      <c r="AR2393" s="16"/>
      <c r="AS2393" s="16"/>
    </row>
    <row r="2394" spans="18:45" x14ac:dyDescent="0.35">
      <c r="R2394" s="191"/>
      <c r="S2394" s="191"/>
      <c r="T2394" s="193"/>
      <c r="U2394" s="191"/>
      <c r="V2394" s="194"/>
      <c r="W2394" s="191"/>
      <c r="Y2394" s="191"/>
      <c r="Z2394" s="191"/>
      <c r="AA2394" s="191"/>
      <c r="AB2394" s="191"/>
      <c r="AC2394" s="191"/>
      <c r="AD2394" s="16"/>
      <c r="AE2394" s="16"/>
      <c r="AF2394" s="16"/>
      <c r="AG2394" s="16"/>
      <c r="AH2394" s="16"/>
      <c r="AI2394" s="16"/>
      <c r="AJ2394" s="16"/>
      <c r="AK2394" s="16"/>
      <c r="AL2394" s="16"/>
      <c r="AM2394" s="16"/>
      <c r="AN2394" s="16"/>
      <c r="AO2394" s="16"/>
      <c r="AP2394" s="16"/>
      <c r="AQ2394" s="16"/>
      <c r="AR2394" s="16"/>
      <c r="AS2394" s="16"/>
    </row>
    <row r="2395" spans="18:45" x14ac:dyDescent="0.35">
      <c r="R2395" s="191"/>
      <c r="S2395" s="191"/>
      <c r="T2395" s="193"/>
      <c r="U2395" s="191"/>
      <c r="V2395" s="194"/>
      <c r="W2395" s="191"/>
      <c r="Y2395" s="191"/>
      <c r="Z2395" s="191"/>
      <c r="AA2395" s="191"/>
      <c r="AB2395" s="191"/>
      <c r="AC2395" s="191"/>
      <c r="AD2395" s="16"/>
      <c r="AE2395" s="16"/>
      <c r="AF2395" s="16"/>
      <c r="AG2395" s="16"/>
      <c r="AH2395" s="16"/>
      <c r="AI2395" s="16"/>
      <c r="AJ2395" s="16"/>
      <c r="AK2395" s="16"/>
      <c r="AL2395" s="16"/>
      <c r="AM2395" s="16"/>
      <c r="AN2395" s="16"/>
      <c r="AO2395" s="16"/>
      <c r="AP2395" s="16"/>
      <c r="AQ2395" s="16"/>
      <c r="AR2395" s="16"/>
      <c r="AS2395" s="16"/>
    </row>
    <row r="2396" spans="18:45" x14ac:dyDescent="0.35">
      <c r="R2396" s="191"/>
      <c r="S2396" s="191"/>
      <c r="T2396" s="193"/>
      <c r="U2396" s="191"/>
      <c r="V2396" s="194"/>
      <c r="W2396" s="191"/>
      <c r="Y2396" s="191"/>
      <c r="Z2396" s="191"/>
      <c r="AA2396" s="191"/>
      <c r="AB2396" s="191"/>
      <c r="AC2396" s="191"/>
      <c r="AD2396" s="16"/>
      <c r="AE2396" s="16"/>
      <c r="AF2396" s="16"/>
      <c r="AG2396" s="16"/>
      <c r="AH2396" s="16"/>
      <c r="AI2396" s="16"/>
      <c r="AJ2396" s="16"/>
      <c r="AK2396" s="16"/>
      <c r="AL2396" s="16"/>
      <c r="AM2396" s="16"/>
      <c r="AN2396" s="16"/>
      <c r="AO2396" s="16"/>
      <c r="AP2396" s="16"/>
      <c r="AQ2396" s="16"/>
      <c r="AR2396" s="16"/>
      <c r="AS2396" s="16"/>
    </row>
    <row r="2397" spans="18:45" x14ac:dyDescent="0.35">
      <c r="R2397" s="191"/>
      <c r="S2397" s="191"/>
      <c r="T2397" s="193"/>
      <c r="U2397" s="191"/>
      <c r="V2397" s="194"/>
      <c r="W2397" s="191"/>
      <c r="Y2397" s="191"/>
      <c r="Z2397" s="191"/>
      <c r="AA2397" s="191"/>
      <c r="AB2397" s="191"/>
      <c r="AC2397" s="191"/>
      <c r="AD2397" s="16"/>
      <c r="AE2397" s="16"/>
      <c r="AF2397" s="16"/>
      <c r="AG2397" s="16"/>
      <c r="AH2397" s="16"/>
      <c r="AI2397" s="16"/>
      <c r="AJ2397" s="16"/>
      <c r="AK2397" s="16"/>
      <c r="AL2397" s="16"/>
      <c r="AM2397" s="16"/>
      <c r="AN2397" s="16"/>
      <c r="AO2397" s="16"/>
      <c r="AP2397" s="16"/>
      <c r="AQ2397" s="16"/>
      <c r="AR2397" s="16"/>
      <c r="AS2397" s="16"/>
    </row>
    <row r="2398" spans="18:45" x14ac:dyDescent="0.35">
      <c r="R2398" s="191"/>
      <c r="S2398" s="191"/>
      <c r="T2398" s="193"/>
      <c r="U2398" s="191"/>
      <c r="V2398" s="194"/>
      <c r="W2398" s="191"/>
      <c r="Y2398" s="191"/>
      <c r="Z2398" s="191"/>
      <c r="AA2398" s="191"/>
      <c r="AB2398" s="191"/>
      <c r="AC2398" s="191"/>
      <c r="AD2398" s="16"/>
      <c r="AE2398" s="16"/>
      <c r="AF2398" s="16"/>
      <c r="AG2398" s="16"/>
      <c r="AH2398" s="16"/>
      <c r="AI2398" s="16"/>
      <c r="AJ2398" s="16"/>
      <c r="AK2398" s="16"/>
      <c r="AL2398" s="16"/>
      <c r="AM2398" s="16"/>
      <c r="AN2398" s="16"/>
      <c r="AO2398" s="16"/>
      <c r="AP2398" s="16"/>
      <c r="AQ2398" s="16"/>
      <c r="AR2398" s="16"/>
      <c r="AS2398" s="16"/>
    </row>
    <row r="2399" spans="18:45" x14ac:dyDescent="0.35">
      <c r="R2399" s="191"/>
      <c r="S2399" s="191"/>
      <c r="T2399" s="193"/>
      <c r="U2399" s="191"/>
      <c r="V2399" s="194"/>
      <c r="W2399" s="191"/>
      <c r="Y2399" s="191"/>
      <c r="Z2399" s="191"/>
      <c r="AA2399" s="191"/>
      <c r="AB2399" s="191"/>
      <c r="AC2399" s="191"/>
      <c r="AD2399" s="16"/>
      <c r="AE2399" s="16"/>
      <c r="AF2399" s="16"/>
      <c r="AG2399" s="16"/>
      <c r="AH2399" s="16"/>
      <c r="AI2399" s="16"/>
      <c r="AJ2399" s="16"/>
      <c r="AK2399" s="16"/>
      <c r="AL2399" s="16"/>
      <c r="AM2399" s="16"/>
      <c r="AN2399" s="16"/>
      <c r="AO2399" s="16"/>
      <c r="AP2399" s="16"/>
      <c r="AQ2399" s="16"/>
      <c r="AR2399" s="16"/>
      <c r="AS2399" s="16"/>
    </row>
    <row r="2400" spans="18:45" x14ac:dyDescent="0.35">
      <c r="R2400" s="191"/>
      <c r="S2400" s="191"/>
      <c r="T2400" s="193"/>
      <c r="U2400" s="191"/>
      <c r="V2400" s="194"/>
      <c r="W2400" s="191"/>
      <c r="Y2400" s="191"/>
      <c r="Z2400" s="191"/>
      <c r="AA2400" s="191"/>
      <c r="AB2400" s="191"/>
      <c r="AC2400" s="191"/>
      <c r="AD2400" s="16"/>
      <c r="AE2400" s="16"/>
      <c r="AF2400" s="16"/>
      <c r="AG2400" s="16"/>
      <c r="AH2400" s="16"/>
      <c r="AI2400" s="16"/>
      <c r="AJ2400" s="16"/>
      <c r="AK2400" s="16"/>
      <c r="AL2400" s="16"/>
      <c r="AM2400" s="16"/>
      <c r="AN2400" s="16"/>
      <c r="AO2400" s="16"/>
      <c r="AP2400" s="16"/>
      <c r="AQ2400" s="16"/>
      <c r="AR2400" s="16"/>
      <c r="AS2400" s="16"/>
    </row>
    <row r="2401" spans="18:45" x14ac:dyDescent="0.35">
      <c r="R2401" s="191"/>
      <c r="S2401" s="191"/>
      <c r="T2401" s="193"/>
      <c r="U2401" s="191"/>
      <c r="V2401" s="194"/>
      <c r="W2401" s="191"/>
      <c r="Y2401" s="191"/>
      <c r="Z2401" s="191"/>
      <c r="AA2401" s="191"/>
      <c r="AB2401" s="191"/>
      <c r="AC2401" s="191"/>
      <c r="AD2401" s="16"/>
      <c r="AE2401" s="16"/>
      <c r="AF2401" s="16"/>
      <c r="AG2401" s="16"/>
      <c r="AH2401" s="16"/>
      <c r="AI2401" s="16"/>
      <c r="AJ2401" s="16"/>
      <c r="AK2401" s="16"/>
      <c r="AL2401" s="16"/>
      <c r="AM2401" s="16"/>
      <c r="AN2401" s="16"/>
      <c r="AO2401" s="16"/>
      <c r="AP2401" s="16"/>
      <c r="AQ2401" s="16"/>
      <c r="AR2401" s="16"/>
      <c r="AS2401" s="16"/>
    </row>
    <row r="2402" spans="18:45" x14ac:dyDescent="0.35">
      <c r="R2402" s="191"/>
      <c r="S2402" s="191"/>
      <c r="T2402" s="193"/>
      <c r="U2402" s="191"/>
      <c r="V2402" s="194"/>
      <c r="W2402" s="191"/>
      <c r="Y2402" s="191"/>
      <c r="Z2402" s="191"/>
      <c r="AA2402" s="191"/>
      <c r="AB2402" s="191"/>
      <c r="AC2402" s="191"/>
      <c r="AD2402" s="16"/>
      <c r="AE2402" s="16"/>
      <c r="AF2402" s="16"/>
      <c r="AG2402" s="16"/>
      <c r="AH2402" s="16"/>
      <c r="AI2402" s="16"/>
      <c r="AJ2402" s="16"/>
      <c r="AK2402" s="16"/>
      <c r="AL2402" s="16"/>
      <c r="AM2402" s="16"/>
      <c r="AN2402" s="16"/>
      <c r="AO2402" s="16"/>
      <c r="AP2402" s="16"/>
      <c r="AQ2402" s="16"/>
      <c r="AR2402" s="16"/>
      <c r="AS2402" s="16"/>
    </row>
    <row r="2403" spans="18:45" x14ac:dyDescent="0.35">
      <c r="R2403" s="191"/>
      <c r="S2403" s="191"/>
      <c r="T2403" s="193"/>
      <c r="U2403" s="191"/>
      <c r="V2403" s="194"/>
      <c r="W2403" s="191"/>
      <c r="Y2403" s="191"/>
      <c r="Z2403" s="191"/>
      <c r="AA2403" s="191"/>
      <c r="AB2403" s="191"/>
      <c r="AC2403" s="191"/>
      <c r="AD2403" s="16"/>
      <c r="AE2403" s="16"/>
      <c r="AF2403" s="16"/>
      <c r="AG2403" s="16"/>
      <c r="AH2403" s="16"/>
      <c r="AI2403" s="16"/>
      <c r="AJ2403" s="16"/>
      <c r="AK2403" s="16"/>
      <c r="AL2403" s="16"/>
      <c r="AM2403" s="16"/>
      <c r="AN2403" s="16"/>
      <c r="AO2403" s="16"/>
      <c r="AP2403" s="16"/>
      <c r="AQ2403" s="16"/>
      <c r="AR2403" s="16"/>
      <c r="AS2403" s="16"/>
    </row>
    <row r="2404" spans="18:45" x14ac:dyDescent="0.35">
      <c r="R2404" s="191"/>
      <c r="S2404" s="191"/>
      <c r="T2404" s="193"/>
      <c r="U2404" s="191"/>
      <c r="V2404" s="194"/>
      <c r="W2404" s="191"/>
      <c r="Y2404" s="191"/>
      <c r="Z2404" s="191"/>
      <c r="AA2404" s="191"/>
      <c r="AB2404" s="191"/>
      <c r="AC2404" s="191"/>
      <c r="AD2404" s="16"/>
      <c r="AE2404" s="16"/>
      <c r="AF2404" s="16"/>
      <c r="AG2404" s="16"/>
      <c r="AH2404" s="16"/>
      <c r="AI2404" s="16"/>
      <c r="AJ2404" s="16"/>
      <c r="AK2404" s="16"/>
      <c r="AL2404" s="16"/>
      <c r="AM2404" s="16"/>
      <c r="AN2404" s="16"/>
      <c r="AO2404" s="16"/>
      <c r="AP2404" s="16"/>
      <c r="AQ2404" s="16"/>
      <c r="AR2404" s="16"/>
      <c r="AS2404" s="16"/>
    </row>
    <row r="2405" spans="18:45" x14ac:dyDescent="0.35">
      <c r="R2405" s="191"/>
      <c r="S2405" s="191"/>
      <c r="T2405" s="193"/>
      <c r="U2405" s="191"/>
      <c r="V2405" s="194"/>
      <c r="W2405" s="191"/>
      <c r="Y2405" s="191"/>
      <c r="Z2405" s="191"/>
      <c r="AA2405" s="191"/>
      <c r="AB2405" s="191"/>
      <c r="AC2405" s="191"/>
      <c r="AD2405" s="16"/>
      <c r="AE2405" s="16"/>
      <c r="AF2405" s="16"/>
      <c r="AG2405" s="16"/>
      <c r="AH2405" s="16"/>
      <c r="AI2405" s="16"/>
      <c r="AJ2405" s="16"/>
      <c r="AK2405" s="16"/>
      <c r="AL2405" s="16"/>
      <c r="AM2405" s="16"/>
      <c r="AN2405" s="16"/>
      <c r="AO2405" s="16"/>
      <c r="AP2405" s="16"/>
      <c r="AQ2405" s="16"/>
      <c r="AR2405" s="16"/>
      <c r="AS2405" s="16"/>
    </row>
    <row r="2406" spans="18:45" x14ac:dyDescent="0.35">
      <c r="R2406" s="191"/>
      <c r="S2406" s="191"/>
      <c r="T2406" s="193"/>
      <c r="U2406" s="191"/>
      <c r="V2406" s="194"/>
      <c r="W2406" s="191"/>
      <c r="Y2406" s="191"/>
      <c r="Z2406" s="191"/>
      <c r="AA2406" s="191"/>
      <c r="AB2406" s="191"/>
      <c r="AC2406" s="191"/>
      <c r="AD2406" s="16"/>
      <c r="AE2406" s="16"/>
      <c r="AF2406" s="16"/>
      <c r="AG2406" s="16"/>
      <c r="AH2406" s="16"/>
      <c r="AI2406" s="16"/>
      <c r="AJ2406" s="16"/>
      <c r="AK2406" s="16"/>
      <c r="AL2406" s="16"/>
      <c r="AM2406" s="16"/>
      <c r="AN2406" s="16"/>
      <c r="AO2406" s="16"/>
      <c r="AP2406" s="16"/>
      <c r="AQ2406" s="16"/>
      <c r="AR2406" s="16"/>
      <c r="AS2406" s="16"/>
    </row>
    <row r="2407" spans="18:45" x14ac:dyDescent="0.35">
      <c r="R2407" s="191"/>
      <c r="S2407" s="191"/>
      <c r="T2407" s="193"/>
      <c r="U2407" s="191"/>
      <c r="V2407" s="194"/>
      <c r="W2407" s="191"/>
      <c r="Y2407" s="191"/>
      <c r="Z2407" s="191"/>
      <c r="AA2407" s="191"/>
      <c r="AB2407" s="191"/>
      <c r="AC2407" s="191"/>
      <c r="AD2407" s="16"/>
      <c r="AE2407" s="16"/>
      <c r="AF2407" s="16"/>
      <c r="AG2407" s="16"/>
      <c r="AH2407" s="16"/>
      <c r="AI2407" s="16"/>
      <c r="AJ2407" s="16"/>
      <c r="AK2407" s="16"/>
      <c r="AL2407" s="16"/>
      <c r="AM2407" s="16"/>
      <c r="AN2407" s="16"/>
      <c r="AO2407" s="16"/>
      <c r="AP2407" s="16"/>
      <c r="AQ2407" s="16"/>
      <c r="AR2407" s="16"/>
      <c r="AS2407" s="16"/>
    </row>
    <row r="2408" spans="18:45" x14ac:dyDescent="0.35">
      <c r="R2408" s="191"/>
      <c r="S2408" s="191"/>
      <c r="T2408" s="193"/>
      <c r="U2408" s="191"/>
      <c r="V2408" s="194"/>
      <c r="W2408" s="191"/>
      <c r="Y2408" s="191"/>
      <c r="Z2408" s="191"/>
      <c r="AA2408" s="191"/>
      <c r="AB2408" s="191"/>
      <c r="AC2408" s="191"/>
      <c r="AD2408" s="16"/>
      <c r="AE2408" s="16"/>
      <c r="AF2408" s="16"/>
      <c r="AG2408" s="16"/>
      <c r="AH2408" s="16"/>
      <c r="AI2408" s="16"/>
      <c r="AJ2408" s="16"/>
      <c r="AK2408" s="16"/>
      <c r="AL2408" s="16"/>
      <c r="AM2408" s="16"/>
      <c r="AN2408" s="16"/>
      <c r="AO2408" s="16"/>
      <c r="AP2408" s="16"/>
      <c r="AQ2408" s="16"/>
      <c r="AR2408" s="16"/>
      <c r="AS2408" s="16"/>
    </row>
    <row r="2409" spans="18:45" x14ac:dyDescent="0.35">
      <c r="R2409" s="191"/>
      <c r="S2409" s="191"/>
      <c r="T2409" s="193"/>
      <c r="U2409" s="191"/>
      <c r="V2409" s="194"/>
      <c r="W2409" s="191"/>
      <c r="Y2409" s="191"/>
      <c r="Z2409" s="191"/>
      <c r="AA2409" s="191"/>
      <c r="AB2409" s="191"/>
      <c r="AC2409" s="191"/>
      <c r="AD2409" s="16"/>
      <c r="AE2409" s="16"/>
      <c r="AF2409" s="16"/>
      <c r="AG2409" s="16"/>
      <c r="AH2409" s="16"/>
      <c r="AI2409" s="16"/>
      <c r="AJ2409" s="16"/>
      <c r="AK2409" s="16"/>
      <c r="AL2409" s="16"/>
      <c r="AM2409" s="16"/>
      <c r="AN2409" s="16"/>
      <c r="AO2409" s="16"/>
      <c r="AP2409" s="16"/>
      <c r="AQ2409" s="16"/>
      <c r="AR2409" s="16"/>
      <c r="AS2409" s="16"/>
    </row>
    <row r="2410" spans="18:45" x14ac:dyDescent="0.35">
      <c r="R2410" s="191"/>
      <c r="S2410" s="191"/>
      <c r="T2410" s="193"/>
      <c r="U2410" s="191"/>
      <c r="V2410" s="194"/>
      <c r="W2410" s="191"/>
      <c r="Y2410" s="191"/>
      <c r="Z2410" s="191"/>
      <c r="AA2410" s="191"/>
      <c r="AB2410" s="191"/>
      <c r="AC2410" s="191"/>
      <c r="AD2410" s="16"/>
      <c r="AE2410" s="16"/>
      <c r="AF2410" s="16"/>
      <c r="AG2410" s="16"/>
      <c r="AH2410" s="16"/>
      <c r="AI2410" s="16"/>
      <c r="AJ2410" s="16"/>
      <c r="AK2410" s="16"/>
      <c r="AL2410" s="16"/>
      <c r="AM2410" s="16"/>
      <c r="AN2410" s="16"/>
      <c r="AO2410" s="16"/>
      <c r="AP2410" s="16"/>
      <c r="AQ2410" s="16"/>
      <c r="AR2410" s="16"/>
      <c r="AS2410" s="16"/>
    </row>
    <row r="2411" spans="18:45" x14ac:dyDescent="0.35">
      <c r="R2411" s="191"/>
      <c r="S2411" s="191"/>
      <c r="T2411" s="193"/>
      <c r="U2411" s="191"/>
      <c r="V2411" s="194"/>
      <c r="W2411" s="191"/>
      <c r="Y2411" s="191"/>
      <c r="Z2411" s="191"/>
      <c r="AA2411" s="191"/>
      <c r="AB2411" s="191"/>
      <c r="AC2411" s="191"/>
      <c r="AD2411" s="16"/>
      <c r="AE2411" s="16"/>
      <c r="AF2411" s="16"/>
      <c r="AG2411" s="16"/>
      <c r="AH2411" s="16"/>
      <c r="AI2411" s="16"/>
      <c r="AJ2411" s="16"/>
      <c r="AK2411" s="16"/>
      <c r="AL2411" s="16"/>
      <c r="AM2411" s="16"/>
      <c r="AN2411" s="16"/>
      <c r="AO2411" s="16"/>
      <c r="AP2411" s="16"/>
      <c r="AQ2411" s="16"/>
      <c r="AR2411" s="16"/>
      <c r="AS2411" s="16"/>
    </row>
    <row r="2412" spans="18:45" x14ac:dyDescent="0.35">
      <c r="R2412" s="191"/>
      <c r="S2412" s="191"/>
      <c r="T2412" s="193"/>
      <c r="U2412" s="191"/>
      <c r="V2412" s="194"/>
      <c r="W2412" s="191"/>
      <c r="Y2412" s="191"/>
      <c r="Z2412" s="191"/>
      <c r="AA2412" s="191"/>
      <c r="AB2412" s="191"/>
      <c r="AC2412" s="191"/>
      <c r="AD2412" s="16"/>
      <c r="AE2412" s="16"/>
      <c r="AF2412" s="16"/>
      <c r="AG2412" s="16"/>
      <c r="AH2412" s="16"/>
      <c r="AI2412" s="16"/>
      <c r="AJ2412" s="16"/>
      <c r="AK2412" s="16"/>
      <c r="AL2412" s="16"/>
      <c r="AM2412" s="16"/>
      <c r="AN2412" s="16"/>
      <c r="AO2412" s="16"/>
      <c r="AP2412" s="16"/>
      <c r="AQ2412" s="16"/>
      <c r="AR2412" s="16"/>
      <c r="AS2412" s="16"/>
    </row>
    <row r="2413" spans="18:45" x14ac:dyDescent="0.35">
      <c r="R2413" s="191"/>
      <c r="S2413" s="191"/>
      <c r="T2413" s="193"/>
      <c r="U2413" s="191"/>
      <c r="V2413" s="194"/>
      <c r="W2413" s="191"/>
      <c r="Y2413" s="191"/>
      <c r="Z2413" s="191"/>
      <c r="AA2413" s="191"/>
      <c r="AB2413" s="191"/>
      <c r="AC2413" s="191"/>
      <c r="AD2413" s="16"/>
      <c r="AE2413" s="16"/>
      <c r="AF2413" s="16"/>
      <c r="AG2413" s="16"/>
      <c r="AH2413" s="16"/>
      <c r="AI2413" s="16"/>
      <c r="AJ2413" s="16"/>
      <c r="AK2413" s="16"/>
      <c r="AL2413" s="16"/>
      <c r="AM2413" s="16"/>
      <c r="AN2413" s="16"/>
      <c r="AO2413" s="16"/>
      <c r="AP2413" s="16"/>
      <c r="AQ2413" s="16"/>
      <c r="AR2413" s="16"/>
      <c r="AS2413" s="16"/>
    </row>
    <row r="2414" spans="18:45" x14ac:dyDescent="0.35">
      <c r="R2414" s="191"/>
      <c r="S2414" s="191"/>
      <c r="T2414" s="193"/>
      <c r="U2414" s="191"/>
      <c r="V2414" s="194"/>
      <c r="W2414" s="191"/>
      <c r="Y2414" s="191"/>
      <c r="Z2414" s="191"/>
      <c r="AA2414" s="191"/>
      <c r="AB2414" s="191"/>
      <c r="AC2414" s="191"/>
      <c r="AD2414" s="16"/>
      <c r="AE2414" s="16"/>
      <c r="AF2414" s="16"/>
      <c r="AG2414" s="16"/>
      <c r="AH2414" s="16"/>
      <c r="AI2414" s="16"/>
      <c r="AJ2414" s="16"/>
      <c r="AK2414" s="16"/>
      <c r="AL2414" s="16"/>
      <c r="AM2414" s="16"/>
      <c r="AN2414" s="16"/>
      <c r="AO2414" s="16"/>
      <c r="AP2414" s="16"/>
      <c r="AQ2414" s="16"/>
      <c r="AR2414" s="16"/>
      <c r="AS2414" s="16"/>
    </row>
    <row r="2415" spans="18:45" x14ac:dyDescent="0.35">
      <c r="R2415" s="191"/>
      <c r="S2415" s="191"/>
      <c r="T2415" s="193"/>
      <c r="U2415" s="191"/>
      <c r="V2415" s="194"/>
      <c r="W2415" s="191"/>
      <c r="Y2415" s="191"/>
      <c r="Z2415" s="191"/>
      <c r="AA2415" s="191"/>
      <c r="AB2415" s="191"/>
      <c r="AC2415" s="191"/>
      <c r="AD2415" s="16"/>
      <c r="AE2415" s="16"/>
      <c r="AF2415" s="16"/>
      <c r="AG2415" s="16"/>
      <c r="AH2415" s="16"/>
      <c r="AI2415" s="16"/>
      <c r="AJ2415" s="16"/>
      <c r="AK2415" s="16"/>
      <c r="AL2415" s="16"/>
      <c r="AM2415" s="16"/>
      <c r="AN2415" s="16"/>
      <c r="AO2415" s="16"/>
      <c r="AP2415" s="16"/>
      <c r="AQ2415" s="16"/>
      <c r="AR2415" s="16"/>
      <c r="AS2415" s="16"/>
    </row>
    <row r="2416" spans="18:45" x14ac:dyDescent="0.35">
      <c r="R2416" s="191"/>
      <c r="S2416" s="191"/>
      <c r="T2416" s="193"/>
      <c r="U2416" s="191"/>
      <c r="V2416" s="194"/>
      <c r="W2416" s="191"/>
      <c r="Y2416" s="191"/>
      <c r="Z2416" s="191"/>
      <c r="AA2416" s="191"/>
      <c r="AB2416" s="191"/>
      <c r="AC2416" s="191"/>
      <c r="AD2416" s="16"/>
      <c r="AE2416" s="16"/>
      <c r="AF2416" s="16"/>
      <c r="AG2416" s="16"/>
      <c r="AH2416" s="16"/>
      <c r="AI2416" s="16"/>
      <c r="AJ2416" s="16"/>
      <c r="AK2416" s="16"/>
      <c r="AL2416" s="16"/>
      <c r="AM2416" s="16"/>
      <c r="AN2416" s="16"/>
      <c r="AO2416" s="16"/>
      <c r="AP2416" s="16"/>
      <c r="AQ2416" s="16"/>
      <c r="AR2416" s="16"/>
      <c r="AS2416" s="16"/>
    </row>
    <row r="2417" spans="18:45" x14ac:dyDescent="0.35">
      <c r="R2417" s="191"/>
      <c r="S2417" s="191"/>
      <c r="T2417" s="193"/>
      <c r="U2417" s="191"/>
      <c r="V2417" s="194"/>
      <c r="W2417" s="191"/>
      <c r="Y2417" s="191"/>
      <c r="Z2417" s="191"/>
      <c r="AA2417" s="191"/>
      <c r="AB2417" s="191"/>
      <c r="AC2417" s="191"/>
      <c r="AD2417" s="16"/>
      <c r="AE2417" s="16"/>
      <c r="AF2417" s="16"/>
      <c r="AG2417" s="16"/>
      <c r="AH2417" s="16"/>
      <c r="AI2417" s="16"/>
      <c r="AJ2417" s="16"/>
      <c r="AK2417" s="16"/>
      <c r="AL2417" s="16"/>
      <c r="AM2417" s="16"/>
      <c r="AN2417" s="16"/>
      <c r="AO2417" s="16"/>
      <c r="AP2417" s="16"/>
      <c r="AQ2417" s="16"/>
      <c r="AR2417" s="16"/>
      <c r="AS2417" s="16"/>
    </row>
    <row r="2418" spans="18:45" x14ac:dyDescent="0.35">
      <c r="R2418" s="191"/>
      <c r="S2418" s="191"/>
      <c r="T2418" s="193"/>
      <c r="U2418" s="191"/>
      <c r="V2418" s="194"/>
      <c r="W2418" s="191"/>
      <c r="Y2418" s="191"/>
      <c r="Z2418" s="191"/>
      <c r="AA2418" s="191"/>
      <c r="AB2418" s="191"/>
      <c r="AC2418" s="191"/>
      <c r="AD2418" s="16"/>
      <c r="AE2418" s="16"/>
      <c r="AF2418" s="16"/>
      <c r="AG2418" s="16"/>
      <c r="AH2418" s="16"/>
      <c r="AI2418" s="16"/>
      <c r="AJ2418" s="16"/>
      <c r="AK2418" s="16"/>
      <c r="AL2418" s="16"/>
      <c r="AM2418" s="16"/>
      <c r="AN2418" s="16"/>
      <c r="AO2418" s="16"/>
      <c r="AP2418" s="16"/>
      <c r="AQ2418" s="16"/>
      <c r="AR2418" s="16"/>
      <c r="AS2418" s="16"/>
    </row>
    <row r="2419" spans="18:45" x14ac:dyDescent="0.35">
      <c r="R2419" s="191"/>
      <c r="S2419" s="191"/>
      <c r="T2419" s="193"/>
      <c r="U2419" s="191"/>
      <c r="V2419" s="194"/>
      <c r="W2419" s="191"/>
      <c r="Y2419" s="191"/>
      <c r="Z2419" s="191"/>
      <c r="AA2419" s="191"/>
      <c r="AB2419" s="191"/>
      <c r="AC2419" s="191"/>
      <c r="AD2419" s="16"/>
      <c r="AE2419" s="16"/>
      <c r="AF2419" s="16"/>
      <c r="AG2419" s="16"/>
      <c r="AH2419" s="16"/>
      <c r="AI2419" s="16"/>
      <c r="AJ2419" s="16"/>
      <c r="AK2419" s="16"/>
      <c r="AL2419" s="16"/>
      <c r="AM2419" s="16"/>
      <c r="AN2419" s="16"/>
      <c r="AO2419" s="16"/>
      <c r="AP2419" s="16"/>
      <c r="AQ2419" s="16"/>
      <c r="AR2419" s="16"/>
      <c r="AS2419" s="16"/>
    </row>
    <row r="2420" spans="18:45" x14ac:dyDescent="0.35">
      <c r="R2420" s="191"/>
      <c r="S2420" s="191"/>
      <c r="T2420" s="193"/>
      <c r="U2420" s="191"/>
      <c r="V2420" s="194"/>
      <c r="W2420" s="191"/>
      <c r="Y2420" s="191"/>
      <c r="Z2420" s="191"/>
      <c r="AA2420" s="191"/>
      <c r="AB2420" s="191"/>
      <c r="AC2420" s="191"/>
      <c r="AD2420" s="16"/>
      <c r="AE2420" s="16"/>
      <c r="AF2420" s="16"/>
      <c r="AG2420" s="16"/>
      <c r="AH2420" s="16"/>
      <c r="AI2420" s="16"/>
      <c r="AJ2420" s="16"/>
      <c r="AK2420" s="16"/>
      <c r="AL2420" s="16"/>
      <c r="AM2420" s="16"/>
      <c r="AN2420" s="16"/>
      <c r="AO2420" s="16"/>
      <c r="AP2420" s="16"/>
      <c r="AQ2420" s="16"/>
      <c r="AR2420" s="16"/>
      <c r="AS2420" s="16"/>
    </row>
    <row r="2421" spans="18:45" x14ac:dyDescent="0.35">
      <c r="R2421" s="191"/>
      <c r="S2421" s="191"/>
      <c r="T2421" s="193"/>
      <c r="U2421" s="191"/>
      <c r="V2421" s="194"/>
      <c r="W2421" s="191"/>
      <c r="Y2421" s="191"/>
      <c r="Z2421" s="191"/>
      <c r="AA2421" s="191"/>
      <c r="AB2421" s="191"/>
      <c r="AC2421" s="191"/>
      <c r="AD2421" s="16"/>
      <c r="AE2421" s="16"/>
      <c r="AF2421" s="16"/>
      <c r="AG2421" s="16"/>
      <c r="AH2421" s="16"/>
      <c r="AI2421" s="16"/>
      <c r="AJ2421" s="16"/>
      <c r="AK2421" s="16"/>
      <c r="AL2421" s="16"/>
      <c r="AM2421" s="16"/>
      <c r="AN2421" s="16"/>
      <c r="AO2421" s="16"/>
      <c r="AP2421" s="16"/>
      <c r="AQ2421" s="16"/>
      <c r="AR2421" s="16"/>
      <c r="AS2421" s="16"/>
    </row>
    <row r="2422" spans="18:45" x14ac:dyDescent="0.35">
      <c r="R2422" s="191"/>
      <c r="S2422" s="191"/>
      <c r="T2422" s="193"/>
      <c r="U2422" s="191"/>
      <c r="V2422" s="194"/>
      <c r="W2422" s="191"/>
      <c r="Y2422" s="191"/>
      <c r="Z2422" s="191"/>
      <c r="AA2422" s="191"/>
      <c r="AB2422" s="191"/>
      <c r="AC2422" s="191"/>
      <c r="AD2422" s="16"/>
      <c r="AE2422" s="16"/>
      <c r="AF2422" s="16"/>
      <c r="AG2422" s="16"/>
      <c r="AH2422" s="16"/>
      <c r="AI2422" s="16"/>
      <c r="AJ2422" s="16"/>
      <c r="AK2422" s="16"/>
      <c r="AL2422" s="16"/>
      <c r="AM2422" s="16"/>
      <c r="AN2422" s="16"/>
      <c r="AO2422" s="16"/>
      <c r="AP2422" s="16"/>
      <c r="AQ2422" s="16"/>
      <c r="AR2422" s="16"/>
      <c r="AS2422" s="16"/>
    </row>
    <row r="2423" spans="18:45" x14ac:dyDescent="0.35">
      <c r="R2423" s="191"/>
      <c r="S2423" s="191"/>
      <c r="T2423" s="193"/>
      <c r="U2423" s="191"/>
      <c r="V2423" s="194"/>
      <c r="W2423" s="191"/>
      <c r="Y2423" s="191"/>
      <c r="Z2423" s="191"/>
      <c r="AA2423" s="191"/>
      <c r="AB2423" s="191"/>
      <c r="AC2423" s="191"/>
      <c r="AD2423" s="16"/>
      <c r="AE2423" s="16"/>
      <c r="AF2423" s="16"/>
      <c r="AG2423" s="16"/>
      <c r="AH2423" s="16"/>
      <c r="AI2423" s="16"/>
      <c r="AJ2423" s="16"/>
      <c r="AK2423" s="16"/>
      <c r="AL2423" s="16"/>
      <c r="AM2423" s="16"/>
      <c r="AN2423" s="16"/>
      <c r="AO2423" s="16"/>
      <c r="AP2423" s="16"/>
      <c r="AQ2423" s="16"/>
      <c r="AR2423" s="16"/>
      <c r="AS2423" s="16"/>
    </row>
    <row r="2424" spans="18:45" x14ac:dyDescent="0.35">
      <c r="R2424" s="191"/>
      <c r="S2424" s="191"/>
      <c r="T2424" s="193"/>
      <c r="U2424" s="191"/>
      <c r="V2424" s="194"/>
      <c r="W2424" s="191"/>
      <c r="Y2424" s="191"/>
      <c r="Z2424" s="191"/>
      <c r="AA2424" s="191"/>
      <c r="AB2424" s="191"/>
      <c r="AC2424" s="191"/>
      <c r="AD2424" s="16"/>
      <c r="AE2424" s="16"/>
      <c r="AF2424" s="16"/>
      <c r="AG2424" s="16"/>
      <c r="AH2424" s="16"/>
      <c r="AI2424" s="16"/>
      <c r="AJ2424" s="16"/>
      <c r="AK2424" s="16"/>
      <c r="AL2424" s="16"/>
      <c r="AM2424" s="16"/>
      <c r="AN2424" s="16"/>
      <c r="AO2424" s="16"/>
      <c r="AP2424" s="16"/>
      <c r="AQ2424" s="16"/>
      <c r="AR2424" s="16"/>
      <c r="AS2424" s="16"/>
    </row>
    <row r="2425" spans="18:45" x14ac:dyDescent="0.35">
      <c r="R2425" s="191"/>
      <c r="S2425" s="191"/>
      <c r="T2425" s="193"/>
      <c r="U2425" s="191"/>
      <c r="V2425" s="194"/>
      <c r="W2425" s="191"/>
      <c r="Y2425" s="191"/>
      <c r="Z2425" s="191"/>
      <c r="AA2425" s="191"/>
      <c r="AB2425" s="191"/>
      <c r="AC2425" s="191"/>
      <c r="AD2425" s="16"/>
      <c r="AE2425" s="16"/>
      <c r="AF2425" s="16"/>
      <c r="AG2425" s="16"/>
      <c r="AH2425" s="16"/>
      <c r="AI2425" s="16"/>
      <c r="AJ2425" s="16"/>
      <c r="AK2425" s="16"/>
      <c r="AL2425" s="16"/>
      <c r="AM2425" s="16"/>
      <c r="AN2425" s="16"/>
      <c r="AO2425" s="16"/>
      <c r="AP2425" s="16"/>
      <c r="AQ2425" s="16"/>
      <c r="AR2425" s="16"/>
      <c r="AS2425" s="16"/>
    </row>
    <row r="2426" spans="18:45" x14ac:dyDescent="0.35">
      <c r="R2426" s="191"/>
      <c r="S2426" s="191"/>
      <c r="T2426" s="193"/>
      <c r="U2426" s="191"/>
      <c r="V2426" s="194"/>
      <c r="W2426" s="191"/>
      <c r="Y2426" s="191"/>
      <c r="Z2426" s="191"/>
      <c r="AA2426" s="191"/>
      <c r="AB2426" s="191"/>
      <c r="AC2426" s="191"/>
      <c r="AD2426" s="16"/>
      <c r="AE2426" s="16"/>
      <c r="AF2426" s="16"/>
      <c r="AG2426" s="16"/>
      <c r="AH2426" s="16"/>
      <c r="AI2426" s="16"/>
      <c r="AJ2426" s="16"/>
      <c r="AK2426" s="16"/>
      <c r="AL2426" s="16"/>
      <c r="AM2426" s="16"/>
      <c r="AN2426" s="16"/>
      <c r="AO2426" s="16"/>
      <c r="AP2426" s="16"/>
      <c r="AQ2426" s="16"/>
      <c r="AR2426" s="16"/>
      <c r="AS2426" s="16"/>
    </row>
    <row r="2427" spans="18:45" x14ac:dyDescent="0.35">
      <c r="R2427" s="191"/>
      <c r="S2427" s="191"/>
      <c r="T2427" s="193"/>
      <c r="U2427" s="191"/>
      <c r="V2427" s="194"/>
      <c r="W2427" s="191"/>
      <c r="Y2427" s="191"/>
      <c r="Z2427" s="191"/>
      <c r="AA2427" s="191"/>
      <c r="AB2427" s="191"/>
      <c r="AC2427" s="191"/>
      <c r="AD2427" s="16"/>
      <c r="AE2427" s="16"/>
      <c r="AF2427" s="16"/>
      <c r="AG2427" s="16"/>
      <c r="AH2427" s="16"/>
      <c r="AI2427" s="16"/>
      <c r="AJ2427" s="16"/>
      <c r="AK2427" s="16"/>
      <c r="AL2427" s="16"/>
      <c r="AM2427" s="16"/>
      <c r="AN2427" s="16"/>
      <c r="AO2427" s="16"/>
      <c r="AP2427" s="16"/>
      <c r="AQ2427" s="16"/>
      <c r="AR2427" s="16"/>
      <c r="AS2427" s="16"/>
    </row>
    <row r="2428" spans="18:45" x14ac:dyDescent="0.35">
      <c r="R2428" s="191"/>
      <c r="S2428" s="191"/>
      <c r="T2428" s="193"/>
      <c r="U2428" s="191"/>
      <c r="V2428" s="194"/>
      <c r="W2428" s="191"/>
      <c r="Y2428" s="191"/>
      <c r="Z2428" s="191"/>
      <c r="AA2428" s="191"/>
      <c r="AB2428" s="191"/>
      <c r="AC2428" s="191"/>
      <c r="AD2428" s="16"/>
      <c r="AE2428" s="16"/>
      <c r="AF2428" s="16"/>
      <c r="AG2428" s="16"/>
      <c r="AH2428" s="16"/>
      <c r="AI2428" s="16"/>
      <c r="AJ2428" s="16"/>
      <c r="AK2428" s="16"/>
      <c r="AL2428" s="16"/>
      <c r="AM2428" s="16"/>
      <c r="AN2428" s="16"/>
      <c r="AO2428" s="16"/>
      <c r="AP2428" s="16"/>
      <c r="AQ2428" s="16"/>
      <c r="AR2428" s="16"/>
      <c r="AS2428" s="16"/>
    </row>
    <row r="2429" spans="18:45" x14ac:dyDescent="0.35">
      <c r="R2429" s="191"/>
      <c r="S2429" s="191"/>
      <c r="T2429" s="193"/>
      <c r="U2429" s="191"/>
      <c r="V2429" s="194"/>
      <c r="W2429" s="191"/>
      <c r="Y2429" s="191"/>
      <c r="Z2429" s="191"/>
      <c r="AA2429" s="191"/>
      <c r="AB2429" s="191"/>
      <c r="AC2429" s="191"/>
      <c r="AD2429" s="16"/>
      <c r="AE2429" s="16"/>
      <c r="AF2429" s="16"/>
      <c r="AG2429" s="16"/>
      <c r="AH2429" s="16"/>
      <c r="AI2429" s="16"/>
      <c r="AJ2429" s="16"/>
      <c r="AK2429" s="16"/>
      <c r="AL2429" s="16"/>
      <c r="AM2429" s="16"/>
      <c r="AN2429" s="16"/>
      <c r="AO2429" s="16"/>
      <c r="AP2429" s="16"/>
      <c r="AQ2429" s="16"/>
      <c r="AR2429" s="16"/>
      <c r="AS2429" s="16"/>
    </row>
    <row r="2430" spans="18:45" x14ac:dyDescent="0.35">
      <c r="R2430" s="191"/>
      <c r="S2430" s="191"/>
      <c r="T2430" s="193"/>
      <c r="U2430" s="191"/>
      <c r="V2430" s="194"/>
      <c r="W2430" s="191"/>
      <c r="Y2430" s="191"/>
      <c r="Z2430" s="191"/>
      <c r="AA2430" s="191"/>
      <c r="AB2430" s="191"/>
      <c r="AC2430" s="191"/>
      <c r="AD2430" s="16"/>
      <c r="AE2430" s="16"/>
      <c r="AF2430" s="16"/>
      <c r="AG2430" s="16"/>
      <c r="AH2430" s="16"/>
      <c r="AI2430" s="16"/>
      <c r="AJ2430" s="16"/>
      <c r="AK2430" s="16"/>
      <c r="AL2430" s="16"/>
      <c r="AM2430" s="16"/>
      <c r="AN2430" s="16"/>
      <c r="AO2430" s="16"/>
      <c r="AP2430" s="16"/>
      <c r="AQ2430" s="16"/>
      <c r="AR2430" s="16"/>
      <c r="AS2430" s="16"/>
    </row>
    <row r="2431" spans="18:45" x14ac:dyDescent="0.35">
      <c r="R2431" s="191"/>
      <c r="S2431" s="191"/>
      <c r="T2431" s="193"/>
      <c r="U2431" s="191"/>
      <c r="V2431" s="194"/>
      <c r="W2431" s="191"/>
      <c r="Y2431" s="191"/>
      <c r="Z2431" s="191"/>
      <c r="AA2431" s="191"/>
      <c r="AB2431" s="191"/>
      <c r="AC2431" s="191"/>
      <c r="AD2431" s="16"/>
      <c r="AE2431" s="16"/>
      <c r="AF2431" s="16"/>
      <c r="AG2431" s="16"/>
      <c r="AH2431" s="16"/>
      <c r="AI2431" s="16"/>
      <c r="AJ2431" s="16"/>
      <c r="AK2431" s="16"/>
      <c r="AL2431" s="16"/>
      <c r="AM2431" s="16"/>
      <c r="AN2431" s="16"/>
      <c r="AO2431" s="16"/>
      <c r="AP2431" s="16"/>
      <c r="AQ2431" s="16"/>
      <c r="AR2431" s="16"/>
      <c r="AS2431" s="16"/>
    </row>
    <row r="2432" spans="18:45" x14ac:dyDescent="0.35">
      <c r="R2432" s="191"/>
      <c r="S2432" s="191"/>
      <c r="T2432" s="193"/>
      <c r="U2432" s="191"/>
      <c r="V2432" s="194"/>
      <c r="W2432" s="191"/>
      <c r="Y2432" s="191"/>
      <c r="Z2432" s="191"/>
      <c r="AA2432" s="191"/>
      <c r="AB2432" s="191"/>
      <c r="AC2432" s="191"/>
      <c r="AD2432" s="16"/>
      <c r="AE2432" s="16"/>
      <c r="AF2432" s="16"/>
      <c r="AG2432" s="16"/>
      <c r="AH2432" s="16"/>
      <c r="AI2432" s="16"/>
      <c r="AJ2432" s="16"/>
      <c r="AK2432" s="16"/>
      <c r="AL2432" s="16"/>
      <c r="AM2432" s="16"/>
      <c r="AN2432" s="16"/>
      <c r="AO2432" s="16"/>
      <c r="AP2432" s="16"/>
      <c r="AQ2432" s="16"/>
      <c r="AR2432" s="16"/>
      <c r="AS2432" s="16"/>
    </row>
    <row r="2433" spans="18:45" x14ac:dyDescent="0.35">
      <c r="R2433" s="191"/>
      <c r="S2433" s="191"/>
      <c r="T2433" s="193"/>
      <c r="U2433" s="191"/>
      <c r="V2433" s="194"/>
      <c r="W2433" s="191"/>
      <c r="Y2433" s="191"/>
      <c r="Z2433" s="191"/>
      <c r="AA2433" s="191"/>
      <c r="AB2433" s="191"/>
      <c r="AC2433" s="191"/>
      <c r="AD2433" s="16"/>
      <c r="AE2433" s="16"/>
      <c r="AF2433" s="16"/>
      <c r="AG2433" s="16"/>
      <c r="AH2433" s="16"/>
      <c r="AI2433" s="16"/>
      <c r="AJ2433" s="16"/>
      <c r="AK2433" s="16"/>
      <c r="AL2433" s="16"/>
      <c r="AM2433" s="16"/>
      <c r="AN2433" s="16"/>
      <c r="AO2433" s="16"/>
      <c r="AP2433" s="16"/>
      <c r="AQ2433" s="16"/>
      <c r="AR2433" s="16"/>
      <c r="AS2433" s="16"/>
    </row>
    <row r="2434" spans="18:45" x14ac:dyDescent="0.35">
      <c r="R2434" s="191"/>
      <c r="S2434" s="191"/>
      <c r="T2434" s="193"/>
      <c r="U2434" s="191"/>
      <c r="V2434" s="194"/>
      <c r="W2434" s="191"/>
      <c r="Y2434" s="191"/>
      <c r="Z2434" s="191"/>
      <c r="AA2434" s="191"/>
      <c r="AB2434" s="191"/>
      <c r="AC2434" s="191"/>
      <c r="AD2434" s="16"/>
      <c r="AE2434" s="16"/>
      <c r="AF2434" s="16"/>
      <c r="AG2434" s="16"/>
      <c r="AH2434" s="16"/>
      <c r="AI2434" s="16"/>
      <c r="AJ2434" s="16"/>
      <c r="AK2434" s="16"/>
      <c r="AL2434" s="16"/>
      <c r="AM2434" s="16"/>
      <c r="AN2434" s="16"/>
      <c r="AO2434" s="16"/>
      <c r="AP2434" s="16"/>
      <c r="AQ2434" s="16"/>
      <c r="AR2434" s="16"/>
      <c r="AS2434" s="16"/>
    </row>
    <row r="2435" spans="18:45" x14ac:dyDescent="0.35">
      <c r="R2435" s="191"/>
      <c r="S2435" s="191"/>
      <c r="T2435" s="193"/>
      <c r="U2435" s="191"/>
      <c r="V2435" s="194"/>
      <c r="W2435" s="191"/>
      <c r="Y2435" s="191"/>
      <c r="Z2435" s="191"/>
      <c r="AA2435" s="191"/>
      <c r="AB2435" s="191"/>
      <c r="AC2435" s="191"/>
      <c r="AD2435" s="16"/>
      <c r="AE2435" s="16"/>
      <c r="AF2435" s="16"/>
      <c r="AG2435" s="16"/>
      <c r="AH2435" s="16"/>
      <c r="AI2435" s="16"/>
      <c r="AJ2435" s="16"/>
      <c r="AK2435" s="16"/>
      <c r="AL2435" s="16"/>
      <c r="AM2435" s="16"/>
      <c r="AN2435" s="16"/>
      <c r="AO2435" s="16"/>
      <c r="AP2435" s="16"/>
      <c r="AQ2435" s="16"/>
      <c r="AR2435" s="16"/>
      <c r="AS2435" s="16"/>
    </row>
    <row r="2436" spans="18:45" x14ac:dyDescent="0.35">
      <c r="R2436" s="191"/>
      <c r="S2436" s="191"/>
      <c r="T2436" s="193"/>
      <c r="U2436" s="191"/>
      <c r="V2436" s="194"/>
      <c r="W2436" s="191"/>
      <c r="Y2436" s="191"/>
      <c r="Z2436" s="191"/>
      <c r="AA2436" s="191"/>
      <c r="AB2436" s="191"/>
      <c r="AC2436" s="191"/>
      <c r="AD2436" s="16"/>
      <c r="AE2436" s="16"/>
      <c r="AF2436" s="16"/>
      <c r="AG2436" s="16"/>
      <c r="AH2436" s="16"/>
      <c r="AI2436" s="16"/>
      <c r="AJ2436" s="16"/>
      <c r="AK2436" s="16"/>
      <c r="AL2436" s="16"/>
      <c r="AM2436" s="16"/>
      <c r="AN2436" s="16"/>
      <c r="AO2436" s="16"/>
      <c r="AP2436" s="16"/>
      <c r="AQ2436" s="16"/>
      <c r="AR2436" s="16"/>
      <c r="AS2436" s="16"/>
    </row>
    <row r="2437" spans="18:45" x14ac:dyDescent="0.35">
      <c r="R2437" s="191"/>
      <c r="S2437" s="191"/>
      <c r="T2437" s="193"/>
      <c r="U2437" s="191"/>
      <c r="V2437" s="194"/>
      <c r="W2437" s="191"/>
      <c r="Y2437" s="191"/>
      <c r="Z2437" s="191"/>
      <c r="AA2437" s="191"/>
      <c r="AB2437" s="191"/>
      <c r="AC2437" s="191"/>
      <c r="AD2437" s="16"/>
      <c r="AE2437" s="16"/>
      <c r="AF2437" s="16"/>
      <c r="AG2437" s="16"/>
      <c r="AH2437" s="16"/>
      <c r="AI2437" s="16"/>
      <c r="AJ2437" s="16"/>
      <c r="AK2437" s="16"/>
      <c r="AL2437" s="16"/>
      <c r="AM2437" s="16"/>
      <c r="AN2437" s="16"/>
      <c r="AO2437" s="16"/>
      <c r="AP2437" s="16"/>
      <c r="AQ2437" s="16"/>
      <c r="AR2437" s="16"/>
      <c r="AS2437" s="16"/>
    </row>
    <row r="2438" spans="18:45" x14ac:dyDescent="0.35">
      <c r="R2438" s="191"/>
      <c r="S2438" s="191"/>
      <c r="T2438" s="193"/>
      <c r="U2438" s="191"/>
      <c r="V2438" s="194"/>
      <c r="W2438" s="191"/>
      <c r="Y2438" s="191"/>
      <c r="Z2438" s="191"/>
      <c r="AA2438" s="191"/>
      <c r="AB2438" s="191"/>
      <c r="AC2438" s="191"/>
      <c r="AD2438" s="16"/>
      <c r="AE2438" s="16"/>
      <c r="AF2438" s="16"/>
      <c r="AG2438" s="16"/>
      <c r="AH2438" s="16"/>
      <c r="AI2438" s="16"/>
      <c r="AJ2438" s="16"/>
      <c r="AK2438" s="16"/>
      <c r="AL2438" s="16"/>
      <c r="AM2438" s="16"/>
      <c r="AN2438" s="16"/>
      <c r="AO2438" s="16"/>
      <c r="AP2438" s="16"/>
      <c r="AQ2438" s="16"/>
      <c r="AR2438" s="16"/>
      <c r="AS2438" s="16"/>
    </row>
    <row r="2439" spans="18:45" x14ac:dyDescent="0.35">
      <c r="R2439" s="191"/>
      <c r="S2439" s="191"/>
      <c r="T2439" s="193"/>
      <c r="U2439" s="191"/>
      <c r="V2439" s="194"/>
      <c r="W2439" s="191"/>
      <c r="Y2439" s="191"/>
      <c r="Z2439" s="191"/>
      <c r="AA2439" s="191"/>
      <c r="AB2439" s="191"/>
      <c r="AC2439" s="191"/>
      <c r="AD2439" s="16"/>
      <c r="AE2439" s="16"/>
      <c r="AF2439" s="16"/>
      <c r="AG2439" s="16"/>
      <c r="AH2439" s="16"/>
      <c r="AI2439" s="16"/>
      <c r="AJ2439" s="16"/>
      <c r="AK2439" s="16"/>
      <c r="AL2439" s="16"/>
      <c r="AM2439" s="16"/>
      <c r="AN2439" s="16"/>
      <c r="AO2439" s="16"/>
      <c r="AP2439" s="16"/>
      <c r="AQ2439" s="16"/>
      <c r="AR2439" s="16"/>
      <c r="AS2439" s="16"/>
    </row>
    <row r="2440" spans="18:45" x14ac:dyDescent="0.35">
      <c r="R2440" s="191"/>
      <c r="S2440" s="191"/>
      <c r="T2440" s="193"/>
      <c r="U2440" s="191"/>
      <c r="V2440" s="194"/>
      <c r="W2440" s="191"/>
      <c r="Y2440" s="191"/>
      <c r="Z2440" s="191"/>
      <c r="AA2440" s="191"/>
      <c r="AB2440" s="191"/>
      <c r="AC2440" s="191"/>
      <c r="AD2440" s="16"/>
      <c r="AE2440" s="16"/>
      <c r="AF2440" s="16"/>
      <c r="AG2440" s="16"/>
      <c r="AH2440" s="16"/>
      <c r="AI2440" s="16"/>
      <c r="AJ2440" s="16"/>
      <c r="AK2440" s="16"/>
      <c r="AL2440" s="16"/>
      <c r="AM2440" s="16"/>
      <c r="AN2440" s="16"/>
      <c r="AO2440" s="16"/>
      <c r="AP2440" s="16"/>
      <c r="AQ2440" s="16"/>
      <c r="AR2440" s="16"/>
      <c r="AS2440" s="16"/>
    </row>
    <row r="2441" spans="18:45" x14ac:dyDescent="0.35">
      <c r="R2441" s="191"/>
      <c r="S2441" s="191"/>
      <c r="T2441" s="193"/>
      <c r="U2441" s="191"/>
      <c r="V2441" s="194"/>
      <c r="W2441" s="191"/>
      <c r="Y2441" s="191"/>
      <c r="Z2441" s="191"/>
      <c r="AA2441" s="191"/>
      <c r="AB2441" s="191"/>
      <c r="AC2441" s="191"/>
      <c r="AD2441" s="16"/>
      <c r="AE2441" s="16"/>
      <c r="AF2441" s="16"/>
      <c r="AG2441" s="16"/>
      <c r="AH2441" s="16"/>
      <c r="AI2441" s="16"/>
      <c r="AJ2441" s="16"/>
      <c r="AK2441" s="16"/>
      <c r="AL2441" s="16"/>
      <c r="AM2441" s="16"/>
      <c r="AN2441" s="16"/>
      <c r="AO2441" s="16"/>
      <c r="AP2441" s="16"/>
      <c r="AQ2441" s="16"/>
      <c r="AR2441" s="16"/>
      <c r="AS2441" s="16"/>
    </row>
    <row r="2442" spans="18:45" x14ac:dyDescent="0.35">
      <c r="R2442" s="191"/>
      <c r="S2442" s="191"/>
      <c r="T2442" s="193"/>
      <c r="U2442" s="191"/>
      <c r="V2442" s="194"/>
      <c r="W2442" s="191"/>
      <c r="Y2442" s="191"/>
      <c r="Z2442" s="191"/>
      <c r="AA2442" s="191"/>
      <c r="AB2442" s="191"/>
      <c r="AC2442" s="191"/>
      <c r="AD2442" s="16"/>
      <c r="AE2442" s="16"/>
      <c r="AF2442" s="16"/>
      <c r="AG2442" s="16"/>
      <c r="AH2442" s="16"/>
      <c r="AI2442" s="16"/>
      <c r="AJ2442" s="16"/>
      <c r="AK2442" s="16"/>
      <c r="AL2442" s="16"/>
      <c r="AM2442" s="16"/>
      <c r="AN2442" s="16"/>
      <c r="AO2442" s="16"/>
      <c r="AP2442" s="16"/>
      <c r="AQ2442" s="16"/>
      <c r="AR2442" s="16"/>
      <c r="AS2442" s="16"/>
    </row>
    <row r="2443" spans="18:45" x14ac:dyDescent="0.35">
      <c r="R2443" s="191"/>
      <c r="S2443" s="191"/>
      <c r="T2443" s="193"/>
      <c r="U2443" s="191"/>
      <c r="V2443" s="194"/>
      <c r="W2443" s="191"/>
      <c r="Y2443" s="191"/>
      <c r="Z2443" s="191"/>
      <c r="AA2443" s="191"/>
      <c r="AB2443" s="191"/>
      <c r="AC2443" s="191"/>
      <c r="AD2443" s="16"/>
      <c r="AE2443" s="16"/>
      <c r="AF2443" s="16"/>
      <c r="AG2443" s="16"/>
      <c r="AH2443" s="16"/>
      <c r="AI2443" s="16"/>
      <c r="AJ2443" s="16"/>
      <c r="AK2443" s="16"/>
      <c r="AL2443" s="16"/>
      <c r="AM2443" s="16"/>
      <c r="AN2443" s="16"/>
      <c r="AO2443" s="16"/>
      <c r="AP2443" s="16"/>
      <c r="AQ2443" s="16"/>
      <c r="AR2443" s="16"/>
      <c r="AS2443" s="16"/>
    </row>
    <row r="2444" spans="18:45" x14ac:dyDescent="0.35">
      <c r="R2444" s="191"/>
      <c r="S2444" s="191"/>
      <c r="T2444" s="193"/>
      <c r="U2444" s="191"/>
      <c r="V2444" s="194"/>
      <c r="W2444" s="191"/>
      <c r="Y2444" s="191"/>
      <c r="Z2444" s="191"/>
      <c r="AA2444" s="191"/>
      <c r="AB2444" s="191"/>
      <c r="AC2444" s="191"/>
      <c r="AD2444" s="16"/>
      <c r="AE2444" s="16"/>
      <c r="AF2444" s="16"/>
      <c r="AG2444" s="16"/>
      <c r="AH2444" s="16"/>
      <c r="AI2444" s="16"/>
      <c r="AJ2444" s="16"/>
      <c r="AK2444" s="16"/>
      <c r="AL2444" s="16"/>
      <c r="AM2444" s="16"/>
      <c r="AN2444" s="16"/>
      <c r="AO2444" s="16"/>
      <c r="AP2444" s="16"/>
      <c r="AQ2444" s="16"/>
      <c r="AR2444" s="16"/>
      <c r="AS2444" s="16"/>
    </row>
    <row r="2445" spans="18:45" x14ac:dyDescent="0.35">
      <c r="R2445" s="191"/>
      <c r="S2445" s="191"/>
      <c r="T2445" s="193"/>
      <c r="U2445" s="191"/>
      <c r="V2445" s="194"/>
      <c r="W2445" s="191"/>
      <c r="Y2445" s="191"/>
      <c r="Z2445" s="191"/>
      <c r="AA2445" s="191"/>
      <c r="AB2445" s="191"/>
      <c r="AC2445" s="191"/>
      <c r="AD2445" s="16"/>
      <c r="AE2445" s="16"/>
      <c r="AF2445" s="16"/>
      <c r="AG2445" s="16"/>
      <c r="AH2445" s="16"/>
      <c r="AI2445" s="16"/>
      <c r="AJ2445" s="16"/>
      <c r="AK2445" s="16"/>
      <c r="AL2445" s="16"/>
      <c r="AM2445" s="16"/>
      <c r="AN2445" s="16"/>
      <c r="AO2445" s="16"/>
      <c r="AP2445" s="16"/>
      <c r="AQ2445" s="16"/>
      <c r="AR2445" s="16"/>
      <c r="AS2445" s="16"/>
    </row>
    <row r="2446" spans="18:45" x14ac:dyDescent="0.35">
      <c r="R2446" s="191"/>
      <c r="S2446" s="191"/>
      <c r="T2446" s="193"/>
      <c r="U2446" s="191"/>
      <c r="V2446" s="194"/>
      <c r="W2446" s="191"/>
      <c r="Y2446" s="191"/>
      <c r="Z2446" s="191"/>
      <c r="AA2446" s="191"/>
      <c r="AB2446" s="191"/>
      <c r="AC2446" s="191"/>
      <c r="AD2446" s="16"/>
      <c r="AE2446" s="16"/>
      <c r="AF2446" s="16"/>
      <c r="AG2446" s="16"/>
      <c r="AH2446" s="16"/>
      <c r="AI2446" s="16"/>
      <c r="AJ2446" s="16"/>
      <c r="AK2446" s="16"/>
      <c r="AL2446" s="16"/>
      <c r="AM2446" s="16"/>
      <c r="AN2446" s="16"/>
      <c r="AO2446" s="16"/>
      <c r="AP2446" s="16"/>
      <c r="AQ2446" s="16"/>
      <c r="AR2446" s="16"/>
      <c r="AS2446" s="16"/>
    </row>
    <row r="2447" spans="18:45" x14ac:dyDescent="0.35">
      <c r="R2447" s="191"/>
      <c r="S2447" s="191"/>
      <c r="T2447" s="193"/>
      <c r="U2447" s="191"/>
      <c r="V2447" s="194"/>
      <c r="W2447" s="191"/>
      <c r="Y2447" s="191"/>
      <c r="Z2447" s="191"/>
      <c r="AA2447" s="191"/>
      <c r="AB2447" s="191"/>
      <c r="AC2447" s="191"/>
      <c r="AD2447" s="16"/>
      <c r="AE2447" s="16"/>
      <c r="AF2447" s="16"/>
      <c r="AG2447" s="16"/>
      <c r="AH2447" s="16"/>
      <c r="AI2447" s="16"/>
      <c r="AJ2447" s="16"/>
      <c r="AK2447" s="16"/>
      <c r="AL2447" s="16"/>
      <c r="AM2447" s="16"/>
      <c r="AN2447" s="16"/>
      <c r="AO2447" s="16"/>
      <c r="AP2447" s="16"/>
      <c r="AQ2447" s="16"/>
      <c r="AR2447" s="16"/>
      <c r="AS2447" s="16"/>
    </row>
    <row r="2448" spans="18:45" x14ac:dyDescent="0.35">
      <c r="R2448" s="191"/>
      <c r="S2448" s="191"/>
      <c r="T2448" s="193"/>
      <c r="U2448" s="191"/>
      <c r="V2448" s="194"/>
      <c r="W2448" s="191"/>
      <c r="Y2448" s="191"/>
      <c r="Z2448" s="191"/>
      <c r="AA2448" s="191"/>
      <c r="AB2448" s="191"/>
      <c r="AC2448" s="191"/>
      <c r="AD2448" s="16"/>
      <c r="AE2448" s="16"/>
      <c r="AF2448" s="16"/>
      <c r="AG2448" s="16"/>
      <c r="AH2448" s="16"/>
      <c r="AI2448" s="16"/>
      <c r="AJ2448" s="16"/>
      <c r="AK2448" s="16"/>
      <c r="AL2448" s="16"/>
      <c r="AM2448" s="16"/>
      <c r="AN2448" s="16"/>
      <c r="AO2448" s="16"/>
      <c r="AP2448" s="16"/>
      <c r="AQ2448" s="16"/>
      <c r="AR2448" s="16"/>
      <c r="AS2448" s="16"/>
    </row>
    <row r="2449" spans="18:45" x14ac:dyDescent="0.35">
      <c r="R2449" s="191"/>
      <c r="S2449" s="191"/>
      <c r="T2449" s="193"/>
      <c r="U2449" s="191"/>
      <c r="V2449" s="194"/>
      <c r="W2449" s="191"/>
      <c r="Y2449" s="191"/>
      <c r="Z2449" s="191"/>
      <c r="AA2449" s="191"/>
      <c r="AB2449" s="191"/>
      <c r="AC2449" s="191"/>
      <c r="AD2449" s="16"/>
      <c r="AE2449" s="16"/>
      <c r="AF2449" s="16"/>
      <c r="AG2449" s="16"/>
      <c r="AH2449" s="16"/>
      <c r="AI2449" s="16"/>
      <c r="AJ2449" s="16"/>
      <c r="AK2449" s="16"/>
      <c r="AL2449" s="16"/>
      <c r="AM2449" s="16"/>
      <c r="AN2449" s="16"/>
      <c r="AO2449" s="16"/>
      <c r="AP2449" s="16"/>
      <c r="AQ2449" s="16"/>
      <c r="AR2449" s="16"/>
      <c r="AS2449" s="16"/>
    </row>
    <row r="2450" spans="18:45" x14ac:dyDescent="0.35">
      <c r="R2450" s="191"/>
      <c r="S2450" s="191"/>
      <c r="T2450" s="193"/>
      <c r="U2450" s="191"/>
      <c r="V2450" s="194"/>
      <c r="W2450" s="191"/>
      <c r="Y2450" s="191"/>
      <c r="Z2450" s="191"/>
      <c r="AA2450" s="191"/>
      <c r="AB2450" s="191"/>
      <c r="AC2450" s="191"/>
      <c r="AD2450" s="16"/>
      <c r="AE2450" s="16"/>
      <c r="AF2450" s="16"/>
      <c r="AG2450" s="16"/>
      <c r="AH2450" s="16"/>
      <c r="AI2450" s="16"/>
      <c r="AJ2450" s="16"/>
      <c r="AK2450" s="16"/>
      <c r="AL2450" s="16"/>
      <c r="AM2450" s="16"/>
      <c r="AN2450" s="16"/>
      <c r="AO2450" s="16"/>
      <c r="AP2450" s="16"/>
      <c r="AQ2450" s="16"/>
      <c r="AR2450" s="16"/>
      <c r="AS2450" s="16"/>
    </row>
    <row r="2451" spans="18:45" x14ac:dyDescent="0.35">
      <c r="R2451" s="191"/>
      <c r="S2451" s="191"/>
      <c r="T2451" s="193"/>
      <c r="U2451" s="191"/>
      <c r="V2451" s="194"/>
      <c r="W2451" s="191"/>
      <c r="Y2451" s="191"/>
      <c r="Z2451" s="191"/>
      <c r="AA2451" s="191"/>
      <c r="AB2451" s="191"/>
      <c r="AC2451" s="191"/>
      <c r="AD2451" s="16"/>
      <c r="AE2451" s="16"/>
      <c r="AF2451" s="16"/>
      <c r="AG2451" s="16"/>
      <c r="AH2451" s="16"/>
      <c r="AI2451" s="16"/>
      <c r="AJ2451" s="16"/>
      <c r="AK2451" s="16"/>
      <c r="AL2451" s="16"/>
      <c r="AM2451" s="16"/>
      <c r="AN2451" s="16"/>
      <c r="AO2451" s="16"/>
      <c r="AP2451" s="16"/>
      <c r="AQ2451" s="16"/>
      <c r="AR2451" s="16"/>
      <c r="AS2451" s="16"/>
    </row>
    <row r="2452" spans="18:45" x14ac:dyDescent="0.35">
      <c r="R2452" s="191"/>
      <c r="S2452" s="191"/>
      <c r="T2452" s="193"/>
      <c r="U2452" s="191"/>
      <c r="V2452" s="194"/>
      <c r="W2452" s="191"/>
      <c r="Y2452" s="191"/>
      <c r="Z2452" s="191"/>
      <c r="AA2452" s="191"/>
      <c r="AB2452" s="191"/>
      <c r="AC2452" s="191"/>
      <c r="AD2452" s="16"/>
      <c r="AE2452" s="16"/>
      <c r="AF2452" s="16"/>
      <c r="AG2452" s="16"/>
      <c r="AH2452" s="16"/>
      <c r="AI2452" s="16"/>
      <c r="AJ2452" s="16"/>
      <c r="AK2452" s="16"/>
      <c r="AL2452" s="16"/>
      <c r="AM2452" s="16"/>
      <c r="AN2452" s="16"/>
      <c r="AO2452" s="16"/>
      <c r="AP2452" s="16"/>
      <c r="AQ2452" s="16"/>
      <c r="AR2452" s="16"/>
      <c r="AS2452" s="16"/>
    </row>
    <row r="2453" spans="18:45" x14ac:dyDescent="0.35">
      <c r="R2453" s="191"/>
      <c r="S2453" s="191"/>
      <c r="T2453" s="193"/>
      <c r="U2453" s="191"/>
      <c r="V2453" s="194"/>
      <c r="W2453" s="191"/>
      <c r="Y2453" s="191"/>
      <c r="Z2453" s="191"/>
      <c r="AA2453" s="191"/>
      <c r="AB2453" s="191"/>
      <c r="AC2453" s="191"/>
      <c r="AD2453" s="16"/>
      <c r="AE2453" s="16"/>
      <c r="AF2453" s="16"/>
      <c r="AG2453" s="16"/>
      <c r="AH2453" s="16"/>
      <c r="AI2453" s="16"/>
      <c r="AJ2453" s="16"/>
      <c r="AK2453" s="16"/>
      <c r="AL2453" s="16"/>
      <c r="AM2453" s="16"/>
      <c r="AN2453" s="16"/>
      <c r="AO2453" s="16"/>
      <c r="AP2453" s="16"/>
      <c r="AQ2453" s="16"/>
      <c r="AR2453" s="16"/>
      <c r="AS2453" s="16"/>
    </row>
    <row r="2454" spans="18:45" x14ac:dyDescent="0.35">
      <c r="R2454" s="191"/>
      <c r="S2454" s="191"/>
      <c r="T2454" s="193"/>
      <c r="U2454" s="191"/>
      <c r="V2454" s="194"/>
      <c r="W2454" s="191"/>
      <c r="Y2454" s="191"/>
      <c r="Z2454" s="191"/>
      <c r="AA2454" s="191"/>
      <c r="AB2454" s="191"/>
      <c r="AC2454" s="191"/>
      <c r="AD2454" s="16"/>
      <c r="AE2454" s="16"/>
      <c r="AF2454" s="16"/>
      <c r="AG2454" s="16"/>
      <c r="AH2454" s="16"/>
      <c r="AI2454" s="16"/>
      <c r="AJ2454" s="16"/>
      <c r="AK2454" s="16"/>
      <c r="AL2454" s="16"/>
      <c r="AM2454" s="16"/>
      <c r="AN2454" s="16"/>
      <c r="AO2454" s="16"/>
      <c r="AP2454" s="16"/>
      <c r="AQ2454" s="16"/>
      <c r="AR2454" s="16"/>
      <c r="AS2454" s="16"/>
    </row>
    <row r="2455" spans="18:45" x14ac:dyDescent="0.35">
      <c r="R2455" s="191"/>
      <c r="S2455" s="191"/>
      <c r="T2455" s="193"/>
      <c r="U2455" s="191"/>
      <c r="V2455" s="194"/>
      <c r="W2455" s="191"/>
      <c r="Y2455" s="191"/>
      <c r="Z2455" s="191"/>
      <c r="AA2455" s="191"/>
      <c r="AB2455" s="191"/>
      <c r="AC2455" s="191"/>
      <c r="AD2455" s="16"/>
      <c r="AE2455" s="16"/>
      <c r="AF2455" s="16"/>
      <c r="AG2455" s="16"/>
      <c r="AH2455" s="16"/>
      <c r="AI2455" s="16"/>
      <c r="AJ2455" s="16"/>
      <c r="AK2455" s="16"/>
      <c r="AL2455" s="16"/>
      <c r="AM2455" s="16"/>
      <c r="AN2455" s="16"/>
      <c r="AO2455" s="16"/>
      <c r="AP2455" s="16"/>
      <c r="AQ2455" s="16"/>
      <c r="AR2455" s="16"/>
      <c r="AS2455" s="16"/>
    </row>
    <row r="2456" spans="18:45" x14ac:dyDescent="0.35">
      <c r="R2456" s="191"/>
      <c r="S2456" s="191"/>
      <c r="T2456" s="193"/>
      <c r="U2456" s="191"/>
      <c r="V2456" s="194"/>
      <c r="W2456" s="191"/>
      <c r="Y2456" s="191"/>
      <c r="Z2456" s="191"/>
      <c r="AA2456" s="191"/>
      <c r="AB2456" s="191"/>
      <c r="AC2456" s="191"/>
      <c r="AD2456" s="16"/>
      <c r="AE2456" s="16"/>
      <c r="AF2456" s="16"/>
      <c r="AG2456" s="16"/>
      <c r="AH2456" s="16"/>
      <c r="AI2456" s="16"/>
      <c r="AJ2456" s="16"/>
      <c r="AK2456" s="16"/>
      <c r="AL2456" s="16"/>
      <c r="AM2456" s="16"/>
      <c r="AN2456" s="16"/>
      <c r="AO2456" s="16"/>
      <c r="AP2456" s="16"/>
      <c r="AQ2456" s="16"/>
      <c r="AR2456" s="16"/>
      <c r="AS2456" s="16"/>
    </row>
    <row r="2457" spans="18:45" x14ac:dyDescent="0.35">
      <c r="R2457" s="191"/>
      <c r="S2457" s="191"/>
      <c r="T2457" s="193"/>
      <c r="U2457" s="191"/>
      <c r="V2457" s="194"/>
      <c r="W2457" s="191"/>
      <c r="Y2457" s="191"/>
      <c r="Z2457" s="191"/>
      <c r="AA2457" s="191"/>
      <c r="AB2457" s="191"/>
      <c r="AC2457" s="191"/>
      <c r="AD2457" s="16"/>
      <c r="AE2457" s="16"/>
      <c r="AF2457" s="16"/>
      <c r="AG2457" s="16"/>
      <c r="AH2457" s="16"/>
      <c r="AI2457" s="16"/>
      <c r="AJ2457" s="16"/>
      <c r="AK2457" s="16"/>
      <c r="AL2457" s="16"/>
      <c r="AM2457" s="16"/>
      <c r="AN2457" s="16"/>
      <c r="AO2457" s="16"/>
      <c r="AP2457" s="16"/>
      <c r="AQ2457" s="16"/>
      <c r="AR2457" s="16"/>
      <c r="AS2457" s="16"/>
    </row>
    <row r="2458" spans="18:45" x14ac:dyDescent="0.35">
      <c r="R2458" s="191"/>
      <c r="S2458" s="191"/>
      <c r="T2458" s="193"/>
      <c r="U2458" s="191"/>
      <c r="V2458" s="194"/>
      <c r="W2458" s="191"/>
      <c r="Y2458" s="191"/>
      <c r="Z2458" s="191"/>
      <c r="AA2458" s="191"/>
      <c r="AB2458" s="191"/>
      <c r="AC2458" s="191"/>
      <c r="AD2458" s="16"/>
      <c r="AE2458" s="16"/>
      <c r="AF2458" s="16"/>
      <c r="AG2458" s="16"/>
      <c r="AH2458" s="16"/>
      <c r="AI2458" s="16"/>
      <c r="AJ2458" s="16"/>
      <c r="AK2458" s="16"/>
      <c r="AL2458" s="16"/>
      <c r="AM2458" s="16"/>
      <c r="AN2458" s="16"/>
      <c r="AO2458" s="16"/>
      <c r="AP2458" s="16"/>
      <c r="AQ2458" s="16"/>
      <c r="AR2458" s="16"/>
      <c r="AS2458" s="16"/>
    </row>
    <row r="2459" spans="18:45" x14ac:dyDescent="0.35">
      <c r="R2459" s="191"/>
      <c r="S2459" s="191"/>
      <c r="T2459" s="193"/>
      <c r="U2459" s="191"/>
      <c r="V2459" s="194"/>
      <c r="W2459" s="191"/>
      <c r="Y2459" s="191"/>
      <c r="Z2459" s="191"/>
      <c r="AA2459" s="191"/>
      <c r="AB2459" s="191"/>
      <c r="AC2459" s="191"/>
      <c r="AD2459" s="16"/>
      <c r="AE2459" s="16"/>
      <c r="AF2459" s="16"/>
      <c r="AG2459" s="16"/>
      <c r="AH2459" s="16"/>
      <c r="AI2459" s="16"/>
      <c r="AJ2459" s="16"/>
      <c r="AK2459" s="16"/>
      <c r="AL2459" s="16"/>
      <c r="AM2459" s="16"/>
      <c r="AN2459" s="16"/>
      <c r="AO2459" s="16"/>
      <c r="AP2459" s="16"/>
      <c r="AQ2459" s="16"/>
      <c r="AR2459" s="16"/>
      <c r="AS2459" s="16"/>
    </row>
    <row r="2460" spans="18:45" x14ac:dyDescent="0.35">
      <c r="R2460" s="191"/>
      <c r="S2460" s="191"/>
      <c r="T2460" s="193"/>
      <c r="U2460" s="191"/>
      <c r="V2460" s="194"/>
      <c r="W2460" s="191"/>
      <c r="Y2460" s="191"/>
      <c r="Z2460" s="191"/>
      <c r="AA2460" s="191"/>
      <c r="AB2460" s="191"/>
      <c r="AC2460" s="191"/>
      <c r="AD2460" s="16"/>
      <c r="AE2460" s="16"/>
      <c r="AF2460" s="16"/>
      <c r="AG2460" s="16"/>
      <c r="AH2460" s="16"/>
      <c r="AI2460" s="16"/>
      <c r="AJ2460" s="16"/>
      <c r="AK2460" s="16"/>
      <c r="AL2460" s="16"/>
      <c r="AM2460" s="16"/>
      <c r="AN2460" s="16"/>
      <c r="AO2460" s="16"/>
      <c r="AP2460" s="16"/>
      <c r="AQ2460" s="16"/>
      <c r="AR2460" s="16"/>
      <c r="AS2460" s="16"/>
    </row>
    <row r="2461" spans="18:45" x14ac:dyDescent="0.35">
      <c r="R2461" s="191"/>
      <c r="S2461" s="191"/>
      <c r="T2461" s="193"/>
      <c r="U2461" s="191"/>
      <c r="V2461" s="194"/>
      <c r="W2461" s="191"/>
      <c r="Y2461" s="191"/>
      <c r="Z2461" s="191"/>
      <c r="AA2461" s="191"/>
      <c r="AB2461" s="191"/>
      <c r="AC2461" s="191"/>
      <c r="AD2461" s="16"/>
      <c r="AE2461" s="16"/>
      <c r="AF2461" s="16"/>
      <c r="AG2461" s="16"/>
      <c r="AH2461" s="16"/>
      <c r="AI2461" s="16"/>
      <c r="AJ2461" s="16"/>
      <c r="AK2461" s="16"/>
      <c r="AL2461" s="16"/>
      <c r="AM2461" s="16"/>
      <c r="AN2461" s="16"/>
      <c r="AO2461" s="16"/>
      <c r="AP2461" s="16"/>
      <c r="AQ2461" s="16"/>
      <c r="AR2461" s="16"/>
      <c r="AS2461" s="16"/>
    </row>
    <row r="2462" spans="18:45" x14ac:dyDescent="0.35">
      <c r="R2462" s="191"/>
      <c r="S2462" s="191"/>
      <c r="T2462" s="193"/>
      <c r="U2462" s="191"/>
      <c r="V2462" s="194"/>
      <c r="W2462" s="191"/>
      <c r="Y2462" s="191"/>
      <c r="Z2462" s="191"/>
      <c r="AA2462" s="191"/>
      <c r="AB2462" s="191"/>
      <c r="AC2462" s="191"/>
      <c r="AD2462" s="16"/>
      <c r="AE2462" s="16"/>
      <c r="AF2462" s="16"/>
      <c r="AG2462" s="16"/>
      <c r="AH2462" s="16"/>
      <c r="AI2462" s="16"/>
      <c r="AJ2462" s="16"/>
      <c r="AK2462" s="16"/>
      <c r="AL2462" s="16"/>
      <c r="AM2462" s="16"/>
      <c r="AN2462" s="16"/>
      <c r="AO2462" s="16"/>
      <c r="AP2462" s="16"/>
      <c r="AQ2462" s="16"/>
      <c r="AR2462" s="16"/>
      <c r="AS2462" s="16"/>
    </row>
    <row r="2463" spans="18:45" x14ac:dyDescent="0.35">
      <c r="R2463" s="191"/>
      <c r="S2463" s="191"/>
      <c r="T2463" s="193"/>
      <c r="U2463" s="191"/>
      <c r="V2463" s="194"/>
      <c r="W2463" s="191"/>
      <c r="Y2463" s="191"/>
      <c r="Z2463" s="191"/>
      <c r="AA2463" s="191"/>
      <c r="AB2463" s="191"/>
      <c r="AC2463" s="191"/>
      <c r="AD2463" s="16"/>
      <c r="AE2463" s="16"/>
      <c r="AF2463" s="16"/>
      <c r="AG2463" s="16"/>
      <c r="AH2463" s="16"/>
      <c r="AI2463" s="16"/>
      <c r="AJ2463" s="16"/>
      <c r="AK2463" s="16"/>
      <c r="AL2463" s="16"/>
      <c r="AM2463" s="16"/>
      <c r="AN2463" s="16"/>
      <c r="AO2463" s="16"/>
      <c r="AP2463" s="16"/>
      <c r="AQ2463" s="16"/>
      <c r="AR2463" s="16"/>
      <c r="AS2463" s="16"/>
    </row>
    <row r="2464" spans="18:45" x14ac:dyDescent="0.35">
      <c r="R2464" s="191"/>
      <c r="S2464" s="191"/>
      <c r="T2464" s="193"/>
      <c r="U2464" s="191"/>
      <c r="V2464" s="194"/>
      <c r="W2464" s="191"/>
      <c r="Y2464" s="191"/>
      <c r="Z2464" s="191"/>
      <c r="AA2464" s="191"/>
      <c r="AB2464" s="191"/>
      <c r="AC2464" s="191"/>
      <c r="AD2464" s="16"/>
      <c r="AE2464" s="16"/>
      <c r="AF2464" s="16"/>
      <c r="AG2464" s="16"/>
      <c r="AH2464" s="16"/>
      <c r="AI2464" s="16"/>
      <c r="AJ2464" s="16"/>
      <c r="AK2464" s="16"/>
      <c r="AL2464" s="16"/>
      <c r="AM2464" s="16"/>
      <c r="AN2464" s="16"/>
      <c r="AO2464" s="16"/>
      <c r="AP2464" s="16"/>
      <c r="AQ2464" s="16"/>
      <c r="AR2464" s="16"/>
      <c r="AS2464" s="16"/>
    </row>
    <row r="2465" spans="18:45" x14ac:dyDescent="0.35">
      <c r="R2465" s="191"/>
      <c r="S2465" s="191"/>
      <c r="T2465" s="193"/>
      <c r="U2465" s="191"/>
      <c r="V2465" s="194"/>
      <c r="W2465" s="191"/>
      <c r="Y2465" s="191"/>
      <c r="Z2465" s="191"/>
      <c r="AA2465" s="191"/>
      <c r="AB2465" s="191"/>
      <c r="AC2465" s="191"/>
      <c r="AD2465" s="16"/>
      <c r="AE2465" s="16"/>
      <c r="AF2465" s="16"/>
      <c r="AG2465" s="16"/>
      <c r="AH2465" s="16"/>
      <c r="AI2465" s="16"/>
      <c r="AJ2465" s="16"/>
      <c r="AK2465" s="16"/>
      <c r="AL2465" s="16"/>
      <c r="AM2465" s="16"/>
      <c r="AN2465" s="16"/>
      <c r="AO2465" s="16"/>
      <c r="AP2465" s="16"/>
      <c r="AQ2465" s="16"/>
      <c r="AR2465" s="16"/>
      <c r="AS2465" s="16"/>
    </row>
    <row r="2466" spans="18:45" x14ac:dyDescent="0.35">
      <c r="R2466" s="191"/>
      <c r="S2466" s="191"/>
      <c r="T2466" s="193"/>
      <c r="U2466" s="191"/>
      <c r="V2466" s="194"/>
      <c r="W2466" s="191"/>
      <c r="Y2466" s="191"/>
      <c r="Z2466" s="191"/>
      <c r="AA2466" s="191"/>
      <c r="AB2466" s="191"/>
      <c r="AC2466" s="191"/>
      <c r="AD2466" s="16"/>
      <c r="AE2466" s="16"/>
      <c r="AF2466" s="16"/>
      <c r="AG2466" s="16"/>
      <c r="AH2466" s="16"/>
      <c r="AI2466" s="16"/>
      <c r="AJ2466" s="16"/>
      <c r="AK2466" s="16"/>
      <c r="AL2466" s="16"/>
      <c r="AM2466" s="16"/>
      <c r="AN2466" s="16"/>
      <c r="AO2466" s="16"/>
      <c r="AP2466" s="16"/>
      <c r="AQ2466" s="16"/>
      <c r="AR2466" s="16"/>
      <c r="AS2466" s="16"/>
    </row>
    <row r="2467" spans="18:45" x14ac:dyDescent="0.35">
      <c r="R2467" s="191"/>
      <c r="S2467" s="191"/>
      <c r="T2467" s="193"/>
      <c r="U2467" s="191"/>
      <c r="V2467" s="194"/>
      <c r="W2467" s="191"/>
      <c r="Y2467" s="191"/>
      <c r="Z2467" s="191"/>
      <c r="AA2467" s="191"/>
      <c r="AB2467" s="191"/>
      <c r="AC2467" s="191"/>
      <c r="AD2467" s="16"/>
      <c r="AE2467" s="16"/>
      <c r="AF2467" s="16"/>
      <c r="AG2467" s="16"/>
      <c r="AH2467" s="16"/>
      <c r="AI2467" s="16"/>
      <c r="AJ2467" s="16"/>
      <c r="AK2467" s="16"/>
      <c r="AL2467" s="16"/>
      <c r="AM2467" s="16"/>
      <c r="AN2467" s="16"/>
      <c r="AO2467" s="16"/>
      <c r="AP2467" s="16"/>
      <c r="AQ2467" s="16"/>
      <c r="AR2467" s="16"/>
      <c r="AS2467" s="16"/>
    </row>
    <row r="2468" spans="18:45" x14ac:dyDescent="0.35">
      <c r="R2468" s="191"/>
      <c r="S2468" s="191"/>
      <c r="T2468" s="193"/>
      <c r="U2468" s="191"/>
      <c r="V2468" s="194"/>
      <c r="W2468" s="191"/>
      <c r="Y2468" s="191"/>
      <c r="Z2468" s="191"/>
      <c r="AA2468" s="191"/>
      <c r="AB2468" s="191"/>
      <c r="AC2468" s="191"/>
      <c r="AD2468" s="16"/>
      <c r="AE2468" s="16"/>
      <c r="AF2468" s="16"/>
      <c r="AG2468" s="16"/>
      <c r="AH2468" s="16"/>
      <c r="AI2468" s="16"/>
      <c r="AJ2468" s="16"/>
      <c r="AK2468" s="16"/>
      <c r="AL2468" s="16"/>
      <c r="AM2468" s="16"/>
      <c r="AN2468" s="16"/>
      <c r="AO2468" s="16"/>
      <c r="AP2468" s="16"/>
      <c r="AQ2468" s="16"/>
      <c r="AR2468" s="16"/>
      <c r="AS2468" s="16"/>
    </row>
    <row r="2469" spans="18:45" x14ac:dyDescent="0.35">
      <c r="R2469" s="191"/>
      <c r="S2469" s="191"/>
      <c r="T2469" s="193"/>
      <c r="U2469" s="191"/>
      <c r="V2469" s="194"/>
      <c r="W2469" s="191"/>
      <c r="Y2469" s="191"/>
      <c r="Z2469" s="191"/>
      <c r="AA2469" s="191"/>
      <c r="AB2469" s="191"/>
      <c r="AC2469" s="191"/>
      <c r="AD2469" s="16"/>
      <c r="AE2469" s="16"/>
      <c r="AF2469" s="16"/>
      <c r="AG2469" s="16"/>
      <c r="AH2469" s="16"/>
      <c r="AI2469" s="16"/>
      <c r="AJ2469" s="16"/>
      <c r="AK2469" s="16"/>
      <c r="AL2469" s="16"/>
      <c r="AM2469" s="16"/>
      <c r="AN2469" s="16"/>
      <c r="AO2469" s="16"/>
      <c r="AP2469" s="16"/>
      <c r="AQ2469" s="16"/>
      <c r="AR2469" s="16"/>
      <c r="AS2469" s="16"/>
    </row>
    <row r="2470" spans="18:45" x14ac:dyDescent="0.35">
      <c r="R2470" s="191"/>
      <c r="S2470" s="191"/>
      <c r="T2470" s="193"/>
      <c r="U2470" s="191"/>
      <c r="V2470" s="194"/>
      <c r="W2470" s="191"/>
      <c r="Y2470" s="191"/>
      <c r="Z2470" s="191"/>
      <c r="AA2470" s="191"/>
      <c r="AB2470" s="191"/>
      <c r="AC2470" s="191"/>
      <c r="AD2470" s="16"/>
      <c r="AE2470" s="16"/>
      <c r="AF2470" s="16"/>
      <c r="AG2470" s="16"/>
      <c r="AH2470" s="16"/>
      <c r="AI2470" s="16"/>
      <c r="AJ2470" s="16"/>
      <c r="AK2470" s="16"/>
      <c r="AL2470" s="16"/>
      <c r="AM2470" s="16"/>
      <c r="AN2470" s="16"/>
      <c r="AO2470" s="16"/>
      <c r="AP2470" s="16"/>
      <c r="AQ2470" s="16"/>
      <c r="AR2470" s="16"/>
      <c r="AS2470" s="16"/>
    </row>
    <row r="2471" spans="18:45" x14ac:dyDescent="0.35">
      <c r="R2471" s="191"/>
      <c r="S2471" s="191"/>
      <c r="T2471" s="193"/>
      <c r="U2471" s="191"/>
      <c r="V2471" s="194"/>
      <c r="W2471" s="191"/>
      <c r="Y2471" s="191"/>
      <c r="Z2471" s="191"/>
      <c r="AA2471" s="191"/>
      <c r="AB2471" s="191"/>
      <c r="AC2471" s="191"/>
      <c r="AD2471" s="16"/>
      <c r="AE2471" s="16"/>
      <c r="AF2471" s="16"/>
      <c r="AG2471" s="16"/>
      <c r="AH2471" s="16"/>
      <c r="AI2471" s="16"/>
      <c r="AJ2471" s="16"/>
      <c r="AK2471" s="16"/>
      <c r="AL2471" s="16"/>
      <c r="AM2471" s="16"/>
      <c r="AN2471" s="16"/>
      <c r="AO2471" s="16"/>
      <c r="AP2471" s="16"/>
      <c r="AQ2471" s="16"/>
      <c r="AR2471" s="16"/>
      <c r="AS2471" s="16"/>
    </row>
    <row r="2472" spans="18:45" x14ac:dyDescent="0.35">
      <c r="R2472" s="191"/>
      <c r="S2472" s="191"/>
      <c r="T2472" s="193"/>
      <c r="U2472" s="191"/>
      <c r="V2472" s="194"/>
      <c r="W2472" s="191"/>
      <c r="Y2472" s="191"/>
      <c r="Z2472" s="191"/>
      <c r="AA2472" s="191"/>
      <c r="AB2472" s="191"/>
      <c r="AC2472" s="191"/>
      <c r="AD2472" s="16"/>
      <c r="AE2472" s="16"/>
      <c r="AF2472" s="16"/>
      <c r="AG2472" s="16"/>
      <c r="AH2472" s="16"/>
      <c r="AI2472" s="16"/>
      <c r="AJ2472" s="16"/>
      <c r="AK2472" s="16"/>
      <c r="AL2472" s="16"/>
      <c r="AM2472" s="16"/>
      <c r="AN2472" s="16"/>
      <c r="AO2472" s="16"/>
      <c r="AP2472" s="16"/>
      <c r="AQ2472" s="16"/>
      <c r="AR2472" s="16"/>
      <c r="AS2472" s="16"/>
    </row>
    <row r="2473" spans="18:45" x14ac:dyDescent="0.35">
      <c r="R2473" s="191"/>
      <c r="S2473" s="191"/>
      <c r="T2473" s="193"/>
      <c r="U2473" s="191"/>
      <c r="V2473" s="194"/>
      <c r="W2473" s="191"/>
      <c r="Y2473" s="191"/>
      <c r="Z2473" s="191"/>
      <c r="AA2473" s="191"/>
      <c r="AB2473" s="191"/>
      <c r="AC2473" s="191"/>
      <c r="AD2473" s="16"/>
      <c r="AE2473" s="16"/>
      <c r="AF2473" s="16"/>
      <c r="AG2473" s="16"/>
      <c r="AH2473" s="16"/>
      <c r="AI2473" s="16"/>
      <c r="AJ2473" s="16"/>
      <c r="AK2473" s="16"/>
      <c r="AL2473" s="16"/>
      <c r="AM2473" s="16"/>
      <c r="AN2473" s="16"/>
      <c r="AO2473" s="16"/>
      <c r="AP2473" s="16"/>
      <c r="AQ2473" s="16"/>
      <c r="AR2473" s="16"/>
      <c r="AS2473" s="16"/>
    </row>
    <row r="2474" spans="18:45" x14ac:dyDescent="0.35">
      <c r="R2474" s="191"/>
      <c r="S2474" s="191"/>
      <c r="T2474" s="193"/>
      <c r="U2474" s="191"/>
      <c r="V2474" s="194"/>
      <c r="W2474" s="191"/>
      <c r="Y2474" s="191"/>
      <c r="Z2474" s="191"/>
      <c r="AA2474" s="191"/>
      <c r="AB2474" s="191"/>
      <c r="AC2474" s="191"/>
      <c r="AD2474" s="16"/>
      <c r="AE2474" s="16"/>
      <c r="AF2474" s="16"/>
      <c r="AG2474" s="16"/>
      <c r="AH2474" s="16"/>
      <c r="AI2474" s="16"/>
      <c r="AJ2474" s="16"/>
      <c r="AK2474" s="16"/>
      <c r="AL2474" s="16"/>
      <c r="AM2474" s="16"/>
      <c r="AN2474" s="16"/>
      <c r="AO2474" s="16"/>
      <c r="AP2474" s="16"/>
      <c r="AQ2474" s="16"/>
      <c r="AR2474" s="16"/>
      <c r="AS2474" s="16"/>
    </row>
    <row r="2475" spans="18:45" x14ac:dyDescent="0.35">
      <c r="R2475" s="191"/>
      <c r="S2475" s="191"/>
      <c r="T2475" s="193"/>
      <c r="U2475" s="191"/>
      <c r="V2475" s="194"/>
      <c r="W2475" s="191"/>
      <c r="Y2475" s="191"/>
      <c r="Z2475" s="191"/>
      <c r="AA2475" s="191"/>
      <c r="AB2475" s="191"/>
      <c r="AC2475" s="191"/>
      <c r="AD2475" s="16"/>
      <c r="AE2475" s="16"/>
      <c r="AF2475" s="16"/>
      <c r="AG2475" s="16"/>
      <c r="AH2475" s="16"/>
      <c r="AI2475" s="16"/>
      <c r="AJ2475" s="16"/>
      <c r="AK2475" s="16"/>
      <c r="AL2475" s="16"/>
      <c r="AM2475" s="16"/>
      <c r="AN2475" s="16"/>
      <c r="AO2475" s="16"/>
      <c r="AP2475" s="16"/>
      <c r="AQ2475" s="16"/>
      <c r="AR2475" s="16"/>
      <c r="AS2475" s="16"/>
    </row>
    <row r="2476" spans="18:45" x14ac:dyDescent="0.35">
      <c r="R2476" s="191"/>
      <c r="S2476" s="191"/>
      <c r="T2476" s="193"/>
      <c r="U2476" s="191"/>
      <c r="V2476" s="194"/>
      <c r="W2476" s="191"/>
      <c r="Y2476" s="191"/>
      <c r="Z2476" s="191"/>
      <c r="AA2476" s="191"/>
      <c r="AB2476" s="191"/>
      <c r="AC2476" s="191"/>
      <c r="AD2476" s="16"/>
      <c r="AE2476" s="16"/>
      <c r="AF2476" s="16"/>
      <c r="AG2476" s="16"/>
      <c r="AH2476" s="16"/>
      <c r="AI2476" s="16"/>
      <c r="AJ2476" s="16"/>
      <c r="AK2476" s="16"/>
      <c r="AL2476" s="16"/>
      <c r="AM2476" s="16"/>
      <c r="AN2476" s="16"/>
      <c r="AO2476" s="16"/>
      <c r="AP2476" s="16"/>
      <c r="AQ2476" s="16"/>
      <c r="AR2476" s="16"/>
      <c r="AS2476" s="16"/>
    </row>
    <row r="2477" spans="18:45" x14ac:dyDescent="0.35">
      <c r="R2477" s="191"/>
      <c r="S2477" s="191"/>
      <c r="T2477" s="193"/>
      <c r="U2477" s="191"/>
      <c r="V2477" s="194"/>
      <c r="W2477" s="191"/>
      <c r="Y2477" s="191"/>
      <c r="Z2477" s="191"/>
      <c r="AA2477" s="191"/>
      <c r="AB2477" s="191"/>
      <c r="AC2477" s="191"/>
      <c r="AD2477" s="16"/>
      <c r="AE2477" s="16"/>
      <c r="AF2477" s="16"/>
      <c r="AG2477" s="16"/>
      <c r="AH2477" s="16"/>
      <c r="AI2477" s="16"/>
      <c r="AJ2477" s="16"/>
      <c r="AK2477" s="16"/>
      <c r="AL2477" s="16"/>
      <c r="AM2477" s="16"/>
      <c r="AN2477" s="16"/>
      <c r="AO2477" s="16"/>
      <c r="AP2477" s="16"/>
      <c r="AQ2477" s="16"/>
      <c r="AR2477" s="16"/>
      <c r="AS2477" s="16"/>
    </row>
    <row r="2478" spans="18:45" x14ac:dyDescent="0.35">
      <c r="R2478" s="191"/>
      <c r="S2478" s="191"/>
      <c r="T2478" s="193"/>
      <c r="U2478" s="191"/>
      <c r="V2478" s="194"/>
      <c r="W2478" s="191"/>
      <c r="Y2478" s="191"/>
      <c r="Z2478" s="191"/>
      <c r="AA2478" s="191"/>
      <c r="AB2478" s="191"/>
      <c r="AC2478" s="191"/>
      <c r="AD2478" s="16"/>
      <c r="AE2478" s="16"/>
      <c r="AF2478" s="16"/>
      <c r="AG2478" s="16"/>
      <c r="AH2478" s="16"/>
      <c r="AI2478" s="16"/>
      <c r="AJ2478" s="16"/>
      <c r="AK2478" s="16"/>
      <c r="AL2478" s="16"/>
      <c r="AM2478" s="16"/>
      <c r="AN2478" s="16"/>
      <c r="AO2478" s="16"/>
      <c r="AP2478" s="16"/>
      <c r="AQ2478" s="16"/>
      <c r="AR2478" s="16"/>
      <c r="AS2478" s="16"/>
    </row>
    <row r="2479" spans="18:45" x14ac:dyDescent="0.35">
      <c r="R2479" s="191"/>
      <c r="S2479" s="191"/>
      <c r="T2479" s="193"/>
      <c r="U2479" s="191"/>
      <c r="V2479" s="194"/>
      <c r="W2479" s="191"/>
      <c r="Y2479" s="191"/>
      <c r="Z2479" s="191"/>
      <c r="AA2479" s="191"/>
      <c r="AB2479" s="191"/>
      <c r="AC2479" s="191"/>
      <c r="AD2479" s="16"/>
      <c r="AE2479" s="16"/>
      <c r="AF2479" s="16"/>
      <c r="AG2479" s="16"/>
      <c r="AH2479" s="16"/>
      <c r="AI2479" s="16"/>
      <c r="AJ2479" s="16"/>
      <c r="AK2479" s="16"/>
      <c r="AL2479" s="16"/>
      <c r="AM2479" s="16"/>
      <c r="AN2479" s="16"/>
      <c r="AO2479" s="16"/>
      <c r="AP2479" s="16"/>
      <c r="AQ2479" s="16"/>
      <c r="AR2479" s="16"/>
      <c r="AS2479" s="16"/>
    </row>
    <row r="2480" spans="18:45" x14ac:dyDescent="0.35">
      <c r="R2480" s="191"/>
      <c r="S2480" s="191"/>
      <c r="T2480" s="193"/>
      <c r="U2480" s="191"/>
      <c r="V2480" s="194"/>
      <c r="W2480" s="191"/>
      <c r="Y2480" s="191"/>
      <c r="Z2480" s="191"/>
      <c r="AA2480" s="191"/>
      <c r="AB2480" s="191"/>
      <c r="AC2480" s="191"/>
      <c r="AD2480" s="16"/>
      <c r="AE2480" s="16"/>
      <c r="AF2480" s="16"/>
      <c r="AG2480" s="16"/>
      <c r="AH2480" s="16"/>
      <c r="AI2480" s="16"/>
      <c r="AJ2480" s="16"/>
      <c r="AK2480" s="16"/>
      <c r="AL2480" s="16"/>
      <c r="AM2480" s="16"/>
      <c r="AN2480" s="16"/>
      <c r="AO2480" s="16"/>
      <c r="AP2480" s="16"/>
      <c r="AQ2480" s="16"/>
      <c r="AR2480" s="16"/>
      <c r="AS2480" s="16"/>
    </row>
    <row r="2481" spans="18:45" x14ac:dyDescent="0.35">
      <c r="R2481" s="191"/>
      <c r="S2481" s="191"/>
      <c r="T2481" s="193"/>
      <c r="U2481" s="191"/>
      <c r="V2481" s="194"/>
      <c r="W2481" s="191"/>
      <c r="Y2481" s="191"/>
      <c r="Z2481" s="191"/>
      <c r="AA2481" s="191"/>
      <c r="AB2481" s="191"/>
      <c r="AC2481" s="191"/>
      <c r="AD2481" s="16"/>
      <c r="AE2481" s="16"/>
      <c r="AF2481" s="16"/>
      <c r="AG2481" s="16"/>
      <c r="AH2481" s="16"/>
      <c r="AI2481" s="16"/>
      <c r="AJ2481" s="16"/>
      <c r="AK2481" s="16"/>
      <c r="AL2481" s="16"/>
      <c r="AM2481" s="16"/>
      <c r="AN2481" s="16"/>
      <c r="AO2481" s="16"/>
      <c r="AP2481" s="16"/>
      <c r="AQ2481" s="16"/>
      <c r="AR2481" s="16"/>
      <c r="AS2481" s="16"/>
    </row>
    <row r="2482" spans="18:45" x14ac:dyDescent="0.35">
      <c r="R2482" s="191"/>
      <c r="S2482" s="191"/>
      <c r="T2482" s="193"/>
      <c r="U2482" s="191"/>
      <c r="V2482" s="194"/>
      <c r="W2482" s="191"/>
      <c r="Y2482" s="191"/>
      <c r="Z2482" s="191"/>
      <c r="AA2482" s="191"/>
      <c r="AB2482" s="191"/>
      <c r="AC2482" s="191"/>
      <c r="AD2482" s="16"/>
      <c r="AE2482" s="16"/>
      <c r="AF2482" s="16"/>
      <c r="AG2482" s="16"/>
      <c r="AH2482" s="16"/>
      <c r="AI2482" s="16"/>
      <c r="AJ2482" s="16"/>
      <c r="AK2482" s="16"/>
      <c r="AL2482" s="16"/>
      <c r="AM2482" s="16"/>
      <c r="AN2482" s="16"/>
      <c r="AO2482" s="16"/>
      <c r="AP2482" s="16"/>
      <c r="AQ2482" s="16"/>
      <c r="AR2482" s="16"/>
      <c r="AS2482" s="16"/>
    </row>
    <row r="2483" spans="18:45" x14ac:dyDescent="0.35">
      <c r="R2483" s="191"/>
      <c r="S2483" s="191"/>
      <c r="T2483" s="193"/>
      <c r="U2483" s="191"/>
      <c r="V2483" s="194"/>
      <c r="W2483" s="191"/>
      <c r="Y2483" s="191"/>
      <c r="Z2483" s="191"/>
      <c r="AA2483" s="191"/>
      <c r="AB2483" s="191"/>
      <c r="AC2483" s="191"/>
      <c r="AD2483" s="16"/>
      <c r="AE2483" s="16"/>
      <c r="AF2483" s="16"/>
      <c r="AG2483" s="16"/>
      <c r="AH2483" s="16"/>
      <c r="AI2483" s="16"/>
      <c r="AJ2483" s="16"/>
      <c r="AK2483" s="16"/>
      <c r="AL2483" s="16"/>
      <c r="AM2483" s="16"/>
      <c r="AN2483" s="16"/>
      <c r="AO2483" s="16"/>
      <c r="AP2483" s="16"/>
      <c r="AQ2483" s="16"/>
      <c r="AR2483" s="16"/>
      <c r="AS2483" s="16"/>
    </row>
    <row r="2484" spans="18:45" x14ac:dyDescent="0.35">
      <c r="R2484" s="191"/>
      <c r="S2484" s="191"/>
      <c r="T2484" s="193"/>
      <c r="U2484" s="191"/>
      <c r="V2484" s="194"/>
      <c r="W2484" s="191"/>
      <c r="Y2484" s="191"/>
      <c r="Z2484" s="191"/>
      <c r="AA2484" s="191"/>
      <c r="AB2484" s="191"/>
      <c r="AC2484" s="191"/>
      <c r="AD2484" s="16"/>
      <c r="AE2484" s="16"/>
      <c r="AF2484" s="16"/>
      <c r="AG2484" s="16"/>
      <c r="AH2484" s="16"/>
      <c r="AI2484" s="16"/>
      <c r="AJ2484" s="16"/>
      <c r="AK2484" s="16"/>
      <c r="AL2484" s="16"/>
      <c r="AM2484" s="16"/>
      <c r="AN2484" s="16"/>
      <c r="AO2484" s="16"/>
      <c r="AP2484" s="16"/>
      <c r="AQ2484" s="16"/>
      <c r="AR2484" s="16"/>
      <c r="AS2484" s="16"/>
    </row>
    <row r="2485" spans="18:45" x14ac:dyDescent="0.35">
      <c r="R2485" s="191"/>
      <c r="S2485" s="191"/>
      <c r="T2485" s="193"/>
      <c r="U2485" s="191"/>
      <c r="V2485" s="194"/>
      <c r="W2485" s="191"/>
      <c r="Y2485" s="191"/>
      <c r="Z2485" s="191"/>
      <c r="AA2485" s="191"/>
      <c r="AB2485" s="191"/>
      <c r="AC2485" s="191"/>
      <c r="AD2485" s="16"/>
      <c r="AE2485" s="16"/>
      <c r="AF2485" s="16"/>
      <c r="AG2485" s="16"/>
      <c r="AH2485" s="16"/>
      <c r="AI2485" s="16"/>
      <c r="AJ2485" s="16"/>
      <c r="AK2485" s="16"/>
      <c r="AL2485" s="16"/>
      <c r="AM2485" s="16"/>
      <c r="AN2485" s="16"/>
      <c r="AO2485" s="16"/>
      <c r="AP2485" s="16"/>
      <c r="AQ2485" s="16"/>
      <c r="AR2485" s="16"/>
      <c r="AS2485" s="16"/>
    </row>
    <row r="2486" spans="18:45" x14ac:dyDescent="0.35">
      <c r="R2486" s="191"/>
      <c r="S2486" s="191"/>
      <c r="T2486" s="193"/>
      <c r="U2486" s="191"/>
      <c r="V2486" s="194"/>
      <c r="W2486" s="191"/>
      <c r="Y2486" s="191"/>
      <c r="Z2486" s="191"/>
      <c r="AA2486" s="191"/>
      <c r="AB2486" s="191"/>
      <c r="AC2486" s="191"/>
      <c r="AD2486" s="16"/>
      <c r="AE2486" s="16"/>
      <c r="AF2486" s="16"/>
      <c r="AG2486" s="16"/>
      <c r="AH2486" s="16"/>
      <c r="AI2486" s="16"/>
      <c r="AJ2486" s="16"/>
      <c r="AK2486" s="16"/>
      <c r="AL2486" s="16"/>
      <c r="AM2486" s="16"/>
      <c r="AN2486" s="16"/>
      <c r="AO2486" s="16"/>
      <c r="AP2486" s="16"/>
      <c r="AQ2486" s="16"/>
      <c r="AR2486" s="16"/>
      <c r="AS2486" s="16"/>
    </row>
    <row r="2487" spans="18:45" x14ac:dyDescent="0.35">
      <c r="R2487" s="191"/>
      <c r="S2487" s="191"/>
      <c r="T2487" s="193"/>
      <c r="U2487" s="191"/>
      <c r="V2487" s="194"/>
      <c r="W2487" s="191"/>
      <c r="Y2487" s="191"/>
      <c r="Z2487" s="191"/>
      <c r="AA2487" s="191"/>
      <c r="AB2487" s="191"/>
      <c r="AC2487" s="191"/>
      <c r="AD2487" s="16"/>
      <c r="AE2487" s="16"/>
      <c r="AF2487" s="16"/>
      <c r="AG2487" s="16"/>
      <c r="AH2487" s="16"/>
      <c r="AI2487" s="16"/>
      <c r="AJ2487" s="16"/>
      <c r="AK2487" s="16"/>
      <c r="AL2487" s="16"/>
      <c r="AM2487" s="16"/>
      <c r="AN2487" s="16"/>
      <c r="AO2487" s="16"/>
      <c r="AP2487" s="16"/>
      <c r="AQ2487" s="16"/>
      <c r="AR2487" s="16"/>
      <c r="AS2487" s="16"/>
    </row>
    <row r="2488" spans="18:45" x14ac:dyDescent="0.35">
      <c r="R2488" s="191"/>
      <c r="S2488" s="191"/>
      <c r="T2488" s="193"/>
      <c r="U2488" s="191"/>
      <c r="V2488" s="194"/>
      <c r="W2488" s="191"/>
      <c r="Y2488" s="191"/>
      <c r="Z2488" s="191"/>
      <c r="AA2488" s="191"/>
      <c r="AB2488" s="191"/>
      <c r="AC2488" s="191"/>
      <c r="AD2488" s="16"/>
      <c r="AE2488" s="16"/>
      <c r="AF2488" s="16"/>
      <c r="AG2488" s="16"/>
      <c r="AH2488" s="16"/>
      <c r="AI2488" s="16"/>
      <c r="AJ2488" s="16"/>
      <c r="AK2488" s="16"/>
      <c r="AL2488" s="16"/>
      <c r="AM2488" s="16"/>
      <c r="AN2488" s="16"/>
      <c r="AO2488" s="16"/>
      <c r="AP2488" s="16"/>
      <c r="AQ2488" s="16"/>
      <c r="AR2488" s="16"/>
      <c r="AS2488" s="16"/>
    </row>
    <row r="2489" spans="18:45" x14ac:dyDescent="0.35">
      <c r="R2489" s="191"/>
      <c r="S2489" s="191"/>
      <c r="T2489" s="193"/>
      <c r="U2489" s="191"/>
      <c r="V2489" s="194"/>
      <c r="W2489" s="191"/>
      <c r="Y2489" s="191"/>
      <c r="Z2489" s="191"/>
      <c r="AA2489" s="191"/>
      <c r="AB2489" s="191"/>
      <c r="AC2489" s="191"/>
      <c r="AD2489" s="16"/>
      <c r="AE2489" s="16"/>
      <c r="AF2489" s="16"/>
      <c r="AG2489" s="16"/>
      <c r="AH2489" s="16"/>
      <c r="AI2489" s="16"/>
      <c r="AJ2489" s="16"/>
      <c r="AK2489" s="16"/>
      <c r="AL2489" s="16"/>
      <c r="AM2489" s="16"/>
      <c r="AN2489" s="16"/>
      <c r="AO2489" s="16"/>
      <c r="AP2489" s="16"/>
      <c r="AQ2489" s="16"/>
      <c r="AR2489" s="16"/>
      <c r="AS2489" s="16"/>
    </row>
    <row r="2490" spans="18:45" x14ac:dyDescent="0.35">
      <c r="R2490" s="191"/>
      <c r="S2490" s="191"/>
      <c r="T2490" s="193"/>
      <c r="U2490" s="191"/>
      <c r="V2490" s="194"/>
      <c r="W2490" s="191"/>
      <c r="Y2490" s="191"/>
      <c r="Z2490" s="191"/>
      <c r="AA2490" s="191"/>
      <c r="AB2490" s="191"/>
      <c r="AC2490" s="191"/>
      <c r="AD2490" s="16"/>
      <c r="AE2490" s="16"/>
      <c r="AF2490" s="16"/>
      <c r="AG2490" s="16"/>
      <c r="AH2490" s="16"/>
      <c r="AI2490" s="16"/>
      <c r="AJ2490" s="16"/>
      <c r="AK2490" s="16"/>
      <c r="AL2490" s="16"/>
      <c r="AM2490" s="16"/>
      <c r="AN2490" s="16"/>
      <c r="AO2490" s="16"/>
      <c r="AP2490" s="16"/>
      <c r="AQ2490" s="16"/>
      <c r="AR2490" s="16"/>
      <c r="AS2490" s="16"/>
    </row>
    <row r="2491" spans="18:45" x14ac:dyDescent="0.35">
      <c r="R2491" s="191"/>
      <c r="S2491" s="191"/>
      <c r="T2491" s="193"/>
      <c r="U2491" s="191"/>
      <c r="V2491" s="194"/>
      <c r="W2491" s="191"/>
      <c r="Y2491" s="191"/>
      <c r="Z2491" s="191"/>
      <c r="AA2491" s="191"/>
      <c r="AB2491" s="191"/>
      <c r="AC2491" s="191"/>
      <c r="AD2491" s="16"/>
      <c r="AE2491" s="16"/>
      <c r="AF2491" s="16"/>
      <c r="AG2491" s="16"/>
      <c r="AH2491" s="16"/>
      <c r="AI2491" s="16"/>
      <c r="AJ2491" s="16"/>
      <c r="AK2491" s="16"/>
      <c r="AL2491" s="16"/>
      <c r="AM2491" s="16"/>
      <c r="AN2491" s="16"/>
      <c r="AO2491" s="16"/>
      <c r="AP2491" s="16"/>
      <c r="AQ2491" s="16"/>
      <c r="AR2491" s="16"/>
      <c r="AS2491" s="16"/>
    </row>
    <row r="2492" spans="18:45" x14ac:dyDescent="0.35">
      <c r="R2492" s="191"/>
      <c r="S2492" s="191"/>
      <c r="T2492" s="193"/>
      <c r="U2492" s="191"/>
      <c r="V2492" s="194"/>
      <c r="W2492" s="191"/>
      <c r="Y2492" s="191"/>
      <c r="Z2492" s="191"/>
      <c r="AA2492" s="191"/>
      <c r="AB2492" s="191"/>
      <c r="AC2492" s="191"/>
      <c r="AD2492" s="16"/>
      <c r="AE2492" s="16"/>
      <c r="AF2492" s="16"/>
      <c r="AG2492" s="16"/>
      <c r="AH2492" s="16"/>
      <c r="AI2492" s="16"/>
      <c r="AJ2492" s="16"/>
      <c r="AK2492" s="16"/>
      <c r="AL2492" s="16"/>
      <c r="AM2492" s="16"/>
      <c r="AN2492" s="16"/>
      <c r="AO2492" s="16"/>
      <c r="AP2492" s="16"/>
      <c r="AQ2492" s="16"/>
      <c r="AR2492" s="16"/>
      <c r="AS2492" s="16"/>
    </row>
    <row r="2493" spans="18:45" x14ac:dyDescent="0.35">
      <c r="R2493" s="191"/>
      <c r="S2493" s="191"/>
      <c r="T2493" s="193"/>
      <c r="U2493" s="191"/>
      <c r="V2493" s="194"/>
      <c r="W2493" s="191"/>
      <c r="Y2493" s="191"/>
      <c r="Z2493" s="191"/>
      <c r="AA2493" s="191"/>
      <c r="AB2493" s="191"/>
      <c r="AC2493" s="191"/>
      <c r="AD2493" s="16"/>
      <c r="AE2493" s="16"/>
      <c r="AF2493" s="16"/>
      <c r="AG2493" s="16"/>
      <c r="AH2493" s="16"/>
      <c r="AI2493" s="16"/>
      <c r="AJ2493" s="16"/>
      <c r="AK2493" s="16"/>
      <c r="AL2493" s="16"/>
      <c r="AM2493" s="16"/>
      <c r="AN2493" s="16"/>
      <c r="AO2493" s="16"/>
      <c r="AP2493" s="16"/>
      <c r="AQ2493" s="16"/>
      <c r="AR2493" s="16"/>
      <c r="AS2493" s="16"/>
    </row>
    <row r="2494" spans="18:45" x14ac:dyDescent="0.35">
      <c r="R2494" s="191"/>
      <c r="S2494" s="191"/>
      <c r="T2494" s="193"/>
      <c r="U2494" s="191"/>
      <c r="V2494" s="194"/>
      <c r="W2494" s="191"/>
      <c r="Y2494" s="191"/>
      <c r="Z2494" s="191"/>
      <c r="AA2494" s="191"/>
      <c r="AB2494" s="191"/>
      <c r="AC2494" s="191"/>
      <c r="AD2494" s="16"/>
      <c r="AE2494" s="16"/>
      <c r="AF2494" s="16"/>
      <c r="AG2494" s="16"/>
      <c r="AH2494" s="16"/>
      <c r="AI2494" s="16"/>
      <c r="AJ2494" s="16"/>
      <c r="AK2494" s="16"/>
      <c r="AL2494" s="16"/>
      <c r="AM2494" s="16"/>
      <c r="AN2494" s="16"/>
      <c r="AO2494" s="16"/>
      <c r="AP2494" s="16"/>
      <c r="AQ2494" s="16"/>
      <c r="AR2494" s="16"/>
      <c r="AS2494" s="16"/>
    </row>
    <row r="2495" spans="18:45" x14ac:dyDescent="0.35">
      <c r="R2495" s="191"/>
      <c r="S2495" s="191"/>
      <c r="T2495" s="193"/>
      <c r="U2495" s="191"/>
      <c r="V2495" s="194"/>
      <c r="W2495" s="191"/>
      <c r="Y2495" s="191"/>
      <c r="Z2495" s="191"/>
      <c r="AA2495" s="191"/>
      <c r="AB2495" s="191"/>
      <c r="AC2495" s="191"/>
      <c r="AD2495" s="16"/>
      <c r="AE2495" s="16"/>
      <c r="AF2495" s="16"/>
      <c r="AG2495" s="16"/>
      <c r="AH2495" s="16"/>
      <c r="AI2495" s="16"/>
      <c r="AJ2495" s="16"/>
      <c r="AK2495" s="16"/>
      <c r="AL2495" s="16"/>
      <c r="AM2495" s="16"/>
      <c r="AN2495" s="16"/>
      <c r="AO2495" s="16"/>
      <c r="AP2495" s="16"/>
      <c r="AQ2495" s="16"/>
      <c r="AR2495" s="16"/>
      <c r="AS2495" s="16"/>
    </row>
    <row r="2496" spans="18:45" x14ac:dyDescent="0.35">
      <c r="R2496" s="191"/>
      <c r="S2496" s="191"/>
      <c r="T2496" s="193"/>
      <c r="U2496" s="191"/>
      <c r="V2496" s="194"/>
      <c r="W2496" s="191"/>
      <c r="Y2496" s="191"/>
      <c r="Z2496" s="191"/>
      <c r="AA2496" s="191"/>
      <c r="AB2496" s="191"/>
      <c r="AC2496" s="191"/>
      <c r="AD2496" s="16"/>
      <c r="AE2496" s="16"/>
      <c r="AF2496" s="16"/>
      <c r="AG2496" s="16"/>
      <c r="AH2496" s="16"/>
      <c r="AI2496" s="16"/>
      <c r="AJ2496" s="16"/>
      <c r="AK2496" s="16"/>
      <c r="AL2496" s="16"/>
      <c r="AM2496" s="16"/>
      <c r="AN2496" s="16"/>
      <c r="AO2496" s="16"/>
      <c r="AP2496" s="16"/>
      <c r="AQ2496" s="16"/>
      <c r="AR2496" s="16"/>
      <c r="AS2496" s="16"/>
    </row>
    <row r="2497" spans="18:45" x14ac:dyDescent="0.35">
      <c r="R2497" s="191"/>
      <c r="S2497" s="191"/>
      <c r="T2497" s="193"/>
      <c r="U2497" s="191"/>
      <c r="V2497" s="194"/>
      <c r="W2497" s="191"/>
      <c r="Y2497" s="191"/>
      <c r="Z2497" s="191"/>
      <c r="AA2497" s="191"/>
      <c r="AB2497" s="191"/>
      <c r="AC2497" s="191"/>
      <c r="AD2497" s="16"/>
      <c r="AE2497" s="16"/>
      <c r="AF2497" s="16"/>
      <c r="AG2497" s="16"/>
      <c r="AH2497" s="16"/>
      <c r="AI2497" s="16"/>
      <c r="AJ2497" s="16"/>
      <c r="AK2497" s="16"/>
      <c r="AL2497" s="16"/>
      <c r="AM2497" s="16"/>
      <c r="AN2497" s="16"/>
      <c r="AO2497" s="16"/>
      <c r="AP2497" s="16"/>
      <c r="AQ2497" s="16"/>
      <c r="AR2497" s="16"/>
      <c r="AS2497" s="16"/>
    </row>
    <row r="2498" spans="18:45" x14ac:dyDescent="0.35">
      <c r="R2498" s="191"/>
      <c r="S2498" s="191"/>
      <c r="T2498" s="193"/>
      <c r="U2498" s="191"/>
      <c r="V2498" s="194"/>
      <c r="W2498" s="191"/>
      <c r="Y2498" s="191"/>
      <c r="Z2498" s="191"/>
      <c r="AA2498" s="191"/>
      <c r="AB2498" s="191"/>
      <c r="AC2498" s="191"/>
      <c r="AD2498" s="16"/>
      <c r="AE2498" s="16"/>
      <c r="AF2498" s="16"/>
      <c r="AG2498" s="16"/>
      <c r="AH2498" s="16"/>
      <c r="AI2498" s="16"/>
      <c r="AJ2498" s="16"/>
      <c r="AK2498" s="16"/>
      <c r="AL2498" s="16"/>
      <c r="AM2498" s="16"/>
      <c r="AN2498" s="16"/>
      <c r="AO2498" s="16"/>
      <c r="AP2498" s="16"/>
      <c r="AQ2498" s="16"/>
      <c r="AR2498" s="16"/>
      <c r="AS2498" s="16"/>
    </row>
    <row r="2499" spans="18:45" x14ac:dyDescent="0.35">
      <c r="R2499" s="191"/>
      <c r="S2499" s="191"/>
      <c r="T2499" s="193"/>
      <c r="U2499" s="191"/>
      <c r="V2499" s="194"/>
      <c r="W2499" s="191"/>
      <c r="Y2499" s="191"/>
      <c r="Z2499" s="191"/>
      <c r="AA2499" s="191"/>
      <c r="AB2499" s="191"/>
      <c r="AC2499" s="191"/>
      <c r="AD2499" s="16"/>
      <c r="AE2499" s="16"/>
      <c r="AF2499" s="16"/>
      <c r="AG2499" s="16"/>
      <c r="AH2499" s="16"/>
      <c r="AI2499" s="16"/>
      <c r="AJ2499" s="16"/>
      <c r="AK2499" s="16"/>
      <c r="AL2499" s="16"/>
      <c r="AM2499" s="16"/>
      <c r="AN2499" s="16"/>
      <c r="AO2499" s="16"/>
      <c r="AP2499" s="16"/>
      <c r="AQ2499" s="16"/>
      <c r="AR2499" s="16"/>
      <c r="AS2499" s="16"/>
    </row>
    <row r="2500" spans="18:45" x14ac:dyDescent="0.35">
      <c r="R2500" s="191"/>
      <c r="S2500" s="191"/>
      <c r="T2500" s="193"/>
      <c r="U2500" s="191"/>
      <c r="V2500" s="194"/>
      <c r="W2500" s="191"/>
      <c r="Y2500" s="191"/>
      <c r="Z2500" s="191"/>
      <c r="AA2500" s="191"/>
      <c r="AB2500" s="191"/>
      <c r="AC2500" s="191"/>
      <c r="AD2500" s="16"/>
      <c r="AE2500" s="16"/>
      <c r="AF2500" s="16"/>
      <c r="AG2500" s="16"/>
      <c r="AH2500" s="16"/>
      <c r="AI2500" s="16"/>
      <c r="AJ2500" s="16"/>
      <c r="AK2500" s="16"/>
      <c r="AL2500" s="16"/>
      <c r="AM2500" s="16"/>
      <c r="AN2500" s="16"/>
      <c r="AO2500" s="16"/>
      <c r="AP2500" s="16"/>
      <c r="AQ2500" s="16"/>
      <c r="AR2500" s="16"/>
      <c r="AS2500" s="16"/>
    </row>
    <row r="2501" spans="18:45" x14ac:dyDescent="0.35">
      <c r="R2501" s="191"/>
      <c r="S2501" s="191"/>
      <c r="T2501" s="193"/>
      <c r="U2501" s="191"/>
      <c r="V2501" s="194"/>
      <c r="W2501" s="191"/>
      <c r="Y2501" s="191"/>
      <c r="Z2501" s="191"/>
      <c r="AA2501" s="191"/>
      <c r="AB2501" s="191"/>
      <c r="AC2501" s="191"/>
      <c r="AD2501" s="16"/>
      <c r="AE2501" s="16"/>
      <c r="AF2501" s="16"/>
      <c r="AG2501" s="16"/>
      <c r="AH2501" s="16"/>
      <c r="AI2501" s="16"/>
      <c r="AJ2501" s="16"/>
      <c r="AK2501" s="16"/>
      <c r="AL2501" s="16"/>
      <c r="AM2501" s="16"/>
      <c r="AN2501" s="16"/>
      <c r="AO2501" s="16"/>
      <c r="AP2501" s="16"/>
      <c r="AQ2501" s="16"/>
      <c r="AR2501" s="16"/>
      <c r="AS2501" s="16"/>
    </row>
    <row r="2502" spans="18:45" x14ac:dyDescent="0.35">
      <c r="R2502" s="191"/>
      <c r="S2502" s="191"/>
      <c r="T2502" s="193"/>
      <c r="U2502" s="191"/>
      <c r="V2502" s="194"/>
      <c r="W2502" s="191"/>
      <c r="Y2502" s="191"/>
      <c r="Z2502" s="191"/>
      <c r="AA2502" s="191"/>
      <c r="AB2502" s="191"/>
      <c r="AC2502" s="191"/>
      <c r="AD2502" s="16"/>
      <c r="AE2502" s="16"/>
      <c r="AF2502" s="16"/>
      <c r="AG2502" s="16"/>
      <c r="AH2502" s="16"/>
      <c r="AI2502" s="16"/>
      <c r="AJ2502" s="16"/>
      <c r="AK2502" s="16"/>
      <c r="AL2502" s="16"/>
      <c r="AM2502" s="16"/>
      <c r="AN2502" s="16"/>
      <c r="AO2502" s="16"/>
      <c r="AP2502" s="16"/>
      <c r="AQ2502" s="16"/>
      <c r="AR2502" s="16"/>
      <c r="AS2502" s="16"/>
    </row>
    <row r="2503" spans="18:45" x14ac:dyDescent="0.35">
      <c r="R2503" s="191"/>
      <c r="S2503" s="191"/>
      <c r="T2503" s="193"/>
      <c r="U2503" s="191"/>
      <c r="V2503" s="194"/>
      <c r="W2503" s="191"/>
      <c r="Y2503" s="191"/>
      <c r="Z2503" s="191"/>
      <c r="AA2503" s="191"/>
      <c r="AB2503" s="191"/>
      <c r="AC2503" s="191"/>
      <c r="AD2503" s="16"/>
      <c r="AE2503" s="16"/>
      <c r="AF2503" s="16"/>
      <c r="AG2503" s="16"/>
      <c r="AH2503" s="16"/>
      <c r="AI2503" s="16"/>
      <c r="AJ2503" s="16"/>
      <c r="AK2503" s="16"/>
      <c r="AL2503" s="16"/>
      <c r="AM2503" s="16"/>
      <c r="AN2503" s="16"/>
      <c r="AO2503" s="16"/>
      <c r="AP2503" s="16"/>
      <c r="AQ2503" s="16"/>
      <c r="AR2503" s="16"/>
      <c r="AS2503" s="16"/>
    </row>
    <row r="2504" spans="18:45" x14ac:dyDescent="0.35">
      <c r="R2504" s="191"/>
      <c r="S2504" s="191"/>
      <c r="T2504" s="193"/>
      <c r="U2504" s="191"/>
      <c r="V2504" s="194"/>
      <c r="W2504" s="191"/>
      <c r="Y2504" s="191"/>
      <c r="Z2504" s="191"/>
      <c r="AA2504" s="191"/>
      <c r="AB2504" s="191"/>
      <c r="AC2504" s="191"/>
      <c r="AD2504" s="16"/>
      <c r="AE2504" s="16"/>
      <c r="AF2504" s="16"/>
      <c r="AG2504" s="16"/>
      <c r="AH2504" s="16"/>
      <c r="AI2504" s="16"/>
      <c r="AJ2504" s="16"/>
      <c r="AK2504" s="16"/>
      <c r="AL2504" s="16"/>
      <c r="AM2504" s="16"/>
      <c r="AN2504" s="16"/>
      <c r="AO2504" s="16"/>
      <c r="AP2504" s="16"/>
      <c r="AQ2504" s="16"/>
      <c r="AR2504" s="16"/>
      <c r="AS2504" s="16"/>
    </row>
    <row r="2505" spans="18:45" x14ac:dyDescent="0.35">
      <c r="R2505" s="191"/>
      <c r="S2505" s="191"/>
      <c r="T2505" s="193"/>
      <c r="U2505" s="191"/>
      <c r="V2505" s="194"/>
      <c r="W2505" s="191"/>
      <c r="Y2505" s="191"/>
      <c r="Z2505" s="191"/>
      <c r="AA2505" s="191"/>
      <c r="AB2505" s="191"/>
      <c r="AC2505" s="191"/>
      <c r="AD2505" s="16"/>
      <c r="AE2505" s="16"/>
      <c r="AF2505" s="16"/>
      <c r="AG2505" s="16"/>
      <c r="AH2505" s="16"/>
      <c r="AI2505" s="16"/>
      <c r="AJ2505" s="16"/>
      <c r="AK2505" s="16"/>
      <c r="AL2505" s="16"/>
      <c r="AM2505" s="16"/>
      <c r="AN2505" s="16"/>
      <c r="AO2505" s="16"/>
      <c r="AP2505" s="16"/>
      <c r="AQ2505" s="16"/>
      <c r="AR2505" s="16"/>
      <c r="AS2505" s="16"/>
    </row>
    <row r="2506" spans="18:45" x14ac:dyDescent="0.35">
      <c r="R2506" s="191"/>
      <c r="S2506" s="191"/>
      <c r="T2506" s="193"/>
      <c r="U2506" s="191"/>
      <c r="V2506" s="194"/>
      <c r="W2506" s="191"/>
      <c r="Y2506" s="191"/>
      <c r="Z2506" s="191"/>
      <c r="AA2506" s="191"/>
      <c r="AB2506" s="191"/>
      <c r="AC2506" s="191"/>
      <c r="AD2506" s="16"/>
      <c r="AE2506" s="16"/>
      <c r="AF2506" s="16"/>
      <c r="AG2506" s="16"/>
      <c r="AH2506" s="16"/>
      <c r="AI2506" s="16"/>
      <c r="AJ2506" s="16"/>
      <c r="AK2506" s="16"/>
      <c r="AL2506" s="16"/>
      <c r="AM2506" s="16"/>
      <c r="AN2506" s="16"/>
      <c r="AO2506" s="16"/>
      <c r="AP2506" s="16"/>
      <c r="AQ2506" s="16"/>
      <c r="AR2506" s="16"/>
      <c r="AS2506" s="16"/>
    </row>
    <row r="2507" spans="18:45" x14ac:dyDescent="0.35">
      <c r="R2507" s="191"/>
      <c r="S2507" s="191"/>
      <c r="T2507" s="193"/>
      <c r="U2507" s="191"/>
      <c r="V2507" s="194"/>
      <c r="W2507" s="191"/>
      <c r="Y2507" s="191"/>
      <c r="Z2507" s="191"/>
      <c r="AA2507" s="191"/>
      <c r="AB2507" s="191"/>
      <c r="AC2507" s="191"/>
      <c r="AD2507" s="16"/>
      <c r="AE2507" s="16"/>
      <c r="AF2507" s="16"/>
      <c r="AG2507" s="16"/>
      <c r="AH2507" s="16"/>
      <c r="AI2507" s="16"/>
      <c r="AJ2507" s="16"/>
      <c r="AK2507" s="16"/>
      <c r="AL2507" s="16"/>
      <c r="AM2507" s="16"/>
      <c r="AN2507" s="16"/>
      <c r="AO2507" s="16"/>
      <c r="AP2507" s="16"/>
      <c r="AQ2507" s="16"/>
      <c r="AR2507" s="16"/>
      <c r="AS2507" s="16"/>
    </row>
    <row r="2508" spans="18:45" x14ac:dyDescent="0.35">
      <c r="R2508" s="191"/>
      <c r="S2508" s="191"/>
      <c r="T2508" s="193"/>
      <c r="U2508" s="191"/>
      <c r="V2508" s="194"/>
      <c r="W2508" s="191"/>
      <c r="Y2508" s="191"/>
      <c r="Z2508" s="191"/>
      <c r="AA2508" s="191"/>
      <c r="AB2508" s="191"/>
      <c r="AC2508" s="191"/>
      <c r="AD2508" s="16"/>
      <c r="AE2508" s="16"/>
      <c r="AF2508" s="16"/>
      <c r="AG2508" s="16"/>
      <c r="AH2508" s="16"/>
      <c r="AI2508" s="16"/>
      <c r="AJ2508" s="16"/>
      <c r="AK2508" s="16"/>
      <c r="AL2508" s="16"/>
      <c r="AM2508" s="16"/>
      <c r="AN2508" s="16"/>
      <c r="AO2508" s="16"/>
      <c r="AP2508" s="16"/>
      <c r="AQ2508" s="16"/>
      <c r="AR2508" s="16"/>
      <c r="AS2508" s="16"/>
    </row>
    <row r="2509" spans="18:45" x14ac:dyDescent="0.35">
      <c r="R2509" s="191"/>
      <c r="S2509" s="191"/>
      <c r="T2509" s="193"/>
      <c r="U2509" s="191"/>
      <c r="V2509" s="194"/>
      <c r="W2509" s="191"/>
      <c r="Y2509" s="191"/>
      <c r="Z2509" s="191"/>
      <c r="AA2509" s="191"/>
      <c r="AB2509" s="191"/>
      <c r="AC2509" s="191"/>
      <c r="AD2509" s="16"/>
      <c r="AE2509" s="16"/>
      <c r="AF2509" s="16"/>
      <c r="AG2509" s="16"/>
      <c r="AH2509" s="16"/>
      <c r="AI2509" s="16"/>
      <c r="AJ2509" s="16"/>
      <c r="AK2509" s="16"/>
      <c r="AL2509" s="16"/>
      <c r="AM2509" s="16"/>
      <c r="AN2509" s="16"/>
      <c r="AO2509" s="16"/>
      <c r="AP2509" s="16"/>
      <c r="AQ2509" s="16"/>
      <c r="AR2509" s="16"/>
      <c r="AS2509" s="16"/>
    </row>
    <row r="2510" spans="18:45" x14ac:dyDescent="0.35">
      <c r="R2510" s="191"/>
      <c r="S2510" s="191"/>
      <c r="T2510" s="193"/>
      <c r="U2510" s="191"/>
      <c r="V2510" s="194"/>
      <c r="W2510" s="191"/>
      <c r="Y2510" s="191"/>
      <c r="Z2510" s="191"/>
      <c r="AA2510" s="191"/>
      <c r="AB2510" s="191"/>
      <c r="AC2510" s="191"/>
      <c r="AD2510" s="16"/>
      <c r="AE2510" s="16"/>
      <c r="AF2510" s="16"/>
      <c r="AG2510" s="16"/>
      <c r="AH2510" s="16"/>
      <c r="AI2510" s="16"/>
      <c r="AJ2510" s="16"/>
      <c r="AK2510" s="16"/>
      <c r="AL2510" s="16"/>
      <c r="AM2510" s="16"/>
      <c r="AN2510" s="16"/>
      <c r="AO2510" s="16"/>
      <c r="AP2510" s="16"/>
      <c r="AQ2510" s="16"/>
      <c r="AR2510" s="16"/>
      <c r="AS2510" s="16"/>
    </row>
    <row r="2511" spans="18:45" x14ac:dyDescent="0.35">
      <c r="R2511" s="191"/>
      <c r="S2511" s="191"/>
      <c r="T2511" s="193"/>
      <c r="U2511" s="191"/>
      <c r="V2511" s="194"/>
      <c r="W2511" s="191"/>
      <c r="Y2511" s="191"/>
      <c r="Z2511" s="191"/>
      <c r="AA2511" s="191"/>
      <c r="AB2511" s="191"/>
      <c r="AC2511" s="191"/>
      <c r="AD2511" s="16"/>
      <c r="AE2511" s="16"/>
      <c r="AF2511" s="16"/>
      <c r="AG2511" s="16"/>
      <c r="AH2511" s="16"/>
      <c r="AI2511" s="16"/>
      <c r="AJ2511" s="16"/>
      <c r="AK2511" s="16"/>
      <c r="AL2511" s="16"/>
      <c r="AM2511" s="16"/>
      <c r="AN2511" s="16"/>
      <c r="AO2511" s="16"/>
      <c r="AP2511" s="16"/>
      <c r="AQ2511" s="16"/>
      <c r="AR2511" s="16"/>
      <c r="AS2511" s="16"/>
    </row>
    <row r="2512" spans="18:45" x14ac:dyDescent="0.35">
      <c r="R2512" s="191"/>
      <c r="S2512" s="191"/>
      <c r="T2512" s="193"/>
      <c r="U2512" s="191"/>
      <c r="V2512" s="194"/>
      <c r="W2512" s="191"/>
      <c r="Y2512" s="191"/>
      <c r="Z2512" s="191"/>
      <c r="AA2512" s="191"/>
      <c r="AB2512" s="191"/>
      <c r="AC2512" s="191"/>
      <c r="AD2512" s="16"/>
      <c r="AE2512" s="16"/>
      <c r="AF2512" s="16"/>
      <c r="AG2512" s="16"/>
      <c r="AH2512" s="16"/>
      <c r="AI2512" s="16"/>
      <c r="AJ2512" s="16"/>
      <c r="AK2512" s="16"/>
      <c r="AL2512" s="16"/>
      <c r="AM2512" s="16"/>
      <c r="AN2512" s="16"/>
      <c r="AO2512" s="16"/>
      <c r="AP2512" s="16"/>
      <c r="AQ2512" s="16"/>
      <c r="AR2512" s="16"/>
      <c r="AS2512" s="16"/>
    </row>
    <row r="2513" spans="18:45" x14ac:dyDescent="0.35">
      <c r="R2513" s="191"/>
      <c r="S2513" s="191"/>
      <c r="T2513" s="193"/>
      <c r="U2513" s="191"/>
      <c r="V2513" s="194"/>
      <c r="W2513" s="191"/>
      <c r="Y2513" s="191"/>
      <c r="Z2513" s="191"/>
      <c r="AA2513" s="191"/>
      <c r="AB2513" s="191"/>
      <c r="AC2513" s="191"/>
      <c r="AD2513" s="16"/>
      <c r="AE2513" s="16"/>
      <c r="AF2513" s="16"/>
      <c r="AG2513" s="16"/>
      <c r="AH2513" s="16"/>
      <c r="AI2513" s="16"/>
      <c r="AJ2513" s="16"/>
      <c r="AK2513" s="16"/>
      <c r="AL2513" s="16"/>
      <c r="AM2513" s="16"/>
      <c r="AN2513" s="16"/>
      <c r="AO2513" s="16"/>
      <c r="AP2513" s="16"/>
      <c r="AQ2513" s="16"/>
      <c r="AR2513" s="16"/>
      <c r="AS2513" s="16"/>
    </row>
    <row r="2514" spans="18:45" x14ac:dyDescent="0.35">
      <c r="R2514" s="191"/>
      <c r="S2514" s="191"/>
      <c r="T2514" s="193"/>
      <c r="U2514" s="191"/>
      <c r="V2514" s="194"/>
      <c r="W2514" s="191"/>
      <c r="Y2514" s="191"/>
      <c r="Z2514" s="191"/>
      <c r="AA2514" s="191"/>
      <c r="AB2514" s="191"/>
      <c r="AC2514" s="191"/>
      <c r="AD2514" s="16"/>
      <c r="AE2514" s="16"/>
      <c r="AF2514" s="16"/>
      <c r="AG2514" s="16"/>
      <c r="AH2514" s="16"/>
      <c r="AI2514" s="16"/>
      <c r="AJ2514" s="16"/>
      <c r="AK2514" s="16"/>
      <c r="AL2514" s="16"/>
      <c r="AM2514" s="16"/>
      <c r="AN2514" s="16"/>
      <c r="AO2514" s="16"/>
      <c r="AP2514" s="16"/>
      <c r="AQ2514" s="16"/>
      <c r="AR2514" s="16"/>
      <c r="AS2514" s="16"/>
    </row>
    <row r="2515" spans="18:45" x14ac:dyDescent="0.35">
      <c r="R2515" s="191"/>
      <c r="S2515" s="191"/>
      <c r="T2515" s="193"/>
      <c r="U2515" s="191"/>
      <c r="V2515" s="194"/>
      <c r="W2515" s="191"/>
      <c r="Y2515" s="191"/>
      <c r="Z2515" s="191"/>
      <c r="AA2515" s="191"/>
      <c r="AB2515" s="191"/>
      <c r="AC2515" s="191"/>
      <c r="AD2515" s="16"/>
      <c r="AE2515" s="16"/>
      <c r="AF2515" s="16"/>
      <c r="AG2515" s="16"/>
      <c r="AH2515" s="16"/>
      <c r="AI2515" s="16"/>
      <c r="AJ2515" s="16"/>
      <c r="AK2515" s="16"/>
      <c r="AL2515" s="16"/>
      <c r="AM2515" s="16"/>
      <c r="AN2515" s="16"/>
      <c r="AO2515" s="16"/>
      <c r="AP2515" s="16"/>
      <c r="AQ2515" s="16"/>
      <c r="AR2515" s="16"/>
      <c r="AS2515" s="16"/>
    </row>
    <row r="2516" spans="18:45" x14ac:dyDescent="0.35">
      <c r="R2516" s="191"/>
      <c r="S2516" s="191"/>
      <c r="T2516" s="193"/>
      <c r="U2516" s="191"/>
      <c r="V2516" s="194"/>
      <c r="W2516" s="191"/>
      <c r="Y2516" s="191"/>
      <c r="Z2516" s="191"/>
      <c r="AA2516" s="191"/>
      <c r="AB2516" s="191"/>
      <c r="AC2516" s="191"/>
      <c r="AD2516" s="16"/>
      <c r="AE2516" s="16"/>
      <c r="AF2516" s="16"/>
      <c r="AG2516" s="16"/>
      <c r="AH2516" s="16"/>
      <c r="AI2516" s="16"/>
      <c r="AJ2516" s="16"/>
      <c r="AK2516" s="16"/>
      <c r="AL2516" s="16"/>
      <c r="AM2516" s="16"/>
      <c r="AN2516" s="16"/>
      <c r="AO2516" s="16"/>
      <c r="AP2516" s="16"/>
      <c r="AQ2516" s="16"/>
      <c r="AR2516" s="16"/>
      <c r="AS2516" s="16"/>
    </row>
    <row r="2517" spans="18:45" x14ac:dyDescent="0.35">
      <c r="R2517" s="191"/>
      <c r="S2517" s="191"/>
      <c r="T2517" s="193"/>
      <c r="U2517" s="191"/>
      <c r="V2517" s="194"/>
      <c r="W2517" s="191"/>
      <c r="Y2517" s="191"/>
      <c r="Z2517" s="191"/>
      <c r="AA2517" s="191"/>
      <c r="AB2517" s="191"/>
      <c r="AC2517" s="191"/>
      <c r="AD2517" s="16"/>
      <c r="AE2517" s="16"/>
      <c r="AF2517" s="16"/>
      <c r="AG2517" s="16"/>
      <c r="AH2517" s="16"/>
      <c r="AI2517" s="16"/>
      <c r="AJ2517" s="16"/>
      <c r="AK2517" s="16"/>
      <c r="AL2517" s="16"/>
      <c r="AM2517" s="16"/>
      <c r="AN2517" s="16"/>
      <c r="AO2517" s="16"/>
      <c r="AP2517" s="16"/>
      <c r="AQ2517" s="16"/>
      <c r="AR2517" s="16"/>
      <c r="AS2517" s="16"/>
    </row>
    <row r="2518" spans="18:45" x14ac:dyDescent="0.35">
      <c r="R2518" s="191"/>
      <c r="S2518" s="191"/>
      <c r="T2518" s="193"/>
      <c r="U2518" s="191"/>
      <c r="V2518" s="194"/>
      <c r="W2518" s="191"/>
      <c r="Y2518" s="191"/>
      <c r="Z2518" s="191"/>
      <c r="AA2518" s="191"/>
      <c r="AB2518" s="191"/>
      <c r="AC2518" s="191"/>
      <c r="AD2518" s="16"/>
      <c r="AE2518" s="16"/>
      <c r="AF2518" s="16"/>
      <c r="AG2518" s="16"/>
      <c r="AH2518" s="16"/>
      <c r="AI2518" s="16"/>
      <c r="AJ2518" s="16"/>
      <c r="AK2518" s="16"/>
      <c r="AL2518" s="16"/>
      <c r="AM2518" s="16"/>
      <c r="AN2518" s="16"/>
      <c r="AO2518" s="16"/>
      <c r="AP2518" s="16"/>
      <c r="AQ2518" s="16"/>
      <c r="AR2518" s="16"/>
      <c r="AS2518" s="16"/>
    </row>
    <row r="2519" spans="18:45" x14ac:dyDescent="0.35">
      <c r="R2519" s="191"/>
      <c r="S2519" s="191"/>
      <c r="T2519" s="193"/>
      <c r="U2519" s="191"/>
      <c r="V2519" s="194"/>
      <c r="W2519" s="191"/>
      <c r="Y2519" s="191"/>
      <c r="Z2519" s="191"/>
      <c r="AA2519" s="191"/>
      <c r="AB2519" s="191"/>
      <c r="AC2519" s="191"/>
      <c r="AD2519" s="16"/>
      <c r="AE2519" s="16"/>
      <c r="AF2519" s="16"/>
      <c r="AG2519" s="16"/>
      <c r="AH2519" s="16"/>
      <c r="AI2519" s="16"/>
      <c r="AJ2519" s="16"/>
      <c r="AK2519" s="16"/>
      <c r="AL2519" s="16"/>
      <c r="AM2519" s="16"/>
      <c r="AN2519" s="16"/>
      <c r="AO2519" s="16"/>
      <c r="AP2519" s="16"/>
      <c r="AQ2519" s="16"/>
      <c r="AR2519" s="16"/>
      <c r="AS2519" s="16"/>
    </row>
    <row r="2520" spans="18:45" x14ac:dyDescent="0.35">
      <c r="R2520" s="191"/>
      <c r="S2520" s="191"/>
      <c r="T2520" s="193"/>
      <c r="U2520" s="191"/>
      <c r="V2520" s="194"/>
      <c r="W2520" s="191"/>
      <c r="Y2520" s="191"/>
      <c r="Z2520" s="191"/>
      <c r="AA2520" s="191"/>
      <c r="AB2520" s="191"/>
      <c r="AC2520" s="191"/>
      <c r="AD2520" s="16"/>
      <c r="AE2520" s="16"/>
      <c r="AF2520" s="16"/>
      <c r="AG2520" s="16"/>
      <c r="AH2520" s="16"/>
      <c r="AI2520" s="16"/>
      <c r="AJ2520" s="16"/>
      <c r="AK2520" s="16"/>
      <c r="AL2520" s="16"/>
      <c r="AM2520" s="16"/>
      <c r="AN2520" s="16"/>
      <c r="AO2520" s="16"/>
      <c r="AP2520" s="16"/>
      <c r="AQ2520" s="16"/>
      <c r="AR2520" s="16"/>
      <c r="AS2520" s="16"/>
    </row>
    <row r="2521" spans="18:45" x14ac:dyDescent="0.35">
      <c r="R2521" s="191"/>
      <c r="S2521" s="191"/>
      <c r="T2521" s="193"/>
      <c r="U2521" s="191"/>
      <c r="V2521" s="194"/>
      <c r="W2521" s="191"/>
      <c r="Y2521" s="191"/>
      <c r="Z2521" s="191"/>
      <c r="AA2521" s="191"/>
      <c r="AB2521" s="191"/>
      <c r="AC2521" s="191"/>
      <c r="AD2521" s="16"/>
      <c r="AE2521" s="16"/>
      <c r="AF2521" s="16"/>
      <c r="AG2521" s="16"/>
      <c r="AH2521" s="16"/>
      <c r="AI2521" s="16"/>
      <c r="AJ2521" s="16"/>
      <c r="AK2521" s="16"/>
      <c r="AL2521" s="16"/>
      <c r="AM2521" s="16"/>
      <c r="AN2521" s="16"/>
      <c r="AO2521" s="16"/>
      <c r="AP2521" s="16"/>
      <c r="AQ2521" s="16"/>
      <c r="AR2521" s="16"/>
      <c r="AS2521" s="16"/>
    </row>
    <row r="2522" spans="18:45" x14ac:dyDescent="0.35">
      <c r="R2522" s="191"/>
      <c r="S2522" s="191"/>
      <c r="T2522" s="193"/>
      <c r="U2522" s="191"/>
      <c r="V2522" s="194"/>
      <c r="W2522" s="191"/>
      <c r="Y2522" s="191"/>
      <c r="Z2522" s="191"/>
      <c r="AA2522" s="191"/>
      <c r="AB2522" s="191"/>
      <c r="AC2522" s="191"/>
      <c r="AD2522" s="16"/>
      <c r="AE2522" s="16"/>
      <c r="AF2522" s="16"/>
      <c r="AG2522" s="16"/>
      <c r="AH2522" s="16"/>
      <c r="AI2522" s="16"/>
      <c r="AJ2522" s="16"/>
      <c r="AK2522" s="16"/>
      <c r="AL2522" s="16"/>
      <c r="AM2522" s="16"/>
      <c r="AN2522" s="16"/>
      <c r="AO2522" s="16"/>
      <c r="AP2522" s="16"/>
      <c r="AQ2522" s="16"/>
      <c r="AR2522" s="16"/>
      <c r="AS2522" s="16"/>
    </row>
    <row r="2523" spans="18:45" x14ac:dyDescent="0.35">
      <c r="R2523" s="191"/>
      <c r="S2523" s="191"/>
      <c r="T2523" s="193"/>
      <c r="U2523" s="191"/>
      <c r="V2523" s="194"/>
      <c r="W2523" s="191"/>
      <c r="Y2523" s="191"/>
      <c r="Z2523" s="191"/>
      <c r="AA2523" s="191"/>
      <c r="AB2523" s="191"/>
      <c r="AC2523" s="191"/>
      <c r="AD2523" s="16"/>
      <c r="AE2523" s="16"/>
      <c r="AF2523" s="16"/>
      <c r="AG2523" s="16"/>
      <c r="AH2523" s="16"/>
      <c r="AI2523" s="16"/>
      <c r="AJ2523" s="16"/>
      <c r="AK2523" s="16"/>
      <c r="AL2523" s="16"/>
      <c r="AM2523" s="16"/>
      <c r="AN2523" s="16"/>
      <c r="AO2523" s="16"/>
      <c r="AP2523" s="16"/>
      <c r="AQ2523" s="16"/>
      <c r="AR2523" s="16"/>
      <c r="AS2523" s="16"/>
    </row>
    <row r="2524" spans="18:45" x14ac:dyDescent="0.35">
      <c r="R2524" s="191"/>
      <c r="S2524" s="191"/>
      <c r="T2524" s="193"/>
      <c r="U2524" s="191"/>
      <c r="V2524" s="194"/>
      <c r="W2524" s="191"/>
      <c r="Y2524" s="191"/>
      <c r="Z2524" s="191"/>
      <c r="AA2524" s="191"/>
      <c r="AB2524" s="191"/>
      <c r="AC2524" s="191"/>
      <c r="AD2524" s="16"/>
      <c r="AE2524" s="16"/>
      <c r="AF2524" s="16"/>
      <c r="AG2524" s="16"/>
      <c r="AH2524" s="16"/>
      <c r="AI2524" s="16"/>
      <c r="AJ2524" s="16"/>
      <c r="AK2524" s="16"/>
      <c r="AL2524" s="16"/>
      <c r="AM2524" s="16"/>
      <c r="AN2524" s="16"/>
      <c r="AO2524" s="16"/>
      <c r="AP2524" s="16"/>
      <c r="AQ2524" s="16"/>
      <c r="AR2524" s="16"/>
      <c r="AS2524" s="16"/>
    </row>
    <row r="2525" spans="18:45" x14ac:dyDescent="0.35">
      <c r="R2525" s="191"/>
      <c r="S2525" s="191"/>
      <c r="T2525" s="193"/>
      <c r="U2525" s="191"/>
      <c r="V2525" s="194"/>
      <c r="W2525" s="191"/>
      <c r="Y2525" s="191"/>
      <c r="Z2525" s="191"/>
      <c r="AA2525" s="191"/>
      <c r="AB2525" s="191"/>
      <c r="AC2525" s="191"/>
      <c r="AD2525" s="16"/>
      <c r="AE2525" s="16"/>
      <c r="AF2525" s="16"/>
      <c r="AG2525" s="16"/>
      <c r="AH2525" s="16"/>
      <c r="AI2525" s="16"/>
      <c r="AJ2525" s="16"/>
      <c r="AK2525" s="16"/>
      <c r="AL2525" s="16"/>
      <c r="AM2525" s="16"/>
      <c r="AN2525" s="16"/>
      <c r="AO2525" s="16"/>
      <c r="AP2525" s="16"/>
      <c r="AQ2525" s="16"/>
      <c r="AR2525" s="16"/>
      <c r="AS2525" s="16"/>
    </row>
    <row r="2526" spans="18:45" x14ac:dyDescent="0.35">
      <c r="R2526" s="191"/>
      <c r="S2526" s="191"/>
      <c r="T2526" s="193"/>
      <c r="U2526" s="191"/>
      <c r="V2526" s="194"/>
      <c r="W2526" s="191"/>
      <c r="Y2526" s="191"/>
      <c r="Z2526" s="191"/>
      <c r="AA2526" s="191"/>
      <c r="AB2526" s="191"/>
      <c r="AC2526" s="191"/>
      <c r="AD2526" s="16"/>
      <c r="AE2526" s="16"/>
      <c r="AF2526" s="16"/>
      <c r="AG2526" s="16"/>
      <c r="AH2526" s="16"/>
      <c r="AI2526" s="16"/>
      <c r="AJ2526" s="16"/>
      <c r="AK2526" s="16"/>
      <c r="AL2526" s="16"/>
      <c r="AM2526" s="16"/>
      <c r="AN2526" s="16"/>
      <c r="AO2526" s="16"/>
      <c r="AP2526" s="16"/>
      <c r="AQ2526" s="16"/>
      <c r="AR2526" s="16"/>
      <c r="AS2526" s="16"/>
    </row>
    <row r="2527" spans="18:45" x14ac:dyDescent="0.35">
      <c r="R2527" s="191"/>
      <c r="S2527" s="191"/>
      <c r="T2527" s="193"/>
      <c r="U2527" s="191"/>
      <c r="V2527" s="194"/>
      <c r="W2527" s="191"/>
      <c r="Y2527" s="191"/>
      <c r="Z2527" s="191"/>
      <c r="AA2527" s="191"/>
      <c r="AB2527" s="191"/>
      <c r="AC2527" s="191"/>
      <c r="AD2527" s="16"/>
      <c r="AE2527" s="16"/>
      <c r="AF2527" s="16"/>
      <c r="AG2527" s="16"/>
      <c r="AH2527" s="16"/>
      <c r="AI2527" s="16"/>
      <c r="AJ2527" s="16"/>
      <c r="AK2527" s="16"/>
      <c r="AL2527" s="16"/>
      <c r="AM2527" s="16"/>
      <c r="AN2527" s="16"/>
      <c r="AO2527" s="16"/>
      <c r="AP2527" s="16"/>
      <c r="AQ2527" s="16"/>
      <c r="AR2527" s="16"/>
      <c r="AS2527" s="16"/>
    </row>
    <row r="2528" spans="18:45" x14ac:dyDescent="0.35">
      <c r="R2528" s="191"/>
      <c r="S2528" s="191"/>
      <c r="T2528" s="193"/>
      <c r="U2528" s="191"/>
      <c r="V2528" s="194"/>
      <c r="W2528" s="191"/>
      <c r="Y2528" s="191"/>
      <c r="Z2528" s="191"/>
      <c r="AA2528" s="191"/>
      <c r="AB2528" s="191"/>
      <c r="AC2528" s="191"/>
      <c r="AD2528" s="16"/>
      <c r="AE2528" s="16"/>
      <c r="AF2528" s="16"/>
      <c r="AG2528" s="16"/>
      <c r="AH2528" s="16"/>
      <c r="AI2528" s="16"/>
      <c r="AJ2528" s="16"/>
      <c r="AK2528" s="16"/>
      <c r="AL2528" s="16"/>
      <c r="AM2528" s="16"/>
      <c r="AN2528" s="16"/>
      <c r="AO2528" s="16"/>
      <c r="AP2528" s="16"/>
      <c r="AQ2528" s="16"/>
      <c r="AR2528" s="16"/>
      <c r="AS2528" s="16"/>
    </row>
    <row r="2529" spans="18:45" x14ac:dyDescent="0.35">
      <c r="R2529" s="191"/>
      <c r="S2529" s="191"/>
      <c r="T2529" s="193"/>
      <c r="U2529" s="191"/>
      <c r="V2529" s="194"/>
      <c r="W2529" s="191"/>
      <c r="Y2529" s="191"/>
      <c r="Z2529" s="191"/>
      <c r="AA2529" s="191"/>
      <c r="AB2529" s="191"/>
      <c r="AC2529" s="191"/>
      <c r="AD2529" s="16"/>
      <c r="AE2529" s="16"/>
      <c r="AF2529" s="16"/>
      <c r="AG2529" s="16"/>
      <c r="AH2529" s="16"/>
      <c r="AI2529" s="16"/>
      <c r="AJ2529" s="16"/>
      <c r="AK2529" s="16"/>
      <c r="AL2529" s="16"/>
      <c r="AM2529" s="16"/>
      <c r="AN2529" s="16"/>
      <c r="AO2529" s="16"/>
      <c r="AP2529" s="16"/>
      <c r="AQ2529" s="16"/>
      <c r="AR2529" s="16"/>
      <c r="AS2529" s="16"/>
    </row>
    <row r="2530" spans="18:45" x14ac:dyDescent="0.35">
      <c r="R2530" s="191"/>
      <c r="S2530" s="191"/>
      <c r="T2530" s="193"/>
      <c r="U2530" s="191"/>
      <c r="V2530" s="194"/>
      <c r="W2530" s="191"/>
      <c r="Y2530" s="191"/>
      <c r="Z2530" s="191"/>
      <c r="AA2530" s="191"/>
      <c r="AB2530" s="191"/>
      <c r="AC2530" s="191"/>
      <c r="AD2530" s="16"/>
      <c r="AE2530" s="16"/>
      <c r="AF2530" s="16"/>
      <c r="AG2530" s="16"/>
      <c r="AH2530" s="16"/>
      <c r="AI2530" s="16"/>
      <c r="AJ2530" s="16"/>
      <c r="AK2530" s="16"/>
      <c r="AL2530" s="16"/>
      <c r="AM2530" s="16"/>
      <c r="AN2530" s="16"/>
      <c r="AO2530" s="16"/>
      <c r="AP2530" s="16"/>
      <c r="AQ2530" s="16"/>
      <c r="AR2530" s="16"/>
      <c r="AS2530" s="16"/>
    </row>
    <row r="2531" spans="18:45" x14ac:dyDescent="0.35">
      <c r="R2531" s="191"/>
      <c r="S2531" s="191"/>
      <c r="T2531" s="193"/>
      <c r="U2531" s="191"/>
      <c r="V2531" s="194"/>
      <c r="W2531" s="191"/>
      <c r="Y2531" s="191"/>
      <c r="Z2531" s="191"/>
      <c r="AA2531" s="191"/>
      <c r="AB2531" s="191"/>
      <c r="AC2531" s="191"/>
      <c r="AD2531" s="16"/>
      <c r="AE2531" s="16"/>
      <c r="AF2531" s="16"/>
      <c r="AG2531" s="16"/>
      <c r="AH2531" s="16"/>
      <c r="AI2531" s="16"/>
      <c r="AJ2531" s="16"/>
      <c r="AK2531" s="16"/>
      <c r="AL2531" s="16"/>
      <c r="AM2531" s="16"/>
      <c r="AN2531" s="16"/>
      <c r="AO2531" s="16"/>
      <c r="AP2531" s="16"/>
      <c r="AQ2531" s="16"/>
      <c r="AR2531" s="16"/>
      <c r="AS2531" s="16"/>
    </row>
    <row r="2532" spans="18:45" x14ac:dyDescent="0.35">
      <c r="R2532" s="191"/>
      <c r="S2532" s="191"/>
      <c r="T2532" s="193"/>
      <c r="U2532" s="191"/>
      <c r="V2532" s="194"/>
      <c r="W2532" s="191"/>
      <c r="Y2532" s="191"/>
      <c r="Z2532" s="191"/>
      <c r="AA2532" s="191"/>
      <c r="AB2532" s="191"/>
      <c r="AC2532" s="191"/>
      <c r="AD2532" s="16"/>
      <c r="AE2532" s="16"/>
      <c r="AF2532" s="16"/>
      <c r="AG2532" s="16"/>
      <c r="AH2532" s="16"/>
      <c r="AI2532" s="16"/>
      <c r="AJ2532" s="16"/>
      <c r="AK2532" s="16"/>
      <c r="AL2532" s="16"/>
      <c r="AM2532" s="16"/>
      <c r="AN2532" s="16"/>
      <c r="AO2532" s="16"/>
      <c r="AP2532" s="16"/>
      <c r="AQ2532" s="16"/>
      <c r="AR2532" s="16"/>
      <c r="AS2532" s="16"/>
    </row>
    <row r="2533" spans="18:45" x14ac:dyDescent="0.35">
      <c r="R2533" s="191"/>
      <c r="S2533" s="191"/>
      <c r="T2533" s="193"/>
      <c r="U2533" s="191"/>
      <c r="V2533" s="194"/>
      <c r="W2533" s="191"/>
      <c r="Y2533" s="191"/>
      <c r="Z2533" s="191"/>
      <c r="AA2533" s="191"/>
      <c r="AB2533" s="191"/>
      <c r="AC2533" s="191"/>
      <c r="AD2533" s="16"/>
      <c r="AE2533" s="16"/>
      <c r="AF2533" s="16"/>
      <c r="AG2533" s="16"/>
      <c r="AH2533" s="16"/>
      <c r="AI2533" s="16"/>
      <c r="AJ2533" s="16"/>
      <c r="AK2533" s="16"/>
      <c r="AL2533" s="16"/>
      <c r="AM2533" s="16"/>
      <c r="AN2533" s="16"/>
      <c r="AO2533" s="16"/>
      <c r="AP2533" s="16"/>
      <c r="AQ2533" s="16"/>
      <c r="AR2533" s="16"/>
      <c r="AS2533" s="16"/>
    </row>
    <row r="2534" spans="18:45" x14ac:dyDescent="0.35">
      <c r="R2534" s="191"/>
      <c r="S2534" s="191"/>
      <c r="T2534" s="193"/>
      <c r="U2534" s="191"/>
      <c r="V2534" s="194"/>
      <c r="W2534" s="191"/>
      <c r="Y2534" s="191"/>
      <c r="Z2534" s="191"/>
      <c r="AA2534" s="191"/>
      <c r="AB2534" s="191"/>
      <c r="AC2534" s="191"/>
      <c r="AD2534" s="16"/>
      <c r="AE2534" s="16"/>
      <c r="AF2534" s="16"/>
      <c r="AG2534" s="16"/>
      <c r="AH2534" s="16"/>
      <c r="AI2534" s="16"/>
      <c r="AJ2534" s="16"/>
      <c r="AK2534" s="16"/>
      <c r="AL2534" s="16"/>
      <c r="AM2534" s="16"/>
      <c r="AN2534" s="16"/>
      <c r="AO2534" s="16"/>
      <c r="AP2534" s="16"/>
      <c r="AQ2534" s="16"/>
      <c r="AR2534" s="16"/>
      <c r="AS2534" s="16"/>
    </row>
    <row r="2535" spans="18:45" x14ac:dyDescent="0.35">
      <c r="R2535" s="191"/>
      <c r="S2535" s="191"/>
      <c r="T2535" s="193"/>
      <c r="U2535" s="191"/>
      <c r="V2535" s="194"/>
      <c r="W2535" s="191"/>
      <c r="Y2535" s="191"/>
      <c r="Z2535" s="191"/>
      <c r="AA2535" s="191"/>
      <c r="AB2535" s="191"/>
      <c r="AC2535" s="191"/>
      <c r="AD2535" s="16"/>
      <c r="AE2535" s="16"/>
      <c r="AF2535" s="16"/>
      <c r="AG2535" s="16"/>
      <c r="AH2535" s="16"/>
      <c r="AI2535" s="16"/>
      <c r="AJ2535" s="16"/>
      <c r="AK2535" s="16"/>
      <c r="AL2535" s="16"/>
      <c r="AM2535" s="16"/>
      <c r="AN2535" s="16"/>
      <c r="AO2535" s="16"/>
      <c r="AP2535" s="16"/>
      <c r="AQ2535" s="16"/>
      <c r="AR2535" s="16"/>
      <c r="AS2535" s="16"/>
    </row>
    <row r="2536" spans="18:45" x14ac:dyDescent="0.35">
      <c r="R2536" s="191"/>
      <c r="S2536" s="191"/>
      <c r="T2536" s="193"/>
      <c r="U2536" s="191"/>
      <c r="V2536" s="194"/>
      <c r="W2536" s="191"/>
      <c r="Y2536" s="191"/>
      <c r="Z2536" s="191"/>
      <c r="AA2536" s="191"/>
      <c r="AB2536" s="191"/>
      <c r="AC2536" s="191"/>
      <c r="AD2536" s="16"/>
      <c r="AE2536" s="16"/>
      <c r="AF2536" s="16"/>
      <c r="AG2536" s="16"/>
      <c r="AH2536" s="16"/>
      <c r="AI2536" s="16"/>
      <c r="AJ2536" s="16"/>
      <c r="AK2536" s="16"/>
      <c r="AL2536" s="16"/>
      <c r="AM2536" s="16"/>
      <c r="AN2536" s="16"/>
      <c r="AO2536" s="16"/>
      <c r="AP2536" s="16"/>
      <c r="AQ2536" s="16"/>
      <c r="AR2536" s="16"/>
      <c r="AS2536" s="16"/>
    </row>
    <row r="2537" spans="18:45" x14ac:dyDescent="0.35">
      <c r="R2537" s="191"/>
      <c r="S2537" s="191"/>
      <c r="T2537" s="193"/>
      <c r="U2537" s="191"/>
      <c r="V2537" s="194"/>
      <c r="W2537" s="191"/>
      <c r="Y2537" s="191"/>
      <c r="Z2537" s="191"/>
      <c r="AA2537" s="191"/>
      <c r="AB2537" s="191"/>
      <c r="AC2537" s="191"/>
      <c r="AD2537" s="16"/>
      <c r="AE2537" s="16"/>
      <c r="AF2537" s="16"/>
      <c r="AG2537" s="16"/>
      <c r="AH2537" s="16"/>
      <c r="AI2537" s="16"/>
      <c r="AJ2537" s="16"/>
      <c r="AK2537" s="16"/>
      <c r="AL2537" s="16"/>
      <c r="AM2537" s="16"/>
      <c r="AN2537" s="16"/>
      <c r="AO2537" s="16"/>
      <c r="AP2537" s="16"/>
      <c r="AQ2537" s="16"/>
      <c r="AR2537" s="16"/>
      <c r="AS2537" s="16"/>
    </row>
    <row r="2538" spans="18:45" x14ac:dyDescent="0.35">
      <c r="R2538" s="191"/>
      <c r="S2538" s="191"/>
      <c r="T2538" s="193"/>
      <c r="U2538" s="191"/>
      <c r="V2538" s="194"/>
      <c r="W2538" s="191"/>
      <c r="Y2538" s="191"/>
      <c r="Z2538" s="191"/>
      <c r="AA2538" s="191"/>
      <c r="AB2538" s="191"/>
      <c r="AC2538" s="191"/>
      <c r="AD2538" s="16"/>
      <c r="AE2538" s="16"/>
      <c r="AF2538" s="16"/>
      <c r="AG2538" s="16"/>
      <c r="AH2538" s="16"/>
      <c r="AI2538" s="16"/>
      <c r="AJ2538" s="16"/>
      <c r="AK2538" s="16"/>
      <c r="AL2538" s="16"/>
      <c r="AM2538" s="16"/>
      <c r="AN2538" s="16"/>
      <c r="AO2538" s="16"/>
      <c r="AP2538" s="16"/>
      <c r="AQ2538" s="16"/>
      <c r="AR2538" s="16"/>
      <c r="AS2538" s="16"/>
    </row>
    <row r="2539" spans="18:45" x14ac:dyDescent="0.35">
      <c r="R2539" s="191"/>
      <c r="S2539" s="191"/>
      <c r="T2539" s="193"/>
      <c r="U2539" s="191"/>
      <c r="V2539" s="194"/>
      <c r="W2539" s="191"/>
      <c r="Y2539" s="191"/>
      <c r="Z2539" s="191"/>
      <c r="AA2539" s="191"/>
      <c r="AB2539" s="191"/>
      <c r="AC2539" s="191"/>
      <c r="AD2539" s="16"/>
      <c r="AE2539" s="16"/>
      <c r="AF2539" s="16"/>
      <c r="AG2539" s="16"/>
      <c r="AH2539" s="16"/>
      <c r="AI2539" s="16"/>
      <c r="AJ2539" s="16"/>
      <c r="AK2539" s="16"/>
      <c r="AL2539" s="16"/>
      <c r="AM2539" s="16"/>
      <c r="AN2539" s="16"/>
      <c r="AO2539" s="16"/>
      <c r="AP2539" s="16"/>
      <c r="AQ2539" s="16"/>
      <c r="AR2539" s="16"/>
      <c r="AS2539" s="16"/>
    </row>
    <row r="2540" spans="18:45" x14ac:dyDescent="0.35">
      <c r="R2540" s="191"/>
      <c r="S2540" s="191"/>
      <c r="T2540" s="193"/>
      <c r="U2540" s="191"/>
      <c r="V2540" s="194"/>
      <c r="W2540" s="191"/>
      <c r="Y2540" s="191"/>
      <c r="Z2540" s="191"/>
      <c r="AA2540" s="191"/>
      <c r="AB2540" s="191"/>
      <c r="AC2540" s="191"/>
      <c r="AD2540" s="16"/>
      <c r="AE2540" s="16"/>
      <c r="AF2540" s="16"/>
      <c r="AG2540" s="16"/>
      <c r="AH2540" s="16"/>
      <c r="AI2540" s="16"/>
      <c r="AJ2540" s="16"/>
      <c r="AK2540" s="16"/>
      <c r="AL2540" s="16"/>
      <c r="AM2540" s="16"/>
      <c r="AN2540" s="16"/>
      <c r="AO2540" s="16"/>
      <c r="AP2540" s="16"/>
      <c r="AQ2540" s="16"/>
      <c r="AR2540" s="16"/>
      <c r="AS2540" s="16"/>
    </row>
    <row r="2541" spans="18:45" x14ac:dyDescent="0.35">
      <c r="R2541" s="191"/>
      <c r="S2541" s="191"/>
      <c r="T2541" s="193"/>
      <c r="U2541" s="191"/>
      <c r="V2541" s="194"/>
      <c r="W2541" s="191"/>
      <c r="Y2541" s="191"/>
      <c r="Z2541" s="191"/>
      <c r="AA2541" s="191"/>
      <c r="AB2541" s="191"/>
      <c r="AC2541" s="191"/>
      <c r="AD2541" s="16"/>
      <c r="AE2541" s="16"/>
      <c r="AF2541" s="16"/>
      <c r="AG2541" s="16"/>
      <c r="AH2541" s="16"/>
      <c r="AI2541" s="16"/>
      <c r="AJ2541" s="16"/>
      <c r="AK2541" s="16"/>
      <c r="AL2541" s="16"/>
      <c r="AM2541" s="16"/>
      <c r="AN2541" s="16"/>
      <c r="AO2541" s="16"/>
      <c r="AP2541" s="16"/>
      <c r="AQ2541" s="16"/>
      <c r="AR2541" s="16"/>
      <c r="AS2541" s="16"/>
    </row>
    <row r="2542" spans="18:45" x14ac:dyDescent="0.35">
      <c r="R2542" s="191"/>
      <c r="S2542" s="191"/>
      <c r="T2542" s="193"/>
      <c r="U2542" s="191"/>
      <c r="V2542" s="194"/>
      <c r="W2542" s="191"/>
      <c r="Y2542" s="191"/>
      <c r="Z2542" s="191"/>
      <c r="AA2542" s="191"/>
      <c r="AB2542" s="191"/>
      <c r="AC2542" s="191"/>
      <c r="AD2542" s="16"/>
      <c r="AE2542" s="16"/>
      <c r="AF2542" s="16"/>
      <c r="AG2542" s="16"/>
      <c r="AH2542" s="16"/>
      <c r="AI2542" s="16"/>
      <c r="AJ2542" s="16"/>
      <c r="AK2542" s="16"/>
      <c r="AL2542" s="16"/>
      <c r="AM2542" s="16"/>
      <c r="AN2542" s="16"/>
      <c r="AO2542" s="16"/>
      <c r="AP2542" s="16"/>
      <c r="AQ2542" s="16"/>
      <c r="AR2542" s="16"/>
      <c r="AS2542" s="16"/>
    </row>
    <row r="2543" spans="18:45" x14ac:dyDescent="0.35">
      <c r="R2543" s="191"/>
      <c r="S2543" s="191"/>
      <c r="T2543" s="193"/>
      <c r="U2543" s="191"/>
      <c r="V2543" s="194"/>
      <c r="W2543" s="191"/>
      <c r="Y2543" s="191"/>
      <c r="Z2543" s="191"/>
      <c r="AA2543" s="191"/>
      <c r="AB2543" s="191"/>
      <c r="AC2543" s="191"/>
      <c r="AD2543" s="16"/>
      <c r="AE2543" s="16"/>
      <c r="AF2543" s="16"/>
      <c r="AG2543" s="16"/>
      <c r="AH2543" s="16"/>
      <c r="AI2543" s="16"/>
      <c r="AJ2543" s="16"/>
      <c r="AK2543" s="16"/>
      <c r="AL2543" s="16"/>
      <c r="AM2543" s="16"/>
      <c r="AN2543" s="16"/>
      <c r="AO2543" s="16"/>
      <c r="AP2543" s="16"/>
      <c r="AQ2543" s="16"/>
      <c r="AR2543" s="16"/>
      <c r="AS2543" s="16"/>
    </row>
    <row r="2544" spans="18:45" x14ac:dyDescent="0.35">
      <c r="R2544" s="191"/>
      <c r="S2544" s="191"/>
      <c r="T2544" s="193"/>
      <c r="U2544" s="191"/>
      <c r="V2544" s="194"/>
      <c r="W2544" s="191"/>
      <c r="Y2544" s="191"/>
      <c r="Z2544" s="191"/>
      <c r="AA2544" s="191"/>
      <c r="AB2544" s="191"/>
      <c r="AC2544" s="191"/>
      <c r="AD2544" s="16"/>
      <c r="AE2544" s="16"/>
      <c r="AF2544" s="16"/>
      <c r="AG2544" s="16"/>
      <c r="AH2544" s="16"/>
      <c r="AI2544" s="16"/>
      <c r="AJ2544" s="16"/>
      <c r="AK2544" s="16"/>
      <c r="AL2544" s="16"/>
      <c r="AM2544" s="16"/>
      <c r="AN2544" s="16"/>
      <c r="AO2544" s="16"/>
      <c r="AP2544" s="16"/>
      <c r="AQ2544" s="16"/>
      <c r="AR2544" s="16"/>
      <c r="AS2544" s="16"/>
    </row>
    <row r="2545" spans="18:45" x14ac:dyDescent="0.35">
      <c r="R2545" s="191"/>
      <c r="S2545" s="191"/>
      <c r="T2545" s="193"/>
      <c r="U2545" s="191"/>
      <c r="V2545" s="194"/>
      <c r="W2545" s="191"/>
      <c r="Y2545" s="191"/>
      <c r="Z2545" s="191"/>
      <c r="AA2545" s="191"/>
      <c r="AB2545" s="191"/>
      <c r="AC2545" s="191"/>
      <c r="AD2545" s="16"/>
      <c r="AE2545" s="16"/>
      <c r="AF2545" s="16"/>
      <c r="AG2545" s="16"/>
      <c r="AH2545" s="16"/>
      <c r="AI2545" s="16"/>
      <c r="AJ2545" s="16"/>
      <c r="AK2545" s="16"/>
      <c r="AL2545" s="16"/>
      <c r="AM2545" s="16"/>
      <c r="AN2545" s="16"/>
      <c r="AO2545" s="16"/>
      <c r="AP2545" s="16"/>
      <c r="AQ2545" s="16"/>
      <c r="AR2545" s="16"/>
      <c r="AS2545" s="16"/>
    </row>
    <row r="2546" spans="18:45" x14ac:dyDescent="0.35">
      <c r="R2546" s="191"/>
      <c r="S2546" s="191"/>
      <c r="T2546" s="193"/>
      <c r="U2546" s="191"/>
      <c r="V2546" s="194"/>
      <c r="W2546" s="191"/>
      <c r="Y2546" s="191"/>
      <c r="Z2546" s="191"/>
      <c r="AA2546" s="191"/>
      <c r="AB2546" s="191"/>
      <c r="AC2546" s="191"/>
      <c r="AD2546" s="16"/>
      <c r="AE2546" s="16"/>
      <c r="AF2546" s="16"/>
      <c r="AG2546" s="16"/>
      <c r="AH2546" s="16"/>
      <c r="AI2546" s="16"/>
      <c r="AJ2546" s="16"/>
      <c r="AK2546" s="16"/>
      <c r="AL2546" s="16"/>
      <c r="AM2546" s="16"/>
      <c r="AN2546" s="16"/>
      <c r="AO2546" s="16"/>
      <c r="AP2546" s="16"/>
      <c r="AQ2546" s="16"/>
      <c r="AR2546" s="16"/>
      <c r="AS2546" s="16"/>
    </row>
    <row r="2547" spans="18:45" x14ac:dyDescent="0.35">
      <c r="R2547" s="191"/>
      <c r="S2547" s="191"/>
      <c r="T2547" s="193"/>
      <c r="U2547" s="191"/>
      <c r="V2547" s="194"/>
      <c r="W2547" s="191"/>
      <c r="Y2547" s="191"/>
      <c r="Z2547" s="191"/>
      <c r="AA2547" s="191"/>
      <c r="AB2547" s="191"/>
      <c r="AC2547" s="191"/>
      <c r="AD2547" s="16"/>
      <c r="AE2547" s="16"/>
      <c r="AF2547" s="16"/>
      <c r="AG2547" s="16"/>
      <c r="AH2547" s="16"/>
      <c r="AI2547" s="16"/>
      <c r="AJ2547" s="16"/>
      <c r="AK2547" s="16"/>
      <c r="AL2547" s="16"/>
      <c r="AM2547" s="16"/>
      <c r="AN2547" s="16"/>
      <c r="AO2547" s="16"/>
      <c r="AP2547" s="16"/>
      <c r="AQ2547" s="16"/>
      <c r="AR2547" s="16"/>
      <c r="AS2547" s="16"/>
    </row>
    <row r="2548" spans="18:45" x14ac:dyDescent="0.35">
      <c r="R2548" s="191"/>
      <c r="S2548" s="191"/>
      <c r="T2548" s="193"/>
      <c r="U2548" s="191"/>
      <c r="V2548" s="194"/>
      <c r="W2548" s="191"/>
      <c r="Y2548" s="191"/>
      <c r="Z2548" s="191"/>
      <c r="AA2548" s="191"/>
      <c r="AB2548" s="191"/>
      <c r="AC2548" s="191"/>
      <c r="AD2548" s="16"/>
      <c r="AE2548" s="16"/>
      <c r="AF2548" s="16"/>
      <c r="AG2548" s="16"/>
      <c r="AH2548" s="16"/>
      <c r="AI2548" s="16"/>
      <c r="AJ2548" s="16"/>
      <c r="AK2548" s="16"/>
      <c r="AL2548" s="16"/>
      <c r="AM2548" s="16"/>
      <c r="AN2548" s="16"/>
      <c r="AO2548" s="16"/>
      <c r="AP2548" s="16"/>
      <c r="AQ2548" s="16"/>
      <c r="AR2548" s="16"/>
      <c r="AS2548" s="16"/>
    </row>
    <row r="2549" spans="18:45" x14ac:dyDescent="0.35">
      <c r="R2549" s="191"/>
      <c r="S2549" s="191"/>
      <c r="T2549" s="193"/>
      <c r="U2549" s="191"/>
      <c r="V2549" s="194"/>
      <c r="W2549" s="191"/>
      <c r="Y2549" s="191"/>
      <c r="Z2549" s="191"/>
      <c r="AA2549" s="191"/>
      <c r="AB2549" s="191"/>
      <c r="AC2549" s="191"/>
      <c r="AD2549" s="16"/>
      <c r="AE2549" s="16"/>
      <c r="AF2549" s="16"/>
      <c r="AG2549" s="16"/>
      <c r="AH2549" s="16"/>
      <c r="AI2549" s="16"/>
      <c r="AJ2549" s="16"/>
      <c r="AK2549" s="16"/>
      <c r="AL2549" s="16"/>
      <c r="AM2549" s="16"/>
      <c r="AN2549" s="16"/>
      <c r="AO2549" s="16"/>
      <c r="AP2549" s="16"/>
      <c r="AQ2549" s="16"/>
      <c r="AR2549" s="16"/>
      <c r="AS2549" s="16"/>
    </row>
    <row r="2550" spans="18:45" x14ac:dyDescent="0.35">
      <c r="R2550" s="191"/>
      <c r="S2550" s="191"/>
      <c r="T2550" s="193"/>
      <c r="U2550" s="191"/>
      <c r="V2550" s="194"/>
      <c r="W2550" s="191"/>
      <c r="Y2550" s="191"/>
      <c r="Z2550" s="191"/>
      <c r="AA2550" s="191"/>
      <c r="AB2550" s="191"/>
      <c r="AC2550" s="191"/>
      <c r="AD2550" s="16"/>
      <c r="AE2550" s="16"/>
      <c r="AF2550" s="16"/>
      <c r="AG2550" s="16"/>
      <c r="AH2550" s="16"/>
      <c r="AI2550" s="16"/>
      <c r="AJ2550" s="16"/>
      <c r="AK2550" s="16"/>
      <c r="AL2550" s="16"/>
      <c r="AM2550" s="16"/>
      <c r="AN2550" s="16"/>
      <c r="AO2550" s="16"/>
      <c r="AP2550" s="16"/>
      <c r="AQ2550" s="16"/>
      <c r="AR2550" s="16"/>
      <c r="AS2550" s="16"/>
    </row>
    <row r="2551" spans="18:45" x14ac:dyDescent="0.35">
      <c r="R2551" s="191"/>
      <c r="S2551" s="191"/>
      <c r="T2551" s="193"/>
      <c r="U2551" s="191"/>
      <c r="V2551" s="194"/>
      <c r="W2551" s="191"/>
      <c r="Y2551" s="191"/>
      <c r="Z2551" s="191"/>
      <c r="AA2551" s="191"/>
      <c r="AB2551" s="191"/>
      <c r="AC2551" s="191"/>
      <c r="AD2551" s="16"/>
      <c r="AE2551" s="16"/>
      <c r="AF2551" s="16"/>
      <c r="AG2551" s="16"/>
      <c r="AH2551" s="16"/>
      <c r="AI2551" s="16"/>
      <c r="AJ2551" s="16"/>
      <c r="AK2551" s="16"/>
      <c r="AL2551" s="16"/>
      <c r="AM2551" s="16"/>
      <c r="AN2551" s="16"/>
      <c r="AO2551" s="16"/>
      <c r="AP2551" s="16"/>
      <c r="AQ2551" s="16"/>
      <c r="AR2551" s="16"/>
      <c r="AS2551" s="16"/>
    </row>
    <row r="2552" spans="18:45" x14ac:dyDescent="0.35">
      <c r="R2552" s="191"/>
      <c r="S2552" s="191"/>
      <c r="T2552" s="193"/>
      <c r="U2552" s="191"/>
      <c r="V2552" s="194"/>
      <c r="W2552" s="191"/>
      <c r="Y2552" s="191"/>
      <c r="Z2552" s="191"/>
      <c r="AA2552" s="191"/>
      <c r="AB2552" s="191"/>
      <c r="AC2552" s="191"/>
      <c r="AD2552" s="16"/>
      <c r="AE2552" s="16"/>
      <c r="AF2552" s="16"/>
      <c r="AG2552" s="16"/>
      <c r="AH2552" s="16"/>
      <c r="AI2552" s="16"/>
      <c r="AJ2552" s="16"/>
      <c r="AK2552" s="16"/>
      <c r="AL2552" s="16"/>
      <c r="AM2552" s="16"/>
      <c r="AN2552" s="16"/>
      <c r="AO2552" s="16"/>
      <c r="AP2552" s="16"/>
      <c r="AQ2552" s="16"/>
      <c r="AR2552" s="16"/>
      <c r="AS2552" s="16"/>
    </row>
    <row r="2553" spans="18:45" x14ac:dyDescent="0.35">
      <c r="R2553" s="191"/>
      <c r="S2553" s="191"/>
      <c r="T2553" s="193"/>
      <c r="U2553" s="191"/>
      <c r="V2553" s="194"/>
      <c r="W2553" s="191"/>
      <c r="Y2553" s="191"/>
      <c r="Z2553" s="191"/>
      <c r="AA2553" s="191"/>
      <c r="AB2553" s="191"/>
      <c r="AC2553" s="191"/>
      <c r="AD2553" s="16"/>
      <c r="AE2553" s="16"/>
      <c r="AF2553" s="16"/>
      <c r="AG2553" s="16"/>
      <c r="AH2553" s="16"/>
      <c r="AI2553" s="16"/>
      <c r="AJ2553" s="16"/>
      <c r="AK2553" s="16"/>
      <c r="AL2553" s="16"/>
      <c r="AM2553" s="16"/>
      <c r="AN2553" s="16"/>
      <c r="AO2553" s="16"/>
      <c r="AP2553" s="16"/>
      <c r="AQ2553" s="16"/>
      <c r="AR2553" s="16"/>
      <c r="AS2553" s="16"/>
    </row>
    <row r="2554" spans="18:45" x14ac:dyDescent="0.35">
      <c r="R2554" s="191"/>
      <c r="S2554" s="191"/>
      <c r="T2554" s="193"/>
      <c r="U2554" s="191"/>
      <c r="V2554" s="194"/>
      <c r="W2554" s="191"/>
      <c r="Y2554" s="191"/>
      <c r="Z2554" s="191"/>
      <c r="AA2554" s="191"/>
      <c r="AB2554" s="191"/>
      <c r="AC2554" s="191"/>
      <c r="AD2554" s="16"/>
      <c r="AE2554" s="16"/>
      <c r="AF2554" s="16"/>
      <c r="AG2554" s="16"/>
      <c r="AH2554" s="16"/>
      <c r="AI2554" s="16"/>
      <c r="AJ2554" s="16"/>
      <c r="AK2554" s="16"/>
      <c r="AL2554" s="16"/>
      <c r="AM2554" s="16"/>
      <c r="AN2554" s="16"/>
      <c r="AO2554" s="16"/>
      <c r="AP2554" s="16"/>
      <c r="AQ2554" s="16"/>
      <c r="AR2554" s="16"/>
      <c r="AS2554" s="16"/>
    </row>
    <row r="2555" spans="18:45" x14ac:dyDescent="0.35">
      <c r="R2555" s="191"/>
      <c r="S2555" s="191"/>
      <c r="T2555" s="193"/>
      <c r="U2555" s="191"/>
      <c r="V2555" s="194"/>
      <c r="W2555" s="191"/>
      <c r="Y2555" s="191"/>
      <c r="Z2555" s="191"/>
      <c r="AA2555" s="191"/>
      <c r="AB2555" s="191"/>
      <c r="AC2555" s="191"/>
      <c r="AD2555" s="16"/>
      <c r="AE2555" s="16"/>
      <c r="AF2555" s="16"/>
      <c r="AG2555" s="16"/>
      <c r="AH2555" s="16"/>
      <c r="AI2555" s="16"/>
      <c r="AJ2555" s="16"/>
      <c r="AK2555" s="16"/>
      <c r="AL2555" s="16"/>
      <c r="AM2555" s="16"/>
      <c r="AN2555" s="16"/>
      <c r="AO2555" s="16"/>
      <c r="AP2555" s="16"/>
      <c r="AQ2555" s="16"/>
      <c r="AR2555" s="16"/>
      <c r="AS2555" s="16"/>
    </row>
    <row r="2556" spans="18:45" x14ac:dyDescent="0.35">
      <c r="R2556" s="191"/>
      <c r="S2556" s="191"/>
      <c r="T2556" s="193"/>
      <c r="U2556" s="191"/>
      <c r="V2556" s="194"/>
      <c r="W2556" s="191"/>
      <c r="Y2556" s="191"/>
      <c r="Z2556" s="191"/>
      <c r="AA2556" s="191"/>
      <c r="AB2556" s="191"/>
      <c r="AC2556" s="191"/>
      <c r="AD2556" s="16"/>
      <c r="AE2556" s="16"/>
      <c r="AF2556" s="16"/>
      <c r="AG2556" s="16"/>
      <c r="AH2556" s="16"/>
      <c r="AI2556" s="16"/>
      <c r="AJ2556" s="16"/>
      <c r="AK2556" s="16"/>
      <c r="AL2556" s="16"/>
      <c r="AM2556" s="16"/>
      <c r="AN2556" s="16"/>
      <c r="AO2556" s="16"/>
      <c r="AP2556" s="16"/>
      <c r="AQ2556" s="16"/>
      <c r="AR2556" s="16"/>
      <c r="AS2556" s="16"/>
    </row>
    <row r="2557" spans="18:45" x14ac:dyDescent="0.35">
      <c r="R2557" s="191"/>
      <c r="S2557" s="191"/>
      <c r="T2557" s="193"/>
      <c r="U2557" s="191"/>
      <c r="V2557" s="194"/>
      <c r="W2557" s="191"/>
      <c r="Y2557" s="191"/>
      <c r="Z2557" s="191"/>
      <c r="AA2557" s="191"/>
      <c r="AB2557" s="191"/>
      <c r="AC2557" s="191"/>
      <c r="AD2557" s="16"/>
      <c r="AE2557" s="16"/>
      <c r="AF2557" s="16"/>
      <c r="AG2557" s="16"/>
      <c r="AH2557" s="16"/>
      <c r="AI2557" s="16"/>
      <c r="AJ2557" s="16"/>
      <c r="AK2557" s="16"/>
      <c r="AL2557" s="16"/>
      <c r="AM2557" s="16"/>
      <c r="AN2557" s="16"/>
      <c r="AO2557" s="16"/>
      <c r="AP2557" s="16"/>
      <c r="AQ2557" s="16"/>
      <c r="AR2557" s="16"/>
      <c r="AS2557" s="16"/>
    </row>
    <row r="2558" spans="18:45" x14ac:dyDescent="0.35">
      <c r="R2558" s="191"/>
      <c r="S2558" s="191"/>
      <c r="T2558" s="193"/>
      <c r="U2558" s="191"/>
      <c r="V2558" s="194"/>
      <c r="W2558" s="191"/>
      <c r="Y2558" s="191"/>
      <c r="Z2558" s="191"/>
      <c r="AA2558" s="191"/>
      <c r="AB2558" s="191"/>
      <c r="AC2558" s="191"/>
      <c r="AD2558" s="16"/>
      <c r="AE2558" s="16"/>
      <c r="AF2558" s="16"/>
      <c r="AG2558" s="16"/>
      <c r="AH2558" s="16"/>
      <c r="AI2558" s="16"/>
      <c r="AJ2558" s="16"/>
      <c r="AK2558" s="16"/>
      <c r="AL2558" s="16"/>
      <c r="AM2558" s="16"/>
      <c r="AN2558" s="16"/>
      <c r="AO2558" s="16"/>
      <c r="AP2558" s="16"/>
      <c r="AQ2558" s="16"/>
      <c r="AR2558" s="16"/>
      <c r="AS2558" s="16"/>
    </row>
    <row r="2559" spans="18:45" x14ac:dyDescent="0.35">
      <c r="R2559" s="191"/>
      <c r="S2559" s="191"/>
      <c r="T2559" s="193"/>
      <c r="U2559" s="191"/>
      <c r="V2559" s="194"/>
      <c r="W2559" s="191"/>
      <c r="Y2559" s="191"/>
      <c r="Z2559" s="191"/>
      <c r="AA2559" s="191"/>
      <c r="AB2559" s="191"/>
      <c r="AC2559" s="191"/>
      <c r="AD2559" s="16"/>
      <c r="AE2559" s="16"/>
      <c r="AF2559" s="16"/>
      <c r="AG2559" s="16"/>
      <c r="AH2559" s="16"/>
      <c r="AI2559" s="16"/>
      <c r="AJ2559" s="16"/>
      <c r="AK2559" s="16"/>
      <c r="AL2559" s="16"/>
      <c r="AM2559" s="16"/>
      <c r="AN2559" s="16"/>
      <c r="AO2559" s="16"/>
      <c r="AP2559" s="16"/>
      <c r="AQ2559" s="16"/>
      <c r="AR2559" s="16"/>
      <c r="AS2559" s="16"/>
    </row>
    <row r="2560" spans="18:45" x14ac:dyDescent="0.35">
      <c r="R2560" s="191"/>
      <c r="S2560" s="191"/>
      <c r="T2560" s="193"/>
      <c r="U2560" s="191"/>
      <c r="V2560" s="194"/>
      <c r="W2560" s="191"/>
      <c r="Y2560" s="191"/>
      <c r="Z2560" s="191"/>
      <c r="AA2560" s="191"/>
      <c r="AB2560" s="191"/>
      <c r="AC2560" s="191"/>
      <c r="AD2560" s="16"/>
      <c r="AE2560" s="16"/>
      <c r="AF2560" s="16"/>
      <c r="AG2560" s="16"/>
      <c r="AH2560" s="16"/>
      <c r="AI2560" s="16"/>
      <c r="AJ2560" s="16"/>
      <c r="AK2560" s="16"/>
      <c r="AL2560" s="16"/>
      <c r="AM2560" s="16"/>
      <c r="AN2560" s="16"/>
      <c r="AO2560" s="16"/>
      <c r="AP2560" s="16"/>
      <c r="AQ2560" s="16"/>
      <c r="AR2560" s="16"/>
      <c r="AS2560" s="16"/>
    </row>
    <row r="2561" spans="18:45" x14ac:dyDescent="0.35">
      <c r="R2561" s="191"/>
      <c r="S2561" s="191"/>
      <c r="T2561" s="193"/>
      <c r="U2561" s="191"/>
      <c r="V2561" s="194"/>
      <c r="W2561" s="191"/>
      <c r="Y2561" s="191"/>
      <c r="Z2561" s="191"/>
      <c r="AA2561" s="191"/>
      <c r="AB2561" s="191"/>
      <c r="AC2561" s="191"/>
      <c r="AD2561" s="16"/>
      <c r="AE2561" s="16"/>
      <c r="AF2561" s="16"/>
      <c r="AG2561" s="16"/>
      <c r="AH2561" s="16"/>
      <c r="AI2561" s="16"/>
      <c r="AJ2561" s="16"/>
      <c r="AK2561" s="16"/>
      <c r="AL2561" s="16"/>
      <c r="AM2561" s="16"/>
      <c r="AN2561" s="16"/>
      <c r="AO2561" s="16"/>
      <c r="AP2561" s="16"/>
      <c r="AQ2561" s="16"/>
      <c r="AR2561" s="16"/>
      <c r="AS2561" s="16"/>
    </row>
    <row r="2562" spans="18:45" x14ac:dyDescent="0.35">
      <c r="R2562" s="191"/>
      <c r="S2562" s="191"/>
      <c r="T2562" s="193"/>
      <c r="U2562" s="191"/>
      <c r="V2562" s="194"/>
      <c r="W2562" s="191"/>
      <c r="Y2562" s="191"/>
      <c r="Z2562" s="191"/>
      <c r="AA2562" s="191"/>
      <c r="AB2562" s="191"/>
      <c r="AC2562" s="191"/>
      <c r="AD2562" s="16"/>
      <c r="AE2562" s="16"/>
      <c r="AF2562" s="16"/>
      <c r="AG2562" s="16"/>
      <c r="AH2562" s="16"/>
      <c r="AI2562" s="16"/>
      <c r="AJ2562" s="16"/>
      <c r="AK2562" s="16"/>
      <c r="AL2562" s="16"/>
      <c r="AM2562" s="16"/>
      <c r="AN2562" s="16"/>
      <c r="AO2562" s="16"/>
      <c r="AP2562" s="16"/>
      <c r="AQ2562" s="16"/>
      <c r="AR2562" s="16"/>
      <c r="AS2562" s="16"/>
    </row>
    <row r="2563" spans="18:45" x14ac:dyDescent="0.35">
      <c r="R2563" s="191"/>
      <c r="S2563" s="191"/>
      <c r="T2563" s="193"/>
      <c r="U2563" s="191"/>
      <c r="V2563" s="194"/>
      <c r="W2563" s="191"/>
      <c r="Y2563" s="191"/>
      <c r="Z2563" s="191"/>
      <c r="AA2563" s="191"/>
      <c r="AB2563" s="191"/>
      <c r="AC2563" s="191"/>
      <c r="AD2563" s="16"/>
      <c r="AE2563" s="16"/>
      <c r="AF2563" s="16"/>
      <c r="AG2563" s="16"/>
      <c r="AH2563" s="16"/>
      <c r="AI2563" s="16"/>
      <c r="AJ2563" s="16"/>
      <c r="AK2563" s="16"/>
      <c r="AL2563" s="16"/>
      <c r="AM2563" s="16"/>
      <c r="AN2563" s="16"/>
      <c r="AO2563" s="16"/>
      <c r="AP2563" s="16"/>
      <c r="AQ2563" s="16"/>
      <c r="AR2563" s="16"/>
      <c r="AS2563" s="16"/>
    </row>
    <row r="2564" spans="18:45" x14ac:dyDescent="0.35">
      <c r="R2564" s="191"/>
      <c r="S2564" s="191"/>
      <c r="T2564" s="193"/>
      <c r="U2564" s="191"/>
      <c r="V2564" s="194"/>
      <c r="W2564" s="191"/>
      <c r="Y2564" s="191"/>
      <c r="Z2564" s="191"/>
      <c r="AA2564" s="191"/>
      <c r="AB2564" s="191"/>
      <c r="AC2564" s="191"/>
      <c r="AD2564" s="16"/>
      <c r="AE2564" s="16"/>
      <c r="AF2564" s="16"/>
      <c r="AG2564" s="16"/>
      <c r="AH2564" s="16"/>
      <c r="AI2564" s="16"/>
      <c r="AJ2564" s="16"/>
      <c r="AK2564" s="16"/>
      <c r="AL2564" s="16"/>
      <c r="AM2564" s="16"/>
      <c r="AN2564" s="16"/>
      <c r="AO2564" s="16"/>
      <c r="AP2564" s="16"/>
      <c r="AQ2564" s="16"/>
      <c r="AR2564" s="16"/>
      <c r="AS2564" s="16"/>
    </row>
    <row r="2565" spans="18:45" x14ac:dyDescent="0.35">
      <c r="R2565" s="191"/>
      <c r="S2565" s="191"/>
      <c r="T2565" s="193"/>
      <c r="U2565" s="191"/>
      <c r="V2565" s="194"/>
      <c r="W2565" s="191"/>
      <c r="Y2565" s="191"/>
      <c r="Z2565" s="191"/>
      <c r="AA2565" s="191"/>
      <c r="AB2565" s="191"/>
      <c r="AC2565" s="191"/>
      <c r="AD2565" s="16"/>
      <c r="AE2565" s="16"/>
      <c r="AF2565" s="16"/>
      <c r="AG2565" s="16"/>
      <c r="AH2565" s="16"/>
      <c r="AI2565" s="16"/>
      <c r="AJ2565" s="16"/>
      <c r="AK2565" s="16"/>
      <c r="AL2565" s="16"/>
      <c r="AM2565" s="16"/>
      <c r="AN2565" s="16"/>
      <c r="AO2565" s="16"/>
      <c r="AP2565" s="16"/>
      <c r="AQ2565" s="16"/>
      <c r="AR2565" s="16"/>
      <c r="AS2565" s="16"/>
    </row>
    <row r="2566" spans="18:45" x14ac:dyDescent="0.35">
      <c r="R2566" s="191"/>
      <c r="S2566" s="191"/>
      <c r="T2566" s="193"/>
      <c r="U2566" s="191"/>
      <c r="V2566" s="194"/>
      <c r="W2566" s="191"/>
      <c r="Y2566" s="191"/>
      <c r="Z2566" s="191"/>
      <c r="AA2566" s="191"/>
      <c r="AB2566" s="191"/>
      <c r="AC2566" s="191"/>
      <c r="AD2566" s="16"/>
      <c r="AE2566" s="16"/>
      <c r="AF2566" s="16"/>
      <c r="AG2566" s="16"/>
      <c r="AH2566" s="16"/>
      <c r="AI2566" s="16"/>
      <c r="AJ2566" s="16"/>
      <c r="AK2566" s="16"/>
      <c r="AL2566" s="16"/>
      <c r="AM2566" s="16"/>
      <c r="AN2566" s="16"/>
      <c r="AO2566" s="16"/>
      <c r="AP2566" s="16"/>
      <c r="AQ2566" s="16"/>
      <c r="AR2566" s="16"/>
      <c r="AS2566" s="16"/>
    </row>
    <row r="2567" spans="18:45" x14ac:dyDescent="0.35">
      <c r="R2567" s="191"/>
      <c r="S2567" s="191"/>
      <c r="T2567" s="193"/>
      <c r="U2567" s="191"/>
      <c r="V2567" s="194"/>
      <c r="W2567" s="191"/>
      <c r="Y2567" s="191"/>
      <c r="Z2567" s="191"/>
      <c r="AA2567" s="191"/>
      <c r="AB2567" s="191"/>
      <c r="AC2567" s="191"/>
      <c r="AD2567" s="16"/>
      <c r="AE2567" s="16"/>
      <c r="AF2567" s="16"/>
      <c r="AG2567" s="16"/>
      <c r="AH2567" s="16"/>
      <c r="AI2567" s="16"/>
      <c r="AJ2567" s="16"/>
      <c r="AK2567" s="16"/>
      <c r="AL2567" s="16"/>
      <c r="AM2567" s="16"/>
      <c r="AN2567" s="16"/>
      <c r="AO2567" s="16"/>
      <c r="AP2567" s="16"/>
      <c r="AQ2567" s="16"/>
      <c r="AR2567" s="16"/>
      <c r="AS2567" s="16"/>
    </row>
    <row r="2568" spans="18:45" x14ac:dyDescent="0.35">
      <c r="R2568" s="191"/>
      <c r="S2568" s="191"/>
      <c r="T2568" s="193"/>
      <c r="U2568" s="191"/>
      <c r="V2568" s="194"/>
      <c r="W2568" s="191"/>
      <c r="Y2568" s="191"/>
      <c r="Z2568" s="191"/>
      <c r="AA2568" s="191"/>
      <c r="AB2568" s="191"/>
      <c r="AC2568" s="191"/>
      <c r="AD2568" s="16"/>
      <c r="AE2568" s="16"/>
      <c r="AF2568" s="16"/>
      <c r="AG2568" s="16"/>
      <c r="AH2568" s="16"/>
      <c r="AI2568" s="16"/>
      <c r="AJ2568" s="16"/>
      <c r="AK2568" s="16"/>
      <c r="AL2568" s="16"/>
      <c r="AM2568" s="16"/>
      <c r="AN2568" s="16"/>
      <c r="AO2568" s="16"/>
      <c r="AP2568" s="16"/>
      <c r="AQ2568" s="16"/>
      <c r="AR2568" s="16"/>
      <c r="AS2568" s="16"/>
    </row>
    <row r="2569" spans="18:45" x14ac:dyDescent="0.35">
      <c r="R2569" s="191"/>
      <c r="S2569" s="191"/>
      <c r="T2569" s="193"/>
      <c r="U2569" s="191"/>
      <c r="V2569" s="194"/>
      <c r="W2569" s="191"/>
      <c r="Y2569" s="191"/>
      <c r="Z2569" s="191"/>
      <c r="AA2569" s="191"/>
      <c r="AB2569" s="191"/>
      <c r="AC2569" s="191"/>
      <c r="AD2569" s="16"/>
      <c r="AE2569" s="16"/>
      <c r="AF2569" s="16"/>
      <c r="AG2569" s="16"/>
      <c r="AH2569" s="16"/>
      <c r="AI2569" s="16"/>
      <c r="AJ2569" s="16"/>
      <c r="AK2569" s="16"/>
      <c r="AL2569" s="16"/>
      <c r="AM2569" s="16"/>
      <c r="AN2569" s="16"/>
      <c r="AO2569" s="16"/>
      <c r="AP2569" s="16"/>
      <c r="AQ2569" s="16"/>
      <c r="AR2569" s="16"/>
      <c r="AS2569" s="16"/>
    </row>
    <row r="2570" spans="18:45" x14ac:dyDescent="0.35">
      <c r="R2570" s="191"/>
      <c r="S2570" s="191"/>
      <c r="T2570" s="193"/>
      <c r="U2570" s="191"/>
      <c r="V2570" s="194"/>
      <c r="W2570" s="191"/>
      <c r="Y2570" s="191"/>
      <c r="Z2570" s="191"/>
      <c r="AA2570" s="191"/>
      <c r="AB2570" s="191"/>
      <c r="AC2570" s="191"/>
      <c r="AD2570" s="16"/>
      <c r="AE2570" s="16"/>
      <c r="AF2570" s="16"/>
      <c r="AG2570" s="16"/>
      <c r="AH2570" s="16"/>
      <c r="AI2570" s="16"/>
      <c r="AJ2570" s="16"/>
      <c r="AK2570" s="16"/>
      <c r="AL2570" s="16"/>
      <c r="AM2570" s="16"/>
      <c r="AN2570" s="16"/>
      <c r="AO2570" s="16"/>
      <c r="AP2570" s="16"/>
      <c r="AQ2570" s="16"/>
      <c r="AR2570" s="16"/>
      <c r="AS2570" s="16"/>
    </row>
    <row r="2571" spans="18:45" x14ac:dyDescent="0.35">
      <c r="R2571" s="191"/>
      <c r="S2571" s="191"/>
      <c r="T2571" s="193"/>
      <c r="U2571" s="191"/>
      <c r="V2571" s="194"/>
      <c r="W2571" s="191"/>
      <c r="Y2571" s="191"/>
      <c r="Z2571" s="191"/>
      <c r="AA2571" s="191"/>
      <c r="AB2571" s="191"/>
      <c r="AC2571" s="191"/>
      <c r="AD2571" s="16"/>
      <c r="AE2571" s="16"/>
      <c r="AF2571" s="16"/>
      <c r="AG2571" s="16"/>
      <c r="AH2571" s="16"/>
      <c r="AI2571" s="16"/>
      <c r="AJ2571" s="16"/>
      <c r="AK2571" s="16"/>
      <c r="AL2571" s="16"/>
      <c r="AM2571" s="16"/>
      <c r="AN2571" s="16"/>
      <c r="AO2571" s="16"/>
      <c r="AP2571" s="16"/>
      <c r="AQ2571" s="16"/>
      <c r="AR2571" s="16"/>
      <c r="AS2571" s="16"/>
    </row>
    <row r="2572" spans="18:45" x14ac:dyDescent="0.35">
      <c r="R2572" s="191"/>
      <c r="S2572" s="191"/>
      <c r="T2572" s="193"/>
      <c r="U2572" s="191"/>
      <c r="V2572" s="194"/>
      <c r="W2572" s="191"/>
      <c r="Y2572" s="191"/>
      <c r="Z2572" s="191"/>
      <c r="AA2572" s="191"/>
      <c r="AB2572" s="191"/>
      <c r="AC2572" s="191"/>
      <c r="AD2572" s="16"/>
      <c r="AE2572" s="16"/>
      <c r="AF2572" s="16"/>
      <c r="AG2572" s="16"/>
      <c r="AH2572" s="16"/>
      <c r="AI2572" s="16"/>
      <c r="AJ2572" s="16"/>
      <c r="AK2572" s="16"/>
      <c r="AL2572" s="16"/>
      <c r="AM2572" s="16"/>
      <c r="AN2572" s="16"/>
      <c r="AO2572" s="16"/>
      <c r="AP2572" s="16"/>
      <c r="AQ2572" s="16"/>
      <c r="AR2572" s="16"/>
      <c r="AS2572" s="16"/>
    </row>
    <row r="2573" spans="18:45" x14ac:dyDescent="0.35">
      <c r="R2573" s="191"/>
      <c r="S2573" s="191"/>
      <c r="T2573" s="193"/>
      <c r="U2573" s="191"/>
      <c r="V2573" s="194"/>
      <c r="W2573" s="191"/>
      <c r="Y2573" s="191"/>
      <c r="Z2573" s="191"/>
      <c r="AA2573" s="191"/>
      <c r="AB2573" s="191"/>
      <c r="AC2573" s="191"/>
      <c r="AD2573" s="16"/>
      <c r="AE2573" s="16"/>
      <c r="AF2573" s="16"/>
      <c r="AG2573" s="16"/>
      <c r="AH2573" s="16"/>
      <c r="AI2573" s="16"/>
      <c r="AJ2573" s="16"/>
      <c r="AK2573" s="16"/>
      <c r="AL2573" s="16"/>
      <c r="AM2573" s="16"/>
      <c r="AN2573" s="16"/>
      <c r="AO2573" s="16"/>
      <c r="AP2573" s="16"/>
      <c r="AQ2573" s="16"/>
      <c r="AR2573" s="16"/>
      <c r="AS2573" s="16"/>
    </row>
    <row r="2574" spans="18:45" x14ac:dyDescent="0.35">
      <c r="R2574" s="191"/>
      <c r="S2574" s="191"/>
      <c r="T2574" s="193"/>
      <c r="U2574" s="191"/>
      <c r="V2574" s="194"/>
      <c r="W2574" s="191"/>
      <c r="Y2574" s="191"/>
      <c r="Z2574" s="191"/>
      <c r="AA2574" s="191"/>
      <c r="AB2574" s="191"/>
      <c r="AC2574" s="191"/>
      <c r="AD2574" s="16"/>
      <c r="AE2574" s="16"/>
      <c r="AF2574" s="16"/>
      <c r="AG2574" s="16"/>
      <c r="AH2574" s="16"/>
      <c r="AI2574" s="16"/>
      <c r="AJ2574" s="16"/>
      <c r="AK2574" s="16"/>
      <c r="AL2574" s="16"/>
      <c r="AM2574" s="16"/>
      <c r="AN2574" s="16"/>
      <c r="AO2574" s="16"/>
      <c r="AP2574" s="16"/>
      <c r="AQ2574" s="16"/>
      <c r="AR2574" s="16"/>
      <c r="AS2574" s="16"/>
    </row>
    <row r="2575" spans="18:45" x14ac:dyDescent="0.35">
      <c r="R2575" s="191"/>
      <c r="S2575" s="191"/>
      <c r="T2575" s="193"/>
      <c r="U2575" s="191"/>
      <c r="V2575" s="194"/>
      <c r="W2575" s="191"/>
      <c r="Y2575" s="191"/>
      <c r="Z2575" s="191"/>
      <c r="AA2575" s="191"/>
      <c r="AB2575" s="191"/>
      <c r="AC2575" s="191"/>
      <c r="AD2575" s="16"/>
      <c r="AE2575" s="16"/>
      <c r="AF2575" s="16"/>
      <c r="AG2575" s="16"/>
      <c r="AH2575" s="16"/>
      <c r="AI2575" s="16"/>
      <c r="AJ2575" s="16"/>
      <c r="AK2575" s="16"/>
      <c r="AL2575" s="16"/>
      <c r="AM2575" s="16"/>
      <c r="AN2575" s="16"/>
      <c r="AO2575" s="16"/>
      <c r="AP2575" s="16"/>
      <c r="AQ2575" s="16"/>
      <c r="AR2575" s="16"/>
      <c r="AS2575" s="16"/>
    </row>
    <row r="2576" spans="18:45" x14ac:dyDescent="0.35">
      <c r="R2576" s="191"/>
      <c r="S2576" s="191"/>
      <c r="T2576" s="193"/>
      <c r="U2576" s="191"/>
      <c r="V2576" s="194"/>
      <c r="W2576" s="191"/>
      <c r="Y2576" s="191"/>
      <c r="Z2576" s="191"/>
      <c r="AA2576" s="191"/>
      <c r="AB2576" s="191"/>
      <c r="AC2576" s="191"/>
      <c r="AD2576" s="16"/>
      <c r="AE2576" s="16"/>
      <c r="AF2576" s="16"/>
      <c r="AG2576" s="16"/>
      <c r="AH2576" s="16"/>
      <c r="AI2576" s="16"/>
      <c r="AJ2576" s="16"/>
      <c r="AK2576" s="16"/>
      <c r="AL2576" s="16"/>
      <c r="AM2576" s="16"/>
      <c r="AN2576" s="16"/>
      <c r="AO2576" s="16"/>
      <c r="AP2576" s="16"/>
      <c r="AQ2576" s="16"/>
      <c r="AR2576" s="16"/>
      <c r="AS2576" s="16"/>
    </row>
    <row r="2577" spans="18:45" x14ac:dyDescent="0.35">
      <c r="R2577" s="191"/>
      <c r="S2577" s="191"/>
      <c r="T2577" s="193"/>
      <c r="U2577" s="191"/>
      <c r="V2577" s="194"/>
      <c r="W2577" s="191"/>
      <c r="Y2577" s="191"/>
      <c r="Z2577" s="191"/>
      <c r="AA2577" s="191"/>
      <c r="AB2577" s="191"/>
      <c r="AC2577" s="191"/>
      <c r="AD2577" s="16"/>
      <c r="AE2577" s="16"/>
      <c r="AF2577" s="16"/>
      <c r="AG2577" s="16"/>
      <c r="AH2577" s="16"/>
      <c r="AI2577" s="16"/>
      <c r="AJ2577" s="16"/>
      <c r="AK2577" s="16"/>
      <c r="AL2577" s="16"/>
      <c r="AM2577" s="16"/>
      <c r="AN2577" s="16"/>
      <c r="AO2577" s="16"/>
      <c r="AP2577" s="16"/>
      <c r="AQ2577" s="16"/>
      <c r="AR2577" s="16"/>
      <c r="AS2577" s="16"/>
    </row>
    <row r="2578" spans="18:45" x14ac:dyDescent="0.35">
      <c r="R2578" s="191"/>
      <c r="S2578" s="191"/>
      <c r="T2578" s="193"/>
      <c r="U2578" s="191"/>
      <c r="V2578" s="194"/>
      <c r="W2578" s="191"/>
      <c r="Y2578" s="191"/>
      <c r="Z2578" s="191"/>
      <c r="AA2578" s="191"/>
      <c r="AB2578" s="191"/>
      <c r="AC2578" s="191"/>
      <c r="AD2578" s="16"/>
      <c r="AE2578" s="16"/>
      <c r="AF2578" s="16"/>
      <c r="AG2578" s="16"/>
      <c r="AH2578" s="16"/>
      <c r="AI2578" s="16"/>
      <c r="AJ2578" s="16"/>
      <c r="AK2578" s="16"/>
      <c r="AL2578" s="16"/>
      <c r="AM2578" s="16"/>
      <c r="AN2578" s="16"/>
      <c r="AO2578" s="16"/>
      <c r="AP2578" s="16"/>
      <c r="AQ2578" s="16"/>
      <c r="AR2578" s="16"/>
      <c r="AS2578" s="16"/>
    </row>
    <row r="2579" spans="18:45" x14ac:dyDescent="0.35">
      <c r="R2579" s="191"/>
      <c r="S2579" s="191"/>
      <c r="T2579" s="193"/>
      <c r="U2579" s="191"/>
      <c r="V2579" s="194"/>
      <c r="W2579" s="191"/>
      <c r="Y2579" s="191"/>
      <c r="Z2579" s="191"/>
      <c r="AA2579" s="191"/>
      <c r="AB2579" s="191"/>
      <c r="AC2579" s="191"/>
      <c r="AD2579" s="16"/>
      <c r="AE2579" s="16"/>
      <c r="AF2579" s="16"/>
      <c r="AG2579" s="16"/>
      <c r="AH2579" s="16"/>
      <c r="AI2579" s="16"/>
      <c r="AJ2579" s="16"/>
      <c r="AK2579" s="16"/>
      <c r="AL2579" s="16"/>
      <c r="AM2579" s="16"/>
      <c r="AN2579" s="16"/>
      <c r="AO2579" s="16"/>
      <c r="AP2579" s="16"/>
      <c r="AQ2579" s="16"/>
      <c r="AR2579" s="16"/>
      <c r="AS2579" s="16"/>
    </row>
    <row r="2580" spans="18:45" x14ac:dyDescent="0.35">
      <c r="R2580" s="191"/>
      <c r="S2580" s="191"/>
      <c r="T2580" s="193"/>
      <c r="U2580" s="191"/>
      <c r="V2580" s="194"/>
      <c r="W2580" s="191"/>
      <c r="Y2580" s="191"/>
      <c r="Z2580" s="191"/>
      <c r="AA2580" s="191"/>
      <c r="AB2580" s="191"/>
      <c r="AC2580" s="191"/>
      <c r="AD2580" s="16"/>
      <c r="AE2580" s="16"/>
      <c r="AF2580" s="16"/>
      <c r="AG2580" s="16"/>
      <c r="AH2580" s="16"/>
      <c r="AI2580" s="16"/>
      <c r="AJ2580" s="16"/>
      <c r="AK2580" s="16"/>
      <c r="AL2580" s="16"/>
      <c r="AM2580" s="16"/>
      <c r="AN2580" s="16"/>
      <c r="AO2580" s="16"/>
      <c r="AP2580" s="16"/>
      <c r="AQ2580" s="16"/>
      <c r="AR2580" s="16"/>
      <c r="AS2580" s="16"/>
    </row>
    <row r="2581" spans="18:45" x14ac:dyDescent="0.35">
      <c r="R2581" s="191"/>
      <c r="S2581" s="191"/>
      <c r="T2581" s="193"/>
      <c r="U2581" s="191"/>
      <c r="V2581" s="194"/>
      <c r="W2581" s="191"/>
      <c r="Y2581" s="191"/>
      <c r="Z2581" s="191"/>
      <c r="AA2581" s="191"/>
      <c r="AB2581" s="191"/>
      <c r="AC2581" s="191"/>
      <c r="AD2581" s="16"/>
      <c r="AE2581" s="16"/>
      <c r="AF2581" s="16"/>
      <c r="AG2581" s="16"/>
      <c r="AH2581" s="16"/>
      <c r="AI2581" s="16"/>
      <c r="AJ2581" s="16"/>
      <c r="AK2581" s="16"/>
      <c r="AL2581" s="16"/>
      <c r="AM2581" s="16"/>
      <c r="AN2581" s="16"/>
      <c r="AO2581" s="16"/>
      <c r="AP2581" s="16"/>
      <c r="AQ2581" s="16"/>
      <c r="AR2581" s="16"/>
      <c r="AS2581" s="16"/>
    </row>
    <row r="2582" spans="18:45" x14ac:dyDescent="0.35">
      <c r="R2582" s="191"/>
      <c r="S2582" s="191"/>
      <c r="T2582" s="193"/>
      <c r="U2582" s="191"/>
      <c r="V2582" s="194"/>
      <c r="W2582" s="191"/>
      <c r="Y2582" s="191"/>
      <c r="Z2582" s="191"/>
      <c r="AA2582" s="191"/>
      <c r="AB2582" s="191"/>
      <c r="AC2582" s="191"/>
      <c r="AD2582" s="16"/>
      <c r="AE2582" s="16"/>
      <c r="AF2582" s="16"/>
      <c r="AG2582" s="16"/>
      <c r="AH2582" s="16"/>
      <c r="AI2582" s="16"/>
      <c r="AJ2582" s="16"/>
      <c r="AK2582" s="16"/>
      <c r="AL2582" s="16"/>
      <c r="AM2582" s="16"/>
      <c r="AN2582" s="16"/>
      <c r="AO2582" s="16"/>
      <c r="AP2582" s="16"/>
      <c r="AQ2582" s="16"/>
      <c r="AR2582" s="16"/>
      <c r="AS2582" s="16"/>
    </row>
    <row r="2583" spans="18:45" x14ac:dyDescent="0.35">
      <c r="R2583" s="191"/>
      <c r="S2583" s="191"/>
      <c r="T2583" s="193"/>
      <c r="U2583" s="191"/>
      <c r="V2583" s="194"/>
      <c r="W2583" s="191"/>
      <c r="Y2583" s="191"/>
      <c r="Z2583" s="191"/>
      <c r="AA2583" s="191"/>
      <c r="AB2583" s="191"/>
      <c r="AC2583" s="191"/>
      <c r="AD2583" s="16"/>
      <c r="AE2583" s="16"/>
      <c r="AF2583" s="16"/>
      <c r="AG2583" s="16"/>
      <c r="AH2583" s="16"/>
      <c r="AI2583" s="16"/>
      <c r="AJ2583" s="16"/>
      <c r="AK2583" s="16"/>
      <c r="AL2583" s="16"/>
      <c r="AM2583" s="16"/>
      <c r="AN2583" s="16"/>
      <c r="AO2583" s="16"/>
      <c r="AP2583" s="16"/>
      <c r="AQ2583" s="16"/>
      <c r="AR2583" s="16"/>
      <c r="AS2583" s="16"/>
    </row>
    <row r="2584" spans="18:45" x14ac:dyDescent="0.35">
      <c r="R2584" s="191"/>
      <c r="S2584" s="191"/>
      <c r="T2584" s="193"/>
      <c r="U2584" s="191"/>
      <c r="V2584" s="194"/>
      <c r="W2584" s="191"/>
      <c r="Y2584" s="191"/>
      <c r="Z2584" s="191"/>
      <c r="AA2584" s="191"/>
      <c r="AB2584" s="191"/>
      <c r="AC2584" s="191"/>
      <c r="AD2584" s="16"/>
      <c r="AE2584" s="16"/>
      <c r="AF2584" s="16"/>
      <c r="AG2584" s="16"/>
      <c r="AH2584" s="16"/>
      <c r="AI2584" s="16"/>
      <c r="AJ2584" s="16"/>
      <c r="AK2584" s="16"/>
      <c r="AL2584" s="16"/>
      <c r="AM2584" s="16"/>
      <c r="AN2584" s="16"/>
      <c r="AO2584" s="16"/>
      <c r="AP2584" s="16"/>
      <c r="AQ2584" s="16"/>
      <c r="AR2584" s="16"/>
      <c r="AS2584" s="16"/>
    </row>
    <row r="2585" spans="18:45" x14ac:dyDescent="0.35">
      <c r="R2585" s="191"/>
      <c r="S2585" s="191"/>
      <c r="T2585" s="193"/>
      <c r="U2585" s="191"/>
      <c r="V2585" s="194"/>
      <c r="W2585" s="191"/>
      <c r="Y2585" s="191"/>
      <c r="Z2585" s="191"/>
      <c r="AA2585" s="191"/>
      <c r="AB2585" s="191"/>
      <c r="AC2585" s="191"/>
      <c r="AD2585" s="16"/>
      <c r="AE2585" s="16"/>
      <c r="AF2585" s="16"/>
      <c r="AG2585" s="16"/>
      <c r="AH2585" s="16"/>
      <c r="AI2585" s="16"/>
      <c r="AJ2585" s="16"/>
      <c r="AK2585" s="16"/>
      <c r="AL2585" s="16"/>
      <c r="AM2585" s="16"/>
      <c r="AN2585" s="16"/>
      <c r="AO2585" s="16"/>
      <c r="AP2585" s="16"/>
      <c r="AQ2585" s="16"/>
      <c r="AR2585" s="16"/>
      <c r="AS2585" s="16"/>
    </row>
    <row r="2586" spans="18:45" x14ac:dyDescent="0.35">
      <c r="R2586" s="191"/>
      <c r="S2586" s="191"/>
      <c r="T2586" s="193"/>
      <c r="U2586" s="191"/>
      <c r="V2586" s="194"/>
      <c r="W2586" s="191"/>
      <c r="Y2586" s="191"/>
      <c r="Z2586" s="191"/>
      <c r="AA2586" s="191"/>
      <c r="AB2586" s="191"/>
      <c r="AC2586" s="191"/>
      <c r="AD2586" s="16"/>
      <c r="AE2586" s="16"/>
      <c r="AF2586" s="16"/>
      <c r="AG2586" s="16"/>
      <c r="AH2586" s="16"/>
      <c r="AI2586" s="16"/>
      <c r="AJ2586" s="16"/>
      <c r="AK2586" s="16"/>
      <c r="AL2586" s="16"/>
      <c r="AM2586" s="16"/>
      <c r="AN2586" s="16"/>
      <c r="AO2586" s="16"/>
      <c r="AP2586" s="16"/>
      <c r="AQ2586" s="16"/>
      <c r="AR2586" s="16"/>
      <c r="AS2586" s="16"/>
    </row>
    <row r="2587" spans="18:45" x14ac:dyDescent="0.35">
      <c r="R2587" s="191"/>
      <c r="S2587" s="191"/>
      <c r="T2587" s="193"/>
      <c r="U2587" s="191"/>
      <c r="V2587" s="194"/>
      <c r="W2587" s="191"/>
      <c r="Y2587" s="191"/>
      <c r="Z2587" s="191"/>
      <c r="AA2587" s="191"/>
      <c r="AB2587" s="191"/>
      <c r="AC2587" s="191"/>
      <c r="AD2587" s="16"/>
      <c r="AE2587" s="16"/>
      <c r="AF2587" s="16"/>
      <c r="AG2587" s="16"/>
      <c r="AH2587" s="16"/>
      <c r="AI2587" s="16"/>
      <c r="AJ2587" s="16"/>
      <c r="AK2587" s="16"/>
      <c r="AL2587" s="16"/>
      <c r="AM2587" s="16"/>
      <c r="AN2587" s="16"/>
      <c r="AO2587" s="16"/>
      <c r="AP2587" s="16"/>
      <c r="AQ2587" s="16"/>
      <c r="AR2587" s="16"/>
      <c r="AS2587" s="16"/>
    </row>
    <row r="2588" spans="18:45" x14ac:dyDescent="0.35">
      <c r="R2588" s="191"/>
      <c r="S2588" s="191"/>
      <c r="T2588" s="193"/>
      <c r="U2588" s="191"/>
      <c r="V2588" s="194"/>
      <c r="W2588" s="191"/>
      <c r="Y2588" s="191"/>
      <c r="Z2588" s="191"/>
      <c r="AA2588" s="191"/>
      <c r="AB2588" s="191"/>
      <c r="AC2588" s="191"/>
      <c r="AD2588" s="16"/>
      <c r="AE2588" s="16"/>
      <c r="AF2588" s="16"/>
      <c r="AG2588" s="16"/>
      <c r="AH2588" s="16"/>
      <c r="AI2588" s="16"/>
      <c r="AJ2588" s="16"/>
      <c r="AK2588" s="16"/>
      <c r="AL2588" s="16"/>
      <c r="AM2588" s="16"/>
      <c r="AN2588" s="16"/>
      <c r="AO2588" s="16"/>
      <c r="AP2588" s="16"/>
      <c r="AQ2588" s="16"/>
      <c r="AR2588" s="16"/>
      <c r="AS2588" s="16"/>
    </row>
    <row r="2589" spans="18:45" x14ac:dyDescent="0.35">
      <c r="R2589" s="191"/>
      <c r="S2589" s="191"/>
      <c r="T2589" s="193"/>
      <c r="U2589" s="191"/>
      <c r="V2589" s="194"/>
      <c r="W2589" s="191"/>
      <c r="Y2589" s="191"/>
      <c r="Z2589" s="191"/>
      <c r="AA2589" s="191"/>
      <c r="AB2589" s="191"/>
      <c r="AC2589" s="191"/>
      <c r="AD2589" s="16"/>
      <c r="AE2589" s="16"/>
      <c r="AF2589" s="16"/>
      <c r="AG2589" s="16"/>
      <c r="AH2589" s="16"/>
      <c r="AI2589" s="16"/>
      <c r="AJ2589" s="16"/>
      <c r="AK2589" s="16"/>
      <c r="AL2589" s="16"/>
      <c r="AM2589" s="16"/>
      <c r="AN2589" s="16"/>
      <c r="AO2589" s="16"/>
      <c r="AP2589" s="16"/>
      <c r="AQ2589" s="16"/>
      <c r="AR2589" s="16"/>
      <c r="AS2589" s="16"/>
    </row>
    <row r="2590" spans="18:45" x14ac:dyDescent="0.35">
      <c r="R2590" s="191"/>
      <c r="S2590" s="191"/>
      <c r="T2590" s="193"/>
      <c r="U2590" s="191"/>
      <c r="V2590" s="194"/>
      <c r="W2590" s="191"/>
      <c r="Y2590" s="191"/>
      <c r="Z2590" s="191"/>
      <c r="AA2590" s="191"/>
      <c r="AB2590" s="191"/>
      <c r="AC2590" s="191"/>
      <c r="AD2590" s="16"/>
      <c r="AE2590" s="16"/>
      <c r="AF2590" s="16"/>
      <c r="AG2590" s="16"/>
      <c r="AH2590" s="16"/>
      <c r="AI2590" s="16"/>
      <c r="AJ2590" s="16"/>
      <c r="AK2590" s="16"/>
      <c r="AL2590" s="16"/>
      <c r="AM2590" s="16"/>
      <c r="AN2590" s="16"/>
      <c r="AO2590" s="16"/>
      <c r="AP2590" s="16"/>
      <c r="AQ2590" s="16"/>
      <c r="AR2590" s="16"/>
      <c r="AS2590" s="16"/>
    </row>
    <row r="2591" spans="18:45" x14ac:dyDescent="0.35">
      <c r="R2591" s="191"/>
      <c r="S2591" s="191"/>
      <c r="T2591" s="193"/>
      <c r="U2591" s="191"/>
      <c r="V2591" s="194"/>
      <c r="W2591" s="191"/>
      <c r="Y2591" s="191"/>
      <c r="Z2591" s="191"/>
      <c r="AA2591" s="191"/>
      <c r="AB2591" s="191"/>
      <c r="AC2591" s="191"/>
      <c r="AD2591" s="16"/>
      <c r="AE2591" s="16"/>
      <c r="AF2591" s="16"/>
      <c r="AG2591" s="16"/>
      <c r="AH2591" s="16"/>
      <c r="AI2591" s="16"/>
      <c r="AJ2591" s="16"/>
      <c r="AK2591" s="16"/>
      <c r="AL2591" s="16"/>
      <c r="AM2591" s="16"/>
      <c r="AN2591" s="16"/>
      <c r="AO2591" s="16"/>
      <c r="AP2591" s="16"/>
      <c r="AQ2591" s="16"/>
      <c r="AR2591" s="16"/>
      <c r="AS2591" s="16"/>
    </row>
    <row r="2592" spans="18:45" x14ac:dyDescent="0.35">
      <c r="R2592" s="191"/>
      <c r="S2592" s="191"/>
      <c r="T2592" s="193"/>
      <c r="U2592" s="191"/>
      <c r="V2592" s="194"/>
      <c r="W2592" s="191"/>
      <c r="Y2592" s="191"/>
      <c r="Z2592" s="191"/>
      <c r="AA2592" s="191"/>
      <c r="AB2592" s="191"/>
      <c r="AC2592" s="191"/>
      <c r="AD2592" s="16"/>
      <c r="AE2592" s="16"/>
      <c r="AF2592" s="16"/>
      <c r="AG2592" s="16"/>
      <c r="AH2592" s="16"/>
      <c r="AI2592" s="16"/>
      <c r="AJ2592" s="16"/>
      <c r="AK2592" s="16"/>
      <c r="AL2592" s="16"/>
      <c r="AM2592" s="16"/>
      <c r="AN2592" s="16"/>
      <c r="AO2592" s="16"/>
      <c r="AP2592" s="16"/>
      <c r="AQ2592" s="16"/>
      <c r="AR2592" s="16"/>
      <c r="AS2592" s="16"/>
    </row>
    <row r="2593" spans="18:45" x14ac:dyDescent="0.35">
      <c r="R2593" s="191"/>
      <c r="S2593" s="191"/>
      <c r="T2593" s="193"/>
      <c r="U2593" s="191"/>
      <c r="V2593" s="194"/>
      <c r="W2593" s="191"/>
      <c r="Y2593" s="191"/>
      <c r="Z2593" s="191"/>
      <c r="AA2593" s="191"/>
      <c r="AB2593" s="191"/>
      <c r="AC2593" s="191"/>
      <c r="AD2593" s="16"/>
      <c r="AE2593" s="16"/>
      <c r="AF2593" s="16"/>
      <c r="AG2593" s="16"/>
      <c r="AH2593" s="16"/>
      <c r="AI2593" s="16"/>
      <c r="AJ2593" s="16"/>
      <c r="AK2593" s="16"/>
      <c r="AL2593" s="16"/>
      <c r="AM2593" s="16"/>
      <c r="AN2593" s="16"/>
      <c r="AO2593" s="16"/>
      <c r="AP2593" s="16"/>
      <c r="AQ2593" s="16"/>
      <c r="AR2593" s="16"/>
      <c r="AS2593" s="16"/>
    </row>
    <row r="2594" spans="18:45" x14ac:dyDescent="0.35">
      <c r="R2594" s="191"/>
      <c r="S2594" s="191"/>
      <c r="T2594" s="193"/>
      <c r="U2594" s="191"/>
      <c r="V2594" s="194"/>
      <c r="W2594" s="191"/>
      <c r="Y2594" s="191"/>
      <c r="Z2594" s="191"/>
      <c r="AA2594" s="191"/>
      <c r="AB2594" s="191"/>
      <c r="AC2594" s="191"/>
      <c r="AD2594" s="16"/>
      <c r="AE2594" s="16"/>
      <c r="AF2594" s="16"/>
      <c r="AG2594" s="16"/>
      <c r="AH2594" s="16"/>
      <c r="AI2594" s="16"/>
      <c r="AJ2594" s="16"/>
      <c r="AK2594" s="16"/>
      <c r="AL2594" s="16"/>
      <c r="AM2594" s="16"/>
      <c r="AN2594" s="16"/>
      <c r="AO2594" s="16"/>
      <c r="AP2594" s="16"/>
      <c r="AQ2594" s="16"/>
      <c r="AR2594" s="16"/>
      <c r="AS2594" s="16"/>
    </row>
    <row r="2595" spans="18:45" x14ac:dyDescent="0.35">
      <c r="R2595" s="191"/>
      <c r="S2595" s="191"/>
      <c r="T2595" s="193"/>
      <c r="U2595" s="191"/>
      <c r="V2595" s="194"/>
      <c r="W2595" s="191"/>
      <c r="Y2595" s="191"/>
      <c r="Z2595" s="191"/>
      <c r="AA2595" s="191"/>
      <c r="AB2595" s="191"/>
      <c r="AC2595" s="191"/>
      <c r="AD2595" s="16"/>
      <c r="AE2595" s="16"/>
      <c r="AF2595" s="16"/>
      <c r="AG2595" s="16"/>
      <c r="AH2595" s="16"/>
      <c r="AI2595" s="16"/>
      <c r="AJ2595" s="16"/>
      <c r="AK2595" s="16"/>
      <c r="AL2595" s="16"/>
      <c r="AM2595" s="16"/>
      <c r="AN2595" s="16"/>
      <c r="AO2595" s="16"/>
      <c r="AP2595" s="16"/>
      <c r="AQ2595" s="16"/>
      <c r="AR2595" s="16"/>
      <c r="AS2595" s="16"/>
    </row>
    <row r="2596" spans="18:45" x14ac:dyDescent="0.35">
      <c r="R2596" s="191"/>
      <c r="S2596" s="191"/>
      <c r="T2596" s="193"/>
      <c r="U2596" s="191"/>
      <c r="V2596" s="194"/>
      <c r="W2596" s="191"/>
      <c r="Y2596" s="191"/>
      <c r="Z2596" s="191"/>
      <c r="AA2596" s="191"/>
      <c r="AB2596" s="191"/>
      <c r="AC2596" s="191"/>
      <c r="AD2596" s="16"/>
      <c r="AE2596" s="16"/>
      <c r="AF2596" s="16"/>
      <c r="AG2596" s="16"/>
      <c r="AH2596" s="16"/>
      <c r="AI2596" s="16"/>
      <c r="AJ2596" s="16"/>
      <c r="AK2596" s="16"/>
      <c r="AL2596" s="16"/>
      <c r="AM2596" s="16"/>
      <c r="AN2596" s="16"/>
      <c r="AO2596" s="16"/>
      <c r="AP2596" s="16"/>
      <c r="AQ2596" s="16"/>
      <c r="AR2596" s="16"/>
      <c r="AS2596" s="16"/>
    </row>
    <row r="2597" spans="18:45" x14ac:dyDescent="0.35">
      <c r="R2597" s="191"/>
      <c r="S2597" s="191"/>
      <c r="T2597" s="193"/>
      <c r="U2597" s="191"/>
      <c r="V2597" s="194"/>
      <c r="W2597" s="191"/>
      <c r="Y2597" s="191"/>
      <c r="Z2597" s="191"/>
      <c r="AA2597" s="191"/>
      <c r="AB2597" s="191"/>
      <c r="AC2597" s="191"/>
      <c r="AD2597" s="16"/>
      <c r="AE2597" s="16"/>
      <c r="AF2597" s="16"/>
      <c r="AG2597" s="16"/>
      <c r="AH2597" s="16"/>
      <c r="AI2597" s="16"/>
      <c r="AJ2597" s="16"/>
      <c r="AK2597" s="16"/>
      <c r="AL2597" s="16"/>
      <c r="AM2597" s="16"/>
      <c r="AN2597" s="16"/>
      <c r="AO2597" s="16"/>
      <c r="AP2597" s="16"/>
      <c r="AQ2597" s="16"/>
      <c r="AR2597" s="16"/>
      <c r="AS2597" s="16"/>
    </row>
    <row r="2598" spans="18:45" x14ac:dyDescent="0.35">
      <c r="R2598" s="191"/>
      <c r="S2598" s="191"/>
      <c r="T2598" s="193"/>
      <c r="U2598" s="191"/>
      <c r="V2598" s="194"/>
      <c r="W2598" s="191"/>
      <c r="Y2598" s="191"/>
      <c r="Z2598" s="191"/>
      <c r="AA2598" s="191"/>
      <c r="AB2598" s="191"/>
      <c r="AC2598" s="191"/>
      <c r="AD2598" s="16"/>
      <c r="AE2598" s="16"/>
      <c r="AF2598" s="16"/>
      <c r="AG2598" s="16"/>
      <c r="AH2598" s="16"/>
      <c r="AI2598" s="16"/>
      <c r="AJ2598" s="16"/>
      <c r="AK2598" s="16"/>
      <c r="AL2598" s="16"/>
      <c r="AM2598" s="16"/>
      <c r="AN2598" s="16"/>
      <c r="AO2598" s="16"/>
      <c r="AP2598" s="16"/>
      <c r="AQ2598" s="16"/>
      <c r="AR2598" s="16"/>
      <c r="AS2598" s="16"/>
    </row>
    <row r="2599" spans="18:45" x14ac:dyDescent="0.35">
      <c r="R2599" s="191"/>
      <c r="S2599" s="191"/>
      <c r="T2599" s="193"/>
      <c r="U2599" s="191"/>
      <c r="V2599" s="194"/>
      <c r="W2599" s="191"/>
      <c r="Y2599" s="191"/>
      <c r="Z2599" s="191"/>
      <c r="AA2599" s="191"/>
      <c r="AB2599" s="191"/>
      <c r="AC2599" s="191"/>
      <c r="AD2599" s="16"/>
      <c r="AE2599" s="16"/>
      <c r="AF2599" s="16"/>
      <c r="AG2599" s="16"/>
      <c r="AH2599" s="16"/>
      <c r="AI2599" s="16"/>
      <c r="AJ2599" s="16"/>
      <c r="AK2599" s="16"/>
      <c r="AL2599" s="16"/>
      <c r="AM2599" s="16"/>
      <c r="AN2599" s="16"/>
      <c r="AO2599" s="16"/>
      <c r="AP2599" s="16"/>
      <c r="AQ2599" s="16"/>
      <c r="AR2599" s="16"/>
      <c r="AS2599" s="16"/>
    </row>
    <row r="2600" spans="18:45" x14ac:dyDescent="0.35">
      <c r="R2600" s="191"/>
      <c r="S2600" s="191"/>
      <c r="T2600" s="193"/>
      <c r="U2600" s="191"/>
      <c r="V2600" s="194"/>
      <c r="W2600" s="191"/>
      <c r="Y2600" s="191"/>
      <c r="Z2600" s="191"/>
      <c r="AA2600" s="191"/>
      <c r="AB2600" s="191"/>
      <c r="AC2600" s="191"/>
      <c r="AD2600" s="16"/>
      <c r="AE2600" s="16"/>
      <c r="AF2600" s="16"/>
      <c r="AG2600" s="16"/>
      <c r="AH2600" s="16"/>
      <c r="AI2600" s="16"/>
      <c r="AJ2600" s="16"/>
      <c r="AK2600" s="16"/>
      <c r="AL2600" s="16"/>
      <c r="AM2600" s="16"/>
      <c r="AN2600" s="16"/>
      <c r="AO2600" s="16"/>
      <c r="AP2600" s="16"/>
      <c r="AQ2600" s="16"/>
      <c r="AR2600" s="16"/>
      <c r="AS2600" s="16"/>
    </row>
    <row r="2601" spans="18:45" x14ac:dyDescent="0.35">
      <c r="R2601" s="191"/>
      <c r="S2601" s="191"/>
      <c r="T2601" s="193"/>
      <c r="U2601" s="191"/>
      <c r="V2601" s="194"/>
      <c r="W2601" s="191"/>
      <c r="Y2601" s="191"/>
      <c r="Z2601" s="191"/>
      <c r="AA2601" s="191"/>
      <c r="AB2601" s="191"/>
      <c r="AC2601" s="191"/>
      <c r="AD2601" s="16"/>
      <c r="AE2601" s="16"/>
      <c r="AF2601" s="16"/>
      <c r="AG2601" s="16"/>
      <c r="AH2601" s="16"/>
      <c r="AI2601" s="16"/>
      <c r="AJ2601" s="16"/>
      <c r="AK2601" s="16"/>
      <c r="AL2601" s="16"/>
      <c r="AM2601" s="16"/>
      <c r="AN2601" s="16"/>
      <c r="AO2601" s="16"/>
      <c r="AP2601" s="16"/>
      <c r="AQ2601" s="16"/>
      <c r="AR2601" s="16"/>
      <c r="AS2601" s="16"/>
    </row>
    <row r="2602" spans="18:45" x14ac:dyDescent="0.35">
      <c r="R2602" s="191"/>
      <c r="S2602" s="191"/>
      <c r="T2602" s="193"/>
      <c r="U2602" s="191"/>
      <c r="V2602" s="194"/>
      <c r="W2602" s="191"/>
      <c r="Y2602" s="191"/>
      <c r="Z2602" s="191"/>
      <c r="AA2602" s="191"/>
      <c r="AB2602" s="191"/>
      <c r="AC2602" s="191"/>
      <c r="AD2602" s="16"/>
      <c r="AE2602" s="16"/>
      <c r="AF2602" s="16"/>
      <c r="AG2602" s="16"/>
      <c r="AH2602" s="16"/>
      <c r="AI2602" s="16"/>
      <c r="AJ2602" s="16"/>
      <c r="AK2602" s="16"/>
      <c r="AL2602" s="16"/>
      <c r="AM2602" s="16"/>
      <c r="AN2602" s="16"/>
      <c r="AO2602" s="16"/>
      <c r="AP2602" s="16"/>
      <c r="AQ2602" s="16"/>
      <c r="AR2602" s="16"/>
      <c r="AS2602" s="16"/>
    </row>
    <row r="2603" spans="18:45" x14ac:dyDescent="0.35">
      <c r="R2603" s="191"/>
      <c r="S2603" s="191"/>
      <c r="T2603" s="193"/>
      <c r="U2603" s="191"/>
      <c r="V2603" s="194"/>
      <c r="W2603" s="191"/>
      <c r="Y2603" s="191"/>
      <c r="Z2603" s="191"/>
      <c r="AA2603" s="191"/>
      <c r="AB2603" s="191"/>
      <c r="AC2603" s="191"/>
      <c r="AD2603" s="16"/>
      <c r="AE2603" s="16"/>
      <c r="AF2603" s="16"/>
      <c r="AG2603" s="16"/>
      <c r="AH2603" s="16"/>
      <c r="AI2603" s="16"/>
      <c r="AJ2603" s="16"/>
      <c r="AK2603" s="16"/>
      <c r="AL2603" s="16"/>
      <c r="AM2603" s="16"/>
      <c r="AN2603" s="16"/>
      <c r="AO2603" s="16"/>
      <c r="AP2603" s="16"/>
      <c r="AQ2603" s="16"/>
      <c r="AR2603" s="16"/>
      <c r="AS2603" s="16"/>
    </row>
    <row r="2604" spans="18:45" x14ac:dyDescent="0.35">
      <c r="R2604" s="191"/>
      <c r="S2604" s="191"/>
      <c r="T2604" s="193"/>
      <c r="U2604" s="191"/>
      <c r="V2604" s="194"/>
      <c r="W2604" s="191"/>
      <c r="Y2604" s="191"/>
      <c r="Z2604" s="191"/>
      <c r="AA2604" s="191"/>
      <c r="AB2604" s="191"/>
      <c r="AC2604" s="191"/>
      <c r="AD2604" s="16"/>
      <c r="AE2604" s="16"/>
      <c r="AF2604" s="16"/>
      <c r="AG2604" s="16"/>
      <c r="AH2604" s="16"/>
      <c r="AI2604" s="16"/>
      <c r="AJ2604" s="16"/>
      <c r="AK2604" s="16"/>
      <c r="AL2604" s="16"/>
      <c r="AM2604" s="16"/>
      <c r="AN2604" s="16"/>
      <c r="AO2604" s="16"/>
      <c r="AP2604" s="16"/>
      <c r="AQ2604" s="16"/>
      <c r="AR2604" s="16"/>
      <c r="AS2604" s="16"/>
    </row>
    <row r="2605" spans="18:45" x14ac:dyDescent="0.35">
      <c r="R2605" s="191"/>
      <c r="S2605" s="191"/>
      <c r="T2605" s="193"/>
      <c r="U2605" s="191"/>
      <c r="V2605" s="194"/>
      <c r="W2605" s="191"/>
      <c r="Y2605" s="191"/>
      <c r="Z2605" s="191"/>
      <c r="AA2605" s="191"/>
      <c r="AB2605" s="191"/>
      <c r="AC2605" s="191"/>
      <c r="AD2605" s="16"/>
      <c r="AE2605" s="16"/>
      <c r="AF2605" s="16"/>
      <c r="AG2605" s="16"/>
      <c r="AH2605" s="16"/>
      <c r="AI2605" s="16"/>
      <c r="AJ2605" s="16"/>
      <c r="AK2605" s="16"/>
      <c r="AL2605" s="16"/>
      <c r="AM2605" s="16"/>
      <c r="AN2605" s="16"/>
      <c r="AO2605" s="16"/>
      <c r="AP2605" s="16"/>
      <c r="AQ2605" s="16"/>
      <c r="AR2605" s="16"/>
      <c r="AS2605" s="16"/>
    </row>
    <row r="2606" spans="18:45" x14ac:dyDescent="0.35">
      <c r="R2606" s="191"/>
      <c r="S2606" s="191"/>
      <c r="T2606" s="193"/>
      <c r="U2606" s="191"/>
      <c r="V2606" s="194"/>
      <c r="W2606" s="191"/>
      <c r="Y2606" s="191"/>
      <c r="Z2606" s="191"/>
      <c r="AA2606" s="191"/>
      <c r="AB2606" s="191"/>
      <c r="AC2606" s="191"/>
      <c r="AD2606" s="16"/>
      <c r="AE2606" s="16"/>
      <c r="AF2606" s="16"/>
      <c r="AG2606" s="16"/>
      <c r="AH2606" s="16"/>
      <c r="AI2606" s="16"/>
      <c r="AJ2606" s="16"/>
      <c r="AK2606" s="16"/>
      <c r="AL2606" s="16"/>
      <c r="AM2606" s="16"/>
      <c r="AN2606" s="16"/>
      <c r="AO2606" s="16"/>
      <c r="AP2606" s="16"/>
      <c r="AQ2606" s="16"/>
      <c r="AR2606" s="16"/>
      <c r="AS2606" s="16"/>
    </row>
    <row r="2607" spans="18:45" x14ac:dyDescent="0.35">
      <c r="R2607" s="191"/>
      <c r="S2607" s="191"/>
      <c r="T2607" s="193"/>
      <c r="U2607" s="191"/>
      <c r="V2607" s="194"/>
      <c r="W2607" s="191"/>
      <c r="Y2607" s="191"/>
      <c r="Z2607" s="191"/>
      <c r="AA2607" s="191"/>
      <c r="AB2607" s="191"/>
      <c r="AC2607" s="191"/>
      <c r="AD2607" s="16"/>
      <c r="AE2607" s="16"/>
      <c r="AF2607" s="16"/>
      <c r="AG2607" s="16"/>
      <c r="AH2607" s="16"/>
      <c r="AI2607" s="16"/>
      <c r="AJ2607" s="16"/>
      <c r="AK2607" s="16"/>
      <c r="AL2607" s="16"/>
      <c r="AM2607" s="16"/>
      <c r="AN2607" s="16"/>
      <c r="AO2607" s="16"/>
      <c r="AP2607" s="16"/>
      <c r="AQ2607" s="16"/>
      <c r="AR2607" s="16"/>
      <c r="AS2607" s="16"/>
    </row>
    <row r="2608" spans="18:45" x14ac:dyDescent="0.35">
      <c r="R2608" s="191"/>
      <c r="S2608" s="191"/>
      <c r="T2608" s="193"/>
      <c r="U2608" s="191"/>
      <c r="V2608" s="194"/>
      <c r="W2608" s="191"/>
      <c r="Y2608" s="191"/>
      <c r="Z2608" s="191"/>
      <c r="AA2608" s="191"/>
      <c r="AB2608" s="191"/>
      <c r="AC2608" s="191"/>
      <c r="AD2608" s="16"/>
      <c r="AE2608" s="16"/>
      <c r="AF2608" s="16"/>
      <c r="AG2608" s="16"/>
      <c r="AH2608" s="16"/>
      <c r="AI2608" s="16"/>
      <c r="AJ2608" s="16"/>
      <c r="AK2608" s="16"/>
      <c r="AL2608" s="16"/>
      <c r="AM2608" s="16"/>
      <c r="AN2608" s="16"/>
      <c r="AO2608" s="16"/>
      <c r="AP2608" s="16"/>
      <c r="AQ2608" s="16"/>
      <c r="AR2608" s="16"/>
      <c r="AS2608" s="16"/>
    </row>
    <row r="2609" spans="18:45" x14ac:dyDescent="0.35">
      <c r="R2609" s="191"/>
      <c r="S2609" s="191"/>
      <c r="T2609" s="193"/>
      <c r="U2609" s="191"/>
      <c r="V2609" s="194"/>
      <c r="W2609" s="191"/>
      <c r="Y2609" s="191"/>
      <c r="Z2609" s="191"/>
      <c r="AA2609" s="191"/>
      <c r="AB2609" s="191"/>
      <c r="AC2609" s="191"/>
      <c r="AD2609" s="16"/>
      <c r="AE2609" s="16"/>
      <c r="AF2609" s="16"/>
      <c r="AG2609" s="16"/>
      <c r="AH2609" s="16"/>
      <c r="AI2609" s="16"/>
      <c r="AJ2609" s="16"/>
      <c r="AK2609" s="16"/>
      <c r="AL2609" s="16"/>
      <c r="AM2609" s="16"/>
      <c r="AN2609" s="16"/>
      <c r="AO2609" s="16"/>
      <c r="AP2609" s="16"/>
      <c r="AQ2609" s="16"/>
      <c r="AR2609" s="16"/>
      <c r="AS2609" s="16"/>
    </row>
    <row r="2610" spans="18:45" x14ac:dyDescent="0.35">
      <c r="R2610" s="191"/>
      <c r="S2610" s="191"/>
      <c r="T2610" s="193"/>
      <c r="U2610" s="191"/>
      <c r="V2610" s="194"/>
      <c r="W2610" s="191"/>
      <c r="Y2610" s="191"/>
      <c r="Z2610" s="191"/>
      <c r="AA2610" s="191"/>
      <c r="AB2610" s="191"/>
      <c r="AC2610" s="191"/>
      <c r="AD2610" s="16"/>
      <c r="AE2610" s="16"/>
      <c r="AF2610" s="16"/>
      <c r="AG2610" s="16"/>
      <c r="AH2610" s="16"/>
      <c r="AI2610" s="16"/>
      <c r="AJ2610" s="16"/>
      <c r="AK2610" s="16"/>
      <c r="AL2610" s="16"/>
      <c r="AM2610" s="16"/>
      <c r="AN2610" s="16"/>
      <c r="AO2610" s="16"/>
      <c r="AP2610" s="16"/>
      <c r="AQ2610" s="16"/>
      <c r="AR2610" s="16"/>
      <c r="AS2610" s="16"/>
    </row>
    <row r="2611" spans="18:45" x14ac:dyDescent="0.35">
      <c r="R2611" s="191"/>
      <c r="S2611" s="191"/>
      <c r="T2611" s="193"/>
      <c r="U2611" s="191"/>
      <c r="V2611" s="194"/>
      <c r="W2611" s="191"/>
      <c r="Y2611" s="191"/>
      <c r="Z2611" s="191"/>
      <c r="AA2611" s="191"/>
      <c r="AB2611" s="191"/>
      <c r="AC2611" s="191"/>
      <c r="AD2611" s="16"/>
      <c r="AE2611" s="16"/>
      <c r="AF2611" s="16"/>
      <c r="AG2611" s="16"/>
      <c r="AH2611" s="16"/>
      <c r="AI2611" s="16"/>
      <c r="AJ2611" s="16"/>
      <c r="AK2611" s="16"/>
      <c r="AL2611" s="16"/>
      <c r="AM2611" s="16"/>
      <c r="AN2611" s="16"/>
      <c r="AO2611" s="16"/>
      <c r="AP2611" s="16"/>
      <c r="AQ2611" s="16"/>
      <c r="AR2611" s="16"/>
      <c r="AS2611" s="16"/>
    </row>
    <row r="2612" spans="18:45" x14ac:dyDescent="0.35">
      <c r="R2612" s="191"/>
      <c r="S2612" s="191"/>
      <c r="T2612" s="193"/>
      <c r="U2612" s="191"/>
      <c r="V2612" s="194"/>
      <c r="W2612" s="191"/>
      <c r="Y2612" s="191"/>
      <c r="Z2612" s="191"/>
      <c r="AA2612" s="191"/>
      <c r="AB2612" s="191"/>
      <c r="AC2612" s="191"/>
      <c r="AD2612" s="16"/>
      <c r="AE2612" s="16"/>
      <c r="AF2612" s="16"/>
      <c r="AG2612" s="16"/>
      <c r="AH2612" s="16"/>
      <c r="AI2612" s="16"/>
      <c r="AJ2612" s="16"/>
      <c r="AK2612" s="16"/>
      <c r="AL2612" s="16"/>
      <c r="AM2612" s="16"/>
      <c r="AN2612" s="16"/>
      <c r="AO2612" s="16"/>
      <c r="AP2612" s="16"/>
      <c r="AQ2612" s="16"/>
      <c r="AR2612" s="16"/>
      <c r="AS2612" s="16"/>
    </row>
    <row r="2613" spans="18:45" x14ac:dyDescent="0.35">
      <c r="R2613" s="191"/>
      <c r="S2613" s="191"/>
      <c r="T2613" s="193"/>
      <c r="U2613" s="191"/>
      <c r="V2613" s="194"/>
      <c r="W2613" s="191"/>
      <c r="Y2613" s="191"/>
      <c r="Z2613" s="191"/>
      <c r="AA2613" s="191"/>
      <c r="AB2613" s="191"/>
      <c r="AC2613" s="191"/>
      <c r="AD2613" s="16"/>
      <c r="AE2613" s="16"/>
      <c r="AF2613" s="16"/>
      <c r="AG2613" s="16"/>
      <c r="AH2613" s="16"/>
      <c r="AI2613" s="16"/>
      <c r="AJ2613" s="16"/>
      <c r="AK2613" s="16"/>
      <c r="AL2613" s="16"/>
      <c r="AM2613" s="16"/>
      <c r="AN2613" s="16"/>
      <c r="AO2613" s="16"/>
      <c r="AP2613" s="16"/>
      <c r="AQ2613" s="16"/>
      <c r="AR2613" s="16"/>
      <c r="AS2613" s="16"/>
    </row>
    <row r="2614" spans="18:45" x14ac:dyDescent="0.35">
      <c r="R2614" s="191"/>
      <c r="S2614" s="191"/>
      <c r="T2614" s="193"/>
      <c r="U2614" s="191"/>
      <c r="V2614" s="194"/>
      <c r="W2614" s="191"/>
      <c r="Y2614" s="191"/>
      <c r="Z2614" s="191"/>
      <c r="AA2614" s="191"/>
      <c r="AB2614" s="191"/>
      <c r="AC2614" s="191"/>
      <c r="AD2614" s="16"/>
      <c r="AE2614" s="16"/>
      <c r="AF2614" s="16"/>
      <c r="AG2614" s="16"/>
      <c r="AH2614" s="16"/>
      <c r="AI2614" s="16"/>
      <c r="AJ2614" s="16"/>
      <c r="AK2614" s="16"/>
      <c r="AL2614" s="16"/>
      <c r="AM2614" s="16"/>
      <c r="AN2614" s="16"/>
      <c r="AO2614" s="16"/>
      <c r="AP2614" s="16"/>
      <c r="AQ2614" s="16"/>
      <c r="AR2614" s="16"/>
      <c r="AS2614" s="16"/>
    </row>
    <row r="2615" spans="18:45" x14ac:dyDescent="0.35">
      <c r="R2615" s="191"/>
      <c r="S2615" s="191"/>
      <c r="T2615" s="193"/>
      <c r="U2615" s="191"/>
      <c r="V2615" s="194"/>
      <c r="W2615" s="191"/>
      <c r="Y2615" s="191"/>
      <c r="Z2615" s="191"/>
      <c r="AA2615" s="191"/>
      <c r="AB2615" s="191"/>
      <c r="AC2615" s="191"/>
      <c r="AD2615" s="16"/>
      <c r="AE2615" s="16"/>
      <c r="AF2615" s="16"/>
      <c r="AG2615" s="16"/>
      <c r="AH2615" s="16"/>
      <c r="AI2615" s="16"/>
      <c r="AJ2615" s="16"/>
      <c r="AK2615" s="16"/>
      <c r="AL2615" s="16"/>
      <c r="AM2615" s="16"/>
      <c r="AN2615" s="16"/>
      <c r="AO2615" s="16"/>
      <c r="AP2615" s="16"/>
      <c r="AQ2615" s="16"/>
      <c r="AR2615" s="16"/>
      <c r="AS2615" s="16"/>
    </row>
    <row r="2616" spans="18:45" x14ac:dyDescent="0.35">
      <c r="R2616" s="191"/>
      <c r="S2616" s="191"/>
      <c r="T2616" s="193"/>
      <c r="U2616" s="191"/>
      <c r="V2616" s="194"/>
      <c r="W2616" s="191"/>
      <c r="Y2616" s="191"/>
      <c r="Z2616" s="191"/>
      <c r="AA2616" s="191"/>
      <c r="AB2616" s="191"/>
      <c r="AC2616" s="191"/>
      <c r="AD2616" s="16"/>
      <c r="AE2616" s="16"/>
      <c r="AF2616" s="16"/>
      <c r="AG2616" s="16"/>
      <c r="AH2616" s="16"/>
      <c r="AI2616" s="16"/>
      <c r="AJ2616" s="16"/>
      <c r="AK2616" s="16"/>
      <c r="AL2616" s="16"/>
      <c r="AM2616" s="16"/>
      <c r="AN2616" s="16"/>
      <c r="AO2616" s="16"/>
      <c r="AP2616" s="16"/>
      <c r="AQ2616" s="16"/>
      <c r="AR2616" s="16"/>
      <c r="AS2616" s="16"/>
    </row>
    <row r="2617" spans="18:45" x14ac:dyDescent="0.35">
      <c r="R2617" s="191"/>
      <c r="S2617" s="191"/>
      <c r="T2617" s="193"/>
      <c r="U2617" s="191"/>
      <c r="V2617" s="194"/>
      <c r="W2617" s="191"/>
      <c r="Y2617" s="191"/>
      <c r="Z2617" s="191"/>
      <c r="AA2617" s="191"/>
      <c r="AB2617" s="191"/>
      <c r="AC2617" s="191"/>
      <c r="AD2617" s="16"/>
      <c r="AE2617" s="16"/>
      <c r="AF2617" s="16"/>
      <c r="AG2617" s="16"/>
      <c r="AH2617" s="16"/>
      <c r="AI2617" s="16"/>
      <c r="AJ2617" s="16"/>
      <c r="AK2617" s="16"/>
      <c r="AL2617" s="16"/>
      <c r="AM2617" s="16"/>
      <c r="AN2617" s="16"/>
      <c r="AO2617" s="16"/>
      <c r="AP2617" s="16"/>
      <c r="AQ2617" s="16"/>
      <c r="AR2617" s="16"/>
      <c r="AS2617" s="16"/>
    </row>
    <row r="2618" spans="18:45" x14ac:dyDescent="0.35">
      <c r="R2618" s="191"/>
      <c r="S2618" s="191"/>
      <c r="T2618" s="193"/>
      <c r="U2618" s="191"/>
      <c r="V2618" s="194"/>
      <c r="W2618" s="191"/>
      <c r="Y2618" s="191"/>
      <c r="Z2618" s="191"/>
      <c r="AA2618" s="191"/>
      <c r="AB2618" s="191"/>
      <c r="AC2618" s="191"/>
      <c r="AD2618" s="16"/>
      <c r="AE2618" s="16"/>
      <c r="AF2618" s="16"/>
      <c r="AG2618" s="16"/>
      <c r="AH2618" s="16"/>
      <c r="AI2618" s="16"/>
      <c r="AJ2618" s="16"/>
      <c r="AK2618" s="16"/>
      <c r="AL2618" s="16"/>
      <c r="AM2618" s="16"/>
      <c r="AN2618" s="16"/>
      <c r="AO2618" s="16"/>
      <c r="AP2618" s="16"/>
      <c r="AQ2618" s="16"/>
      <c r="AR2618" s="16"/>
      <c r="AS2618" s="16"/>
    </row>
    <row r="2619" spans="18:45" x14ac:dyDescent="0.35">
      <c r="R2619" s="191"/>
      <c r="S2619" s="191"/>
      <c r="T2619" s="193"/>
      <c r="U2619" s="191"/>
      <c r="V2619" s="194"/>
      <c r="W2619" s="191"/>
      <c r="Y2619" s="191"/>
      <c r="Z2619" s="191"/>
      <c r="AA2619" s="191"/>
      <c r="AB2619" s="191"/>
      <c r="AC2619" s="191"/>
      <c r="AD2619" s="16"/>
      <c r="AE2619" s="16"/>
      <c r="AF2619" s="16"/>
      <c r="AG2619" s="16"/>
      <c r="AH2619" s="16"/>
      <c r="AI2619" s="16"/>
      <c r="AJ2619" s="16"/>
      <c r="AK2619" s="16"/>
      <c r="AL2619" s="16"/>
      <c r="AM2619" s="16"/>
      <c r="AN2619" s="16"/>
      <c r="AO2619" s="16"/>
      <c r="AP2619" s="16"/>
      <c r="AQ2619" s="16"/>
      <c r="AR2619" s="16"/>
      <c r="AS2619" s="16"/>
    </row>
    <row r="2620" spans="18:45" x14ac:dyDescent="0.35">
      <c r="R2620" s="191"/>
      <c r="S2620" s="191"/>
      <c r="T2620" s="193"/>
      <c r="U2620" s="191"/>
      <c r="V2620" s="194"/>
      <c r="W2620" s="191"/>
      <c r="Y2620" s="191"/>
      <c r="Z2620" s="191"/>
      <c r="AA2620" s="191"/>
      <c r="AB2620" s="191"/>
      <c r="AC2620" s="191"/>
      <c r="AD2620" s="16"/>
      <c r="AE2620" s="16"/>
      <c r="AF2620" s="16"/>
      <c r="AG2620" s="16"/>
      <c r="AH2620" s="16"/>
      <c r="AI2620" s="16"/>
      <c r="AJ2620" s="16"/>
      <c r="AK2620" s="16"/>
      <c r="AL2620" s="16"/>
      <c r="AM2620" s="16"/>
      <c r="AN2620" s="16"/>
      <c r="AO2620" s="16"/>
      <c r="AP2620" s="16"/>
      <c r="AQ2620" s="16"/>
      <c r="AR2620" s="16"/>
      <c r="AS2620" s="16"/>
    </row>
    <row r="2621" spans="18:45" x14ac:dyDescent="0.35">
      <c r="R2621" s="191"/>
      <c r="S2621" s="191"/>
      <c r="T2621" s="193"/>
      <c r="U2621" s="191"/>
      <c r="V2621" s="194"/>
      <c r="W2621" s="191"/>
      <c r="Y2621" s="191"/>
      <c r="Z2621" s="191"/>
      <c r="AA2621" s="191"/>
      <c r="AB2621" s="191"/>
      <c r="AC2621" s="191"/>
      <c r="AD2621" s="16"/>
      <c r="AE2621" s="16"/>
      <c r="AF2621" s="16"/>
      <c r="AG2621" s="16"/>
      <c r="AH2621" s="16"/>
      <c r="AI2621" s="16"/>
      <c r="AJ2621" s="16"/>
      <c r="AK2621" s="16"/>
      <c r="AL2621" s="16"/>
      <c r="AM2621" s="16"/>
      <c r="AN2621" s="16"/>
      <c r="AO2621" s="16"/>
      <c r="AP2621" s="16"/>
      <c r="AQ2621" s="16"/>
      <c r="AR2621" s="16"/>
      <c r="AS2621" s="16"/>
    </row>
    <row r="2622" spans="18:45" x14ac:dyDescent="0.35">
      <c r="R2622" s="191"/>
      <c r="S2622" s="191"/>
      <c r="T2622" s="193"/>
      <c r="U2622" s="191"/>
      <c r="V2622" s="194"/>
      <c r="W2622" s="191"/>
      <c r="Y2622" s="191"/>
      <c r="Z2622" s="191"/>
      <c r="AA2622" s="191"/>
      <c r="AB2622" s="191"/>
      <c r="AC2622" s="191"/>
      <c r="AD2622" s="16"/>
      <c r="AE2622" s="16"/>
      <c r="AF2622" s="16"/>
      <c r="AG2622" s="16"/>
      <c r="AH2622" s="16"/>
      <c r="AI2622" s="16"/>
      <c r="AJ2622" s="16"/>
      <c r="AK2622" s="16"/>
      <c r="AL2622" s="16"/>
      <c r="AM2622" s="16"/>
      <c r="AN2622" s="16"/>
      <c r="AO2622" s="16"/>
      <c r="AP2622" s="16"/>
      <c r="AQ2622" s="16"/>
      <c r="AR2622" s="16"/>
      <c r="AS2622" s="16"/>
    </row>
    <row r="2623" spans="18:45" x14ac:dyDescent="0.35">
      <c r="R2623" s="191"/>
      <c r="S2623" s="191"/>
      <c r="T2623" s="193"/>
      <c r="U2623" s="191"/>
      <c r="V2623" s="194"/>
      <c r="W2623" s="191"/>
      <c r="Y2623" s="191"/>
      <c r="Z2623" s="191"/>
      <c r="AA2623" s="191"/>
      <c r="AB2623" s="191"/>
      <c r="AC2623" s="191"/>
      <c r="AD2623" s="16"/>
      <c r="AE2623" s="16"/>
      <c r="AF2623" s="16"/>
      <c r="AG2623" s="16"/>
      <c r="AH2623" s="16"/>
      <c r="AI2623" s="16"/>
      <c r="AJ2623" s="16"/>
      <c r="AK2623" s="16"/>
      <c r="AL2623" s="16"/>
      <c r="AM2623" s="16"/>
      <c r="AN2623" s="16"/>
      <c r="AO2623" s="16"/>
      <c r="AP2623" s="16"/>
      <c r="AQ2623" s="16"/>
      <c r="AR2623" s="16"/>
      <c r="AS2623" s="16"/>
    </row>
    <row r="2624" spans="18:45" x14ac:dyDescent="0.35">
      <c r="R2624" s="191"/>
      <c r="S2624" s="191"/>
      <c r="T2624" s="193"/>
      <c r="U2624" s="191"/>
      <c r="V2624" s="194"/>
      <c r="W2624" s="191"/>
      <c r="Y2624" s="191"/>
      <c r="Z2624" s="191"/>
      <c r="AA2624" s="191"/>
      <c r="AB2624" s="191"/>
      <c r="AC2624" s="191"/>
      <c r="AD2624" s="16"/>
      <c r="AE2624" s="16"/>
      <c r="AF2624" s="16"/>
      <c r="AG2624" s="16"/>
      <c r="AH2624" s="16"/>
      <c r="AI2624" s="16"/>
      <c r="AJ2624" s="16"/>
      <c r="AK2624" s="16"/>
      <c r="AL2624" s="16"/>
      <c r="AM2624" s="16"/>
      <c r="AN2624" s="16"/>
      <c r="AO2624" s="16"/>
      <c r="AP2624" s="16"/>
      <c r="AQ2624" s="16"/>
      <c r="AR2624" s="16"/>
      <c r="AS2624" s="16"/>
    </row>
    <row r="2625" spans="18:45" x14ac:dyDescent="0.35">
      <c r="R2625" s="191"/>
      <c r="S2625" s="191"/>
      <c r="T2625" s="193"/>
      <c r="U2625" s="191"/>
      <c r="V2625" s="194"/>
      <c r="W2625" s="191"/>
      <c r="Y2625" s="191"/>
      <c r="Z2625" s="191"/>
      <c r="AA2625" s="191"/>
      <c r="AB2625" s="191"/>
      <c r="AC2625" s="191"/>
      <c r="AD2625" s="16"/>
      <c r="AE2625" s="16"/>
      <c r="AF2625" s="16"/>
      <c r="AG2625" s="16"/>
      <c r="AH2625" s="16"/>
      <c r="AI2625" s="16"/>
      <c r="AJ2625" s="16"/>
      <c r="AK2625" s="16"/>
      <c r="AL2625" s="16"/>
      <c r="AM2625" s="16"/>
      <c r="AN2625" s="16"/>
      <c r="AO2625" s="16"/>
      <c r="AP2625" s="16"/>
      <c r="AQ2625" s="16"/>
      <c r="AR2625" s="16"/>
      <c r="AS2625" s="16"/>
    </row>
    <row r="2626" spans="18:45" x14ac:dyDescent="0.35">
      <c r="R2626" s="191"/>
      <c r="S2626" s="191"/>
      <c r="T2626" s="193"/>
      <c r="U2626" s="191"/>
      <c r="V2626" s="194"/>
      <c r="W2626" s="191"/>
      <c r="Y2626" s="191"/>
      <c r="Z2626" s="191"/>
      <c r="AA2626" s="191"/>
      <c r="AB2626" s="191"/>
      <c r="AC2626" s="191"/>
      <c r="AD2626" s="16"/>
      <c r="AE2626" s="16"/>
      <c r="AF2626" s="16"/>
      <c r="AG2626" s="16"/>
      <c r="AH2626" s="16"/>
      <c r="AI2626" s="16"/>
      <c r="AJ2626" s="16"/>
      <c r="AK2626" s="16"/>
      <c r="AL2626" s="16"/>
      <c r="AM2626" s="16"/>
      <c r="AN2626" s="16"/>
      <c r="AO2626" s="16"/>
      <c r="AP2626" s="16"/>
      <c r="AQ2626" s="16"/>
      <c r="AR2626" s="16"/>
      <c r="AS2626" s="16"/>
    </row>
    <row r="2627" spans="18:45" x14ac:dyDescent="0.35">
      <c r="R2627" s="191"/>
      <c r="S2627" s="191"/>
      <c r="T2627" s="193"/>
      <c r="U2627" s="191"/>
      <c r="V2627" s="194"/>
      <c r="W2627" s="191"/>
      <c r="Y2627" s="191"/>
      <c r="Z2627" s="191"/>
      <c r="AA2627" s="191"/>
      <c r="AB2627" s="191"/>
      <c r="AC2627" s="191"/>
      <c r="AD2627" s="16"/>
      <c r="AE2627" s="16"/>
      <c r="AF2627" s="16"/>
      <c r="AG2627" s="16"/>
      <c r="AH2627" s="16"/>
      <c r="AI2627" s="16"/>
      <c r="AJ2627" s="16"/>
      <c r="AK2627" s="16"/>
      <c r="AL2627" s="16"/>
      <c r="AM2627" s="16"/>
      <c r="AN2627" s="16"/>
      <c r="AO2627" s="16"/>
      <c r="AP2627" s="16"/>
      <c r="AQ2627" s="16"/>
      <c r="AR2627" s="16"/>
      <c r="AS2627" s="16"/>
    </row>
    <row r="2628" spans="18:45" x14ac:dyDescent="0.35">
      <c r="R2628" s="191"/>
      <c r="S2628" s="191"/>
      <c r="T2628" s="193"/>
      <c r="U2628" s="191"/>
      <c r="V2628" s="194"/>
      <c r="W2628" s="191"/>
      <c r="Y2628" s="191"/>
      <c r="Z2628" s="191"/>
      <c r="AA2628" s="191"/>
      <c r="AB2628" s="191"/>
      <c r="AC2628" s="191"/>
      <c r="AD2628" s="16"/>
      <c r="AE2628" s="16"/>
      <c r="AF2628" s="16"/>
      <c r="AG2628" s="16"/>
      <c r="AH2628" s="16"/>
      <c r="AI2628" s="16"/>
      <c r="AJ2628" s="16"/>
      <c r="AK2628" s="16"/>
      <c r="AL2628" s="16"/>
      <c r="AM2628" s="16"/>
      <c r="AN2628" s="16"/>
      <c r="AO2628" s="16"/>
      <c r="AP2628" s="16"/>
      <c r="AQ2628" s="16"/>
      <c r="AR2628" s="16"/>
      <c r="AS2628" s="16"/>
    </row>
    <row r="2629" spans="18:45" x14ac:dyDescent="0.35">
      <c r="R2629" s="191"/>
      <c r="S2629" s="191"/>
      <c r="T2629" s="193"/>
      <c r="U2629" s="191"/>
      <c r="V2629" s="194"/>
      <c r="W2629" s="191"/>
      <c r="Y2629" s="191"/>
      <c r="Z2629" s="191"/>
      <c r="AA2629" s="191"/>
      <c r="AB2629" s="191"/>
      <c r="AC2629" s="191"/>
      <c r="AD2629" s="16"/>
      <c r="AE2629" s="16"/>
      <c r="AF2629" s="16"/>
      <c r="AG2629" s="16"/>
      <c r="AH2629" s="16"/>
      <c r="AI2629" s="16"/>
      <c r="AJ2629" s="16"/>
      <c r="AK2629" s="16"/>
      <c r="AL2629" s="16"/>
      <c r="AM2629" s="16"/>
      <c r="AN2629" s="16"/>
      <c r="AO2629" s="16"/>
      <c r="AP2629" s="16"/>
      <c r="AQ2629" s="16"/>
      <c r="AR2629" s="16"/>
      <c r="AS2629" s="16"/>
    </row>
    <row r="2630" spans="18:45" x14ac:dyDescent="0.35">
      <c r="R2630" s="191"/>
      <c r="S2630" s="191"/>
      <c r="T2630" s="193"/>
      <c r="U2630" s="191"/>
      <c r="V2630" s="194"/>
      <c r="W2630" s="191"/>
      <c r="Y2630" s="191"/>
      <c r="Z2630" s="191"/>
      <c r="AA2630" s="191"/>
      <c r="AB2630" s="191"/>
      <c r="AC2630" s="191"/>
      <c r="AD2630" s="16"/>
      <c r="AE2630" s="16"/>
      <c r="AF2630" s="16"/>
      <c r="AG2630" s="16"/>
      <c r="AH2630" s="16"/>
      <c r="AI2630" s="16"/>
      <c r="AJ2630" s="16"/>
      <c r="AK2630" s="16"/>
      <c r="AL2630" s="16"/>
      <c r="AM2630" s="16"/>
      <c r="AN2630" s="16"/>
      <c r="AO2630" s="16"/>
      <c r="AP2630" s="16"/>
      <c r="AQ2630" s="16"/>
      <c r="AR2630" s="16"/>
      <c r="AS2630" s="16"/>
    </row>
    <row r="2631" spans="18:45" x14ac:dyDescent="0.35">
      <c r="R2631" s="191"/>
      <c r="S2631" s="191"/>
      <c r="T2631" s="193"/>
      <c r="U2631" s="191"/>
      <c r="V2631" s="194"/>
      <c r="W2631" s="191"/>
      <c r="Y2631" s="191"/>
      <c r="Z2631" s="191"/>
      <c r="AA2631" s="191"/>
      <c r="AB2631" s="191"/>
      <c r="AC2631" s="191"/>
      <c r="AD2631" s="16"/>
      <c r="AE2631" s="16"/>
      <c r="AF2631" s="16"/>
      <c r="AG2631" s="16"/>
      <c r="AH2631" s="16"/>
      <c r="AI2631" s="16"/>
      <c r="AJ2631" s="16"/>
      <c r="AK2631" s="16"/>
      <c r="AL2631" s="16"/>
      <c r="AM2631" s="16"/>
      <c r="AN2631" s="16"/>
      <c r="AO2631" s="16"/>
      <c r="AP2631" s="16"/>
      <c r="AQ2631" s="16"/>
      <c r="AR2631" s="16"/>
      <c r="AS2631" s="16"/>
    </row>
    <row r="2632" spans="18:45" x14ac:dyDescent="0.35">
      <c r="R2632" s="191"/>
      <c r="S2632" s="191"/>
      <c r="T2632" s="193"/>
      <c r="U2632" s="191"/>
      <c r="V2632" s="194"/>
      <c r="W2632" s="191"/>
      <c r="Y2632" s="191"/>
      <c r="Z2632" s="191"/>
      <c r="AA2632" s="191"/>
      <c r="AB2632" s="191"/>
      <c r="AC2632" s="191"/>
      <c r="AD2632" s="16"/>
      <c r="AE2632" s="16"/>
      <c r="AF2632" s="16"/>
      <c r="AG2632" s="16"/>
      <c r="AH2632" s="16"/>
      <c r="AI2632" s="16"/>
      <c r="AJ2632" s="16"/>
      <c r="AK2632" s="16"/>
      <c r="AL2632" s="16"/>
      <c r="AM2632" s="16"/>
      <c r="AN2632" s="16"/>
      <c r="AO2632" s="16"/>
      <c r="AP2632" s="16"/>
      <c r="AQ2632" s="16"/>
      <c r="AR2632" s="16"/>
      <c r="AS2632" s="16"/>
    </row>
    <row r="2633" spans="18:45" x14ac:dyDescent="0.35">
      <c r="R2633" s="191"/>
      <c r="S2633" s="191"/>
      <c r="T2633" s="193"/>
      <c r="U2633" s="191"/>
      <c r="V2633" s="194"/>
      <c r="W2633" s="191"/>
      <c r="Y2633" s="191"/>
      <c r="Z2633" s="191"/>
      <c r="AA2633" s="191"/>
      <c r="AB2633" s="191"/>
      <c r="AC2633" s="191"/>
      <c r="AD2633" s="16"/>
      <c r="AE2633" s="16"/>
      <c r="AF2633" s="16"/>
      <c r="AG2633" s="16"/>
      <c r="AH2633" s="16"/>
      <c r="AI2633" s="16"/>
      <c r="AJ2633" s="16"/>
      <c r="AK2633" s="16"/>
      <c r="AL2633" s="16"/>
      <c r="AM2633" s="16"/>
      <c r="AN2633" s="16"/>
      <c r="AO2633" s="16"/>
      <c r="AP2633" s="16"/>
      <c r="AQ2633" s="16"/>
      <c r="AR2633" s="16"/>
      <c r="AS2633" s="16"/>
    </row>
    <row r="2634" spans="18:45" x14ac:dyDescent="0.35">
      <c r="R2634" s="191"/>
      <c r="S2634" s="191"/>
      <c r="T2634" s="193"/>
      <c r="U2634" s="191"/>
      <c r="V2634" s="194"/>
      <c r="W2634" s="191"/>
      <c r="Y2634" s="191"/>
      <c r="Z2634" s="191"/>
      <c r="AA2634" s="191"/>
      <c r="AB2634" s="191"/>
      <c r="AC2634" s="191"/>
      <c r="AD2634" s="16"/>
      <c r="AE2634" s="16"/>
      <c r="AF2634" s="16"/>
      <c r="AG2634" s="16"/>
      <c r="AH2634" s="16"/>
      <c r="AI2634" s="16"/>
      <c r="AJ2634" s="16"/>
      <c r="AK2634" s="16"/>
      <c r="AL2634" s="16"/>
      <c r="AM2634" s="16"/>
      <c r="AN2634" s="16"/>
      <c r="AO2634" s="16"/>
      <c r="AP2634" s="16"/>
      <c r="AQ2634" s="16"/>
      <c r="AR2634" s="16"/>
      <c r="AS2634" s="16"/>
    </row>
    <row r="2635" spans="18:45" x14ac:dyDescent="0.35">
      <c r="R2635" s="191"/>
      <c r="S2635" s="191"/>
      <c r="T2635" s="193"/>
      <c r="U2635" s="191"/>
      <c r="V2635" s="194"/>
      <c r="W2635" s="191"/>
      <c r="Y2635" s="191"/>
      <c r="Z2635" s="191"/>
      <c r="AA2635" s="191"/>
      <c r="AB2635" s="191"/>
      <c r="AC2635" s="191"/>
      <c r="AD2635" s="16"/>
      <c r="AE2635" s="16"/>
      <c r="AF2635" s="16"/>
      <c r="AG2635" s="16"/>
      <c r="AH2635" s="16"/>
      <c r="AI2635" s="16"/>
      <c r="AJ2635" s="16"/>
      <c r="AK2635" s="16"/>
      <c r="AL2635" s="16"/>
      <c r="AM2635" s="16"/>
      <c r="AN2635" s="16"/>
      <c r="AO2635" s="16"/>
      <c r="AP2635" s="16"/>
      <c r="AQ2635" s="16"/>
      <c r="AR2635" s="16"/>
      <c r="AS2635" s="16"/>
    </row>
    <row r="2636" spans="18:45" x14ac:dyDescent="0.35">
      <c r="R2636" s="191"/>
      <c r="S2636" s="191"/>
      <c r="T2636" s="193"/>
      <c r="U2636" s="191"/>
      <c r="V2636" s="194"/>
      <c r="W2636" s="191"/>
      <c r="Y2636" s="191"/>
      <c r="Z2636" s="191"/>
      <c r="AA2636" s="191"/>
      <c r="AB2636" s="191"/>
      <c r="AC2636" s="191"/>
      <c r="AD2636" s="16"/>
      <c r="AE2636" s="16"/>
      <c r="AF2636" s="16"/>
      <c r="AG2636" s="16"/>
      <c r="AH2636" s="16"/>
      <c r="AI2636" s="16"/>
      <c r="AJ2636" s="16"/>
      <c r="AK2636" s="16"/>
      <c r="AL2636" s="16"/>
      <c r="AM2636" s="16"/>
      <c r="AN2636" s="16"/>
      <c r="AO2636" s="16"/>
      <c r="AP2636" s="16"/>
      <c r="AQ2636" s="16"/>
      <c r="AR2636" s="16"/>
      <c r="AS2636" s="16"/>
    </row>
    <row r="2637" spans="18:45" x14ac:dyDescent="0.35">
      <c r="R2637" s="191"/>
      <c r="S2637" s="191"/>
      <c r="T2637" s="193"/>
      <c r="U2637" s="191"/>
      <c r="V2637" s="194"/>
      <c r="W2637" s="191"/>
      <c r="Y2637" s="191"/>
      <c r="Z2637" s="191"/>
      <c r="AA2637" s="191"/>
      <c r="AB2637" s="191"/>
      <c r="AC2637" s="191"/>
      <c r="AD2637" s="16"/>
      <c r="AE2637" s="16"/>
      <c r="AF2637" s="16"/>
      <c r="AG2637" s="16"/>
      <c r="AH2637" s="16"/>
      <c r="AI2637" s="16"/>
      <c r="AJ2637" s="16"/>
      <c r="AK2637" s="16"/>
      <c r="AL2637" s="16"/>
      <c r="AM2637" s="16"/>
      <c r="AN2637" s="16"/>
      <c r="AO2637" s="16"/>
      <c r="AP2637" s="16"/>
      <c r="AQ2637" s="16"/>
      <c r="AR2637" s="16"/>
      <c r="AS2637" s="16"/>
    </row>
    <row r="2638" spans="18:45" x14ac:dyDescent="0.35">
      <c r="R2638" s="191"/>
      <c r="S2638" s="191"/>
      <c r="T2638" s="193"/>
      <c r="U2638" s="191"/>
      <c r="V2638" s="194"/>
      <c r="W2638" s="191"/>
      <c r="Y2638" s="191"/>
      <c r="Z2638" s="191"/>
      <c r="AA2638" s="191"/>
      <c r="AB2638" s="191"/>
      <c r="AC2638" s="191"/>
      <c r="AD2638" s="16"/>
      <c r="AE2638" s="16"/>
      <c r="AF2638" s="16"/>
      <c r="AG2638" s="16"/>
      <c r="AH2638" s="16"/>
      <c r="AI2638" s="16"/>
      <c r="AJ2638" s="16"/>
      <c r="AK2638" s="16"/>
      <c r="AL2638" s="16"/>
      <c r="AM2638" s="16"/>
      <c r="AN2638" s="16"/>
      <c r="AO2638" s="16"/>
      <c r="AP2638" s="16"/>
      <c r="AQ2638" s="16"/>
      <c r="AR2638" s="16"/>
      <c r="AS2638" s="16"/>
    </row>
    <row r="2639" spans="18:45" x14ac:dyDescent="0.35">
      <c r="R2639" s="191"/>
      <c r="S2639" s="191"/>
      <c r="T2639" s="193"/>
      <c r="U2639" s="191"/>
      <c r="V2639" s="194"/>
      <c r="W2639" s="191"/>
      <c r="Y2639" s="191"/>
      <c r="Z2639" s="191"/>
      <c r="AA2639" s="191"/>
      <c r="AB2639" s="191"/>
      <c r="AC2639" s="191"/>
      <c r="AD2639" s="16"/>
      <c r="AE2639" s="16"/>
      <c r="AF2639" s="16"/>
      <c r="AG2639" s="16"/>
      <c r="AH2639" s="16"/>
      <c r="AI2639" s="16"/>
      <c r="AJ2639" s="16"/>
      <c r="AK2639" s="16"/>
      <c r="AL2639" s="16"/>
      <c r="AM2639" s="16"/>
      <c r="AN2639" s="16"/>
      <c r="AO2639" s="16"/>
      <c r="AP2639" s="16"/>
      <c r="AQ2639" s="16"/>
      <c r="AR2639" s="16"/>
      <c r="AS2639" s="16"/>
    </row>
    <row r="2640" spans="18:45" x14ac:dyDescent="0.35">
      <c r="R2640" s="191"/>
      <c r="S2640" s="191"/>
      <c r="T2640" s="193"/>
      <c r="U2640" s="191"/>
      <c r="V2640" s="194"/>
      <c r="W2640" s="191"/>
      <c r="Y2640" s="191"/>
      <c r="Z2640" s="191"/>
      <c r="AA2640" s="191"/>
      <c r="AB2640" s="191"/>
      <c r="AC2640" s="191"/>
      <c r="AD2640" s="16"/>
      <c r="AE2640" s="16"/>
      <c r="AF2640" s="16"/>
      <c r="AG2640" s="16"/>
      <c r="AH2640" s="16"/>
      <c r="AI2640" s="16"/>
      <c r="AJ2640" s="16"/>
      <c r="AK2640" s="16"/>
      <c r="AL2640" s="16"/>
      <c r="AM2640" s="16"/>
      <c r="AN2640" s="16"/>
      <c r="AO2640" s="16"/>
      <c r="AP2640" s="16"/>
      <c r="AQ2640" s="16"/>
      <c r="AR2640" s="16"/>
      <c r="AS2640" s="16"/>
    </row>
    <row r="2641" spans="18:45" x14ac:dyDescent="0.35">
      <c r="R2641" s="191"/>
      <c r="S2641" s="191"/>
      <c r="T2641" s="193"/>
      <c r="U2641" s="191"/>
      <c r="V2641" s="194"/>
      <c r="W2641" s="191"/>
      <c r="Y2641" s="191"/>
      <c r="Z2641" s="191"/>
      <c r="AA2641" s="191"/>
      <c r="AB2641" s="191"/>
      <c r="AC2641" s="191"/>
      <c r="AD2641" s="16"/>
      <c r="AE2641" s="16"/>
      <c r="AF2641" s="16"/>
      <c r="AG2641" s="16"/>
      <c r="AH2641" s="16"/>
      <c r="AI2641" s="16"/>
      <c r="AJ2641" s="16"/>
      <c r="AK2641" s="16"/>
      <c r="AL2641" s="16"/>
      <c r="AM2641" s="16"/>
      <c r="AN2641" s="16"/>
      <c r="AO2641" s="16"/>
      <c r="AP2641" s="16"/>
      <c r="AQ2641" s="16"/>
      <c r="AR2641" s="16"/>
      <c r="AS2641" s="16"/>
    </row>
    <row r="2642" spans="18:45" x14ac:dyDescent="0.35">
      <c r="R2642" s="191"/>
      <c r="S2642" s="191"/>
      <c r="T2642" s="193"/>
      <c r="U2642" s="191"/>
      <c r="V2642" s="194"/>
      <c r="W2642" s="191"/>
      <c r="Y2642" s="191"/>
      <c r="Z2642" s="191"/>
      <c r="AA2642" s="191"/>
      <c r="AB2642" s="191"/>
      <c r="AC2642" s="191"/>
      <c r="AD2642" s="16"/>
      <c r="AE2642" s="16"/>
      <c r="AF2642" s="16"/>
      <c r="AG2642" s="16"/>
      <c r="AH2642" s="16"/>
      <c r="AI2642" s="16"/>
      <c r="AJ2642" s="16"/>
      <c r="AK2642" s="16"/>
      <c r="AL2642" s="16"/>
      <c r="AM2642" s="16"/>
      <c r="AN2642" s="16"/>
      <c r="AO2642" s="16"/>
      <c r="AP2642" s="16"/>
      <c r="AQ2642" s="16"/>
      <c r="AR2642" s="16"/>
      <c r="AS2642" s="16"/>
    </row>
    <row r="2643" spans="18:45" x14ac:dyDescent="0.35">
      <c r="R2643" s="191"/>
      <c r="S2643" s="191"/>
      <c r="T2643" s="193"/>
      <c r="U2643" s="191"/>
      <c r="V2643" s="194"/>
      <c r="W2643" s="191"/>
      <c r="Y2643" s="191"/>
      <c r="Z2643" s="191"/>
      <c r="AA2643" s="191"/>
      <c r="AB2643" s="191"/>
      <c r="AC2643" s="191"/>
      <c r="AD2643" s="16"/>
      <c r="AE2643" s="16"/>
      <c r="AF2643" s="16"/>
      <c r="AG2643" s="16"/>
      <c r="AH2643" s="16"/>
      <c r="AI2643" s="16"/>
      <c r="AJ2643" s="16"/>
      <c r="AK2643" s="16"/>
      <c r="AL2643" s="16"/>
      <c r="AM2643" s="16"/>
      <c r="AN2643" s="16"/>
      <c r="AO2643" s="16"/>
      <c r="AP2643" s="16"/>
      <c r="AQ2643" s="16"/>
      <c r="AR2643" s="16"/>
      <c r="AS2643" s="16"/>
    </row>
    <row r="2644" spans="18:45" x14ac:dyDescent="0.35">
      <c r="R2644" s="191"/>
      <c r="S2644" s="191"/>
      <c r="T2644" s="193"/>
      <c r="U2644" s="191"/>
      <c r="V2644" s="194"/>
      <c r="W2644" s="191"/>
      <c r="Y2644" s="191"/>
      <c r="Z2644" s="191"/>
      <c r="AA2644" s="191"/>
      <c r="AB2644" s="191"/>
      <c r="AC2644" s="191"/>
      <c r="AD2644" s="16"/>
      <c r="AE2644" s="16"/>
      <c r="AF2644" s="16"/>
      <c r="AG2644" s="16"/>
      <c r="AH2644" s="16"/>
      <c r="AI2644" s="16"/>
      <c r="AJ2644" s="16"/>
      <c r="AK2644" s="16"/>
      <c r="AL2644" s="16"/>
      <c r="AM2644" s="16"/>
      <c r="AN2644" s="16"/>
      <c r="AO2644" s="16"/>
      <c r="AP2644" s="16"/>
      <c r="AQ2644" s="16"/>
      <c r="AR2644" s="16"/>
      <c r="AS2644" s="16"/>
    </row>
    <row r="2645" spans="18:45" x14ac:dyDescent="0.35">
      <c r="R2645" s="191"/>
      <c r="S2645" s="191"/>
      <c r="T2645" s="193"/>
      <c r="U2645" s="191"/>
      <c r="V2645" s="194"/>
      <c r="W2645" s="191"/>
      <c r="Y2645" s="191"/>
      <c r="Z2645" s="191"/>
      <c r="AA2645" s="191"/>
      <c r="AB2645" s="191"/>
      <c r="AC2645" s="191"/>
      <c r="AD2645" s="16"/>
      <c r="AE2645" s="16"/>
      <c r="AF2645" s="16"/>
      <c r="AG2645" s="16"/>
      <c r="AH2645" s="16"/>
      <c r="AI2645" s="16"/>
      <c r="AJ2645" s="16"/>
      <c r="AK2645" s="16"/>
      <c r="AL2645" s="16"/>
      <c r="AM2645" s="16"/>
      <c r="AN2645" s="16"/>
      <c r="AO2645" s="16"/>
      <c r="AP2645" s="16"/>
      <c r="AQ2645" s="16"/>
      <c r="AR2645" s="16"/>
      <c r="AS2645" s="16"/>
    </row>
    <row r="2646" spans="18:45" x14ac:dyDescent="0.35">
      <c r="R2646" s="191"/>
      <c r="S2646" s="191"/>
      <c r="T2646" s="193"/>
      <c r="U2646" s="191"/>
      <c r="V2646" s="194"/>
      <c r="W2646" s="191"/>
      <c r="Y2646" s="191"/>
      <c r="Z2646" s="191"/>
      <c r="AA2646" s="191"/>
      <c r="AB2646" s="191"/>
      <c r="AC2646" s="191"/>
      <c r="AD2646" s="16"/>
      <c r="AE2646" s="16"/>
      <c r="AF2646" s="16"/>
      <c r="AG2646" s="16"/>
      <c r="AH2646" s="16"/>
      <c r="AI2646" s="16"/>
      <c r="AJ2646" s="16"/>
      <c r="AK2646" s="16"/>
      <c r="AL2646" s="16"/>
      <c r="AM2646" s="16"/>
      <c r="AN2646" s="16"/>
      <c r="AO2646" s="16"/>
      <c r="AP2646" s="16"/>
      <c r="AQ2646" s="16"/>
      <c r="AR2646" s="16"/>
      <c r="AS2646" s="16"/>
    </row>
    <row r="2647" spans="18:45" x14ac:dyDescent="0.35">
      <c r="R2647" s="191"/>
      <c r="S2647" s="191"/>
      <c r="T2647" s="193"/>
      <c r="U2647" s="191"/>
      <c r="V2647" s="194"/>
      <c r="W2647" s="191"/>
      <c r="Y2647" s="191"/>
      <c r="Z2647" s="191"/>
      <c r="AA2647" s="191"/>
      <c r="AB2647" s="191"/>
      <c r="AC2647" s="191"/>
      <c r="AD2647" s="16"/>
      <c r="AE2647" s="16"/>
      <c r="AF2647" s="16"/>
      <c r="AG2647" s="16"/>
      <c r="AH2647" s="16"/>
      <c r="AI2647" s="16"/>
      <c r="AJ2647" s="16"/>
      <c r="AK2647" s="16"/>
      <c r="AL2647" s="16"/>
      <c r="AM2647" s="16"/>
      <c r="AN2647" s="16"/>
      <c r="AO2647" s="16"/>
      <c r="AP2647" s="16"/>
      <c r="AQ2647" s="16"/>
      <c r="AR2647" s="16"/>
      <c r="AS2647" s="16"/>
    </row>
    <row r="2648" spans="18:45" x14ac:dyDescent="0.35">
      <c r="R2648" s="191"/>
      <c r="S2648" s="191"/>
      <c r="T2648" s="193"/>
      <c r="U2648" s="191"/>
      <c r="V2648" s="194"/>
      <c r="W2648" s="191"/>
      <c r="Y2648" s="191"/>
      <c r="Z2648" s="191"/>
      <c r="AA2648" s="191"/>
      <c r="AB2648" s="191"/>
      <c r="AC2648" s="191"/>
      <c r="AD2648" s="16"/>
      <c r="AE2648" s="16"/>
      <c r="AF2648" s="16"/>
      <c r="AG2648" s="16"/>
      <c r="AH2648" s="16"/>
      <c r="AI2648" s="16"/>
      <c r="AJ2648" s="16"/>
      <c r="AK2648" s="16"/>
      <c r="AL2648" s="16"/>
      <c r="AM2648" s="16"/>
      <c r="AN2648" s="16"/>
      <c r="AO2648" s="16"/>
      <c r="AP2648" s="16"/>
      <c r="AQ2648" s="16"/>
      <c r="AR2648" s="16"/>
      <c r="AS2648" s="16"/>
    </row>
    <row r="2649" spans="18:45" x14ac:dyDescent="0.35">
      <c r="R2649" s="191"/>
      <c r="S2649" s="191"/>
      <c r="T2649" s="193"/>
      <c r="U2649" s="191"/>
      <c r="V2649" s="194"/>
      <c r="W2649" s="191"/>
      <c r="Y2649" s="191"/>
      <c r="Z2649" s="191"/>
      <c r="AA2649" s="191"/>
      <c r="AB2649" s="191"/>
      <c r="AC2649" s="191"/>
      <c r="AD2649" s="16"/>
      <c r="AE2649" s="16"/>
      <c r="AF2649" s="16"/>
      <c r="AG2649" s="16"/>
      <c r="AH2649" s="16"/>
      <c r="AI2649" s="16"/>
      <c r="AJ2649" s="16"/>
      <c r="AK2649" s="16"/>
      <c r="AL2649" s="16"/>
      <c r="AM2649" s="16"/>
      <c r="AN2649" s="16"/>
      <c r="AO2649" s="16"/>
      <c r="AP2649" s="16"/>
      <c r="AQ2649" s="16"/>
      <c r="AR2649" s="16"/>
      <c r="AS2649" s="16"/>
    </row>
    <row r="2650" spans="18:45" x14ac:dyDescent="0.35">
      <c r="R2650" s="191"/>
      <c r="S2650" s="191"/>
      <c r="T2650" s="193"/>
      <c r="U2650" s="191"/>
      <c r="V2650" s="194"/>
      <c r="W2650" s="191"/>
      <c r="Y2650" s="191"/>
      <c r="Z2650" s="191"/>
      <c r="AA2650" s="191"/>
      <c r="AB2650" s="191"/>
      <c r="AC2650" s="191"/>
      <c r="AD2650" s="16"/>
      <c r="AE2650" s="16"/>
      <c r="AF2650" s="16"/>
      <c r="AG2650" s="16"/>
      <c r="AH2650" s="16"/>
      <c r="AI2650" s="16"/>
      <c r="AJ2650" s="16"/>
      <c r="AK2650" s="16"/>
      <c r="AL2650" s="16"/>
      <c r="AM2650" s="16"/>
      <c r="AN2650" s="16"/>
      <c r="AO2650" s="16"/>
      <c r="AP2650" s="16"/>
      <c r="AQ2650" s="16"/>
      <c r="AR2650" s="16"/>
      <c r="AS2650" s="16"/>
    </row>
    <row r="2651" spans="18:45" x14ac:dyDescent="0.35">
      <c r="R2651" s="191"/>
      <c r="S2651" s="191"/>
      <c r="T2651" s="193"/>
      <c r="U2651" s="191"/>
      <c r="V2651" s="194"/>
      <c r="W2651" s="191"/>
      <c r="Y2651" s="191"/>
      <c r="Z2651" s="191"/>
      <c r="AA2651" s="191"/>
      <c r="AB2651" s="191"/>
      <c r="AC2651" s="191"/>
      <c r="AD2651" s="16"/>
      <c r="AE2651" s="16"/>
      <c r="AF2651" s="16"/>
      <c r="AG2651" s="16"/>
      <c r="AH2651" s="16"/>
      <c r="AI2651" s="16"/>
      <c r="AJ2651" s="16"/>
      <c r="AK2651" s="16"/>
      <c r="AL2651" s="16"/>
      <c r="AM2651" s="16"/>
      <c r="AN2651" s="16"/>
      <c r="AO2651" s="16"/>
      <c r="AP2651" s="16"/>
      <c r="AQ2651" s="16"/>
      <c r="AR2651" s="16"/>
      <c r="AS2651" s="16"/>
    </row>
    <row r="2652" spans="18:45" x14ac:dyDescent="0.35">
      <c r="R2652" s="191"/>
      <c r="S2652" s="191"/>
      <c r="T2652" s="193"/>
      <c r="U2652" s="191"/>
      <c r="V2652" s="194"/>
      <c r="W2652" s="191"/>
      <c r="Y2652" s="191"/>
      <c r="Z2652" s="191"/>
      <c r="AA2652" s="191"/>
      <c r="AB2652" s="191"/>
      <c r="AC2652" s="191"/>
      <c r="AD2652" s="16"/>
      <c r="AE2652" s="16"/>
      <c r="AF2652" s="16"/>
      <c r="AG2652" s="16"/>
      <c r="AH2652" s="16"/>
      <c r="AI2652" s="16"/>
      <c r="AJ2652" s="16"/>
      <c r="AK2652" s="16"/>
      <c r="AL2652" s="16"/>
      <c r="AM2652" s="16"/>
      <c r="AN2652" s="16"/>
      <c r="AO2652" s="16"/>
      <c r="AP2652" s="16"/>
      <c r="AQ2652" s="16"/>
      <c r="AR2652" s="16"/>
      <c r="AS2652" s="16"/>
    </row>
    <row r="2653" spans="18:45" x14ac:dyDescent="0.35">
      <c r="R2653" s="191"/>
      <c r="S2653" s="191"/>
      <c r="T2653" s="193"/>
      <c r="U2653" s="191"/>
      <c r="V2653" s="194"/>
      <c r="W2653" s="191"/>
      <c r="Y2653" s="191"/>
      <c r="Z2653" s="191"/>
      <c r="AA2653" s="191"/>
      <c r="AB2653" s="191"/>
      <c r="AC2653" s="191"/>
      <c r="AD2653" s="16"/>
      <c r="AE2653" s="16"/>
      <c r="AF2653" s="16"/>
      <c r="AG2653" s="16"/>
      <c r="AH2653" s="16"/>
      <c r="AI2653" s="16"/>
      <c r="AJ2653" s="16"/>
      <c r="AK2653" s="16"/>
      <c r="AL2653" s="16"/>
      <c r="AM2653" s="16"/>
      <c r="AN2653" s="16"/>
      <c r="AO2653" s="16"/>
      <c r="AP2653" s="16"/>
      <c r="AQ2653" s="16"/>
      <c r="AR2653" s="16"/>
      <c r="AS2653" s="16"/>
    </row>
    <row r="2654" spans="18:45" x14ac:dyDescent="0.35">
      <c r="R2654" s="191"/>
      <c r="S2654" s="191"/>
      <c r="T2654" s="193"/>
      <c r="U2654" s="191"/>
      <c r="V2654" s="194"/>
      <c r="W2654" s="191"/>
      <c r="Y2654" s="191"/>
      <c r="Z2654" s="191"/>
      <c r="AA2654" s="191"/>
      <c r="AB2654" s="191"/>
      <c r="AC2654" s="191"/>
      <c r="AD2654" s="16"/>
      <c r="AE2654" s="16"/>
      <c r="AF2654" s="16"/>
      <c r="AG2654" s="16"/>
      <c r="AH2654" s="16"/>
      <c r="AI2654" s="16"/>
      <c r="AJ2654" s="16"/>
      <c r="AK2654" s="16"/>
      <c r="AL2654" s="16"/>
      <c r="AM2654" s="16"/>
      <c r="AN2654" s="16"/>
      <c r="AO2654" s="16"/>
      <c r="AP2654" s="16"/>
      <c r="AQ2654" s="16"/>
      <c r="AR2654" s="16"/>
      <c r="AS2654" s="16"/>
    </row>
    <row r="2655" spans="18:45" x14ac:dyDescent="0.35">
      <c r="R2655" s="191"/>
      <c r="S2655" s="191"/>
      <c r="T2655" s="193"/>
      <c r="U2655" s="191"/>
      <c r="V2655" s="194"/>
      <c r="W2655" s="191"/>
      <c r="Y2655" s="191"/>
      <c r="Z2655" s="191"/>
      <c r="AA2655" s="191"/>
      <c r="AB2655" s="191"/>
      <c r="AC2655" s="191"/>
      <c r="AD2655" s="16"/>
      <c r="AE2655" s="16"/>
      <c r="AF2655" s="16"/>
      <c r="AG2655" s="16"/>
      <c r="AH2655" s="16"/>
      <c r="AI2655" s="16"/>
      <c r="AJ2655" s="16"/>
      <c r="AK2655" s="16"/>
      <c r="AL2655" s="16"/>
      <c r="AM2655" s="16"/>
      <c r="AN2655" s="16"/>
      <c r="AO2655" s="16"/>
      <c r="AP2655" s="16"/>
      <c r="AQ2655" s="16"/>
      <c r="AR2655" s="16"/>
      <c r="AS2655" s="16"/>
    </row>
    <row r="2656" spans="18:45" x14ac:dyDescent="0.35">
      <c r="R2656" s="191"/>
      <c r="S2656" s="191"/>
      <c r="T2656" s="193"/>
      <c r="U2656" s="191"/>
      <c r="V2656" s="194"/>
      <c r="W2656" s="191"/>
      <c r="Y2656" s="191"/>
      <c r="Z2656" s="191"/>
      <c r="AA2656" s="191"/>
      <c r="AB2656" s="191"/>
      <c r="AC2656" s="191"/>
      <c r="AD2656" s="16"/>
      <c r="AE2656" s="16"/>
      <c r="AF2656" s="16"/>
      <c r="AG2656" s="16"/>
      <c r="AH2656" s="16"/>
      <c r="AI2656" s="16"/>
      <c r="AJ2656" s="16"/>
      <c r="AK2656" s="16"/>
      <c r="AL2656" s="16"/>
      <c r="AM2656" s="16"/>
      <c r="AN2656" s="16"/>
      <c r="AO2656" s="16"/>
      <c r="AP2656" s="16"/>
      <c r="AQ2656" s="16"/>
      <c r="AR2656" s="16"/>
      <c r="AS2656" s="16"/>
    </row>
    <row r="2657" spans="18:45" x14ac:dyDescent="0.35">
      <c r="R2657" s="191"/>
      <c r="S2657" s="191"/>
      <c r="T2657" s="193"/>
      <c r="U2657" s="191"/>
      <c r="V2657" s="194"/>
      <c r="W2657" s="191"/>
      <c r="Y2657" s="191"/>
      <c r="Z2657" s="191"/>
      <c r="AA2657" s="191"/>
      <c r="AB2657" s="191"/>
      <c r="AC2657" s="191"/>
      <c r="AD2657" s="16"/>
      <c r="AE2657" s="16"/>
      <c r="AF2657" s="16"/>
      <c r="AG2657" s="16"/>
      <c r="AH2657" s="16"/>
      <c r="AI2657" s="16"/>
      <c r="AJ2657" s="16"/>
      <c r="AK2657" s="16"/>
      <c r="AL2657" s="16"/>
      <c r="AM2657" s="16"/>
      <c r="AN2657" s="16"/>
      <c r="AO2657" s="16"/>
      <c r="AP2657" s="16"/>
      <c r="AQ2657" s="16"/>
      <c r="AR2657" s="16"/>
      <c r="AS2657" s="16"/>
    </row>
    <row r="2658" spans="18:45" x14ac:dyDescent="0.35">
      <c r="R2658" s="191"/>
      <c r="S2658" s="191"/>
      <c r="T2658" s="193"/>
      <c r="U2658" s="191"/>
      <c r="V2658" s="194"/>
      <c r="W2658" s="191"/>
      <c r="Y2658" s="191"/>
      <c r="Z2658" s="191"/>
      <c r="AA2658" s="191"/>
      <c r="AB2658" s="191"/>
      <c r="AC2658" s="191"/>
      <c r="AD2658" s="16"/>
      <c r="AE2658" s="16"/>
      <c r="AF2658" s="16"/>
      <c r="AG2658" s="16"/>
      <c r="AH2658" s="16"/>
      <c r="AI2658" s="16"/>
      <c r="AJ2658" s="16"/>
      <c r="AK2658" s="16"/>
      <c r="AL2658" s="16"/>
      <c r="AM2658" s="16"/>
      <c r="AN2658" s="16"/>
      <c r="AO2658" s="16"/>
      <c r="AP2658" s="16"/>
      <c r="AQ2658" s="16"/>
      <c r="AR2658" s="16"/>
      <c r="AS2658" s="16"/>
    </row>
    <row r="2659" spans="18:45" x14ac:dyDescent="0.35">
      <c r="R2659" s="191"/>
      <c r="S2659" s="191"/>
      <c r="T2659" s="193"/>
      <c r="U2659" s="191"/>
      <c r="V2659" s="194"/>
      <c r="W2659" s="191"/>
      <c r="Y2659" s="191"/>
      <c r="Z2659" s="191"/>
      <c r="AA2659" s="191"/>
      <c r="AB2659" s="191"/>
      <c r="AC2659" s="191"/>
      <c r="AD2659" s="16"/>
      <c r="AE2659" s="16"/>
      <c r="AF2659" s="16"/>
      <c r="AG2659" s="16"/>
      <c r="AH2659" s="16"/>
      <c r="AI2659" s="16"/>
      <c r="AJ2659" s="16"/>
      <c r="AK2659" s="16"/>
      <c r="AL2659" s="16"/>
      <c r="AM2659" s="16"/>
      <c r="AN2659" s="16"/>
      <c r="AO2659" s="16"/>
      <c r="AP2659" s="16"/>
      <c r="AQ2659" s="16"/>
      <c r="AR2659" s="16"/>
      <c r="AS2659" s="16"/>
    </row>
    <row r="2660" spans="18:45" x14ac:dyDescent="0.35">
      <c r="R2660" s="191"/>
      <c r="S2660" s="191"/>
      <c r="T2660" s="193"/>
      <c r="U2660" s="191"/>
      <c r="V2660" s="194"/>
      <c r="W2660" s="191"/>
      <c r="Y2660" s="191"/>
      <c r="Z2660" s="191"/>
      <c r="AA2660" s="191"/>
      <c r="AB2660" s="191"/>
      <c r="AC2660" s="191"/>
      <c r="AD2660" s="16"/>
      <c r="AE2660" s="16"/>
      <c r="AF2660" s="16"/>
      <c r="AG2660" s="16"/>
      <c r="AH2660" s="16"/>
      <c r="AI2660" s="16"/>
      <c r="AJ2660" s="16"/>
      <c r="AK2660" s="16"/>
      <c r="AL2660" s="16"/>
      <c r="AM2660" s="16"/>
      <c r="AN2660" s="16"/>
      <c r="AO2660" s="16"/>
      <c r="AP2660" s="16"/>
      <c r="AQ2660" s="16"/>
      <c r="AR2660" s="16"/>
      <c r="AS2660" s="16"/>
    </row>
    <row r="2661" spans="18:45" x14ac:dyDescent="0.35">
      <c r="R2661" s="191"/>
      <c r="S2661" s="191"/>
      <c r="T2661" s="193"/>
      <c r="U2661" s="191"/>
      <c r="V2661" s="194"/>
      <c r="W2661" s="191"/>
      <c r="Y2661" s="191"/>
      <c r="Z2661" s="191"/>
      <c r="AA2661" s="191"/>
      <c r="AB2661" s="191"/>
      <c r="AC2661" s="191"/>
      <c r="AD2661" s="16"/>
      <c r="AE2661" s="16"/>
      <c r="AF2661" s="16"/>
      <c r="AG2661" s="16"/>
      <c r="AH2661" s="16"/>
      <c r="AI2661" s="16"/>
      <c r="AJ2661" s="16"/>
      <c r="AK2661" s="16"/>
      <c r="AL2661" s="16"/>
      <c r="AM2661" s="16"/>
      <c r="AN2661" s="16"/>
      <c r="AO2661" s="16"/>
      <c r="AP2661" s="16"/>
      <c r="AQ2661" s="16"/>
      <c r="AR2661" s="16"/>
      <c r="AS2661" s="16"/>
    </row>
    <row r="2662" spans="18:45" x14ac:dyDescent="0.35">
      <c r="R2662" s="191"/>
      <c r="S2662" s="191"/>
      <c r="T2662" s="193"/>
      <c r="U2662" s="191"/>
      <c r="V2662" s="194"/>
      <c r="W2662" s="191"/>
      <c r="Y2662" s="191"/>
      <c r="Z2662" s="191"/>
      <c r="AA2662" s="191"/>
      <c r="AB2662" s="191"/>
      <c r="AC2662" s="191"/>
      <c r="AD2662" s="16"/>
      <c r="AE2662" s="16"/>
      <c r="AF2662" s="16"/>
      <c r="AG2662" s="16"/>
      <c r="AH2662" s="16"/>
      <c r="AI2662" s="16"/>
      <c r="AJ2662" s="16"/>
      <c r="AK2662" s="16"/>
      <c r="AL2662" s="16"/>
      <c r="AM2662" s="16"/>
      <c r="AN2662" s="16"/>
      <c r="AO2662" s="16"/>
      <c r="AP2662" s="16"/>
      <c r="AQ2662" s="16"/>
      <c r="AR2662" s="16"/>
      <c r="AS2662" s="16"/>
    </row>
    <row r="2663" spans="18:45" x14ac:dyDescent="0.35">
      <c r="R2663" s="191"/>
      <c r="S2663" s="191"/>
      <c r="T2663" s="193"/>
      <c r="U2663" s="191"/>
      <c r="V2663" s="194"/>
      <c r="W2663" s="191"/>
      <c r="Y2663" s="191"/>
      <c r="Z2663" s="191"/>
      <c r="AA2663" s="191"/>
      <c r="AB2663" s="191"/>
      <c r="AC2663" s="191"/>
      <c r="AD2663" s="16"/>
      <c r="AE2663" s="16"/>
      <c r="AF2663" s="16"/>
      <c r="AG2663" s="16"/>
      <c r="AH2663" s="16"/>
      <c r="AI2663" s="16"/>
      <c r="AJ2663" s="16"/>
      <c r="AK2663" s="16"/>
      <c r="AL2663" s="16"/>
      <c r="AM2663" s="16"/>
      <c r="AN2663" s="16"/>
      <c r="AO2663" s="16"/>
      <c r="AP2663" s="16"/>
      <c r="AQ2663" s="16"/>
      <c r="AR2663" s="16"/>
      <c r="AS2663" s="16"/>
    </row>
    <row r="2664" spans="18:45" x14ac:dyDescent="0.35">
      <c r="R2664" s="191"/>
      <c r="S2664" s="191"/>
      <c r="T2664" s="193"/>
      <c r="U2664" s="191"/>
      <c r="V2664" s="194"/>
      <c r="W2664" s="191"/>
      <c r="Y2664" s="191"/>
      <c r="Z2664" s="191"/>
      <c r="AA2664" s="191"/>
      <c r="AB2664" s="191"/>
      <c r="AC2664" s="191"/>
      <c r="AD2664" s="16"/>
      <c r="AE2664" s="16"/>
      <c r="AF2664" s="16"/>
      <c r="AG2664" s="16"/>
      <c r="AH2664" s="16"/>
      <c r="AI2664" s="16"/>
      <c r="AJ2664" s="16"/>
      <c r="AK2664" s="16"/>
      <c r="AL2664" s="16"/>
      <c r="AM2664" s="16"/>
      <c r="AN2664" s="16"/>
      <c r="AO2664" s="16"/>
      <c r="AP2664" s="16"/>
      <c r="AQ2664" s="16"/>
      <c r="AR2664" s="16"/>
      <c r="AS2664" s="16"/>
    </row>
    <row r="2665" spans="18:45" x14ac:dyDescent="0.35">
      <c r="R2665" s="191"/>
      <c r="S2665" s="191"/>
      <c r="T2665" s="193"/>
      <c r="U2665" s="191"/>
      <c r="V2665" s="194"/>
      <c r="W2665" s="191"/>
      <c r="Y2665" s="191"/>
      <c r="Z2665" s="191"/>
      <c r="AA2665" s="191"/>
      <c r="AB2665" s="191"/>
      <c r="AC2665" s="191"/>
      <c r="AD2665" s="16"/>
      <c r="AE2665" s="16"/>
      <c r="AF2665" s="16"/>
      <c r="AG2665" s="16"/>
      <c r="AH2665" s="16"/>
      <c r="AI2665" s="16"/>
      <c r="AJ2665" s="16"/>
      <c r="AK2665" s="16"/>
      <c r="AL2665" s="16"/>
      <c r="AM2665" s="16"/>
      <c r="AN2665" s="16"/>
      <c r="AO2665" s="16"/>
      <c r="AP2665" s="16"/>
      <c r="AQ2665" s="16"/>
      <c r="AR2665" s="16"/>
      <c r="AS2665" s="16"/>
    </row>
    <row r="2666" spans="18:45" x14ac:dyDescent="0.35">
      <c r="R2666" s="191"/>
      <c r="S2666" s="191"/>
      <c r="T2666" s="193"/>
      <c r="U2666" s="191"/>
      <c r="V2666" s="194"/>
      <c r="W2666" s="191"/>
      <c r="Y2666" s="191"/>
      <c r="Z2666" s="191"/>
      <c r="AA2666" s="191"/>
      <c r="AB2666" s="191"/>
      <c r="AC2666" s="191"/>
      <c r="AD2666" s="16"/>
      <c r="AE2666" s="16"/>
      <c r="AF2666" s="16"/>
      <c r="AG2666" s="16"/>
      <c r="AH2666" s="16"/>
      <c r="AI2666" s="16"/>
      <c r="AJ2666" s="16"/>
      <c r="AK2666" s="16"/>
      <c r="AL2666" s="16"/>
      <c r="AM2666" s="16"/>
      <c r="AN2666" s="16"/>
      <c r="AO2666" s="16"/>
      <c r="AP2666" s="16"/>
      <c r="AQ2666" s="16"/>
      <c r="AR2666" s="16"/>
      <c r="AS2666" s="16"/>
    </row>
    <row r="2667" spans="18:45" x14ac:dyDescent="0.35">
      <c r="R2667" s="191"/>
      <c r="S2667" s="191"/>
      <c r="T2667" s="193"/>
      <c r="U2667" s="191"/>
      <c r="V2667" s="194"/>
      <c r="W2667" s="191"/>
      <c r="Y2667" s="191"/>
      <c r="Z2667" s="191"/>
      <c r="AA2667" s="191"/>
      <c r="AB2667" s="191"/>
      <c r="AC2667" s="191"/>
      <c r="AD2667" s="16"/>
      <c r="AE2667" s="16"/>
      <c r="AF2667" s="16"/>
      <c r="AG2667" s="16"/>
      <c r="AH2667" s="16"/>
      <c r="AI2667" s="16"/>
      <c r="AJ2667" s="16"/>
      <c r="AK2667" s="16"/>
      <c r="AL2667" s="16"/>
      <c r="AM2667" s="16"/>
      <c r="AN2667" s="16"/>
      <c r="AO2667" s="16"/>
      <c r="AP2667" s="16"/>
      <c r="AQ2667" s="16"/>
      <c r="AR2667" s="16"/>
      <c r="AS2667" s="16"/>
    </row>
    <row r="2668" spans="18:45" x14ac:dyDescent="0.35">
      <c r="R2668" s="191"/>
      <c r="S2668" s="191"/>
      <c r="T2668" s="193"/>
      <c r="U2668" s="191"/>
      <c r="V2668" s="194"/>
      <c r="W2668" s="191"/>
      <c r="Y2668" s="191"/>
      <c r="Z2668" s="191"/>
      <c r="AA2668" s="191"/>
      <c r="AB2668" s="191"/>
      <c r="AC2668" s="191"/>
      <c r="AD2668" s="16"/>
      <c r="AE2668" s="16"/>
      <c r="AF2668" s="16"/>
      <c r="AG2668" s="16"/>
      <c r="AH2668" s="16"/>
      <c r="AI2668" s="16"/>
      <c r="AJ2668" s="16"/>
      <c r="AK2668" s="16"/>
      <c r="AL2668" s="16"/>
      <c r="AM2668" s="16"/>
      <c r="AN2668" s="16"/>
      <c r="AO2668" s="16"/>
      <c r="AP2668" s="16"/>
      <c r="AQ2668" s="16"/>
      <c r="AR2668" s="16"/>
      <c r="AS2668" s="16"/>
    </row>
    <row r="2669" spans="18:45" x14ac:dyDescent="0.35">
      <c r="R2669" s="191"/>
      <c r="S2669" s="191"/>
      <c r="T2669" s="193"/>
      <c r="U2669" s="191"/>
      <c r="V2669" s="194"/>
      <c r="W2669" s="191"/>
      <c r="Y2669" s="191"/>
      <c r="Z2669" s="191"/>
      <c r="AA2669" s="191"/>
      <c r="AB2669" s="191"/>
      <c r="AC2669" s="191"/>
      <c r="AD2669" s="16"/>
      <c r="AE2669" s="16"/>
      <c r="AF2669" s="16"/>
      <c r="AG2669" s="16"/>
      <c r="AH2669" s="16"/>
      <c r="AI2669" s="16"/>
      <c r="AJ2669" s="16"/>
      <c r="AK2669" s="16"/>
      <c r="AL2669" s="16"/>
      <c r="AM2669" s="16"/>
      <c r="AN2669" s="16"/>
      <c r="AO2669" s="16"/>
      <c r="AP2669" s="16"/>
      <c r="AQ2669" s="16"/>
      <c r="AR2669" s="16"/>
      <c r="AS2669" s="16"/>
    </row>
    <row r="2670" spans="18:45" x14ac:dyDescent="0.35">
      <c r="R2670" s="191"/>
      <c r="S2670" s="191"/>
      <c r="T2670" s="193"/>
      <c r="U2670" s="191"/>
      <c r="V2670" s="194"/>
      <c r="W2670" s="191"/>
      <c r="Y2670" s="191"/>
      <c r="Z2670" s="191"/>
      <c r="AA2670" s="191"/>
      <c r="AB2670" s="191"/>
      <c r="AC2670" s="191"/>
      <c r="AD2670" s="16"/>
      <c r="AE2670" s="16"/>
      <c r="AF2670" s="16"/>
      <c r="AG2670" s="16"/>
      <c r="AH2670" s="16"/>
      <c r="AI2670" s="16"/>
      <c r="AJ2670" s="16"/>
      <c r="AK2670" s="16"/>
      <c r="AL2670" s="16"/>
      <c r="AM2670" s="16"/>
      <c r="AN2670" s="16"/>
      <c r="AO2670" s="16"/>
      <c r="AP2670" s="16"/>
      <c r="AQ2670" s="16"/>
      <c r="AR2670" s="16"/>
      <c r="AS2670" s="16"/>
    </row>
    <row r="2671" spans="18:45" x14ac:dyDescent="0.35">
      <c r="R2671" s="191"/>
      <c r="S2671" s="191"/>
      <c r="T2671" s="193"/>
      <c r="U2671" s="191"/>
      <c r="V2671" s="194"/>
      <c r="W2671" s="191"/>
      <c r="Y2671" s="191"/>
      <c r="Z2671" s="191"/>
      <c r="AA2671" s="191"/>
      <c r="AB2671" s="191"/>
      <c r="AC2671" s="191"/>
      <c r="AD2671" s="16"/>
      <c r="AE2671" s="16"/>
      <c r="AF2671" s="16"/>
      <c r="AG2671" s="16"/>
      <c r="AH2671" s="16"/>
      <c r="AI2671" s="16"/>
      <c r="AJ2671" s="16"/>
      <c r="AK2671" s="16"/>
      <c r="AL2671" s="16"/>
      <c r="AM2671" s="16"/>
      <c r="AN2671" s="16"/>
      <c r="AO2671" s="16"/>
      <c r="AP2671" s="16"/>
      <c r="AQ2671" s="16"/>
      <c r="AR2671" s="16"/>
      <c r="AS2671" s="16"/>
    </row>
    <row r="2672" spans="18:45" x14ac:dyDescent="0.35">
      <c r="R2672" s="191"/>
      <c r="S2672" s="191"/>
      <c r="T2672" s="193"/>
      <c r="U2672" s="191"/>
      <c r="V2672" s="194"/>
      <c r="W2672" s="191"/>
      <c r="Y2672" s="191"/>
      <c r="Z2672" s="191"/>
      <c r="AA2672" s="191"/>
      <c r="AB2672" s="191"/>
      <c r="AC2672" s="191"/>
      <c r="AD2672" s="16"/>
      <c r="AE2672" s="16"/>
      <c r="AF2672" s="16"/>
      <c r="AG2672" s="16"/>
      <c r="AH2672" s="16"/>
      <c r="AI2672" s="16"/>
      <c r="AJ2672" s="16"/>
      <c r="AK2672" s="16"/>
      <c r="AL2672" s="16"/>
      <c r="AM2672" s="16"/>
      <c r="AN2672" s="16"/>
      <c r="AO2672" s="16"/>
      <c r="AP2672" s="16"/>
      <c r="AQ2672" s="16"/>
      <c r="AR2672" s="16"/>
      <c r="AS2672" s="16"/>
    </row>
    <row r="2673" spans="18:45" x14ac:dyDescent="0.35">
      <c r="R2673" s="191"/>
      <c r="S2673" s="191"/>
      <c r="T2673" s="193"/>
      <c r="U2673" s="191"/>
      <c r="V2673" s="194"/>
      <c r="W2673" s="191"/>
      <c r="Y2673" s="191"/>
      <c r="Z2673" s="191"/>
      <c r="AA2673" s="191"/>
      <c r="AB2673" s="191"/>
      <c r="AC2673" s="191"/>
      <c r="AD2673" s="16"/>
      <c r="AE2673" s="16"/>
      <c r="AF2673" s="16"/>
      <c r="AG2673" s="16"/>
      <c r="AH2673" s="16"/>
      <c r="AI2673" s="16"/>
      <c r="AJ2673" s="16"/>
      <c r="AK2673" s="16"/>
      <c r="AL2673" s="16"/>
      <c r="AM2673" s="16"/>
      <c r="AN2673" s="16"/>
      <c r="AO2673" s="16"/>
      <c r="AP2673" s="16"/>
      <c r="AQ2673" s="16"/>
      <c r="AR2673" s="16"/>
      <c r="AS2673" s="16"/>
    </row>
    <row r="2674" spans="18:45" x14ac:dyDescent="0.35">
      <c r="R2674" s="191"/>
      <c r="S2674" s="191"/>
      <c r="T2674" s="193"/>
      <c r="U2674" s="191"/>
      <c r="V2674" s="194"/>
      <c r="W2674" s="191"/>
      <c r="Y2674" s="191"/>
      <c r="Z2674" s="191"/>
      <c r="AA2674" s="191"/>
      <c r="AB2674" s="191"/>
      <c r="AC2674" s="191"/>
      <c r="AD2674" s="16"/>
      <c r="AE2674" s="16"/>
      <c r="AF2674" s="16"/>
      <c r="AG2674" s="16"/>
      <c r="AH2674" s="16"/>
      <c r="AI2674" s="16"/>
      <c r="AJ2674" s="16"/>
      <c r="AK2674" s="16"/>
      <c r="AL2674" s="16"/>
      <c r="AM2674" s="16"/>
      <c r="AN2674" s="16"/>
      <c r="AO2674" s="16"/>
      <c r="AP2674" s="16"/>
      <c r="AQ2674" s="16"/>
      <c r="AR2674" s="16"/>
      <c r="AS2674" s="16"/>
    </row>
    <row r="2675" spans="18:45" x14ac:dyDescent="0.35">
      <c r="R2675" s="191"/>
      <c r="S2675" s="191"/>
      <c r="T2675" s="193"/>
      <c r="U2675" s="191"/>
      <c r="V2675" s="194"/>
      <c r="W2675" s="191"/>
      <c r="Y2675" s="191"/>
      <c r="Z2675" s="191"/>
      <c r="AA2675" s="191"/>
      <c r="AB2675" s="191"/>
      <c r="AC2675" s="191"/>
      <c r="AD2675" s="16"/>
      <c r="AE2675" s="16"/>
      <c r="AF2675" s="16"/>
      <c r="AG2675" s="16"/>
      <c r="AH2675" s="16"/>
      <c r="AI2675" s="16"/>
      <c r="AJ2675" s="16"/>
      <c r="AK2675" s="16"/>
      <c r="AL2675" s="16"/>
      <c r="AM2675" s="16"/>
      <c r="AN2675" s="16"/>
      <c r="AO2675" s="16"/>
      <c r="AP2675" s="16"/>
      <c r="AQ2675" s="16"/>
      <c r="AR2675" s="16"/>
      <c r="AS2675" s="16"/>
    </row>
    <row r="2676" spans="18:45" x14ac:dyDescent="0.35">
      <c r="R2676" s="191"/>
      <c r="S2676" s="191"/>
      <c r="T2676" s="193"/>
      <c r="U2676" s="191"/>
      <c r="V2676" s="194"/>
      <c r="W2676" s="191"/>
      <c r="Y2676" s="191"/>
      <c r="Z2676" s="191"/>
      <c r="AA2676" s="191"/>
      <c r="AB2676" s="191"/>
      <c r="AC2676" s="191"/>
      <c r="AD2676" s="16"/>
      <c r="AE2676" s="16"/>
      <c r="AF2676" s="16"/>
      <c r="AG2676" s="16"/>
      <c r="AH2676" s="16"/>
      <c r="AI2676" s="16"/>
      <c r="AJ2676" s="16"/>
      <c r="AK2676" s="16"/>
      <c r="AL2676" s="16"/>
      <c r="AM2676" s="16"/>
      <c r="AN2676" s="16"/>
      <c r="AO2676" s="16"/>
      <c r="AP2676" s="16"/>
      <c r="AQ2676" s="16"/>
      <c r="AR2676" s="16"/>
      <c r="AS2676" s="16"/>
    </row>
    <row r="2677" spans="18:45" x14ac:dyDescent="0.35">
      <c r="R2677" s="191"/>
      <c r="S2677" s="191"/>
      <c r="T2677" s="193"/>
      <c r="U2677" s="191"/>
      <c r="V2677" s="194"/>
      <c r="W2677" s="191"/>
      <c r="Y2677" s="191"/>
      <c r="Z2677" s="191"/>
      <c r="AA2677" s="191"/>
      <c r="AB2677" s="191"/>
      <c r="AC2677" s="191"/>
      <c r="AD2677" s="16"/>
      <c r="AE2677" s="16"/>
      <c r="AF2677" s="16"/>
      <c r="AG2677" s="16"/>
      <c r="AH2677" s="16"/>
      <c r="AI2677" s="16"/>
      <c r="AJ2677" s="16"/>
      <c r="AK2677" s="16"/>
      <c r="AL2677" s="16"/>
      <c r="AM2677" s="16"/>
      <c r="AN2677" s="16"/>
      <c r="AO2677" s="16"/>
      <c r="AP2677" s="16"/>
      <c r="AQ2677" s="16"/>
      <c r="AR2677" s="16"/>
      <c r="AS2677" s="16"/>
    </row>
    <row r="2678" spans="18:45" x14ac:dyDescent="0.35">
      <c r="R2678" s="191"/>
      <c r="S2678" s="191"/>
      <c r="T2678" s="193"/>
      <c r="U2678" s="191"/>
      <c r="V2678" s="194"/>
      <c r="W2678" s="191"/>
      <c r="Y2678" s="191"/>
      <c r="Z2678" s="191"/>
      <c r="AA2678" s="191"/>
      <c r="AB2678" s="191"/>
      <c r="AC2678" s="191"/>
      <c r="AD2678" s="16"/>
      <c r="AE2678" s="16"/>
      <c r="AF2678" s="16"/>
      <c r="AG2678" s="16"/>
      <c r="AH2678" s="16"/>
      <c r="AI2678" s="16"/>
      <c r="AJ2678" s="16"/>
      <c r="AK2678" s="16"/>
      <c r="AL2678" s="16"/>
      <c r="AM2678" s="16"/>
      <c r="AN2678" s="16"/>
      <c r="AO2678" s="16"/>
      <c r="AP2678" s="16"/>
      <c r="AQ2678" s="16"/>
      <c r="AR2678" s="16"/>
      <c r="AS2678" s="16"/>
    </row>
    <row r="2679" spans="18:45" x14ac:dyDescent="0.35">
      <c r="R2679" s="191"/>
      <c r="S2679" s="191"/>
      <c r="T2679" s="193"/>
      <c r="U2679" s="191"/>
      <c r="V2679" s="194"/>
      <c r="W2679" s="191"/>
      <c r="Y2679" s="191"/>
      <c r="Z2679" s="191"/>
      <c r="AA2679" s="191"/>
      <c r="AB2679" s="191"/>
      <c r="AC2679" s="191"/>
      <c r="AD2679" s="16"/>
      <c r="AE2679" s="16"/>
      <c r="AF2679" s="16"/>
      <c r="AG2679" s="16"/>
      <c r="AH2679" s="16"/>
      <c r="AI2679" s="16"/>
      <c r="AJ2679" s="16"/>
      <c r="AK2679" s="16"/>
      <c r="AL2679" s="16"/>
      <c r="AM2679" s="16"/>
      <c r="AN2679" s="16"/>
      <c r="AO2679" s="16"/>
      <c r="AP2679" s="16"/>
      <c r="AQ2679" s="16"/>
      <c r="AR2679" s="16"/>
      <c r="AS2679" s="16"/>
    </row>
    <row r="2680" spans="18:45" x14ac:dyDescent="0.35">
      <c r="R2680" s="191"/>
      <c r="S2680" s="191"/>
      <c r="T2680" s="193"/>
      <c r="U2680" s="191"/>
      <c r="V2680" s="194"/>
      <c r="W2680" s="191"/>
      <c r="Y2680" s="191"/>
      <c r="Z2680" s="191"/>
      <c r="AA2680" s="191"/>
      <c r="AB2680" s="191"/>
      <c r="AC2680" s="191"/>
      <c r="AD2680" s="16"/>
      <c r="AE2680" s="16"/>
      <c r="AF2680" s="16"/>
      <c r="AG2680" s="16"/>
      <c r="AH2680" s="16"/>
      <c r="AI2680" s="16"/>
      <c r="AJ2680" s="16"/>
      <c r="AK2680" s="16"/>
      <c r="AL2680" s="16"/>
      <c r="AM2680" s="16"/>
      <c r="AN2680" s="16"/>
      <c r="AO2680" s="16"/>
      <c r="AP2680" s="16"/>
      <c r="AQ2680" s="16"/>
      <c r="AR2680" s="16"/>
      <c r="AS2680" s="16"/>
    </row>
    <row r="2681" spans="18:45" x14ac:dyDescent="0.35">
      <c r="R2681" s="191"/>
      <c r="S2681" s="191"/>
      <c r="T2681" s="193"/>
      <c r="U2681" s="191"/>
      <c r="V2681" s="194"/>
      <c r="W2681" s="191"/>
      <c r="Y2681" s="191"/>
      <c r="Z2681" s="191"/>
      <c r="AA2681" s="191"/>
      <c r="AB2681" s="191"/>
      <c r="AC2681" s="191"/>
      <c r="AD2681" s="16"/>
      <c r="AE2681" s="16"/>
      <c r="AF2681" s="16"/>
      <c r="AG2681" s="16"/>
      <c r="AH2681" s="16"/>
      <c r="AI2681" s="16"/>
      <c r="AJ2681" s="16"/>
      <c r="AK2681" s="16"/>
      <c r="AL2681" s="16"/>
      <c r="AM2681" s="16"/>
      <c r="AN2681" s="16"/>
      <c r="AO2681" s="16"/>
      <c r="AP2681" s="16"/>
      <c r="AQ2681" s="16"/>
      <c r="AR2681" s="16"/>
      <c r="AS2681" s="16"/>
    </row>
    <row r="2682" spans="18:45" x14ac:dyDescent="0.35">
      <c r="R2682" s="191"/>
      <c r="S2682" s="191"/>
      <c r="T2682" s="193"/>
      <c r="U2682" s="191"/>
      <c r="V2682" s="194"/>
      <c r="W2682" s="191"/>
      <c r="Y2682" s="191"/>
      <c r="Z2682" s="191"/>
      <c r="AA2682" s="191"/>
      <c r="AB2682" s="191"/>
      <c r="AC2682" s="191"/>
      <c r="AD2682" s="16"/>
      <c r="AE2682" s="16"/>
      <c r="AF2682" s="16"/>
      <c r="AG2682" s="16"/>
      <c r="AH2682" s="16"/>
      <c r="AI2682" s="16"/>
      <c r="AJ2682" s="16"/>
      <c r="AK2682" s="16"/>
      <c r="AL2682" s="16"/>
      <c r="AM2682" s="16"/>
      <c r="AN2682" s="16"/>
      <c r="AO2682" s="16"/>
      <c r="AP2682" s="16"/>
      <c r="AQ2682" s="16"/>
      <c r="AR2682" s="16"/>
      <c r="AS2682" s="16"/>
    </row>
    <row r="2683" spans="18:45" x14ac:dyDescent="0.35">
      <c r="R2683" s="191"/>
      <c r="S2683" s="191"/>
      <c r="T2683" s="193"/>
      <c r="U2683" s="191"/>
      <c r="V2683" s="194"/>
      <c r="W2683" s="191"/>
      <c r="Y2683" s="191"/>
      <c r="Z2683" s="191"/>
      <c r="AA2683" s="191"/>
      <c r="AB2683" s="191"/>
      <c r="AC2683" s="191"/>
      <c r="AD2683" s="16"/>
      <c r="AE2683" s="16"/>
      <c r="AF2683" s="16"/>
      <c r="AG2683" s="16"/>
      <c r="AH2683" s="16"/>
      <c r="AI2683" s="16"/>
      <c r="AJ2683" s="16"/>
      <c r="AK2683" s="16"/>
      <c r="AL2683" s="16"/>
      <c r="AM2683" s="16"/>
      <c r="AN2683" s="16"/>
      <c r="AO2683" s="16"/>
      <c r="AP2683" s="16"/>
      <c r="AQ2683" s="16"/>
      <c r="AR2683" s="16"/>
      <c r="AS2683" s="16"/>
    </row>
    <row r="2684" spans="18:45" x14ac:dyDescent="0.35">
      <c r="R2684" s="191"/>
      <c r="S2684" s="191"/>
      <c r="T2684" s="193"/>
      <c r="U2684" s="191"/>
      <c r="V2684" s="194"/>
      <c r="W2684" s="191"/>
      <c r="Y2684" s="191"/>
      <c r="Z2684" s="191"/>
      <c r="AA2684" s="191"/>
      <c r="AB2684" s="191"/>
      <c r="AC2684" s="191"/>
      <c r="AD2684" s="16"/>
      <c r="AE2684" s="16"/>
      <c r="AF2684" s="16"/>
      <c r="AG2684" s="16"/>
      <c r="AH2684" s="16"/>
      <c r="AI2684" s="16"/>
      <c r="AJ2684" s="16"/>
      <c r="AK2684" s="16"/>
      <c r="AL2684" s="16"/>
      <c r="AM2684" s="16"/>
      <c r="AN2684" s="16"/>
      <c r="AO2684" s="16"/>
      <c r="AP2684" s="16"/>
      <c r="AQ2684" s="16"/>
      <c r="AR2684" s="16"/>
      <c r="AS2684" s="16"/>
    </row>
    <row r="2685" spans="18:45" x14ac:dyDescent="0.35">
      <c r="R2685" s="191"/>
      <c r="S2685" s="191"/>
      <c r="T2685" s="193"/>
      <c r="U2685" s="191"/>
      <c r="V2685" s="194"/>
      <c r="W2685" s="191"/>
      <c r="Y2685" s="191"/>
      <c r="Z2685" s="191"/>
      <c r="AA2685" s="191"/>
      <c r="AB2685" s="191"/>
      <c r="AC2685" s="191"/>
      <c r="AD2685" s="16"/>
      <c r="AE2685" s="16"/>
      <c r="AF2685" s="16"/>
      <c r="AG2685" s="16"/>
      <c r="AH2685" s="16"/>
      <c r="AI2685" s="16"/>
      <c r="AJ2685" s="16"/>
      <c r="AK2685" s="16"/>
      <c r="AL2685" s="16"/>
      <c r="AM2685" s="16"/>
      <c r="AN2685" s="16"/>
      <c r="AO2685" s="16"/>
      <c r="AP2685" s="16"/>
      <c r="AQ2685" s="16"/>
      <c r="AR2685" s="16"/>
      <c r="AS2685" s="16"/>
    </row>
    <row r="2686" spans="18:45" x14ac:dyDescent="0.35">
      <c r="R2686" s="191"/>
      <c r="S2686" s="191"/>
      <c r="T2686" s="193"/>
      <c r="U2686" s="191"/>
      <c r="V2686" s="194"/>
      <c r="W2686" s="191"/>
      <c r="Y2686" s="191"/>
      <c r="Z2686" s="191"/>
      <c r="AA2686" s="191"/>
      <c r="AB2686" s="191"/>
      <c r="AC2686" s="191"/>
      <c r="AD2686" s="16"/>
      <c r="AE2686" s="16"/>
      <c r="AF2686" s="16"/>
      <c r="AG2686" s="16"/>
      <c r="AH2686" s="16"/>
      <c r="AI2686" s="16"/>
      <c r="AJ2686" s="16"/>
      <c r="AK2686" s="16"/>
      <c r="AL2686" s="16"/>
      <c r="AM2686" s="16"/>
      <c r="AN2686" s="16"/>
      <c r="AO2686" s="16"/>
      <c r="AP2686" s="16"/>
      <c r="AQ2686" s="16"/>
      <c r="AR2686" s="16"/>
      <c r="AS2686" s="16"/>
    </row>
    <row r="2687" spans="18:45" x14ac:dyDescent="0.35">
      <c r="R2687" s="191"/>
      <c r="S2687" s="191"/>
      <c r="T2687" s="193"/>
      <c r="U2687" s="191"/>
      <c r="V2687" s="194"/>
      <c r="W2687" s="191"/>
      <c r="Y2687" s="191"/>
      <c r="Z2687" s="191"/>
      <c r="AA2687" s="191"/>
      <c r="AB2687" s="191"/>
      <c r="AC2687" s="191"/>
      <c r="AD2687" s="16"/>
      <c r="AE2687" s="16"/>
      <c r="AF2687" s="16"/>
      <c r="AG2687" s="16"/>
      <c r="AH2687" s="16"/>
      <c r="AI2687" s="16"/>
      <c r="AJ2687" s="16"/>
      <c r="AK2687" s="16"/>
      <c r="AL2687" s="16"/>
      <c r="AM2687" s="16"/>
      <c r="AN2687" s="16"/>
      <c r="AO2687" s="16"/>
      <c r="AP2687" s="16"/>
      <c r="AQ2687" s="16"/>
      <c r="AR2687" s="16"/>
      <c r="AS2687" s="16"/>
    </row>
    <row r="2688" spans="18:45" x14ac:dyDescent="0.35">
      <c r="R2688" s="191"/>
      <c r="S2688" s="191"/>
      <c r="T2688" s="193"/>
      <c r="U2688" s="191"/>
      <c r="V2688" s="194"/>
      <c r="W2688" s="191"/>
      <c r="Y2688" s="191"/>
      <c r="Z2688" s="191"/>
      <c r="AA2688" s="191"/>
      <c r="AB2688" s="191"/>
      <c r="AC2688" s="191"/>
      <c r="AD2688" s="16"/>
      <c r="AE2688" s="16"/>
      <c r="AF2688" s="16"/>
      <c r="AG2688" s="16"/>
      <c r="AH2688" s="16"/>
      <c r="AI2688" s="16"/>
      <c r="AJ2688" s="16"/>
      <c r="AK2688" s="16"/>
      <c r="AL2688" s="16"/>
      <c r="AM2688" s="16"/>
      <c r="AN2688" s="16"/>
      <c r="AO2688" s="16"/>
      <c r="AP2688" s="16"/>
      <c r="AQ2688" s="16"/>
      <c r="AR2688" s="16"/>
      <c r="AS2688" s="16"/>
    </row>
    <row r="2689" spans="18:45" x14ac:dyDescent="0.35">
      <c r="R2689" s="191"/>
      <c r="S2689" s="191"/>
      <c r="T2689" s="193"/>
      <c r="U2689" s="191"/>
      <c r="V2689" s="194"/>
      <c r="W2689" s="191"/>
      <c r="Y2689" s="191"/>
      <c r="Z2689" s="191"/>
      <c r="AA2689" s="191"/>
      <c r="AB2689" s="191"/>
      <c r="AC2689" s="191"/>
      <c r="AD2689" s="16"/>
      <c r="AE2689" s="16"/>
      <c r="AF2689" s="16"/>
      <c r="AG2689" s="16"/>
      <c r="AH2689" s="16"/>
      <c r="AI2689" s="16"/>
      <c r="AJ2689" s="16"/>
      <c r="AK2689" s="16"/>
      <c r="AL2689" s="16"/>
      <c r="AM2689" s="16"/>
      <c r="AN2689" s="16"/>
      <c r="AO2689" s="16"/>
      <c r="AP2689" s="16"/>
      <c r="AQ2689" s="16"/>
      <c r="AR2689" s="16"/>
      <c r="AS2689" s="16"/>
    </row>
    <row r="2690" spans="18:45" x14ac:dyDescent="0.35">
      <c r="R2690" s="191"/>
      <c r="S2690" s="191"/>
      <c r="T2690" s="193"/>
      <c r="U2690" s="191"/>
      <c r="V2690" s="194"/>
      <c r="W2690" s="191"/>
      <c r="Y2690" s="191"/>
      <c r="Z2690" s="191"/>
      <c r="AA2690" s="191"/>
      <c r="AB2690" s="191"/>
      <c r="AC2690" s="191"/>
      <c r="AD2690" s="16"/>
      <c r="AE2690" s="16"/>
      <c r="AF2690" s="16"/>
      <c r="AG2690" s="16"/>
      <c r="AH2690" s="16"/>
      <c r="AI2690" s="16"/>
      <c r="AJ2690" s="16"/>
      <c r="AK2690" s="16"/>
      <c r="AL2690" s="16"/>
      <c r="AM2690" s="16"/>
      <c r="AN2690" s="16"/>
      <c r="AO2690" s="16"/>
      <c r="AP2690" s="16"/>
      <c r="AQ2690" s="16"/>
      <c r="AR2690" s="16"/>
      <c r="AS2690" s="16"/>
    </row>
    <row r="2691" spans="18:45" x14ac:dyDescent="0.35">
      <c r="R2691" s="191"/>
      <c r="S2691" s="191"/>
      <c r="T2691" s="193"/>
      <c r="U2691" s="191"/>
      <c r="V2691" s="194"/>
      <c r="W2691" s="191"/>
      <c r="Y2691" s="191"/>
      <c r="Z2691" s="191"/>
      <c r="AA2691" s="191"/>
      <c r="AB2691" s="191"/>
      <c r="AC2691" s="191"/>
      <c r="AD2691" s="16"/>
      <c r="AE2691" s="16"/>
      <c r="AF2691" s="16"/>
      <c r="AG2691" s="16"/>
      <c r="AH2691" s="16"/>
      <c r="AI2691" s="16"/>
      <c r="AJ2691" s="16"/>
      <c r="AK2691" s="16"/>
      <c r="AL2691" s="16"/>
      <c r="AM2691" s="16"/>
      <c r="AN2691" s="16"/>
      <c r="AO2691" s="16"/>
      <c r="AP2691" s="16"/>
      <c r="AQ2691" s="16"/>
      <c r="AR2691" s="16"/>
      <c r="AS2691" s="16"/>
    </row>
    <row r="2692" spans="18:45" x14ac:dyDescent="0.35">
      <c r="R2692" s="191"/>
      <c r="S2692" s="191"/>
      <c r="T2692" s="193"/>
      <c r="U2692" s="191"/>
      <c r="V2692" s="194"/>
      <c r="W2692" s="191"/>
      <c r="Y2692" s="191"/>
      <c r="Z2692" s="191"/>
      <c r="AA2692" s="191"/>
      <c r="AB2692" s="191"/>
      <c r="AC2692" s="191"/>
      <c r="AD2692" s="16"/>
      <c r="AE2692" s="16"/>
      <c r="AF2692" s="16"/>
      <c r="AG2692" s="16"/>
      <c r="AH2692" s="16"/>
      <c r="AI2692" s="16"/>
      <c r="AJ2692" s="16"/>
      <c r="AK2692" s="16"/>
      <c r="AL2692" s="16"/>
      <c r="AM2692" s="16"/>
      <c r="AN2692" s="16"/>
      <c r="AO2692" s="16"/>
      <c r="AP2692" s="16"/>
      <c r="AQ2692" s="16"/>
      <c r="AR2692" s="16"/>
      <c r="AS2692" s="16"/>
    </row>
    <row r="2693" spans="18:45" x14ac:dyDescent="0.35">
      <c r="R2693" s="191"/>
      <c r="S2693" s="191"/>
      <c r="T2693" s="193"/>
      <c r="U2693" s="191"/>
      <c r="V2693" s="194"/>
      <c r="W2693" s="191"/>
      <c r="Y2693" s="191"/>
      <c r="Z2693" s="191"/>
      <c r="AA2693" s="191"/>
      <c r="AB2693" s="191"/>
      <c r="AC2693" s="191"/>
      <c r="AD2693" s="16"/>
      <c r="AE2693" s="16"/>
      <c r="AF2693" s="16"/>
      <c r="AG2693" s="16"/>
      <c r="AH2693" s="16"/>
      <c r="AI2693" s="16"/>
      <c r="AJ2693" s="16"/>
      <c r="AK2693" s="16"/>
      <c r="AL2693" s="16"/>
      <c r="AM2693" s="16"/>
      <c r="AN2693" s="16"/>
      <c r="AO2693" s="16"/>
      <c r="AP2693" s="16"/>
      <c r="AQ2693" s="16"/>
      <c r="AR2693" s="16"/>
      <c r="AS2693" s="16"/>
    </row>
    <row r="2694" spans="18:45" x14ac:dyDescent="0.35">
      <c r="R2694" s="191"/>
      <c r="S2694" s="191"/>
      <c r="T2694" s="193"/>
      <c r="U2694" s="191"/>
      <c r="V2694" s="194"/>
      <c r="W2694" s="191"/>
      <c r="Y2694" s="191"/>
      <c r="Z2694" s="191"/>
      <c r="AA2694" s="191"/>
      <c r="AB2694" s="191"/>
      <c r="AC2694" s="191"/>
      <c r="AD2694" s="16"/>
      <c r="AE2694" s="16"/>
      <c r="AF2694" s="16"/>
      <c r="AG2694" s="16"/>
      <c r="AH2694" s="16"/>
      <c r="AI2694" s="16"/>
      <c r="AJ2694" s="16"/>
      <c r="AK2694" s="16"/>
      <c r="AL2694" s="16"/>
      <c r="AM2694" s="16"/>
      <c r="AN2694" s="16"/>
      <c r="AO2694" s="16"/>
      <c r="AP2694" s="16"/>
      <c r="AQ2694" s="16"/>
      <c r="AR2694" s="16"/>
      <c r="AS2694" s="16"/>
    </row>
    <row r="2695" spans="18:45" x14ac:dyDescent="0.35">
      <c r="R2695" s="191"/>
      <c r="S2695" s="191"/>
      <c r="T2695" s="193"/>
      <c r="U2695" s="191"/>
      <c r="V2695" s="194"/>
      <c r="W2695" s="191"/>
      <c r="Y2695" s="191"/>
      <c r="Z2695" s="191"/>
      <c r="AA2695" s="191"/>
      <c r="AB2695" s="191"/>
      <c r="AC2695" s="191"/>
      <c r="AD2695" s="16"/>
      <c r="AE2695" s="16"/>
      <c r="AF2695" s="16"/>
      <c r="AG2695" s="16"/>
      <c r="AH2695" s="16"/>
      <c r="AI2695" s="16"/>
      <c r="AJ2695" s="16"/>
      <c r="AK2695" s="16"/>
      <c r="AL2695" s="16"/>
      <c r="AM2695" s="16"/>
      <c r="AN2695" s="16"/>
      <c r="AO2695" s="16"/>
      <c r="AP2695" s="16"/>
      <c r="AQ2695" s="16"/>
      <c r="AR2695" s="16"/>
      <c r="AS2695" s="16"/>
    </row>
    <row r="2696" spans="18:45" x14ac:dyDescent="0.35">
      <c r="R2696" s="191"/>
      <c r="S2696" s="191"/>
      <c r="T2696" s="193"/>
      <c r="U2696" s="191"/>
      <c r="V2696" s="194"/>
      <c r="W2696" s="191"/>
      <c r="Y2696" s="191"/>
      <c r="Z2696" s="191"/>
      <c r="AA2696" s="191"/>
      <c r="AB2696" s="191"/>
      <c r="AC2696" s="191"/>
      <c r="AD2696" s="16"/>
      <c r="AE2696" s="16"/>
      <c r="AF2696" s="16"/>
      <c r="AG2696" s="16"/>
      <c r="AH2696" s="16"/>
      <c r="AI2696" s="16"/>
      <c r="AJ2696" s="16"/>
      <c r="AK2696" s="16"/>
      <c r="AL2696" s="16"/>
      <c r="AM2696" s="16"/>
      <c r="AN2696" s="16"/>
      <c r="AO2696" s="16"/>
      <c r="AP2696" s="16"/>
      <c r="AQ2696" s="16"/>
      <c r="AR2696" s="16"/>
      <c r="AS2696" s="16"/>
    </row>
    <row r="2697" spans="18:45" x14ac:dyDescent="0.35">
      <c r="R2697" s="191"/>
      <c r="S2697" s="191"/>
      <c r="T2697" s="193"/>
      <c r="U2697" s="191"/>
      <c r="V2697" s="194"/>
      <c r="W2697" s="191"/>
      <c r="Y2697" s="191"/>
      <c r="Z2697" s="191"/>
      <c r="AA2697" s="191"/>
      <c r="AB2697" s="191"/>
      <c r="AC2697" s="191"/>
      <c r="AD2697" s="16"/>
      <c r="AE2697" s="16"/>
      <c r="AF2697" s="16"/>
      <c r="AG2697" s="16"/>
      <c r="AH2697" s="16"/>
      <c r="AI2697" s="16"/>
      <c r="AJ2697" s="16"/>
      <c r="AK2697" s="16"/>
      <c r="AL2697" s="16"/>
      <c r="AM2697" s="16"/>
      <c r="AN2697" s="16"/>
      <c r="AO2697" s="16"/>
      <c r="AP2697" s="16"/>
      <c r="AQ2697" s="16"/>
      <c r="AR2697" s="16"/>
      <c r="AS2697" s="16"/>
    </row>
    <row r="2698" spans="18:45" x14ac:dyDescent="0.35">
      <c r="R2698" s="191"/>
      <c r="S2698" s="191"/>
      <c r="T2698" s="193"/>
      <c r="U2698" s="191"/>
      <c r="V2698" s="194"/>
      <c r="W2698" s="191"/>
      <c r="Y2698" s="191"/>
      <c r="Z2698" s="191"/>
      <c r="AA2698" s="191"/>
      <c r="AB2698" s="191"/>
      <c r="AC2698" s="191"/>
      <c r="AD2698" s="16"/>
      <c r="AE2698" s="16"/>
      <c r="AF2698" s="16"/>
      <c r="AG2698" s="16"/>
      <c r="AH2698" s="16"/>
      <c r="AI2698" s="16"/>
      <c r="AJ2698" s="16"/>
      <c r="AK2698" s="16"/>
      <c r="AL2698" s="16"/>
      <c r="AM2698" s="16"/>
      <c r="AN2698" s="16"/>
      <c r="AO2698" s="16"/>
      <c r="AP2698" s="16"/>
      <c r="AQ2698" s="16"/>
      <c r="AR2698" s="16"/>
      <c r="AS2698" s="16"/>
    </row>
    <row r="2699" spans="18:45" x14ac:dyDescent="0.35">
      <c r="R2699" s="191"/>
      <c r="S2699" s="191"/>
      <c r="T2699" s="193"/>
      <c r="U2699" s="191"/>
      <c r="V2699" s="194"/>
      <c r="W2699" s="191"/>
      <c r="Y2699" s="191"/>
      <c r="Z2699" s="191"/>
      <c r="AA2699" s="191"/>
      <c r="AB2699" s="191"/>
      <c r="AC2699" s="191"/>
      <c r="AD2699" s="16"/>
      <c r="AE2699" s="16"/>
      <c r="AF2699" s="16"/>
      <c r="AG2699" s="16"/>
      <c r="AH2699" s="16"/>
      <c r="AI2699" s="16"/>
      <c r="AJ2699" s="16"/>
      <c r="AK2699" s="16"/>
      <c r="AL2699" s="16"/>
      <c r="AM2699" s="16"/>
      <c r="AN2699" s="16"/>
      <c r="AO2699" s="16"/>
      <c r="AP2699" s="16"/>
      <c r="AQ2699" s="16"/>
      <c r="AR2699" s="16"/>
      <c r="AS2699" s="16"/>
    </row>
    <row r="2700" spans="18:45" x14ac:dyDescent="0.35">
      <c r="R2700" s="191"/>
      <c r="S2700" s="191"/>
      <c r="T2700" s="193"/>
      <c r="U2700" s="191"/>
      <c r="V2700" s="194"/>
      <c r="W2700" s="191"/>
      <c r="Y2700" s="191"/>
      <c r="Z2700" s="191"/>
      <c r="AA2700" s="191"/>
      <c r="AB2700" s="191"/>
      <c r="AC2700" s="191"/>
      <c r="AD2700" s="16"/>
      <c r="AE2700" s="16"/>
      <c r="AF2700" s="16"/>
      <c r="AG2700" s="16"/>
      <c r="AH2700" s="16"/>
      <c r="AI2700" s="16"/>
      <c r="AJ2700" s="16"/>
      <c r="AK2700" s="16"/>
      <c r="AL2700" s="16"/>
      <c r="AM2700" s="16"/>
      <c r="AN2700" s="16"/>
      <c r="AO2700" s="16"/>
      <c r="AP2700" s="16"/>
      <c r="AQ2700" s="16"/>
      <c r="AR2700" s="16"/>
      <c r="AS2700" s="16"/>
    </row>
    <row r="2701" spans="18:45" x14ac:dyDescent="0.35">
      <c r="R2701" s="191"/>
      <c r="S2701" s="191"/>
      <c r="T2701" s="193"/>
      <c r="U2701" s="191"/>
      <c r="V2701" s="194"/>
      <c r="W2701" s="191"/>
      <c r="Y2701" s="191"/>
      <c r="Z2701" s="191"/>
      <c r="AA2701" s="191"/>
      <c r="AB2701" s="191"/>
      <c r="AC2701" s="191"/>
      <c r="AD2701" s="16"/>
      <c r="AE2701" s="16"/>
      <c r="AF2701" s="16"/>
      <c r="AG2701" s="16"/>
      <c r="AH2701" s="16"/>
      <c r="AI2701" s="16"/>
      <c r="AJ2701" s="16"/>
      <c r="AK2701" s="16"/>
      <c r="AL2701" s="16"/>
      <c r="AM2701" s="16"/>
      <c r="AN2701" s="16"/>
      <c r="AO2701" s="16"/>
      <c r="AP2701" s="16"/>
      <c r="AQ2701" s="16"/>
      <c r="AR2701" s="16"/>
      <c r="AS2701" s="16"/>
    </row>
    <row r="2702" spans="18:45" x14ac:dyDescent="0.35">
      <c r="R2702" s="191"/>
      <c r="S2702" s="191"/>
      <c r="T2702" s="193"/>
      <c r="U2702" s="191"/>
      <c r="V2702" s="194"/>
      <c r="W2702" s="191"/>
      <c r="Y2702" s="191"/>
      <c r="Z2702" s="191"/>
      <c r="AA2702" s="191"/>
      <c r="AB2702" s="191"/>
      <c r="AC2702" s="191"/>
      <c r="AD2702" s="16"/>
      <c r="AE2702" s="16"/>
      <c r="AF2702" s="16"/>
      <c r="AG2702" s="16"/>
      <c r="AH2702" s="16"/>
      <c r="AI2702" s="16"/>
      <c r="AJ2702" s="16"/>
      <c r="AK2702" s="16"/>
      <c r="AL2702" s="16"/>
      <c r="AM2702" s="16"/>
      <c r="AN2702" s="16"/>
      <c r="AO2702" s="16"/>
      <c r="AP2702" s="16"/>
      <c r="AQ2702" s="16"/>
      <c r="AR2702" s="16"/>
      <c r="AS2702" s="16"/>
    </row>
    <row r="2703" spans="18:45" x14ac:dyDescent="0.35">
      <c r="R2703" s="191"/>
      <c r="S2703" s="191"/>
      <c r="T2703" s="193"/>
      <c r="U2703" s="191"/>
      <c r="V2703" s="194"/>
      <c r="W2703" s="191"/>
      <c r="Y2703" s="191"/>
      <c r="Z2703" s="191"/>
      <c r="AA2703" s="191"/>
      <c r="AB2703" s="191"/>
      <c r="AC2703" s="191"/>
      <c r="AD2703" s="16"/>
      <c r="AE2703" s="16"/>
      <c r="AF2703" s="16"/>
      <c r="AG2703" s="16"/>
      <c r="AH2703" s="16"/>
      <c r="AI2703" s="16"/>
      <c r="AJ2703" s="16"/>
      <c r="AK2703" s="16"/>
      <c r="AL2703" s="16"/>
      <c r="AM2703" s="16"/>
      <c r="AN2703" s="16"/>
      <c r="AO2703" s="16"/>
      <c r="AP2703" s="16"/>
      <c r="AQ2703" s="16"/>
      <c r="AR2703" s="16"/>
      <c r="AS2703" s="16"/>
    </row>
    <row r="2704" spans="18:45" x14ac:dyDescent="0.35">
      <c r="R2704" s="191"/>
      <c r="S2704" s="191"/>
      <c r="T2704" s="193"/>
      <c r="U2704" s="191"/>
      <c r="V2704" s="194"/>
      <c r="W2704" s="191"/>
      <c r="Y2704" s="191"/>
      <c r="Z2704" s="191"/>
      <c r="AA2704" s="191"/>
      <c r="AB2704" s="191"/>
      <c r="AC2704" s="191"/>
      <c r="AD2704" s="16"/>
      <c r="AE2704" s="16"/>
      <c r="AF2704" s="16"/>
      <c r="AG2704" s="16"/>
      <c r="AH2704" s="16"/>
      <c r="AI2704" s="16"/>
      <c r="AJ2704" s="16"/>
      <c r="AK2704" s="16"/>
      <c r="AL2704" s="16"/>
      <c r="AM2704" s="16"/>
      <c r="AN2704" s="16"/>
      <c r="AO2704" s="16"/>
      <c r="AP2704" s="16"/>
      <c r="AQ2704" s="16"/>
      <c r="AR2704" s="16"/>
      <c r="AS2704" s="16"/>
    </row>
    <row r="2705" spans="18:45" x14ac:dyDescent="0.35">
      <c r="R2705" s="191"/>
      <c r="S2705" s="191"/>
      <c r="T2705" s="193"/>
      <c r="U2705" s="191"/>
      <c r="V2705" s="194"/>
      <c r="W2705" s="191"/>
      <c r="Y2705" s="191"/>
      <c r="Z2705" s="191"/>
      <c r="AA2705" s="191"/>
      <c r="AB2705" s="191"/>
      <c r="AC2705" s="191"/>
      <c r="AD2705" s="16"/>
      <c r="AE2705" s="16"/>
      <c r="AF2705" s="16"/>
      <c r="AG2705" s="16"/>
      <c r="AH2705" s="16"/>
      <c r="AI2705" s="16"/>
      <c r="AJ2705" s="16"/>
      <c r="AK2705" s="16"/>
      <c r="AL2705" s="16"/>
      <c r="AM2705" s="16"/>
      <c r="AN2705" s="16"/>
      <c r="AO2705" s="16"/>
      <c r="AP2705" s="16"/>
      <c r="AQ2705" s="16"/>
      <c r="AR2705" s="16"/>
      <c r="AS2705" s="16"/>
    </row>
    <row r="2706" spans="18:45" x14ac:dyDescent="0.35">
      <c r="R2706" s="191"/>
      <c r="S2706" s="191"/>
      <c r="T2706" s="193"/>
      <c r="U2706" s="191"/>
      <c r="V2706" s="194"/>
      <c r="W2706" s="191"/>
      <c r="Y2706" s="191"/>
      <c r="Z2706" s="191"/>
      <c r="AA2706" s="191"/>
      <c r="AB2706" s="191"/>
      <c r="AC2706" s="191"/>
      <c r="AD2706" s="16"/>
      <c r="AE2706" s="16"/>
      <c r="AF2706" s="16"/>
      <c r="AG2706" s="16"/>
      <c r="AH2706" s="16"/>
      <c r="AI2706" s="16"/>
      <c r="AJ2706" s="16"/>
      <c r="AK2706" s="16"/>
      <c r="AL2706" s="16"/>
      <c r="AM2706" s="16"/>
      <c r="AN2706" s="16"/>
      <c r="AO2706" s="16"/>
      <c r="AP2706" s="16"/>
      <c r="AQ2706" s="16"/>
      <c r="AR2706" s="16"/>
      <c r="AS2706" s="16"/>
    </row>
    <row r="2707" spans="18:45" x14ac:dyDescent="0.35">
      <c r="R2707" s="191"/>
      <c r="S2707" s="191"/>
      <c r="T2707" s="193"/>
      <c r="U2707" s="191"/>
      <c r="V2707" s="194"/>
      <c r="W2707" s="191"/>
      <c r="Y2707" s="191"/>
      <c r="Z2707" s="191"/>
      <c r="AA2707" s="191"/>
      <c r="AB2707" s="191"/>
      <c r="AC2707" s="191"/>
      <c r="AD2707" s="16"/>
      <c r="AE2707" s="16"/>
      <c r="AF2707" s="16"/>
      <c r="AG2707" s="16"/>
      <c r="AH2707" s="16"/>
      <c r="AI2707" s="16"/>
      <c r="AJ2707" s="16"/>
      <c r="AK2707" s="16"/>
      <c r="AL2707" s="16"/>
      <c r="AM2707" s="16"/>
      <c r="AN2707" s="16"/>
      <c r="AO2707" s="16"/>
      <c r="AP2707" s="16"/>
      <c r="AQ2707" s="16"/>
      <c r="AR2707" s="16"/>
      <c r="AS2707" s="16"/>
    </row>
    <row r="2708" spans="18:45" x14ac:dyDescent="0.35">
      <c r="R2708" s="191"/>
      <c r="S2708" s="191"/>
      <c r="T2708" s="193"/>
      <c r="U2708" s="191"/>
      <c r="V2708" s="194"/>
      <c r="W2708" s="191"/>
      <c r="Y2708" s="191"/>
      <c r="Z2708" s="191"/>
      <c r="AA2708" s="191"/>
      <c r="AB2708" s="191"/>
      <c r="AC2708" s="191"/>
      <c r="AD2708" s="16"/>
      <c r="AE2708" s="16"/>
      <c r="AF2708" s="16"/>
      <c r="AG2708" s="16"/>
      <c r="AH2708" s="16"/>
      <c r="AI2708" s="16"/>
      <c r="AJ2708" s="16"/>
      <c r="AK2708" s="16"/>
      <c r="AL2708" s="16"/>
      <c r="AM2708" s="16"/>
      <c r="AN2708" s="16"/>
      <c r="AO2708" s="16"/>
      <c r="AP2708" s="16"/>
      <c r="AQ2708" s="16"/>
      <c r="AR2708" s="16"/>
      <c r="AS2708" s="16"/>
    </row>
    <row r="2709" spans="18:45" x14ac:dyDescent="0.35">
      <c r="R2709" s="191"/>
      <c r="S2709" s="191"/>
      <c r="T2709" s="193"/>
      <c r="U2709" s="191"/>
      <c r="V2709" s="194"/>
      <c r="W2709" s="191"/>
      <c r="Y2709" s="191"/>
      <c r="Z2709" s="191"/>
      <c r="AA2709" s="191"/>
      <c r="AB2709" s="191"/>
      <c r="AC2709" s="191"/>
      <c r="AD2709" s="16"/>
      <c r="AE2709" s="16"/>
      <c r="AF2709" s="16"/>
      <c r="AG2709" s="16"/>
      <c r="AH2709" s="16"/>
      <c r="AI2709" s="16"/>
      <c r="AJ2709" s="16"/>
      <c r="AK2709" s="16"/>
      <c r="AL2709" s="16"/>
      <c r="AM2709" s="16"/>
      <c r="AN2709" s="16"/>
      <c r="AO2709" s="16"/>
      <c r="AP2709" s="16"/>
      <c r="AQ2709" s="16"/>
      <c r="AR2709" s="16"/>
      <c r="AS2709" s="16"/>
    </row>
    <row r="2710" spans="18:45" x14ac:dyDescent="0.35">
      <c r="R2710" s="191"/>
      <c r="S2710" s="191"/>
      <c r="T2710" s="193"/>
      <c r="U2710" s="191"/>
      <c r="V2710" s="194"/>
      <c r="W2710" s="191"/>
      <c r="Y2710" s="191"/>
      <c r="Z2710" s="191"/>
      <c r="AA2710" s="191"/>
      <c r="AB2710" s="191"/>
      <c r="AC2710" s="191"/>
      <c r="AD2710" s="16"/>
      <c r="AE2710" s="16"/>
      <c r="AF2710" s="16"/>
      <c r="AG2710" s="16"/>
      <c r="AH2710" s="16"/>
      <c r="AI2710" s="16"/>
      <c r="AJ2710" s="16"/>
      <c r="AK2710" s="16"/>
      <c r="AL2710" s="16"/>
      <c r="AM2710" s="16"/>
      <c r="AN2710" s="16"/>
      <c r="AO2710" s="16"/>
      <c r="AP2710" s="16"/>
      <c r="AQ2710" s="16"/>
      <c r="AR2710" s="16"/>
      <c r="AS2710" s="16"/>
    </row>
    <row r="2711" spans="18:45" x14ac:dyDescent="0.35">
      <c r="R2711" s="191"/>
      <c r="S2711" s="191"/>
      <c r="T2711" s="193"/>
      <c r="U2711" s="191"/>
      <c r="V2711" s="194"/>
      <c r="W2711" s="191"/>
      <c r="Y2711" s="191"/>
      <c r="Z2711" s="191"/>
      <c r="AA2711" s="191"/>
      <c r="AB2711" s="191"/>
      <c r="AC2711" s="191"/>
      <c r="AD2711" s="16"/>
      <c r="AE2711" s="16"/>
      <c r="AF2711" s="16"/>
      <c r="AG2711" s="16"/>
      <c r="AH2711" s="16"/>
      <c r="AI2711" s="16"/>
      <c r="AJ2711" s="16"/>
      <c r="AK2711" s="16"/>
      <c r="AL2711" s="16"/>
      <c r="AM2711" s="16"/>
      <c r="AN2711" s="16"/>
      <c r="AO2711" s="16"/>
      <c r="AP2711" s="16"/>
      <c r="AQ2711" s="16"/>
      <c r="AR2711" s="16"/>
      <c r="AS2711" s="16"/>
    </row>
    <row r="2712" spans="18:45" x14ac:dyDescent="0.35">
      <c r="R2712" s="191"/>
      <c r="S2712" s="191"/>
      <c r="T2712" s="193"/>
      <c r="U2712" s="191"/>
      <c r="V2712" s="194"/>
      <c r="W2712" s="191"/>
      <c r="Y2712" s="191"/>
      <c r="Z2712" s="191"/>
      <c r="AA2712" s="191"/>
      <c r="AB2712" s="191"/>
      <c r="AC2712" s="191"/>
      <c r="AD2712" s="16"/>
      <c r="AE2712" s="16"/>
      <c r="AF2712" s="16"/>
      <c r="AG2712" s="16"/>
      <c r="AH2712" s="16"/>
      <c r="AI2712" s="16"/>
      <c r="AJ2712" s="16"/>
      <c r="AK2712" s="16"/>
      <c r="AL2712" s="16"/>
      <c r="AM2712" s="16"/>
      <c r="AN2712" s="16"/>
      <c r="AO2712" s="16"/>
      <c r="AP2712" s="16"/>
      <c r="AQ2712" s="16"/>
      <c r="AR2712" s="16"/>
      <c r="AS2712" s="16"/>
    </row>
    <row r="2713" spans="18:45" x14ac:dyDescent="0.35">
      <c r="R2713" s="191"/>
      <c r="S2713" s="191"/>
      <c r="T2713" s="193"/>
      <c r="U2713" s="191"/>
      <c r="V2713" s="194"/>
      <c r="W2713" s="191"/>
      <c r="Y2713" s="191"/>
      <c r="Z2713" s="191"/>
      <c r="AA2713" s="191"/>
      <c r="AB2713" s="191"/>
      <c r="AC2713" s="191"/>
      <c r="AD2713" s="16"/>
      <c r="AE2713" s="16"/>
      <c r="AF2713" s="16"/>
      <c r="AG2713" s="16"/>
      <c r="AH2713" s="16"/>
      <c r="AI2713" s="16"/>
      <c r="AJ2713" s="16"/>
      <c r="AK2713" s="16"/>
      <c r="AL2713" s="16"/>
      <c r="AM2713" s="16"/>
      <c r="AN2713" s="16"/>
      <c r="AO2713" s="16"/>
      <c r="AP2713" s="16"/>
      <c r="AQ2713" s="16"/>
      <c r="AR2713" s="16"/>
      <c r="AS2713" s="16"/>
    </row>
    <row r="2714" spans="18:45" x14ac:dyDescent="0.35">
      <c r="R2714" s="191"/>
      <c r="S2714" s="191"/>
      <c r="T2714" s="193"/>
      <c r="U2714" s="191"/>
      <c r="V2714" s="194"/>
      <c r="W2714" s="191"/>
      <c r="Y2714" s="191"/>
      <c r="Z2714" s="191"/>
      <c r="AA2714" s="191"/>
      <c r="AB2714" s="191"/>
      <c r="AC2714" s="191"/>
      <c r="AD2714" s="16"/>
      <c r="AE2714" s="16"/>
      <c r="AF2714" s="16"/>
      <c r="AG2714" s="16"/>
      <c r="AH2714" s="16"/>
      <c r="AI2714" s="16"/>
      <c r="AJ2714" s="16"/>
      <c r="AK2714" s="16"/>
      <c r="AL2714" s="16"/>
      <c r="AM2714" s="16"/>
      <c r="AN2714" s="16"/>
      <c r="AO2714" s="16"/>
      <c r="AP2714" s="16"/>
      <c r="AQ2714" s="16"/>
      <c r="AR2714" s="16"/>
      <c r="AS2714" s="16"/>
    </row>
    <row r="2715" spans="18:45" x14ac:dyDescent="0.35">
      <c r="R2715" s="191"/>
      <c r="S2715" s="191"/>
      <c r="T2715" s="193"/>
      <c r="U2715" s="191"/>
      <c r="V2715" s="194"/>
      <c r="W2715" s="191"/>
      <c r="Y2715" s="191"/>
      <c r="Z2715" s="191"/>
      <c r="AA2715" s="191"/>
      <c r="AB2715" s="191"/>
      <c r="AC2715" s="191"/>
      <c r="AD2715" s="16"/>
      <c r="AE2715" s="16"/>
      <c r="AF2715" s="16"/>
      <c r="AG2715" s="16"/>
      <c r="AH2715" s="16"/>
      <c r="AI2715" s="16"/>
      <c r="AJ2715" s="16"/>
      <c r="AK2715" s="16"/>
      <c r="AL2715" s="16"/>
      <c r="AM2715" s="16"/>
      <c r="AN2715" s="16"/>
      <c r="AO2715" s="16"/>
      <c r="AP2715" s="16"/>
      <c r="AQ2715" s="16"/>
      <c r="AR2715" s="16"/>
      <c r="AS2715" s="16"/>
    </row>
    <row r="2716" spans="18:45" x14ac:dyDescent="0.35">
      <c r="R2716" s="191"/>
      <c r="S2716" s="191"/>
      <c r="T2716" s="193"/>
      <c r="U2716" s="191"/>
      <c r="V2716" s="194"/>
      <c r="W2716" s="191"/>
      <c r="Y2716" s="191"/>
      <c r="Z2716" s="191"/>
      <c r="AA2716" s="191"/>
      <c r="AB2716" s="191"/>
      <c r="AC2716" s="191"/>
      <c r="AD2716" s="16"/>
      <c r="AE2716" s="16"/>
      <c r="AF2716" s="16"/>
      <c r="AG2716" s="16"/>
      <c r="AH2716" s="16"/>
      <c r="AI2716" s="16"/>
      <c r="AJ2716" s="16"/>
      <c r="AK2716" s="16"/>
      <c r="AL2716" s="16"/>
      <c r="AM2716" s="16"/>
      <c r="AN2716" s="16"/>
      <c r="AO2716" s="16"/>
      <c r="AP2716" s="16"/>
      <c r="AQ2716" s="16"/>
      <c r="AR2716" s="16"/>
      <c r="AS2716" s="16"/>
    </row>
    <row r="2717" spans="18:45" x14ac:dyDescent="0.35">
      <c r="R2717" s="191"/>
      <c r="S2717" s="191"/>
      <c r="T2717" s="193"/>
      <c r="U2717" s="191"/>
      <c r="V2717" s="194"/>
      <c r="W2717" s="191"/>
      <c r="Y2717" s="191"/>
      <c r="Z2717" s="191"/>
      <c r="AA2717" s="191"/>
      <c r="AB2717" s="191"/>
      <c r="AC2717" s="191"/>
      <c r="AD2717" s="16"/>
      <c r="AE2717" s="16"/>
      <c r="AF2717" s="16"/>
      <c r="AG2717" s="16"/>
      <c r="AH2717" s="16"/>
      <c r="AI2717" s="16"/>
      <c r="AJ2717" s="16"/>
      <c r="AK2717" s="16"/>
      <c r="AL2717" s="16"/>
      <c r="AM2717" s="16"/>
      <c r="AN2717" s="16"/>
      <c r="AO2717" s="16"/>
      <c r="AP2717" s="16"/>
      <c r="AQ2717" s="16"/>
      <c r="AR2717" s="16"/>
      <c r="AS2717" s="16"/>
    </row>
    <row r="2718" spans="18:45" x14ac:dyDescent="0.35">
      <c r="R2718" s="191"/>
      <c r="S2718" s="191"/>
      <c r="T2718" s="193"/>
      <c r="U2718" s="191"/>
      <c r="V2718" s="194"/>
      <c r="W2718" s="191"/>
      <c r="Y2718" s="191"/>
      <c r="Z2718" s="191"/>
      <c r="AA2718" s="191"/>
      <c r="AB2718" s="191"/>
      <c r="AC2718" s="191"/>
      <c r="AD2718" s="16"/>
      <c r="AE2718" s="16"/>
      <c r="AF2718" s="16"/>
      <c r="AG2718" s="16"/>
      <c r="AH2718" s="16"/>
      <c r="AI2718" s="16"/>
      <c r="AJ2718" s="16"/>
      <c r="AK2718" s="16"/>
      <c r="AL2718" s="16"/>
      <c r="AM2718" s="16"/>
      <c r="AN2718" s="16"/>
      <c r="AO2718" s="16"/>
      <c r="AP2718" s="16"/>
      <c r="AQ2718" s="16"/>
      <c r="AR2718" s="16"/>
      <c r="AS2718" s="16"/>
    </row>
    <row r="2719" spans="18:45" x14ac:dyDescent="0.35">
      <c r="R2719" s="191"/>
      <c r="S2719" s="191"/>
      <c r="T2719" s="193"/>
      <c r="U2719" s="191"/>
      <c r="V2719" s="194"/>
      <c r="W2719" s="191"/>
      <c r="Y2719" s="191"/>
      <c r="Z2719" s="191"/>
      <c r="AA2719" s="191"/>
      <c r="AB2719" s="191"/>
      <c r="AC2719" s="191"/>
      <c r="AD2719" s="16"/>
      <c r="AE2719" s="16"/>
      <c r="AF2719" s="16"/>
      <c r="AG2719" s="16"/>
      <c r="AH2719" s="16"/>
      <c r="AI2719" s="16"/>
      <c r="AJ2719" s="16"/>
      <c r="AK2719" s="16"/>
      <c r="AL2719" s="16"/>
      <c r="AM2719" s="16"/>
      <c r="AN2719" s="16"/>
      <c r="AO2719" s="16"/>
      <c r="AP2719" s="16"/>
      <c r="AQ2719" s="16"/>
      <c r="AR2719" s="16"/>
      <c r="AS2719" s="16"/>
    </row>
    <row r="2720" spans="18:45" x14ac:dyDescent="0.35">
      <c r="R2720" s="191"/>
      <c r="S2720" s="191"/>
      <c r="T2720" s="193"/>
      <c r="U2720" s="191"/>
      <c r="V2720" s="194"/>
      <c r="W2720" s="191"/>
      <c r="Y2720" s="191"/>
      <c r="Z2720" s="191"/>
      <c r="AA2720" s="191"/>
      <c r="AB2720" s="191"/>
      <c r="AC2720" s="191"/>
      <c r="AD2720" s="16"/>
      <c r="AE2720" s="16"/>
      <c r="AF2720" s="16"/>
      <c r="AG2720" s="16"/>
      <c r="AH2720" s="16"/>
      <c r="AI2720" s="16"/>
      <c r="AJ2720" s="16"/>
      <c r="AK2720" s="16"/>
      <c r="AL2720" s="16"/>
      <c r="AM2720" s="16"/>
      <c r="AN2720" s="16"/>
      <c r="AO2720" s="16"/>
      <c r="AP2720" s="16"/>
      <c r="AQ2720" s="16"/>
      <c r="AR2720" s="16"/>
      <c r="AS2720" s="16"/>
    </row>
    <row r="2721" spans="18:45" x14ac:dyDescent="0.35">
      <c r="R2721" s="191"/>
      <c r="S2721" s="191"/>
      <c r="T2721" s="193"/>
      <c r="U2721" s="191"/>
      <c r="V2721" s="194"/>
      <c r="W2721" s="191"/>
      <c r="Y2721" s="191"/>
      <c r="Z2721" s="191"/>
      <c r="AA2721" s="191"/>
      <c r="AB2721" s="191"/>
      <c r="AC2721" s="191"/>
      <c r="AD2721" s="16"/>
      <c r="AE2721" s="16"/>
      <c r="AF2721" s="16"/>
      <c r="AG2721" s="16"/>
      <c r="AH2721" s="16"/>
      <c r="AI2721" s="16"/>
      <c r="AJ2721" s="16"/>
      <c r="AK2721" s="16"/>
      <c r="AL2721" s="16"/>
      <c r="AM2721" s="16"/>
      <c r="AN2721" s="16"/>
      <c r="AO2721" s="16"/>
      <c r="AP2721" s="16"/>
      <c r="AQ2721" s="16"/>
      <c r="AR2721" s="16"/>
      <c r="AS2721" s="16"/>
    </row>
    <row r="2722" spans="18:45" x14ac:dyDescent="0.35">
      <c r="R2722" s="191"/>
      <c r="S2722" s="191"/>
      <c r="T2722" s="193"/>
      <c r="U2722" s="191"/>
      <c r="V2722" s="194"/>
      <c r="W2722" s="191"/>
      <c r="Y2722" s="191"/>
      <c r="Z2722" s="191"/>
      <c r="AA2722" s="191"/>
      <c r="AB2722" s="191"/>
      <c r="AC2722" s="191"/>
      <c r="AD2722" s="16"/>
      <c r="AE2722" s="16"/>
      <c r="AF2722" s="16"/>
      <c r="AG2722" s="16"/>
      <c r="AH2722" s="16"/>
      <c r="AI2722" s="16"/>
      <c r="AJ2722" s="16"/>
      <c r="AK2722" s="16"/>
      <c r="AL2722" s="16"/>
      <c r="AM2722" s="16"/>
      <c r="AN2722" s="16"/>
      <c r="AO2722" s="16"/>
      <c r="AP2722" s="16"/>
      <c r="AQ2722" s="16"/>
      <c r="AR2722" s="16"/>
      <c r="AS2722" s="16"/>
    </row>
    <row r="2723" spans="18:45" x14ac:dyDescent="0.35">
      <c r="R2723" s="191"/>
      <c r="S2723" s="191"/>
      <c r="T2723" s="193"/>
      <c r="U2723" s="191"/>
      <c r="V2723" s="194"/>
      <c r="W2723" s="191"/>
      <c r="Y2723" s="191"/>
      <c r="Z2723" s="191"/>
      <c r="AA2723" s="191"/>
      <c r="AB2723" s="191"/>
      <c r="AC2723" s="191"/>
      <c r="AD2723" s="16"/>
      <c r="AE2723" s="16"/>
      <c r="AF2723" s="16"/>
      <c r="AG2723" s="16"/>
      <c r="AH2723" s="16"/>
      <c r="AI2723" s="16"/>
      <c r="AJ2723" s="16"/>
      <c r="AK2723" s="16"/>
      <c r="AL2723" s="16"/>
      <c r="AM2723" s="16"/>
      <c r="AN2723" s="16"/>
      <c r="AO2723" s="16"/>
      <c r="AP2723" s="16"/>
      <c r="AQ2723" s="16"/>
      <c r="AR2723" s="16"/>
      <c r="AS2723" s="16"/>
    </row>
    <row r="2724" spans="18:45" x14ac:dyDescent="0.35">
      <c r="R2724" s="191"/>
      <c r="S2724" s="191"/>
      <c r="T2724" s="193"/>
      <c r="U2724" s="191"/>
      <c r="V2724" s="194"/>
      <c r="W2724" s="191"/>
      <c r="Y2724" s="191"/>
      <c r="Z2724" s="191"/>
      <c r="AA2724" s="191"/>
      <c r="AB2724" s="191"/>
      <c r="AC2724" s="191"/>
      <c r="AD2724" s="16"/>
      <c r="AE2724" s="16"/>
      <c r="AF2724" s="16"/>
      <c r="AG2724" s="16"/>
      <c r="AH2724" s="16"/>
      <c r="AI2724" s="16"/>
      <c r="AJ2724" s="16"/>
      <c r="AK2724" s="16"/>
      <c r="AL2724" s="16"/>
      <c r="AM2724" s="16"/>
      <c r="AN2724" s="16"/>
      <c r="AO2724" s="16"/>
      <c r="AP2724" s="16"/>
      <c r="AQ2724" s="16"/>
      <c r="AR2724" s="16"/>
      <c r="AS2724" s="16"/>
    </row>
    <row r="2725" spans="18:45" x14ac:dyDescent="0.35">
      <c r="R2725" s="191"/>
      <c r="S2725" s="191"/>
      <c r="T2725" s="193"/>
      <c r="U2725" s="191"/>
      <c r="V2725" s="194"/>
      <c r="W2725" s="191"/>
      <c r="Y2725" s="191"/>
      <c r="Z2725" s="191"/>
      <c r="AA2725" s="191"/>
      <c r="AB2725" s="191"/>
      <c r="AC2725" s="191"/>
      <c r="AD2725" s="16"/>
      <c r="AE2725" s="16"/>
      <c r="AF2725" s="16"/>
      <c r="AG2725" s="16"/>
      <c r="AH2725" s="16"/>
      <c r="AI2725" s="16"/>
      <c r="AJ2725" s="16"/>
      <c r="AK2725" s="16"/>
      <c r="AL2725" s="16"/>
      <c r="AM2725" s="16"/>
      <c r="AN2725" s="16"/>
      <c r="AO2725" s="16"/>
      <c r="AP2725" s="16"/>
      <c r="AQ2725" s="16"/>
      <c r="AR2725" s="16"/>
      <c r="AS2725" s="16"/>
    </row>
    <row r="2726" spans="18:45" x14ac:dyDescent="0.35">
      <c r="R2726" s="191"/>
      <c r="S2726" s="191"/>
      <c r="T2726" s="193"/>
      <c r="U2726" s="191"/>
      <c r="V2726" s="194"/>
      <c r="W2726" s="191"/>
      <c r="Y2726" s="191"/>
      <c r="Z2726" s="191"/>
      <c r="AA2726" s="191"/>
      <c r="AB2726" s="191"/>
      <c r="AC2726" s="191"/>
      <c r="AD2726" s="16"/>
      <c r="AE2726" s="16"/>
      <c r="AF2726" s="16"/>
      <c r="AG2726" s="16"/>
      <c r="AH2726" s="16"/>
      <c r="AI2726" s="16"/>
      <c r="AJ2726" s="16"/>
      <c r="AK2726" s="16"/>
      <c r="AL2726" s="16"/>
      <c r="AM2726" s="16"/>
      <c r="AN2726" s="16"/>
      <c r="AO2726" s="16"/>
      <c r="AP2726" s="16"/>
      <c r="AQ2726" s="16"/>
      <c r="AR2726" s="16"/>
      <c r="AS2726" s="16"/>
    </row>
    <row r="2727" spans="18:45" x14ac:dyDescent="0.35">
      <c r="R2727" s="191"/>
      <c r="S2727" s="191"/>
      <c r="T2727" s="193"/>
      <c r="U2727" s="191"/>
      <c r="V2727" s="194"/>
      <c r="W2727" s="191"/>
      <c r="Y2727" s="191"/>
      <c r="Z2727" s="191"/>
      <c r="AA2727" s="191"/>
      <c r="AB2727" s="191"/>
      <c r="AC2727" s="191"/>
      <c r="AD2727" s="16"/>
      <c r="AE2727" s="16"/>
      <c r="AF2727" s="16"/>
      <c r="AG2727" s="16"/>
      <c r="AH2727" s="16"/>
      <c r="AI2727" s="16"/>
      <c r="AJ2727" s="16"/>
      <c r="AK2727" s="16"/>
      <c r="AL2727" s="16"/>
      <c r="AM2727" s="16"/>
      <c r="AN2727" s="16"/>
      <c r="AO2727" s="16"/>
      <c r="AP2727" s="16"/>
      <c r="AQ2727" s="16"/>
      <c r="AR2727" s="16"/>
      <c r="AS2727" s="16"/>
    </row>
    <row r="2728" spans="18:45" x14ac:dyDescent="0.35">
      <c r="R2728" s="191"/>
      <c r="S2728" s="191"/>
      <c r="T2728" s="193"/>
      <c r="U2728" s="191"/>
      <c r="V2728" s="194"/>
      <c r="W2728" s="191"/>
      <c r="Y2728" s="191"/>
      <c r="Z2728" s="191"/>
      <c r="AA2728" s="191"/>
      <c r="AB2728" s="191"/>
      <c r="AC2728" s="191"/>
      <c r="AD2728" s="16"/>
      <c r="AE2728" s="16"/>
      <c r="AF2728" s="16"/>
      <c r="AG2728" s="16"/>
      <c r="AH2728" s="16"/>
      <c r="AI2728" s="16"/>
      <c r="AJ2728" s="16"/>
      <c r="AK2728" s="16"/>
      <c r="AL2728" s="16"/>
      <c r="AM2728" s="16"/>
      <c r="AN2728" s="16"/>
      <c r="AO2728" s="16"/>
      <c r="AP2728" s="16"/>
      <c r="AQ2728" s="16"/>
      <c r="AR2728" s="16"/>
      <c r="AS2728" s="16"/>
    </row>
    <row r="2729" spans="18:45" x14ac:dyDescent="0.35">
      <c r="R2729" s="191"/>
      <c r="S2729" s="191"/>
      <c r="T2729" s="193"/>
      <c r="U2729" s="191"/>
      <c r="V2729" s="194"/>
      <c r="W2729" s="191"/>
      <c r="Y2729" s="191"/>
      <c r="Z2729" s="191"/>
      <c r="AA2729" s="191"/>
      <c r="AB2729" s="191"/>
      <c r="AC2729" s="191"/>
      <c r="AD2729" s="16"/>
      <c r="AE2729" s="16"/>
      <c r="AF2729" s="16"/>
      <c r="AG2729" s="16"/>
      <c r="AH2729" s="16"/>
      <c r="AI2729" s="16"/>
      <c r="AJ2729" s="16"/>
      <c r="AK2729" s="16"/>
      <c r="AL2729" s="16"/>
      <c r="AM2729" s="16"/>
      <c r="AN2729" s="16"/>
      <c r="AO2729" s="16"/>
      <c r="AP2729" s="16"/>
      <c r="AQ2729" s="16"/>
      <c r="AR2729" s="16"/>
      <c r="AS2729" s="16"/>
    </row>
    <row r="2730" spans="18:45" x14ac:dyDescent="0.35">
      <c r="R2730" s="191"/>
      <c r="S2730" s="191"/>
      <c r="T2730" s="193"/>
      <c r="U2730" s="191"/>
      <c r="V2730" s="194"/>
      <c r="W2730" s="191"/>
      <c r="Y2730" s="191"/>
      <c r="Z2730" s="191"/>
      <c r="AA2730" s="191"/>
      <c r="AB2730" s="191"/>
      <c r="AC2730" s="191"/>
      <c r="AD2730" s="16"/>
      <c r="AE2730" s="16"/>
      <c r="AF2730" s="16"/>
      <c r="AG2730" s="16"/>
      <c r="AH2730" s="16"/>
      <c r="AI2730" s="16"/>
      <c r="AJ2730" s="16"/>
      <c r="AK2730" s="16"/>
      <c r="AL2730" s="16"/>
      <c r="AM2730" s="16"/>
      <c r="AN2730" s="16"/>
      <c r="AO2730" s="16"/>
      <c r="AP2730" s="16"/>
      <c r="AQ2730" s="16"/>
      <c r="AR2730" s="16"/>
      <c r="AS2730" s="16"/>
    </row>
    <row r="2731" spans="18:45" x14ac:dyDescent="0.35">
      <c r="R2731" s="191"/>
      <c r="S2731" s="191"/>
      <c r="T2731" s="193"/>
      <c r="U2731" s="191"/>
      <c r="V2731" s="194"/>
      <c r="W2731" s="191"/>
      <c r="Y2731" s="191"/>
      <c r="Z2731" s="191"/>
      <c r="AA2731" s="191"/>
      <c r="AB2731" s="191"/>
      <c r="AC2731" s="191"/>
      <c r="AD2731" s="16"/>
      <c r="AE2731" s="16"/>
      <c r="AF2731" s="16"/>
      <c r="AG2731" s="16"/>
      <c r="AH2731" s="16"/>
      <c r="AI2731" s="16"/>
      <c r="AJ2731" s="16"/>
      <c r="AK2731" s="16"/>
      <c r="AL2731" s="16"/>
      <c r="AM2731" s="16"/>
      <c r="AN2731" s="16"/>
      <c r="AO2731" s="16"/>
      <c r="AP2731" s="16"/>
      <c r="AQ2731" s="16"/>
      <c r="AR2731" s="16"/>
      <c r="AS2731" s="16"/>
    </row>
    <row r="2732" spans="18:45" x14ac:dyDescent="0.35">
      <c r="R2732" s="191"/>
      <c r="S2732" s="191"/>
      <c r="T2732" s="193"/>
      <c r="U2732" s="191"/>
      <c r="V2732" s="194"/>
      <c r="W2732" s="191"/>
      <c r="Y2732" s="191"/>
      <c r="Z2732" s="191"/>
      <c r="AA2732" s="191"/>
      <c r="AB2732" s="191"/>
      <c r="AC2732" s="191"/>
      <c r="AD2732" s="16"/>
      <c r="AE2732" s="16"/>
      <c r="AF2732" s="16"/>
      <c r="AG2732" s="16"/>
      <c r="AH2732" s="16"/>
      <c r="AI2732" s="16"/>
      <c r="AJ2732" s="16"/>
      <c r="AK2732" s="16"/>
      <c r="AL2732" s="16"/>
      <c r="AM2732" s="16"/>
      <c r="AN2732" s="16"/>
      <c r="AO2732" s="16"/>
      <c r="AP2732" s="16"/>
      <c r="AQ2732" s="16"/>
      <c r="AR2732" s="16"/>
      <c r="AS2732" s="16"/>
    </row>
    <row r="2733" spans="18:45" x14ac:dyDescent="0.35">
      <c r="R2733" s="191"/>
      <c r="S2733" s="191"/>
      <c r="T2733" s="193"/>
      <c r="U2733" s="191"/>
      <c r="V2733" s="194"/>
      <c r="W2733" s="191"/>
      <c r="Y2733" s="191"/>
      <c r="Z2733" s="191"/>
      <c r="AA2733" s="191"/>
      <c r="AB2733" s="191"/>
      <c r="AC2733" s="191"/>
      <c r="AD2733" s="16"/>
      <c r="AE2733" s="16"/>
      <c r="AF2733" s="16"/>
      <c r="AG2733" s="16"/>
      <c r="AH2733" s="16"/>
      <c r="AI2733" s="16"/>
      <c r="AJ2733" s="16"/>
      <c r="AK2733" s="16"/>
      <c r="AL2733" s="16"/>
      <c r="AM2733" s="16"/>
      <c r="AN2733" s="16"/>
      <c r="AO2733" s="16"/>
      <c r="AP2733" s="16"/>
      <c r="AQ2733" s="16"/>
      <c r="AR2733" s="16"/>
      <c r="AS2733" s="16"/>
    </row>
    <row r="2734" spans="18:45" x14ac:dyDescent="0.35">
      <c r="R2734" s="191"/>
      <c r="S2734" s="191"/>
      <c r="T2734" s="193"/>
      <c r="U2734" s="191"/>
      <c r="V2734" s="194"/>
      <c r="W2734" s="191"/>
      <c r="Y2734" s="191"/>
      <c r="Z2734" s="191"/>
      <c r="AA2734" s="191"/>
      <c r="AB2734" s="191"/>
      <c r="AC2734" s="191"/>
      <c r="AD2734" s="16"/>
      <c r="AE2734" s="16"/>
      <c r="AF2734" s="16"/>
      <c r="AG2734" s="16"/>
      <c r="AH2734" s="16"/>
      <c r="AI2734" s="16"/>
      <c r="AJ2734" s="16"/>
      <c r="AK2734" s="16"/>
      <c r="AL2734" s="16"/>
      <c r="AM2734" s="16"/>
      <c r="AN2734" s="16"/>
      <c r="AO2734" s="16"/>
      <c r="AP2734" s="16"/>
      <c r="AQ2734" s="16"/>
      <c r="AR2734" s="16"/>
      <c r="AS2734" s="16"/>
    </row>
    <row r="2735" spans="18:45" x14ac:dyDescent="0.35">
      <c r="R2735" s="191"/>
      <c r="S2735" s="191"/>
      <c r="T2735" s="193"/>
      <c r="U2735" s="191"/>
      <c r="V2735" s="194"/>
      <c r="W2735" s="191"/>
      <c r="Y2735" s="191"/>
      <c r="Z2735" s="191"/>
      <c r="AA2735" s="191"/>
      <c r="AB2735" s="191"/>
      <c r="AC2735" s="191"/>
      <c r="AD2735" s="16"/>
      <c r="AE2735" s="16"/>
      <c r="AF2735" s="16"/>
      <c r="AG2735" s="16"/>
      <c r="AH2735" s="16"/>
      <c r="AI2735" s="16"/>
      <c r="AJ2735" s="16"/>
      <c r="AK2735" s="16"/>
      <c r="AL2735" s="16"/>
      <c r="AM2735" s="16"/>
      <c r="AN2735" s="16"/>
      <c r="AO2735" s="16"/>
      <c r="AP2735" s="16"/>
      <c r="AQ2735" s="16"/>
      <c r="AR2735" s="16"/>
      <c r="AS2735" s="16"/>
    </row>
    <row r="2736" spans="18:45" x14ac:dyDescent="0.35">
      <c r="R2736" s="191"/>
      <c r="S2736" s="191"/>
      <c r="T2736" s="193"/>
      <c r="U2736" s="191"/>
      <c r="V2736" s="194"/>
      <c r="W2736" s="191"/>
      <c r="Y2736" s="191"/>
      <c r="Z2736" s="191"/>
      <c r="AA2736" s="191"/>
      <c r="AB2736" s="191"/>
      <c r="AC2736" s="191"/>
      <c r="AD2736" s="16"/>
      <c r="AE2736" s="16"/>
      <c r="AF2736" s="16"/>
      <c r="AG2736" s="16"/>
      <c r="AH2736" s="16"/>
      <c r="AI2736" s="16"/>
      <c r="AJ2736" s="16"/>
      <c r="AK2736" s="16"/>
      <c r="AL2736" s="16"/>
      <c r="AM2736" s="16"/>
      <c r="AN2736" s="16"/>
      <c r="AO2736" s="16"/>
      <c r="AP2736" s="16"/>
      <c r="AQ2736" s="16"/>
      <c r="AR2736" s="16"/>
      <c r="AS2736" s="16"/>
    </row>
    <row r="2737" spans="18:45" x14ac:dyDescent="0.35">
      <c r="R2737" s="191"/>
      <c r="S2737" s="191"/>
      <c r="T2737" s="193"/>
      <c r="U2737" s="191"/>
      <c r="V2737" s="194"/>
      <c r="W2737" s="191"/>
      <c r="Y2737" s="191"/>
      <c r="Z2737" s="191"/>
      <c r="AA2737" s="191"/>
      <c r="AB2737" s="191"/>
      <c r="AC2737" s="191"/>
      <c r="AD2737" s="16"/>
      <c r="AE2737" s="16"/>
      <c r="AF2737" s="16"/>
      <c r="AG2737" s="16"/>
      <c r="AH2737" s="16"/>
      <c r="AI2737" s="16"/>
      <c r="AJ2737" s="16"/>
      <c r="AK2737" s="16"/>
      <c r="AL2737" s="16"/>
      <c r="AM2737" s="16"/>
      <c r="AN2737" s="16"/>
      <c r="AO2737" s="16"/>
      <c r="AP2737" s="16"/>
      <c r="AQ2737" s="16"/>
      <c r="AR2737" s="16"/>
      <c r="AS2737" s="16"/>
    </row>
    <row r="2738" spans="18:45" x14ac:dyDescent="0.35">
      <c r="R2738" s="191"/>
      <c r="S2738" s="191"/>
      <c r="T2738" s="193"/>
      <c r="U2738" s="191"/>
      <c r="V2738" s="194"/>
      <c r="W2738" s="191"/>
      <c r="Y2738" s="191"/>
      <c r="Z2738" s="191"/>
      <c r="AA2738" s="191"/>
      <c r="AB2738" s="191"/>
      <c r="AC2738" s="191"/>
      <c r="AD2738" s="16"/>
      <c r="AE2738" s="16"/>
      <c r="AF2738" s="16"/>
      <c r="AG2738" s="16"/>
      <c r="AH2738" s="16"/>
      <c r="AI2738" s="16"/>
      <c r="AJ2738" s="16"/>
      <c r="AK2738" s="16"/>
      <c r="AL2738" s="16"/>
      <c r="AM2738" s="16"/>
      <c r="AN2738" s="16"/>
      <c r="AO2738" s="16"/>
      <c r="AP2738" s="16"/>
      <c r="AQ2738" s="16"/>
      <c r="AR2738" s="16"/>
      <c r="AS2738" s="16"/>
    </row>
    <row r="2739" spans="18:45" x14ac:dyDescent="0.35">
      <c r="R2739" s="191"/>
      <c r="S2739" s="191"/>
      <c r="T2739" s="193"/>
      <c r="U2739" s="191"/>
      <c r="V2739" s="194"/>
      <c r="W2739" s="191"/>
      <c r="Y2739" s="191"/>
      <c r="Z2739" s="191"/>
      <c r="AA2739" s="191"/>
      <c r="AB2739" s="191"/>
      <c r="AC2739" s="191"/>
      <c r="AD2739" s="16"/>
      <c r="AE2739" s="16"/>
      <c r="AF2739" s="16"/>
      <c r="AG2739" s="16"/>
      <c r="AH2739" s="16"/>
      <c r="AI2739" s="16"/>
      <c r="AJ2739" s="16"/>
      <c r="AK2739" s="16"/>
      <c r="AL2739" s="16"/>
      <c r="AM2739" s="16"/>
      <c r="AN2739" s="16"/>
      <c r="AO2739" s="16"/>
      <c r="AP2739" s="16"/>
      <c r="AQ2739" s="16"/>
      <c r="AR2739" s="16"/>
      <c r="AS2739" s="16"/>
    </row>
    <row r="2740" spans="18:45" x14ac:dyDescent="0.35">
      <c r="R2740" s="191"/>
      <c r="S2740" s="191"/>
      <c r="T2740" s="193"/>
      <c r="U2740" s="191"/>
      <c r="V2740" s="194"/>
      <c r="W2740" s="191"/>
      <c r="Y2740" s="191"/>
      <c r="Z2740" s="191"/>
      <c r="AA2740" s="191"/>
      <c r="AB2740" s="191"/>
      <c r="AC2740" s="191"/>
      <c r="AD2740" s="16"/>
      <c r="AE2740" s="16"/>
      <c r="AF2740" s="16"/>
      <c r="AG2740" s="16"/>
      <c r="AH2740" s="16"/>
      <c r="AI2740" s="16"/>
      <c r="AJ2740" s="16"/>
      <c r="AK2740" s="16"/>
      <c r="AL2740" s="16"/>
      <c r="AM2740" s="16"/>
      <c r="AN2740" s="16"/>
      <c r="AO2740" s="16"/>
      <c r="AP2740" s="16"/>
      <c r="AQ2740" s="16"/>
      <c r="AR2740" s="16"/>
      <c r="AS2740" s="16"/>
    </row>
    <row r="2741" spans="18:45" x14ac:dyDescent="0.35">
      <c r="R2741" s="191"/>
      <c r="S2741" s="191"/>
      <c r="T2741" s="193"/>
      <c r="U2741" s="191"/>
      <c r="V2741" s="194"/>
      <c r="W2741" s="191"/>
      <c r="Y2741" s="191"/>
      <c r="Z2741" s="191"/>
      <c r="AA2741" s="191"/>
      <c r="AB2741" s="191"/>
      <c r="AC2741" s="191"/>
      <c r="AD2741" s="16"/>
      <c r="AE2741" s="16"/>
      <c r="AF2741" s="16"/>
      <c r="AG2741" s="16"/>
      <c r="AH2741" s="16"/>
      <c r="AI2741" s="16"/>
      <c r="AJ2741" s="16"/>
      <c r="AK2741" s="16"/>
      <c r="AL2741" s="16"/>
      <c r="AM2741" s="16"/>
      <c r="AN2741" s="16"/>
      <c r="AO2741" s="16"/>
      <c r="AP2741" s="16"/>
      <c r="AQ2741" s="16"/>
      <c r="AR2741" s="16"/>
      <c r="AS2741" s="16"/>
    </row>
    <row r="2742" spans="18:45" x14ac:dyDescent="0.35">
      <c r="R2742" s="191"/>
      <c r="S2742" s="191"/>
      <c r="T2742" s="193"/>
      <c r="U2742" s="191"/>
      <c r="V2742" s="194"/>
      <c r="W2742" s="191"/>
      <c r="Y2742" s="191"/>
      <c r="Z2742" s="191"/>
      <c r="AA2742" s="191"/>
      <c r="AB2742" s="191"/>
      <c r="AC2742" s="191"/>
      <c r="AD2742" s="16"/>
      <c r="AE2742" s="16"/>
      <c r="AF2742" s="16"/>
      <c r="AG2742" s="16"/>
      <c r="AH2742" s="16"/>
      <c r="AI2742" s="16"/>
      <c r="AJ2742" s="16"/>
      <c r="AK2742" s="16"/>
      <c r="AL2742" s="16"/>
      <c r="AM2742" s="16"/>
      <c r="AN2742" s="16"/>
      <c r="AO2742" s="16"/>
      <c r="AP2742" s="16"/>
      <c r="AQ2742" s="16"/>
      <c r="AR2742" s="16"/>
      <c r="AS2742" s="16"/>
    </row>
    <row r="2743" spans="18:45" x14ac:dyDescent="0.35">
      <c r="R2743" s="191"/>
      <c r="S2743" s="191"/>
      <c r="T2743" s="193"/>
      <c r="U2743" s="191"/>
      <c r="V2743" s="194"/>
      <c r="W2743" s="191"/>
      <c r="Y2743" s="191"/>
      <c r="Z2743" s="191"/>
      <c r="AA2743" s="191"/>
      <c r="AB2743" s="191"/>
      <c r="AC2743" s="191"/>
      <c r="AD2743" s="16"/>
      <c r="AE2743" s="16"/>
      <c r="AF2743" s="16"/>
      <c r="AG2743" s="16"/>
      <c r="AH2743" s="16"/>
      <c r="AI2743" s="16"/>
      <c r="AJ2743" s="16"/>
      <c r="AK2743" s="16"/>
      <c r="AL2743" s="16"/>
      <c r="AM2743" s="16"/>
      <c r="AN2743" s="16"/>
      <c r="AO2743" s="16"/>
      <c r="AP2743" s="16"/>
      <c r="AQ2743" s="16"/>
      <c r="AR2743" s="16"/>
      <c r="AS2743" s="16"/>
    </row>
    <row r="2744" spans="18:45" x14ac:dyDescent="0.35">
      <c r="R2744" s="191"/>
      <c r="S2744" s="191"/>
      <c r="T2744" s="193"/>
      <c r="U2744" s="191"/>
      <c r="V2744" s="194"/>
      <c r="W2744" s="191"/>
      <c r="Y2744" s="191"/>
      <c r="Z2744" s="191"/>
      <c r="AA2744" s="191"/>
      <c r="AB2744" s="191"/>
      <c r="AC2744" s="191"/>
      <c r="AD2744" s="16"/>
      <c r="AE2744" s="16"/>
      <c r="AF2744" s="16"/>
      <c r="AG2744" s="16"/>
      <c r="AH2744" s="16"/>
      <c r="AI2744" s="16"/>
      <c r="AJ2744" s="16"/>
      <c r="AK2744" s="16"/>
      <c r="AL2744" s="16"/>
      <c r="AM2744" s="16"/>
      <c r="AN2744" s="16"/>
      <c r="AO2744" s="16"/>
      <c r="AP2744" s="16"/>
      <c r="AQ2744" s="16"/>
      <c r="AR2744" s="16"/>
      <c r="AS2744" s="16"/>
    </row>
    <row r="2745" spans="18:45" x14ac:dyDescent="0.35">
      <c r="R2745" s="191"/>
      <c r="S2745" s="191"/>
      <c r="T2745" s="193"/>
      <c r="U2745" s="191"/>
      <c r="V2745" s="194"/>
      <c r="W2745" s="191"/>
      <c r="Y2745" s="191"/>
      <c r="Z2745" s="191"/>
      <c r="AA2745" s="191"/>
      <c r="AB2745" s="191"/>
      <c r="AC2745" s="191"/>
      <c r="AD2745" s="16"/>
      <c r="AE2745" s="16"/>
      <c r="AF2745" s="16"/>
      <c r="AG2745" s="16"/>
      <c r="AH2745" s="16"/>
      <c r="AI2745" s="16"/>
      <c r="AJ2745" s="16"/>
      <c r="AK2745" s="16"/>
      <c r="AL2745" s="16"/>
      <c r="AM2745" s="16"/>
      <c r="AN2745" s="16"/>
      <c r="AO2745" s="16"/>
      <c r="AP2745" s="16"/>
      <c r="AQ2745" s="16"/>
      <c r="AR2745" s="16"/>
      <c r="AS2745" s="16"/>
    </row>
    <row r="2746" spans="18:45" x14ac:dyDescent="0.35">
      <c r="R2746" s="191"/>
      <c r="S2746" s="191"/>
      <c r="T2746" s="193"/>
      <c r="U2746" s="191"/>
      <c r="V2746" s="194"/>
      <c r="W2746" s="191"/>
      <c r="Y2746" s="191"/>
      <c r="Z2746" s="191"/>
      <c r="AA2746" s="191"/>
      <c r="AB2746" s="191"/>
      <c r="AC2746" s="191"/>
      <c r="AD2746" s="16"/>
      <c r="AE2746" s="16"/>
      <c r="AF2746" s="16"/>
      <c r="AG2746" s="16"/>
      <c r="AH2746" s="16"/>
      <c r="AI2746" s="16"/>
      <c r="AJ2746" s="16"/>
      <c r="AK2746" s="16"/>
      <c r="AL2746" s="16"/>
      <c r="AM2746" s="16"/>
      <c r="AN2746" s="16"/>
      <c r="AO2746" s="16"/>
      <c r="AP2746" s="16"/>
      <c r="AQ2746" s="16"/>
      <c r="AR2746" s="16"/>
      <c r="AS2746" s="16"/>
    </row>
    <row r="2747" spans="18:45" x14ac:dyDescent="0.35">
      <c r="R2747" s="191"/>
      <c r="S2747" s="191"/>
      <c r="T2747" s="193"/>
      <c r="U2747" s="191"/>
      <c r="V2747" s="194"/>
      <c r="W2747" s="191"/>
      <c r="Y2747" s="191"/>
      <c r="Z2747" s="191"/>
      <c r="AA2747" s="191"/>
      <c r="AB2747" s="191"/>
      <c r="AC2747" s="191"/>
      <c r="AD2747" s="16"/>
      <c r="AE2747" s="16"/>
      <c r="AF2747" s="16"/>
      <c r="AG2747" s="16"/>
      <c r="AH2747" s="16"/>
      <c r="AI2747" s="16"/>
      <c r="AJ2747" s="16"/>
      <c r="AK2747" s="16"/>
      <c r="AL2747" s="16"/>
      <c r="AM2747" s="16"/>
      <c r="AN2747" s="16"/>
      <c r="AO2747" s="16"/>
      <c r="AP2747" s="16"/>
      <c r="AQ2747" s="16"/>
      <c r="AR2747" s="16"/>
      <c r="AS2747" s="16"/>
    </row>
    <row r="2748" spans="18:45" x14ac:dyDescent="0.35">
      <c r="R2748" s="191"/>
      <c r="S2748" s="191"/>
      <c r="T2748" s="193"/>
      <c r="U2748" s="191"/>
      <c r="V2748" s="194"/>
      <c r="W2748" s="191"/>
      <c r="Y2748" s="191"/>
      <c r="Z2748" s="191"/>
      <c r="AA2748" s="191"/>
      <c r="AB2748" s="191"/>
      <c r="AC2748" s="191"/>
      <c r="AD2748" s="16"/>
      <c r="AE2748" s="16"/>
      <c r="AF2748" s="16"/>
      <c r="AG2748" s="16"/>
      <c r="AH2748" s="16"/>
      <c r="AI2748" s="16"/>
      <c r="AJ2748" s="16"/>
      <c r="AK2748" s="16"/>
      <c r="AL2748" s="16"/>
      <c r="AM2748" s="16"/>
      <c r="AN2748" s="16"/>
      <c r="AO2748" s="16"/>
      <c r="AP2748" s="16"/>
      <c r="AQ2748" s="16"/>
      <c r="AR2748" s="16"/>
      <c r="AS2748" s="16"/>
    </row>
    <row r="2749" spans="18:45" x14ac:dyDescent="0.35">
      <c r="R2749" s="191"/>
      <c r="S2749" s="191"/>
      <c r="T2749" s="193"/>
      <c r="U2749" s="191"/>
      <c r="V2749" s="194"/>
      <c r="W2749" s="191"/>
      <c r="Y2749" s="191"/>
      <c r="Z2749" s="191"/>
      <c r="AA2749" s="191"/>
      <c r="AB2749" s="191"/>
      <c r="AC2749" s="191"/>
      <c r="AD2749" s="16"/>
      <c r="AE2749" s="16"/>
      <c r="AF2749" s="16"/>
      <c r="AG2749" s="16"/>
      <c r="AH2749" s="16"/>
      <c r="AI2749" s="16"/>
      <c r="AJ2749" s="16"/>
      <c r="AK2749" s="16"/>
      <c r="AL2749" s="16"/>
      <c r="AM2749" s="16"/>
      <c r="AN2749" s="16"/>
      <c r="AO2749" s="16"/>
      <c r="AP2749" s="16"/>
      <c r="AQ2749" s="16"/>
      <c r="AR2749" s="16"/>
      <c r="AS2749" s="16"/>
    </row>
    <row r="2750" spans="18:45" x14ac:dyDescent="0.35">
      <c r="R2750" s="191"/>
      <c r="S2750" s="191"/>
      <c r="T2750" s="193"/>
      <c r="U2750" s="191"/>
      <c r="V2750" s="194"/>
      <c r="W2750" s="191"/>
      <c r="Y2750" s="191"/>
      <c r="Z2750" s="191"/>
      <c r="AA2750" s="191"/>
      <c r="AB2750" s="191"/>
      <c r="AC2750" s="191"/>
      <c r="AD2750" s="16"/>
      <c r="AE2750" s="16"/>
      <c r="AF2750" s="16"/>
      <c r="AG2750" s="16"/>
      <c r="AH2750" s="16"/>
      <c r="AI2750" s="16"/>
      <c r="AJ2750" s="16"/>
      <c r="AK2750" s="16"/>
      <c r="AL2750" s="16"/>
      <c r="AM2750" s="16"/>
      <c r="AN2750" s="16"/>
      <c r="AO2750" s="16"/>
      <c r="AP2750" s="16"/>
      <c r="AQ2750" s="16"/>
      <c r="AR2750" s="16"/>
      <c r="AS2750" s="16"/>
    </row>
    <row r="2751" spans="18:45" x14ac:dyDescent="0.35">
      <c r="R2751" s="191"/>
      <c r="S2751" s="191"/>
      <c r="T2751" s="193"/>
      <c r="U2751" s="191"/>
      <c r="V2751" s="194"/>
      <c r="W2751" s="191"/>
      <c r="Y2751" s="191"/>
      <c r="Z2751" s="191"/>
      <c r="AA2751" s="191"/>
      <c r="AB2751" s="191"/>
      <c r="AC2751" s="191"/>
      <c r="AD2751" s="16"/>
      <c r="AE2751" s="16"/>
      <c r="AF2751" s="16"/>
      <c r="AG2751" s="16"/>
      <c r="AH2751" s="16"/>
      <c r="AI2751" s="16"/>
      <c r="AJ2751" s="16"/>
      <c r="AK2751" s="16"/>
      <c r="AL2751" s="16"/>
      <c r="AM2751" s="16"/>
      <c r="AN2751" s="16"/>
      <c r="AO2751" s="16"/>
      <c r="AP2751" s="16"/>
      <c r="AQ2751" s="16"/>
      <c r="AR2751" s="16"/>
      <c r="AS2751" s="16"/>
    </row>
    <row r="2752" spans="18:45" x14ac:dyDescent="0.35">
      <c r="R2752" s="191"/>
      <c r="S2752" s="191"/>
      <c r="T2752" s="193"/>
      <c r="U2752" s="191"/>
      <c r="V2752" s="194"/>
      <c r="W2752" s="191"/>
      <c r="Y2752" s="191"/>
      <c r="Z2752" s="191"/>
      <c r="AA2752" s="191"/>
      <c r="AB2752" s="191"/>
      <c r="AC2752" s="191"/>
      <c r="AD2752" s="16"/>
      <c r="AE2752" s="16"/>
      <c r="AF2752" s="16"/>
      <c r="AG2752" s="16"/>
      <c r="AH2752" s="16"/>
      <c r="AI2752" s="16"/>
      <c r="AJ2752" s="16"/>
      <c r="AK2752" s="16"/>
      <c r="AL2752" s="16"/>
      <c r="AM2752" s="16"/>
      <c r="AN2752" s="16"/>
      <c r="AO2752" s="16"/>
      <c r="AP2752" s="16"/>
      <c r="AQ2752" s="16"/>
      <c r="AR2752" s="16"/>
      <c r="AS2752" s="16"/>
    </row>
    <row r="2753" spans="18:45" x14ac:dyDescent="0.35">
      <c r="R2753" s="191"/>
      <c r="S2753" s="191"/>
      <c r="T2753" s="193"/>
      <c r="U2753" s="191"/>
      <c r="V2753" s="194"/>
      <c r="W2753" s="191"/>
      <c r="Y2753" s="191"/>
      <c r="Z2753" s="191"/>
      <c r="AA2753" s="191"/>
      <c r="AB2753" s="191"/>
      <c r="AC2753" s="191"/>
      <c r="AD2753" s="16"/>
      <c r="AE2753" s="16"/>
      <c r="AF2753" s="16"/>
      <c r="AG2753" s="16"/>
      <c r="AH2753" s="16"/>
      <c r="AI2753" s="16"/>
      <c r="AJ2753" s="16"/>
      <c r="AK2753" s="16"/>
      <c r="AL2753" s="16"/>
      <c r="AM2753" s="16"/>
      <c r="AN2753" s="16"/>
      <c r="AO2753" s="16"/>
      <c r="AP2753" s="16"/>
      <c r="AQ2753" s="16"/>
      <c r="AR2753" s="16"/>
      <c r="AS2753" s="16"/>
    </row>
    <row r="2754" spans="18:45" x14ac:dyDescent="0.35">
      <c r="R2754" s="191"/>
      <c r="S2754" s="191"/>
      <c r="T2754" s="193"/>
      <c r="U2754" s="191"/>
      <c r="V2754" s="194"/>
      <c r="W2754" s="191"/>
      <c r="Y2754" s="191"/>
      <c r="Z2754" s="191"/>
      <c r="AA2754" s="191"/>
      <c r="AB2754" s="191"/>
      <c r="AC2754" s="191"/>
      <c r="AD2754" s="16"/>
      <c r="AE2754" s="16"/>
      <c r="AF2754" s="16"/>
      <c r="AG2754" s="16"/>
      <c r="AH2754" s="16"/>
      <c r="AI2754" s="16"/>
      <c r="AJ2754" s="16"/>
      <c r="AK2754" s="16"/>
      <c r="AL2754" s="16"/>
      <c r="AM2754" s="16"/>
      <c r="AN2754" s="16"/>
      <c r="AO2754" s="16"/>
      <c r="AP2754" s="16"/>
      <c r="AQ2754" s="16"/>
      <c r="AR2754" s="16"/>
      <c r="AS2754" s="16"/>
    </row>
    <row r="2755" spans="18:45" x14ac:dyDescent="0.35">
      <c r="R2755" s="191"/>
      <c r="S2755" s="191"/>
      <c r="T2755" s="193"/>
      <c r="U2755" s="191"/>
      <c r="V2755" s="194"/>
      <c r="W2755" s="191"/>
      <c r="Y2755" s="191"/>
      <c r="Z2755" s="191"/>
      <c r="AA2755" s="191"/>
      <c r="AB2755" s="191"/>
      <c r="AC2755" s="191"/>
      <c r="AD2755" s="16"/>
      <c r="AE2755" s="16"/>
      <c r="AF2755" s="16"/>
      <c r="AG2755" s="16"/>
      <c r="AH2755" s="16"/>
      <c r="AI2755" s="16"/>
      <c r="AJ2755" s="16"/>
      <c r="AK2755" s="16"/>
      <c r="AL2755" s="16"/>
      <c r="AM2755" s="16"/>
      <c r="AN2755" s="16"/>
      <c r="AO2755" s="16"/>
      <c r="AP2755" s="16"/>
      <c r="AQ2755" s="16"/>
      <c r="AR2755" s="16"/>
      <c r="AS2755" s="16"/>
    </row>
    <row r="2756" spans="18:45" x14ac:dyDescent="0.35">
      <c r="R2756" s="191"/>
      <c r="S2756" s="191"/>
      <c r="T2756" s="193"/>
      <c r="U2756" s="191"/>
      <c r="V2756" s="194"/>
      <c r="W2756" s="191"/>
      <c r="Y2756" s="191"/>
      <c r="Z2756" s="191"/>
      <c r="AA2756" s="191"/>
      <c r="AB2756" s="191"/>
      <c r="AC2756" s="191"/>
      <c r="AD2756" s="16"/>
      <c r="AE2756" s="16"/>
      <c r="AF2756" s="16"/>
      <c r="AG2756" s="16"/>
      <c r="AH2756" s="16"/>
      <c r="AI2756" s="16"/>
      <c r="AJ2756" s="16"/>
      <c r="AK2756" s="16"/>
      <c r="AL2756" s="16"/>
      <c r="AM2756" s="16"/>
      <c r="AN2756" s="16"/>
      <c r="AO2756" s="16"/>
      <c r="AP2756" s="16"/>
      <c r="AQ2756" s="16"/>
      <c r="AR2756" s="16"/>
      <c r="AS2756" s="16"/>
    </row>
    <row r="2757" spans="18:45" x14ac:dyDescent="0.35">
      <c r="R2757" s="191"/>
      <c r="S2757" s="191"/>
      <c r="T2757" s="193"/>
      <c r="U2757" s="191"/>
      <c r="V2757" s="194"/>
      <c r="W2757" s="191"/>
      <c r="Y2757" s="191"/>
      <c r="Z2757" s="191"/>
      <c r="AA2757" s="191"/>
      <c r="AB2757" s="191"/>
      <c r="AC2757" s="191"/>
      <c r="AD2757" s="16"/>
      <c r="AE2757" s="16"/>
      <c r="AF2757" s="16"/>
      <c r="AG2757" s="16"/>
      <c r="AH2757" s="16"/>
      <c r="AI2757" s="16"/>
      <c r="AJ2757" s="16"/>
      <c r="AK2757" s="16"/>
      <c r="AL2757" s="16"/>
      <c r="AM2757" s="16"/>
      <c r="AN2757" s="16"/>
      <c r="AO2757" s="16"/>
      <c r="AP2757" s="16"/>
      <c r="AQ2757" s="16"/>
      <c r="AR2757" s="16"/>
      <c r="AS2757" s="16"/>
    </row>
    <row r="2758" spans="18:45" x14ac:dyDescent="0.35">
      <c r="R2758" s="191"/>
      <c r="S2758" s="191"/>
      <c r="T2758" s="193"/>
      <c r="U2758" s="191"/>
      <c r="V2758" s="194"/>
      <c r="W2758" s="191"/>
      <c r="Y2758" s="191"/>
      <c r="Z2758" s="191"/>
      <c r="AA2758" s="191"/>
      <c r="AB2758" s="191"/>
      <c r="AC2758" s="191"/>
      <c r="AD2758" s="16"/>
      <c r="AE2758" s="16"/>
      <c r="AF2758" s="16"/>
      <c r="AG2758" s="16"/>
      <c r="AH2758" s="16"/>
      <c r="AI2758" s="16"/>
      <c r="AJ2758" s="16"/>
      <c r="AK2758" s="16"/>
      <c r="AL2758" s="16"/>
      <c r="AM2758" s="16"/>
      <c r="AN2758" s="16"/>
      <c r="AO2758" s="16"/>
      <c r="AP2758" s="16"/>
      <c r="AQ2758" s="16"/>
      <c r="AR2758" s="16"/>
      <c r="AS2758" s="16"/>
    </row>
    <row r="2759" spans="18:45" x14ac:dyDescent="0.35">
      <c r="R2759" s="191"/>
      <c r="S2759" s="191"/>
      <c r="T2759" s="193"/>
      <c r="U2759" s="191"/>
      <c r="V2759" s="194"/>
      <c r="W2759" s="191"/>
      <c r="Y2759" s="191"/>
      <c r="Z2759" s="191"/>
      <c r="AA2759" s="191"/>
      <c r="AB2759" s="191"/>
      <c r="AC2759" s="191"/>
      <c r="AD2759" s="16"/>
      <c r="AE2759" s="16"/>
      <c r="AF2759" s="16"/>
      <c r="AG2759" s="16"/>
      <c r="AH2759" s="16"/>
      <c r="AI2759" s="16"/>
      <c r="AJ2759" s="16"/>
      <c r="AK2759" s="16"/>
      <c r="AL2759" s="16"/>
      <c r="AM2759" s="16"/>
      <c r="AN2759" s="16"/>
      <c r="AO2759" s="16"/>
      <c r="AP2759" s="16"/>
      <c r="AQ2759" s="16"/>
      <c r="AR2759" s="16"/>
      <c r="AS2759" s="16"/>
    </row>
    <row r="2760" spans="18:45" x14ac:dyDescent="0.35">
      <c r="R2760" s="191"/>
      <c r="S2760" s="191"/>
      <c r="T2760" s="193"/>
      <c r="U2760" s="191"/>
      <c r="V2760" s="194"/>
      <c r="W2760" s="191"/>
      <c r="Y2760" s="191"/>
      <c r="Z2760" s="191"/>
      <c r="AA2760" s="191"/>
      <c r="AB2760" s="191"/>
      <c r="AC2760" s="191"/>
      <c r="AD2760" s="16"/>
      <c r="AE2760" s="16"/>
      <c r="AF2760" s="16"/>
      <c r="AG2760" s="16"/>
      <c r="AH2760" s="16"/>
      <c r="AI2760" s="16"/>
      <c r="AJ2760" s="16"/>
      <c r="AK2760" s="16"/>
      <c r="AL2760" s="16"/>
      <c r="AM2760" s="16"/>
      <c r="AN2760" s="16"/>
      <c r="AO2760" s="16"/>
      <c r="AP2760" s="16"/>
      <c r="AQ2760" s="16"/>
      <c r="AR2760" s="16"/>
      <c r="AS2760" s="16"/>
    </row>
    <row r="2761" spans="18:45" x14ac:dyDescent="0.35">
      <c r="R2761" s="191"/>
      <c r="S2761" s="191"/>
      <c r="T2761" s="193"/>
      <c r="U2761" s="191"/>
      <c r="V2761" s="194"/>
      <c r="W2761" s="191"/>
      <c r="Y2761" s="191"/>
      <c r="Z2761" s="191"/>
      <c r="AA2761" s="191"/>
      <c r="AB2761" s="191"/>
      <c r="AC2761" s="191"/>
      <c r="AD2761" s="16"/>
      <c r="AE2761" s="16"/>
      <c r="AF2761" s="16"/>
      <c r="AG2761" s="16"/>
      <c r="AH2761" s="16"/>
      <c r="AI2761" s="16"/>
      <c r="AJ2761" s="16"/>
      <c r="AK2761" s="16"/>
      <c r="AL2761" s="16"/>
      <c r="AM2761" s="16"/>
      <c r="AN2761" s="16"/>
      <c r="AO2761" s="16"/>
      <c r="AP2761" s="16"/>
      <c r="AQ2761" s="16"/>
      <c r="AR2761" s="16"/>
      <c r="AS2761" s="16"/>
    </row>
    <row r="2762" spans="18:45" x14ac:dyDescent="0.35">
      <c r="R2762" s="191"/>
      <c r="S2762" s="191"/>
      <c r="T2762" s="193"/>
      <c r="U2762" s="191"/>
      <c r="V2762" s="194"/>
      <c r="W2762" s="191"/>
      <c r="Y2762" s="191"/>
      <c r="Z2762" s="191"/>
      <c r="AA2762" s="191"/>
      <c r="AB2762" s="191"/>
      <c r="AC2762" s="191"/>
      <c r="AD2762" s="16"/>
      <c r="AE2762" s="16"/>
      <c r="AF2762" s="16"/>
      <c r="AG2762" s="16"/>
      <c r="AH2762" s="16"/>
      <c r="AI2762" s="16"/>
      <c r="AJ2762" s="16"/>
      <c r="AK2762" s="16"/>
      <c r="AL2762" s="16"/>
      <c r="AM2762" s="16"/>
      <c r="AN2762" s="16"/>
      <c r="AO2762" s="16"/>
      <c r="AP2762" s="16"/>
      <c r="AQ2762" s="16"/>
      <c r="AR2762" s="16"/>
      <c r="AS2762" s="16"/>
    </row>
    <row r="2763" spans="18:45" x14ac:dyDescent="0.35">
      <c r="R2763" s="191"/>
      <c r="S2763" s="191"/>
      <c r="T2763" s="193"/>
      <c r="U2763" s="191"/>
      <c r="V2763" s="194"/>
      <c r="W2763" s="191"/>
      <c r="Y2763" s="191"/>
      <c r="Z2763" s="191"/>
      <c r="AA2763" s="191"/>
      <c r="AB2763" s="191"/>
      <c r="AC2763" s="191"/>
      <c r="AD2763" s="16"/>
      <c r="AE2763" s="16"/>
      <c r="AF2763" s="16"/>
      <c r="AG2763" s="16"/>
      <c r="AH2763" s="16"/>
      <c r="AI2763" s="16"/>
      <c r="AJ2763" s="16"/>
      <c r="AK2763" s="16"/>
      <c r="AL2763" s="16"/>
      <c r="AM2763" s="16"/>
      <c r="AN2763" s="16"/>
      <c r="AO2763" s="16"/>
      <c r="AP2763" s="16"/>
      <c r="AQ2763" s="16"/>
      <c r="AR2763" s="16"/>
      <c r="AS2763" s="16"/>
    </row>
    <row r="2764" spans="18:45" x14ac:dyDescent="0.35">
      <c r="R2764" s="191"/>
      <c r="S2764" s="191"/>
      <c r="T2764" s="193"/>
      <c r="U2764" s="191"/>
      <c r="V2764" s="194"/>
      <c r="W2764" s="191"/>
      <c r="Y2764" s="191"/>
      <c r="Z2764" s="191"/>
      <c r="AA2764" s="191"/>
      <c r="AB2764" s="191"/>
      <c r="AC2764" s="191"/>
      <c r="AD2764" s="16"/>
      <c r="AE2764" s="16"/>
      <c r="AF2764" s="16"/>
      <c r="AG2764" s="16"/>
      <c r="AH2764" s="16"/>
      <c r="AI2764" s="16"/>
      <c r="AJ2764" s="16"/>
      <c r="AK2764" s="16"/>
      <c r="AL2764" s="16"/>
      <c r="AM2764" s="16"/>
      <c r="AN2764" s="16"/>
      <c r="AO2764" s="16"/>
      <c r="AP2764" s="16"/>
      <c r="AQ2764" s="16"/>
      <c r="AR2764" s="16"/>
      <c r="AS2764" s="16"/>
    </row>
    <row r="2765" spans="18:45" x14ac:dyDescent="0.35">
      <c r="R2765" s="191"/>
      <c r="S2765" s="191"/>
      <c r="T2765" s="193"/>
      <c r="U2765" s="191"/>
      <c r="V2765" s="194"/>
      <c r="W2765" s="191"/>
      <c r="Y2765" s="191"/>
      <c r="Z2765" s="191"/>
      <c r="AA2765" s="191"/>
      <c r="AB2765" s="191"/>
      <c r="AC2765" s="191"/>
      <c r="AD2765" s="16"/>
      <c r="AE2765" s="16"/>
      <c r="AF2765" s="16"/>
      <c r="AG2765" s="16"/>
      <c r="AH2765" s="16"/>
      <c r="AI2765" s="16"/>
      <c r="AJ2765" s="16"/>
      <c r="AK2765" s="16"/>
      <c r="AL2765" s="16"/>
      <c r="AM2765" s="16"/>
      <c r="AN2765" s="16"/>
      <c r="AO2765" s="16"/>
      <c r="AP2765" s="16"/>
      <c r="AQ2765" s="16"/>
      <c r="AR2765" s="16"/>
      <c r="AS2765" s="16"/>
    </row>
    <row r="2766" spans="18:45" x14ac:dyDescent="0.35">
      <c r="R2766" s="191"/>
      <c r="S2766" s="191"/>
      <c r="T2766" s="193"/>
      <c r="U2766" s="191"/>
      <c r="V2766" s="194"/>
      <c r="W2766" s="191"/>
      <c r="Y2766" s="191"/>
      <c r="Z2766" s="191"/>
      <c r="AA2766" s="191"/>
      <c r="AB2766" s="191"/>
      <c r="AC2766" s="191"/>
      <c r="AD2766" s="16"/>
      <c r="AE2766" s="16"/>
      <c r="AF2766" s="16"/>
      <c r="AG2766" s="16"/>
      <c r="AH2766" s="16"/>
      <c r="AI2766" s="16"/>
      <c r="AJ2766" s="16"/>
      <c r="AK2766" s="16"/>
      <c r="AL2766" s="16"/>
      <c r="AM2766" s="16"/>
      <c r="AN2766" s="16"/>
      <c r="AO2766" s="16"/>
      <c r="AP2766" s="16"/>
      <c r="AQ2766" s="16"/>
      <c r="AR2766" s="16"/>
      <c r="AS2766" s="16"/>
    </row>
    <row r="2767" spans="18:45" x14ac:dyDescent="0.35">
      <c r="R2767" s="191"/>
      <c r="S2767" s="191"/>
      <c r="T2767" s="193"/>
      <c r="U2767" s="191"/>
      <c r="V2767" s="194"/>
      <c r="W2767" s="191"/>
      <c r="Y2767" s="191"/>
      <c r="Z2767" s="191"/>
      <c r="AA2767" s="191"/>
      <c r="AB2767" s="191"/>
      <c r="AC2767" s="191"/>
      <c r="AD2767" s="16"/>
      <c r="AE2767" s="16"/>
      <c r="AF2767" s="16"/>
      <c r="AG2767" s="16"/>
      <c r="AH2767" s="16"/>
      <c r="AI2767" s="16"/>
      <c r="AJ2767" s="16"/>
      <c r="AK2767" s="16"/>
      <c r="AL2767" s="16"/>
      <c r="AM2767" s="16"/>
      <c r="AN2767" s="16"/>
      <c r="AO2767" s="16"/>
      <c r="AP2767" s="16"/>
      <c r="AQ2767" s="16"/>
      <c r="AR2767" s="16"/>
      <c r="AS2767" s="16"/>
    </row>
    <row r="2768" spans="18:45" x14ac:dyDescent="0.35">
      <c r="R2768" s="191"/>
      <c r="S2768" s="191"/>
      <c r="T2768" s="193"/>
      <c r="U2768" s="191"/>
      <c r="V2768" s="194"/>
      <c r="W2768" s="191"/>
      <c r="Y2768" s="191"/>
      <c r="Z2768" s="191"/>
      <c r="AA2768" s="191"/>
      <c r="AB2768" s="191"/>
      <c r="AC2768" s="191"/>
      <c r="AD2768" s="16"/>
      <c r="AE2768" s="16"/>
      <c r="AF2768" s="16"/>
      <c r="AG2768" s="16"/>
      <c r="AH2768" s="16"/>
      <c r="AI2768" s="16"/>
      <c r="AJ2768" s="16"/>
      <c r="AK2768" s="16"/>
      <c r="AL2768" s="16"/>
      <c r="AM2768" s="16"/>
      <c r="AN2768" s="16"/>
      <c r="AO2768" s="16"/>
      <c r="AP2768" s="16"/>
      <c r="AQ2768" s="16"/>
      <c r="AR2768" s="16"/>
      <c r="AS2768" s="16"/>
    </row>
    <row r="2769" spans="18:45" x14ac:dyDescent="0.35">
      <c r="R2769" s="191"/>
      <c r="S2769" s="191"/>
      <c r="T2769" s="193"/>
      <c r="U2769" s="191"/>
      <c r="V2769" s="194"/>
      <c r="W2769" s="191"/>
      <c r="Y2769" s="191"/>
      <c r="Z2769" s="191"/>
      <c r="AA2769" s="191"/>
      <c r="AB2769" s="191"/>
      <c r="AC2769" s="191"/>
      <c r="AD2769" s="16"/>
      <c r="AE2769" s="16"/>
      <c r="AF2769" s="16"/>
      <c r="AG2769" s="16"/>
      <c r="AH2769" s="16"/>
      <c r="AI2769" s="16"/>
      <c r="AJ2769" s="16"/>
      <c r="AK2769" s="16"/>
      <c r="AL2769" s="16"/>
      <c r="AM2769" s="16"/>
      <c r="AN2769" s="16"/>
      <c r="AO2769" s="16"/>
      <c r="AP2769" s="16"/>
      <c r="AQ2769" s="16"/>
      <c r="AR2769" s="16"/>
      <c r="AS2769" s="16"/>
    </row>
    <row r="2770" spans="18:45" x14ac:dyDescent="0.35">
      <c r="R2770" s="191"/>
      <c r="S2770" s="191"/>
      <c r="T2770" s="193"/>
      <c r="U2770" s="191"/>
      <c r="V2770" s="194"/>
      <c r="W2770" s="191"/>
      <c r="Y2770" s="191"/>
      <c r="Z2770" s="191"/>
      <c r="AA2770" s="191"/>
      <c r="AB2770" s="191"/>
      <c r="AC2770" s="191"/>
      <c r="AD2770" s="16"/>
      <c r="AE2770" s="16"/>
      <c r="AF2770" s="16"/>
      <c r="AG2770" s="16"/>
      <c r="AH2770" s="16"/>
      <c r="AI2770" s="16"/>
      <c r="AJ2770" s="16"/>
      <c r="AK2770" s="16"/>
      <c r="AL2770" s="16"/>
      <c r="AM2770" s="16"/>
      <c r="AN2770" s="16"/>
      <c r="AO2770" s="16"/>
      <c r="AP2770" s="16"/>
      <c r="AQ2770" s="16"/>
      <c r="AR2770" s="16"/>
      <c r="AS2770" s="16"/>
    </row>
    <row r="2771" spans="18:45" x14ac:dyDescent="0.35">
      <c r="R2771" s="191"/>
      <c r="S2771" s="191"/>
      <c r="T2771" s="193"/>
      <c r="U2771" s="191"/>
      <c r="V2771" s="194"/>
      <c r="W2771" s="191"/>
      <c r="Y2771" s="191"/>
      <c r="Z2771" s="191"/>
      <c r="AA2771" s="191"/>
      <c r="AB2771" s="191"/>
      <c r="AC2771" s="191"/>
      <c r="AD2771" s="16"/>
      <c r="AE2771" s="16"/>
      <c r="AF2771" s="16"/>
      <c r="AG2771" s="16"/>
      <c r="AH2771" s="16"/>
      <c r="AI2771" s="16"/>
      <c r="AJ2771" s="16"/>
      <c r="AK2771" s="16"/>
      <c r="AL2771" s="16"/>
      <c r="AM2771" s="16"/>
      <c r="AN2771" s="16"/>
      <c r="AO2771" s="16"/>
      <c r="AP2771" s="16"/>
      <c r="AQ2771" s="16"/>
      <c r="AR2771" s="16"/>
      <c r="AS2771" s="16"/>
    </row>
    <row r="2772" spans="18:45" x14ac:dyDescent="0.35">
      <c r="R2772" s="191"/>
      <c r="S2772" s="191"/>
      <c r="T2772" s="193"/>
      <c r="U2772" s="191"/>
      <c r="V2772" s="194"/>
      <c r="W2772" s="191"/>
      <c r="Y2772" s="191"/>
      <c r="Z2772" s="191"/>
      <c r="AA2772" s="191"/>
      <c r="AB2772" s="191"/>
      <c r="AC2772" s="191"/>
      <c r="AD2772" s="16"/>
      <c r="AE2772" s="16"/>
      <c r="AF2772" s="16"/>
      <c r="AG2772" s="16"/>
      <c r="AH2772" s="16"/>
      <c r="AI2772" s="16"/>
      <c r="AJ2772" s="16"/>
      <c r="AK2772" s="16"/>
      <c r="AL2772" s="16"/>
      <c r="AM2772" s="16"/>
      <c r="AN2772" s="16"/>
      <c r="AO2772" s="16"/>
      <c r="AP2772" s="16"/>
      <c r="AQ2772" s="16"/>
      <c r="AR2772" s="16"/>
      <c r="AS2772" s="16"/>
    </row>
    <row r="2773" spans="18:45" x14ac:dyDescent="0.35">
      <c r="R2773" s="191"/>
      <c r="S2773" s="191"/>
      <c r="T2773" s="193"/>
      <c r="U2773" s="191"/>
      <c r="V2773" s="194"/>
      <c r="W2773" s="191"/>
      <c r="Y2773" s="191"/>
      <c r="Z2773" s="191"/>
      <c r="AA2773" s="191"/>
      <c r="AB2773" s="191"/>
      <c r="AC2773" s="191"/>
      <c r="AD2773" s="16"/>
      <c r="AE2773" s="16"/>
      <c r="AF2773" s="16"/>
      <c r="AG2773" s="16"/>
      <c r="AH2773" s="16"/>
      <c r="AI2773" s="16"/>
      <c r="AJ2773" s="16"/>
      <c r="AK2773" s="16"/>
      <c r="AL2773" s="16"/>
      <c r="AM2773" s="16"/>
      <c r="AN2773" s="16"/>
      <c r="AO2773" s="16"/>
      <c r="AP2773" s="16"/>
      <c r="AQ2773" s="16"/>
      <c r="AR2773" s="16"/>
      <c r="AS2773" s="16"/>
    </row>
    <row r="2774" spans="18:45" x14ac:dyDescent="0.35">
      <c r="R2774" s="191"/>
      <c r="S2774" s="191"/>
      <c r="T2774" s="193"/>
      <c r="U2774" s="191"/>
      <c r="V2774" s="194"/>
      <c r="W2774" s="191"/>
      <c r="Y2774" s="191"/>
      <c r="Z2774" s="191"/>
      <c r="AA2774" s="191"/>
      <c r="AB2774" s="191"/>
      <c r="AC2774" s="191"/>
      <c r="AD2774" s="16"/>
      <c r="AE2774" s="16"/>
      <c r="AF2774" s="16"/>
      <c r="AG2774" s="16"/>
      <c r="AH2774" s="16"/>
      <c r="AI2774" s="16"/>
      <c r="AJ2774" s="16"/>
      <c r="AK2774" s="16"/>
      <c r="AL2774" s="16"/>
      <c r="AM2774" s="16"/>
      <c r="AN2774" s="16"/>
      <c r="AO2774" s="16"/>
      <c r="AP2774" s="16"/>
      <c r="AQ2774" s="16"/>
      <c r="AR2774" s="16"/>
      <c r="AS2774" s="16"/>
    </row>
    <row r="2775" spans="18:45" x14ac:dyDescent="0.35">
      <c r="R2775" s="191"/>
      <c r="S2775" s="191"/>
      <c r="T2775" s="193"/>
      <c r="U2775" s="191"/>
      <c r="V2775" s="194"/>
      <c r="W2775" s="191"/>
      <c r="Y2775" s="191"/>
      <c r="Z2775" s="191"/>
      <c r="AA2775" s="191"/>
      <c r="AB2775" s="191"/>
      <c r="AC2775" s="191"/>
      <c r="AD2775" s="16"/>
      <c r="AE2775" s="16"/>
      <c r="AF2775" s="16"/>
      <c r="AG2775" s="16"/>
      <c r="AH2775" s="16"/>
      <c r="AI2775" s="16"/>
      <c r="AJ2775" s="16"/>
      <c r="AK2775" s="16"/>
      <c r="AL2775" s="16"/>
      <c r="AM2775" s="16"/>
      <c r="AN2775" s="16"/>
      <c r="AO2775" s="16"/>
      <c r="AP2775" s="16"/>
      <c r="AQ2775" s="16"/>
      <c r="AR2775" s="16"/>
      <c r="AS2775" s="16"/>
    </row>
    <row r="2776" spans="18:45" x14ac:dyDescent="0.35">
      <c r="R2776" s="191"/>
      <c r="S2776" s="191"/>
      <c r="T2776" s="193"/>
      <c r="U2776" s="191"/>
      <c r="V2776" s="194"/>
      <c r="W2776" s="191"/>
      <c r="Y2776" s="191"/>
      <c r="Z2776" s="191"/>
      <c r="AA2776" s="191"/>
      <c r="AB2776" s="191"/>
      <c r="AC2776" s="191"/>
      <c r="AD2776" s="16"/>
      <c r="AE2776" s="16"/>
      <c r="AF2776" s="16"/>
      <c r="AG2776" s="16"/>
      <c r="AH2776" s="16"/>
      <c r="AI2776" s="16"/>
      <c r="AJ2776" s="16"/>
      <c r="AK2776" s="16"/>
      <c r="AL2776" s="16"/>
      <c r="AM2776" s="16"/>
      <c r="AN2776" s="16"/>
      <c r="AO2776" s="16"/>
      <c r="AP2776" s="16"/>
      <c r="AQ2776" s="16"/>
      <c r="AR2776" s="16"/>
      <c r="AS2776" s="16"/>
    </row>
    <row r="2777" spans="18:45" x14ac:dyDescent="0.35">
      <c r="R2777" s="191"/>
      <c r="S2777" s="191"/>
      <c r="T2777" s="193"/>
      <c r="U2777" s="191"/>
      <c r="V2777" s="194"/>
      <c r="W2777" s="191"/>
      <c r="Y2777" s="191"/>
      <c r="Z2777" s="191"/>
      <c r="AA2777" s="191"/>
      <c r="AB2777" s="191"/>
      <c r="AC2777" s="191"/>
      <c r="AD2777" s="16"/>
      <c r="AE2777" s="16"/>
      <c r="AF2777" s="16"/>
      <c r="AG2777" s="16"/>
      <c r="AH2777" s="16"/>
      <c r="AI2777" s="16"/>
      <c r="AJ2777" s="16"/>
      <c r="AK2777" s="16"/>
      <c r="AL2777" s="16"/>
      <c r="AM2777" s="16"/>
      <c r="AN2777" s="16"/>
      <c r="AO2777" s="16"/>
      <c r="AP2777" s="16"/>
      <c r="AQ2777" s="16"/>
      <c r="AR2777" s="16"/>
      <c r="AS2777" s="16"/>
    </row>
    <row r="2778" spans="18:45" x14ac:dyDescent="0.35">
      <c r="R2778" s="191"/>
      <c r="S2778" s="191"/>
      <c r="T2778" s="193"/>
      <c r="U2778" s="191"/>
      <c r="V2778" s="194"/>
      <c r="W2778" s="191"/>
      <c r="Y2778" s="191"/>
      <c r="Z2778" s="191"/>
      <c r="AA2778" s="191"/>
      <c r="AB2778" s="191"/>
      <c r="AC2778" s="191"/>
      <c r="AD2778" s="16"/>
      <c r="AE2778" s="16"/>
      <c r="AF2778" s="16"/>
      <c r="AG2778" s="16"/>
      <c r="AH2778" s="16"/>
      <c r="AI2778" s="16"/>
      <c r="AJ2778" s="16"/>
      <c r="AK2778" s="16"/>
      <c r="AL2778" s="16"/>
      <c r="AM2778" s="16"/>
      <c r="AN2778" s="16"/>
      <c r="AO2778" s="16"/>
      <c r="AP2778" s="16"/>
      <c r="AQ2778" s="16"/>
      <c r="AR2778" s="16"/>
      <c r="AS2778" s="16"/>
    </row>
    <row r="2779" spans="18:45" x14ac:dyDescent="0.35">
      <c r="R2779" s="191"/>
      <c r="S2779" s="191"/>
      <c r="T2779" s="193"/>
      <c r="U2779" s="191"/>
      <c r="V2779" s="194"/>
      <c r="W2779" s="191"/>
      <c r="Y2779" s="191"/>
      <c r="Z2779" s="191"/>
      <c r="AA2779" s="191"/>
      <c r="AB2779" s="191"/>
      <c r="AC2779" s="191"/>
      <c r="AD2779" s="16"/>
      <c r="AE2779" s="16"/>
      <c r="AF2779" s="16"/>
      <c r="AG2779" s="16"/>
      <c r="AH2779" s="16"/>
      <c r="AI2779" s="16"/>
      <c r="AJ2779" s="16"/>
      <c r="AK2779" s="16"/>
      <c r="AL2779" s="16"/>
      <c r="AM2779" s="16"/>
      <c r="AN2779" s="16"/>
      <c r="AO2779" s="16"/>
      <c r="AP2779" s="16"/>
      <c r="AQ2779" s="16"/>
      <c r="AR2779" s="16"/>
      <c r="AS2779" s="16"/>
    </row>
    <row r="2780" spans="18:45" x14ac:dyDescent="0.35">
      <c r="R2780" s="191"/>
      <c r="S2780" s="191"/>
      <c r="T2780" s="193"/>
      <c r="U2780" s="191"/>
      <c r="V2780" s="194"/>
      <c r="W2780" s="191"/>
      <c r="Y2780" s="191"/>
      <c r="Z2780" s="191"/>
      <c r="AA2780" s="191"/>
      <c r="AB2780" s="191"/>
      <c r="AC2780" s="191"/>
      <c r="AD2780" s="16"/>
      <c r="AE2780" s="16"/>
      <c r="AF2780" s="16"/>
      <c r="AG2780" s="16"/>
      <c r="AH2780" s="16"/>
      <c r="AI2780" s="16"/>
      <c r="AJ2780" s="16"/>
      <c r="AK2780" s="16"/>
      <c r="AL2780" s="16"/>
      <c r="AM2780" s="16"/>
      <c r="AN2780" s="16"/>
      <c r="AO2780" s="16"/>
      <c r="AP2780" s="16"/>
      <c r="AQ2780" s="16"/>
      <c r="AR2780" s="16"/>
      <c r="AS2780" s="16"/>
    </row>
    <row r="2781" spans="18:45" x14ac:dyDescent="0.35">
      <c r="R2781" s="191"/>
      <c r="S2781" s="191"/>
      <c r="T2781" s="193"/>
      <c r="U2781" s="191"/>
      <c r="V2781" s="194"/>
      <c r="W2781" s="191"/>
      <c r="Y2781" s="191"/>
      <c r="Z2781" s="191"/>
      <c r="AA2781" s="191"/>
      <c r="AB2781" s="191"/>
      <c r="AC2781" s="191"/>
      <c r="AD2781" s="16"/>
      <c r="AE2781" s="16"/>
      <c r="AF2781" s="16"/>
      <c r="AG2781" s="16"/>
      <c r="AH2781" s="16"/>
      <c r="AI2781" s="16"/>
      <c r="AJ2781" s="16"/>
      <c r="AK2781" s="16"/>
      <c r="AL2781" s="16"/>
      <c r="AM2781" s="16"/>
      <c r="AN2781" s="16"/>
      <c r="AO2781" s="16"/>
      <c r="AP2781" s="16"/>
      <c r="AQ2781" s="16"/>
      <c r="AR2781" s="16"/>
      <c r="AS2781" s="16"/>
    </row>
    <row r="2782" spans="18:45" x14ac:dyDescent="0.35">
      <c r="R2782" s="191"/>
      <c r="S2782" s="191"/>
      <c r="T2782" s="193"/>
      <c r="U2782" s="191"/>
      <c r="V2782" s="194"/>
      <c r="W2782" s="191"/>
      <c r="Y2782" s="191"/>
      <c r="Z2782" s="191"/>
      <c r="AA2782" s="191"/>
      <c r="AB2782" s="191"/>
      <c r="AC2782" s="191"/>
      <c r="AD2782" s="16"/>
      <c r="AE2782" s="16"/>
      <c r="AF2782" s="16"/>
      <c r="AG2782" s="16"/>
      <c r="AH2782" s="16"/>
      <c r="AI2782" s="16"/>
      <c r="AJ2782" s="16"/>
      <c r="AK2782" s="16"/>
      <c r="AL2782" s="16"/>
      <c r="AM2782" s="16"/>
      <c r="AN2782" s="16"/>
      <c r="AO2782" s="16"/>
      <c r="AP2782" s="16"/>
      <c r="AQ2782" s="16"/>
      <c r="AR2782" s="16"/>
      <c r="AS2782" s="16"/>
    </row>
    <row r="2783" spans="18:45" x14ac:dyDescent="0.35">
      <c r="R2783" s="191"/>
      <c r="S2783" s="191"/>
      <c r="T2783" s="193"/>
      <c r="U2783" s="191"/>
      <c r="V2783" s="194"/>
      <c r="W2783" s="191"/>
      <c r="Y2783" s="191"/>
      <c r="Z2783" s="191"/>
      <c r="AA2783" s="191"/>
      <c r="AB2783" s="191"/>
      <c r="AC2783" s="191"/>
      <c r="AD2783" s="16"/>
      <c r="AE2783" s="16"/>
      <c r="AF2783" s="16"/>
      <c r="AG2783" s="16"/>
      <c r="AH2783" s="16"/>
      <c r="AI2783" s="16"/>
      <c r="AJ2783" s="16"/>
      <c r="AK2783" s="16"/>
      <c r="AL2783" s="16"/>
      <c r="AM2783" s="16"/>
      <c r="AN2783" s="16"/>
      <c r="AO2783" s="16"/>
      <c r="AP2783" s="16"/>
      <c r="AQ2783" s="16"/>
      <c r="AR2783" s="16"/>
      <c r="AS2783" s="16"/>
    </row>
    <row r="2784" spans="18:45" x14ac:dyDescent="0.35">
      <c r="R2784" s="191"/>
      <c r="S2784" s="191"/>
      <c r="T2784" s="193"/>
      <c r="U2784" s="191"/>
      <c r="V2784" s="194"/>
      <c r="W2784" s="191"/>
      <c r="Y2784" s="191"/>
      <c r="Z2784" s="191"/>
      <c r="AA2784" s="191"/>
      <c r="AB2784" s="191"/>
      <c r="AC2784" s="191"/>
      <c r="AD2784" s="16"/>
      <c r="AE2784" s="16"/>
      <c r="AF2784" s="16"/>
      <c r="AG2784" s="16"/>
      <c r="AH2784" s="16"/>
      <c r="AI2784" s="16"/>
      <c r="AJ2784" s="16"/>
      <c r="AK2784" s="16"/>
      <c r="AL2784" s="16"/>
      <c r="AM2784" s="16"/>
      <c r="AN2784" s="16"/>
      <c r="AO2784" s="16"/>
      <c r="AP2784" s="16"/>
      <c r="AQ2784" s="16"/>
      <c r="AR2784" s="16"/>
      <c r="AS2784" s="16"/>
    </row>
    <row r="2785" spans="18:45" x14ac:dyDescent="0.35">
      <c r="R2785" s="191"/>
      <c r="S2785" s="191"/>
      <c r="T2785" s="193"/>
      <c r="U2785" s="191"/>
      <c r="V2785" s="194"/>
      <c r="W2785" s="191"/>
      <c r="Y2785" s="191"/>
      <c r="Z2785" s="191"/>
      <c r="AA2785" s="191"/>
      <c r="AB2785" s="191"/>
      <c r="AC2785" s="191"/>
      <c r="AD2785" s="16"/>
      <c r="AE2785" s="16"/>
      <c r="AF2785" s="16"/>
      <c r="AG2785" s="16"/>
      <c r="AH2785" s="16"/>
      <c r="AI2785" s="16"/>
      <c r="AJ2785" s="16"/>
      <c r="AK2785" s="16"/>
      <c r="AL2785" s="16"/>
      <c r="AM2785" s="16"/>
      <c r="AN2785" s="16"/>
      <c r="AO2785" s="16"/>
      <c r="AP2785" s="16"/>
      <c r="AQ2785" s="16"/>
      <c r="AR2785" s="16"/>
      <c r="AS2785" s="16"/>
    </row>
    <row r="2786" spans="18:45" x14ac:dyDescent="0.35">
      <c r="R2786" s="191"/>
      <c r="S2786" s="191"/>
      <c r="T2786" s="193"/>
      <c r="U2786" s="191"/>
      <c r="V2786" s="194"/>
      <c r="W2786" s="191"/>
      <c r="Y2786" s="191"/>
      <c r="Z2786" s="191"/>
      <c r="AA2786" s="191"/>
      <c r="AB2786" s="191"/>
      <c r="AC2786" s="191"/>
      <c r="AD2786" s="16"/>
      <c r="AE2786" s="16"/>
      <c r="AF2786" s="16"/>
      <c r="AG2786" s="16"/>
      <c r="AH2786" s="16"/>
      <c r="AI2786" s="16"/>
      <c r="AJ2786" s="16"/>
      <c r="AK2786" s="16"/>
      <c r="AL2786" s="16"/>
      <c r="AM2786" s="16"/>
      <c r="AN2786" s="16"/>
      <c r="AO2786" s="16"/>
      <c r="AP2786" s="16"/>
      <c r="AQ2786" s="16"/>
      <c r="AR2786" s="16"/>
      <c r="AS2786" s="16"/>
    </row>
    <row r="2787" spans="18:45" x14ac:dyDescent="0.35">
      <c r="R2787" s="191"/>
      <c r="S2787" s="191"/>
      <c r="T2787" s="193"/>
      <c r="U2787" s="191"/>
      <c r="V2787" s="194"/>
      <c r="W2787" s="191"/>
      <c r="Y2787" s="191"/>
      <c r="Z2787" s="191"/>
      <c r="AA2787" s="191"/>
      <c r="AB2787" s="191"/>
      <c r="AC2787" s="191"/>
      <c r="AD2787" s="16"/>
      <c r="AE2787" s="16"/>
      <c r="AF2787" s="16"/>
      <c r="AG2787" s="16"/>
      <c r="AH2787" s="16"/>
      <c r="AI2787" s="16"/>
      <c r="AJ2787" s="16"/>
      <c r="AK2787" s="16"/>
      <c r="AL2787" s="16"/>
      <c r="AM2787" s="16"/>
      <c r="AN2787" s="16"/>
      <c r="AO2787" s="16"/>
      <c r="AP2787" s="16"/>
      <c r="AQ2787" s="16"/>
      <c r="AR2787" s="16"/>
      <c r="AS2787" s="16"/>
    </row>
    <row r="2788" spans="18:45" x14ac:dyDescent="0.35">
      <c r="R2788" s="191"/>
      <c r="S2788" s="191"/>
      <c r="T2788" s="193"/>
      <c r="U2788" s="191"/>
      <c r="V2788" s="194"/>
      <c r="W2788" s="191"/>
      <c r="Y2788" s="191"/>
      <c r="Z2788" s="191"/>
      <c r="AA2788" s="191"/>
      <c r="AB2788" s="191"/>
      <c r="AC2788" s="191"/>
      <c r="AD2788" s="16"/>
      <c r="AE2788" s="16"/>
      <c r="AF2788" s="16"/>
      <c r="AG2788" s="16"/>
      <c r="AH2788" s="16"/>
      <c r="AI2788" s="16"/>
      <c r="AJ2788" s="16"/>
      <c r="AK2788" s="16"/>
      <c r="AL2788" s="16"/>
      <c r="AM2788" s="16"/>
      <c r="AN2788" s="16"/>
      <c r="AO2788" s="16"/>
      <c r="AP2788" s="16"/>
      <c r="AQ2788" s="16"/>
      <c r="AR2788" s="16"/>
      <c r="AS2788" s="16"/>
    </row>
    <row r="2789" spans="18:45" x14ac:dyDescent="0.35">
      <c r="R2789" s="191"/>
      <c r="S2789" s="191"/>
      <c r="T2789" s="193"/>
      <c r="U2789" s="191"/>
      <c r="V2789" s="194"/>
      <c r="W2789" s="191"/>
      <c r="Y2789" s="191"/>
      <c r="Z2789" s="191"/>
      <c r="AA2789" s="191"/>
      <c r="AB2789" s="191"/>
      <c r="AC2789" s="191"/>
      <c r="AD2789" s="16"/>
      <c r="AE2789" s="16"/>
      <c r="AF2789" s="16"/>
      <c r="AG2789" s="16"/>
      <c r="AH2789" s="16"/>
      <c r="AI2789" s="16"/>
      <c r="AJ2789" s="16"/>
      <c r="AK2789" s="16"/>
      <c r="AL2789" s="16"/>
      <c r="AM2789" s="16"/>
      <c r="AN2789" s="16"/>
      <c r="AO2789" s="16"/>
      <c r="AP2789" s="16"/>
      <c r="AQ2789" s="16"/>
      <c r="AR2789" s="16"/>
      <c r="AS2789" s="16"/>
    </row>
    <row r="2790" spans="18:45" x14ac:dyDescent="0.35">
      <c r="R2790" s="191"/>
      <c r="S2790" s="191"/>
      <c r="T2790" s="193"/>
      <c r="U2790" s="191"/>
      <c r="V2790" s="194"/>
      <c r="W2790" s="191"/>
      <c r="Y2790" s="191"/>
      <c r="Z2790" s="191"/>
      <c r="AA2790" s="191"/>
      <c r="AB2790" s="191"/>
      <c r="AC2790" s="191"/>
      <c r="AD2790" s="16"/>
      <c r="AE2790" s="16"/>
      <c r="AF2790" s="16"/>
      <c r="AG2790" s="16"/>
      <c r="AH2790" s="16"/>
      <c r="AI2790" s="16"/>
      <c r="AJ2790" s="16"/>
      <c r="AK2790" s="16"/>
      <c r="AL2790" s="16"/>
      <c r="AM2790" s="16"/>
      <c r="AN2790" s="16"/>
      <c r="AO2790" s="16"/>
      <c r="AP2790" s="16"/>
      <c r="AQ2790" s="16"/>
      <c r="AR2790" s="16"/>
      <c r="AS2790" s="16"/>
    </row>
    <row r="2791" spans="18:45" x14ac:dyDescent="0.35">
      <c r="R2791" s="191"/>
      <c r="S2791" s="191"/>
      <c r="T2791" s="193"/>
      <c r="U2791" s="191"/>
      <c r="V2791" s="194"/>
      <c r="W2791" s="191"/>
      <c r="Y2791" s="191"/>
      <c r="Z2791" s="191"/>
      <c r="AA2791" s="191"/>
      <c r="AB2791" s="191"/>
      <c r="AC2791" s="191"/>
      <c r="AD2791" s="16"/>
      <c r="AE2791" s="16"/>
      <c r="AF2791" s="16"/>
      <c r="AG2791" s="16"/>
      <c r="AH2791" s="16"/>
      <c r="AI2791" s="16"/>
      <c r="AJ2791" s="16"/>
      <c r="AK2791" s="16"/>
      <c r="AL2791" s="16"/>
      <c r="AM2791" s="16"/>
      <c r="AN2791" s="16"/>
      <c r="AO2791" s="16"/>
      <c r="AP2791" s="16"/>
      <c r="AQ2791" s="16"/>
      <c r="AR2791" s="16"/>
      <c r="AS2791" s="16"/>
    </row>
    <row r="2792" spans="18:45" x14ac:dyDescent="0.35">
      <c r="R2792" s="191"/>
      <c r="S2792" s="191"/>
      <c r="T2792" s="193"/>
      <c r="U2792" s="191"/>
      <c r="V2792" s="194"/>
      <c r="W2792" s="191"/>
      <c r="Y2792" s="191"/>
      <c r="Z2792" s="191"/>
      <c r="AA2792" s="191"/>
      <c r="AB2792" s="191"/>
      <c r="AC2792" s="191"/>
      <c r="AD2792" s="16"/>
      <c r="AE2792" s="16"/>
      <c r="AF2792" s="16"/>
      <c r="AG2792" s="16"/>
      <c r="AH2792" s="16"/>
      <c r="AI2792" s="16"/>
      <c r="AJ2792" s="16"/>
      <c r="AK2792" s="16"/>
      <c r="AL2792" s="16"/>
      <c r="AM2792" s="16"/>
      <c r="AN2792" s="16"/>
      <c r="AO2792" s="16"/>
      <c r="AP2792" s="16"/>
      <c r="AQ2792" s="16"/>
      <c r="AR2792" s="16"/>
      <c r="AS2792" s="16"/>
    </row>
    <row r="2793" spans="18:45" x14ac:dyDescent="0.35">
      <c r="R2793" s="191"/>
      <c r="S2793" s="191"/>
      <c r="T2793" s="193"/>
      <c r="U2793" s="191"/>
      <c r="V2793" s="194"/>
      <c r="W2793" s="191"/>
      <c r="Y2793" s="191"/>
      <c r="Z2793" s="191"/>
      <c r="AA2793" s="191"/>
      <c r="AB2793" s="191"/>
      <c r="AC2793" s="191"/>
      <c r="AD2793" s="16"/>
      <c r="AE2793" s="16"/>
      <c r="AF2793" s="16"/>
      <c r="AG2793" s="16"/>
      <c r="AH2793" s="16"/>
      <c r="AI2793" s="16"/>
      <c r="AJ2793" s="16"/>
      <c r="AK2793" s="16"/>
      <c r="AL2793" s="16"/>
      <c r="AM2793" s="16"/>
      <c r="AN2793" s="16"/>
      <c r="AO2793" s="16"/>
      <c r="AP2793" s="16"/>
      <c r="AQ2793" s="16"/>
      <c r="AR2793" s="16"/>
      <c r="AS2793" s="16"/>
    </row>
    <row r="2794" spans="18:45" x14ac:dyDescent="0.35">
      <c r="R2794" s="191"/>
      <c r="S2794" s="191"/>
      <c r="T2794" s="193"/>
      <c r="U2794" s="191"/>
      <c r="V2794" s="194"/>
      <c r="W2794" s="191"/>
      <c r="Y2794" s="191"/>
      <c r="Z2794" s="191"/>
      <c r="AA2794" s="191"/>
      <c r="AB2794" s="191"/>
      <c r="AC2794" s="191"/>
      <c r="AD2794" s="16"/>
      <c r="AE2794" s="16"/>
      <c r="AF2794" s="16"/>
      <c r="AG2794" s="16"/>
      <c r="AH2794" s="16"/>
      <c r="AI2794" s="16"/>
      <c r="AJ2794" s="16"/>
      <c r="AK2794" s="16"/>
      <c r="AL2794" s="16"/>
      <c r="AM2794" s="16"/>
      <c r="AN2794" s="16"/>
      <c r="AO2794" s="16"/>
      <c r="AP2794" s="16"/>
      <c r="AQ2794" s="16"/>
      <c r="AR2794" s="16"/>
      <c r="AS2794" s="16"/>
    </row>
    <row r="2795" spans="18:45" x14ac:dyDescent="0.35">
      <c r="R2795" s="191"/>
      <c r="S2795" s="191"/>
      <c r="T2795" s="193"/>
      <c r="U2795" s="191"/>
      <c r="V2795" s="194"/>
      <c r="W2795" s="191"/>
      <c r="Y2795" s="191"/>
      <c r="Z2795" s="191"/>
      <c r="AA2795" s="191"/>
      <c r="AB2795" s="191"/>
      <c r="AC2795" s="191"/>
      <c r="AD2795" s="16"/>
      <c r="AE2795" s="16"/>
      <c r="AF2795" s="16"/>
      <c r="AG2795" s="16"/>
      <c r="AH2795" s="16"/>
      <c r="AI2795" s="16"/>
      <c r="AJ2795" s="16"/>
      <c r="AK2795" s="16"/>
      <c r="AL2795" s="16"/>
      <c r="AM2795" s="16"/>
      <c r="AN2795" s="16"/>
      <c r="AO2795" s="16"/>
      <c r="AP2795" s="16"/>
      <c r="AQ2795" s="16"/>
      <c r="AR2795" s="16"/>
      <c r="AS2795" s="16"/>
    </row>
    <row r="2796" spans="18:45" x14ac:dyDescent="0.35">
      <c r="R2796" s="191"/>
      <c r="S2796" s="191"/>
      <c r="T2796" s="193"/>
      <c r="U2796" s="191"/>
      <c r="V2796" s="194"/>
      <c r="W2796" s="191"/>
      <c r="Y2796" s="191"/>
      <c r="Z2796" s="191"/>
      <c r="AA2796" s="191"/>
      <c r="AB2796" s="191"/>
      <c r="AC2796" s="191"/>
      <c r="AD2796" s="16"/>
      <c r="AE2796" s="16"/>
      <c r="AF2796" s="16"/>
      <c r="AG2796" s="16"/>
      <c r="AH2796" s="16"/>
      <c r="AI2796" s="16"/>
      <c r="AJ2796" s="16"/>
      <c r="AK2796" s="16"/>
      <c r="AL2796" s="16"/>
      <c r="AM2796" s="16"/>
      <c r="AN2796" s="16"/>
      <c r="AO2796" s="16"/>
      <c r="AP2796" s="16"/>
      <c r="AQ2796" s="16"/>
      <c r="AR2796" s="16"/>
      <c r="AS2796" s="16"/>
    </row>
    <row r="2797" spans="18:45" x14ac:dyDescent="0.35">
      <c r="R2797" s="191"/>
      <c r="S2797" s="191"/>
      <c r="T2797" s="193"/>
      <c r="U2797" s="191"/>
      <c r="V2797" s="194"/>
      <c r="W2797" s="191"/>
      <c r="Y2797" s="191"/>
      <c r="Z2797" s="191"/>
      <c r="AA2797" s="191"/>
      <c r="AB2797" s="191"/>
      <c r="AC2797" s="191"/>
      <c r="AD2797" s="16"/>
      <c r="AE2797" s="16"/>
      <c r="AF2797" s="16"/>
      <c r="AG2797" s="16"/>
      <c r="AH2797" s="16"/>
      <c r="AI2797" s="16"/>
      <c r="AJ2797" s="16"/>
      <c r="AK2797" s="16"/>
      <c r="AL2797" s="16"/>
      <c r="AM2797" s="16"/>
      <c r="AN2797" s="16"/>
      <c r="AO2797" s="16"/>
      <c r="AP2797" s="16"/>
      <c r="AQ2797" s="16"/>
      <c r="AR2797" s="16"/>
      <c r="AS2797" s="16"/>
    </row>
    <row r="2798" spans="18:45" x14ac:dyDescent="0.35">
      <c r="R2798" s="191"/>
      <c r="S2798" s="191"/>
      <c r="T2798" s="193"/>
      <c r="U2798" s="191"/>
      <c r="V2798" s="194"/>
      <c r="W2798" s="191"/>
      <c r="Y2798" s="191"/>
      <c r="Z2798" s="191"/>
      <c r="AA2798" s="191"/>
      <c r="AB2798" s="191"/>
      <c r="AC2798" s="191"/>
      <c r="AD2798" s="16"/>
      <c r="AE2798" s="16"/>
      <c r="AF2798" s="16"/>
      <c r="AG2798" s="16"/>
      <c r="AH2798" s="16"/>
      <c r="AI2798" s="16"/>
      <c r="AJ2798" s="16"/>
      <c r="AK2798" s="16"/>
      <c r="AL2798" s="16"/>
      <c r="AM2798" s="16"/>
      <c r="AN2798" s="16"/>
      <c r="AO2798" s="16"/>
      <c r="AP2798" s="16"/>
      <c r="AQ2798" s="16"/>
      <c r="AR2798" s="16"/>
      <c r="AS2798" s="16"/>
    </row>
    <row r="2799" spans="18:45" x14ac:dyDescent="0.35">
      <c r="R2799" s="191"/>
      <c r="S2799" s="191"/>
      <c r="T2799" s="193"/>
      <c r="U2799" s="191"/>
      <c r="V2799" s="194"/>
      <c r="W2799" s="191"/>
      <c r="Y2799" s="191"/>
      <c r="Z2799" s="191"/>
      <c r="AA2799" s="191"/>
      <c r="AB2799" s="191"/>
      <c r="AC2799" s="191"/>
      <c r="AD2799" s="16"/>
      <c r="AE2799" s="16"/>
      <c r="AF2799" s="16"/>
      <c r="AG2799" s="16"/>
      <c r="AH2799" s="16"/>
      <c r="AI2799" s="16"/>
      <c r="AJ2799" s="16"/>
      <c r="AK2799" s="16"/>
      <c r="AL2799" s="16"/>
      <c r="AM2799" s="16"/>
      <c r="AN2799" s="16"/>
      <c r="AO2799" s="16"/>
      <c r="AP2799" s="16"/>
      <c r="AQ2799" s="16"/>
      <c r="AR2799" s="16"/>
      <c r="AS2799" s="16"/>
    </row>
    <row r="2800" spans="18:45" x14ac:dyDescent="0.35">
      <c r="R2800" s="191"/>
      <c r="S2800" s="191"/>
      <c r="T2800" s="193"/>
      <c r="U2800" s="191"/>
      <c r="V2800" s="194"/>
      <c r="W2800" s="191"/>
      <c r="Y2800" s="191"/>
      <c r="Z2800" s="191"/>
      <c r="AA2800" s="191"/>
      <c r="AB2800" s="191"/>
      <c r="AC2800" s="191"/>
      <c r="AD2800" s="16"/>
      <c r="AE2800" s="16"/>
      <c r="AF2800" s="16"/>
      <c r="AG2800" s="16"/>
      <c r="AH2800" s="16"/>
      <c r="AI2800" s="16"/>
      <c r="AJ2800" s="16"/>
      <c r="AK2800" s="16"/>
      <c r="AL2800" s="16"/>
      <c r="AM2800" s="16"/>
      <c r="AN2800" s="16"/>
      <c r="AO2800" s="16"/>
      <c r="AP2800" s="16"/>
      <c r="AQ2800" s="16"/>
      <c r="AR2800" s="16"/>
      <c r="AS2800" s="16"/>
    </row>
    <row r="2801" spans="18:45" x14ac:dyDescent="0.35">
      <c r="R2801" s="191"/>
      <c r="S2801" s="191"/>
      <c r="T2801" s="193"/>
      <c r="U2801" s="191"/>
      <c r="V2801" s="194"/>
      <c r="W2801" s="191"/>
      <c r="Y2801" s="191"/>
      <c r="Z2801" s="191"/>
      <c r="AA2801" s="191"/>
      <c r="AB2801" s="191"/>
      <c r="AC2801" s="191"/>
      <c r="AD2801" s="16"/>
      <c r="AE2801" s="16"/>
      <c r="AF2801" s="16"/>
      <c r="AG2801" s="16"/>
      <c r="AH2801" s="16"/>
      <c r="AI2801" s="16"/>
      <c r="AJ2801" s="16"/>
      <c r="AK2801" s="16"/>
      <c r="AL2801" s="16"/>
      <c r="AM2801" s="16"/>
      <c r="AN2801" s="16"/>
      <c r="AO2801" s="16"/>
      <c r="AP2801" s="16"/>
      <c r="AQ2801" s="16"/>
      <c r="AR2801" s="16"/>
      <c r="AS2801" s="16"/>
    </row>
    <row r="2802" spans="18:45" x14ac:dyDescent="0.35">
      <c r="R2802" s="191"/>
      <c r="S2802" s="191"/>
      <c r="T2802" s="193"/>
      <c r="U2802" s="191"/>
      <c r="V2802" s="194"/>
      <c r="W2802" s="191"/>
      <c r="Y2802" s="191"/>
      <c r="Z2802" s="191"/>
      <c r="AA2802" s="191"/>
      <c r="AB2802" s="191"/>
      <c r="AC2802" s="191"/>
      <c r="AD2802" s="16"/>
      <c r="AE2802" s="16"/>
      <c r="AF2802" s="16"/>
      <c r="AG2802" s="16"/>
      <c r="AH2802" s="16"/>
      <c r="AI2802" s="16"/>
      <c r="AJ2802" s="16"/>
      <c r="AK2802" s="16"/>
      <c r="AL2802" s="16"/>
      <c r="AM2802" s="16"/>
      <c r="AN2802" s="16"/>
      <c r="AO2802" s="16"/>
      <c r="AP2802" s="16"/>
      <c r="AQ2802" s="16"/>
      <c r="AR2802" s="16"/>
      <c r="AS2802" s="16"/>
    </row>
    <row r="2803" spans="18:45" x14ac:dyDescent="0.35">
      <c r="R2803" s="191"/>
      <c r="S2803" s="191"/>
      <c r="T2803" s="193"/>
      <c r="U2803" s="191"/>
      <c r="V2803" s="194"/>
      <c r="W2803" s="191"/>
      <c r="Y2803" s="191"/>
      <c r="Z2803" s="191"/>
      <c r="AA2803" s="191"/>
      <c r="AB2803" s="191"/>
      <c r="AC2803" s="191"/>
      <c r="AD2803" s="16"/>
      <c r="AE2803" s="16"/>
      <c r="AF2803" s="16"/>
      <c r="AG2803" s="16"/>
      <c r="AH2803" s="16"/>
      <c r="AI2803" s="16"/>
      <c r="AJ2803" s="16"/>
      <c r="AK2803" s="16"/>
      <c r="AL2803" s="16"/>
      <c r="AM2803" s="16"/>
      <c r="AN2803" s="16"/>
      <c r="AO2803" s="16"/>
      <c r="AP2803" s="16"/>
      <c r="AQ2803" s="16"/>
      <c r="AR2803" s="16"/>
      <c r="AS2803" s="16"/>
    </row>
    <row r="2804" spans="18:45" x14ac:dyDescent="0.35">
      <c r="R2804" s="191"/>
      <c r="S2804" s="191"/>
      <c r="T2804" s="193"/>
      <c r="U2804" s="191"/>
      <c r="V2804" s="194"/>
      <c r="W2804" s="191"/>
      <c r="Y2804" s="191"/>
      <c r="Z2804" s="191"/>
      <c r="AA2804" s="191"/>
      <c r="AB2804" s="191"/>
      <c r="AC2804" s="191"/>
      <c r="AD2804" s="16"/>
      <c r="AE2804" s="16"/>
      <c r="AF2804" s="16"/>
      <c r="AG2804" s="16"/>
      <c r="AH2804" s="16"/>
      <c r="AI2804" s="16"/>
      <c r="AJ2804" s="16"/>
      <c r="AK2804" s="16"/>
      <c r="AL2804" s="16"/>
      <c r="AM2804" s="16"/>
      <c r="AN2804" s="16"/>
      <c r="AO2804" s="16"/>
      <c r="AP2804" s="16"/>
      <c r="AQ2804" s="16"/>
      <c r="AR2804" s="16"/>
      <c r="AS2804" s="16"/>
    </row>
    <row r="2805" spans="18:45" x14ac:dyDescent="0.35">
      <c r="R2805" s="191"/>
      <c r="S2805" s="191"/>
      <c r="T2805" s="193"/>
      <c r="U2805" s="191"/>
      <c r="V2805" s="194"/>
      <c r="W2805" s="191"/>
      <c r="Y2805" s="191"/>
      <c r="Z2805" s="191"/>
      <c r="AA2805" s="191"/>
      <c r="AB2805" s="191"/>
      <c r="AC2805" s="191"/>
      <c r="AD2805" s="16"/>
      <c r="AE2805" s="16"/>
      <c r="AF2805" s="16"/>
      <c r="AG2805" s="16"/>
      <c r="AH2805" s="16"/>
      <c r="AI2805" s="16"/>
      <c r="AJ2805" s="16"/>
      <c r="AK2805" s="16"/>
      <c r="AL2805" s="16"/>
      <c r="AM2805" s="16"/>
      <c r="AN2805" s="16"/>
      <c r="AO2805" s="16"/>
      <c r="AP2805" s="16"/>
      <c r="AQ2805" s="16"/>
      <c r="AR2805" s="16"/>
      <c r="AS2805" s="16"/>
    </row>
    <row r="2806" spans="18:45" x14ac:dyDescent="0.35">
      <c r="R2806" s="191"/>
      <c r="S2806" s="191"/>
      <c r="T2806" s="193"/>
      <c r="U2806" s="191"/>
      <c r="V2806" s="194"/>
      <c r="W2806" s="191"/>
      <c r="Y2806" s="191"/>
      <c r="Z2806" s="191"/>
      <c r="AA2806" s="191"/>
      <c r="AB2806" s="191"/>
      <c r="AC2806" s="191"/>
      <c r="AD2806" s="16"/>
      <c r="AE2806" s="16"/>
      <c r="AF2806" s="16"/>
      <c r="AG2806" s="16"/>
      <c r="AH2806" s="16"/>
      <c r="AI2806" s="16"/>
      <c r="AJ2806" s="16"/>
      <c r="AK2806" s="16"/>
      <c r="AL2806" s="16"/>
      <c r="AM2806" s="16"/>
      <c r="AN2806" s="16"/>
      <c r="AO2806" s="16"/>
      <c r="AP2806" s="16"/>
      <c r="AQ2806" s="16"/>
      <c r="AR2806" s="16"/>
      <c r="AS2806" s="16"/>
    </row>
    <row r="2807" spans="18:45" x14ac:dyDescent="0.35">
      <c r="R2807" s="191"/>
      <c r="S2807" s="191"/>
      <c r="T2807" s="193"/>
      <c r="U2807" s="191"/>
      <c r="V2807" s="194"/>
      <c r="W2807" s="191"/>
      <c r="Y2807" s="191"/>
      <c r="Z2807" s="191"/>
      <c r="AA2807" s="191"/>
      <c r="AB2807" s="191"/>
      <c r="AC2807" s="191"/>
      <c r="AD2807" s="16"/>
      <c r="AE2807" s="16"/>
      <c r="AF2807" s="16"/>
      <c r="AG2807" s="16"/>
      <c r="AH2807" s="16"/>
      <c r="AI2807" s="16"/>
      <c r="AJ2807" s="16"/>
      <c r="AK2807" s="16"/>
      <c r="AL2807" s="16"/>
      <c r="AM2807" s="16"/>
      <c r="AN2807" s="16"/>
      <c r="AO2807" s="16"/>
      <c r="AP2807" s="16"/>
      <c r="AQ2807" s="16"/>
      <c r="AR2807" s="16"/>
      <c r="AS2807" s="16"/>
    </row>
    <row r="2808" spans="18:45" x14ac:dyDescent="0.35">
      <c r="R2808" s="191"/>
      <c r="S2808" s="191"/>
      <c r="T2808" s="193"/>
      <c r="U2808" s="191"/>
      <c r="V2808" s="194"/>
      <c r="W2808" s="191"/>
      <c r="Y2808" s="191"/>
      <c r="Z2808" s="191"/>
      <c r="AA2808" s="191"/>
      <c r="AB2808" s="191"/>
      <c r="AC2808" s="191"/>
      <c r="AD2808" s="16"/>
      <c r="AE2808" s="16"/>
      <c r="AF2808" s="16"/>
      <c r="AG2808" s="16"/>
      <c r="AH2808" s="16"/>
      <c r="AI2808" s="16"/>
      <c r="AJ2808" s="16"/>
      <c r="AK2808" s="16"/>
      <c r="AL2808" s="16"/>
      <c r="AM2808" s="16"/>
      <c r="AN2808" s="16"/>
      <c r="AO2808" s="16"/>
      <c r="AP2808" s="16"/>
      <c r="AQ2808" s="16"/>
      <c r="AR2808" s="16"/>
      <c r="AS2808" s="16"/>
    </row>
    <row r="2809" spans="18:45" x14ac:dyDescent="0.35">
      <c r="R2809" s="191"/>
      <c r="S2809" s="191"/>
      <c r="T2809" s="193"/>
      <c r="U2809" s="191"/>
      <c r="V2809" s="194"/>
      <c r="W2809" s="191"/>
      <c r="Y2809" s="191"/>
      <c r="Z2809" s="191"/>
      <c r="AA2809" s="191"/>
      <c r="AB2809" s="191"/>
      <c r="AC2809" s="191"/>
      <c r="AD2809" s="16"/>
      <c r="AE2809" s="16"/>
      <c r="AF2809" s="16"/>
      <c r="AG2809" s="16"/>
      <c r="AH2809" s="16"/>
      <c r="AI2809" s="16"/>
      <c r="AJ2809" s="16"/>
      <c r="AK2809" s="16"/>
      <c r="AL2809" s="16"/>
      <c r="AM2809" s="16"/>
      <c r="AN2809" s="16"/>
      <c r="AO2809" s="16"/>
      <c r="AP2809" s="16"/>
      <c r="AQ2809" s="16"/>
      <c r="AR2809" s="16"/>
      <c r="AS2809" s="16"/>
    </row>
    <row r="2810" spans="18:45" x14ac:dyDescent="0.35">
      <c r="R2810" s="191"/>
      <c r="S2810" s="191"/>
      <c r="T2810" s="193"/>
      <c r="U2810" s="191"/>
      <c r="V2810" s="194"/>
      <c r="W2810" s="191"/>
      <c r="Y2810" s="191"/>
      <c r="Z2810" s="191"/>
      <c r="AA2810" s="191"/>
      <c r="AB2810" s="191"/>
      <c r="AC2810" s="191"/>
      <c r="AD2810" s="16"/>
      <c r="AE2810" s="16"/>
      <c r="AF2810" s="16"/>
      <c r="AG2810" s="16"/>
      <c r="AH2810" s="16"/>
      <c r="AI2810" s="16"/>
      <c r="AJ2810" s="16"/>
      <c r="AK2810" s="16"/>
      <c r="AL2810" s="16"/>
      <c r="AM2810" s="16"/>
      <c r="AN2810" s="16"/>
      <c r="AO2810" s="16"/>
      <c r="AP2810" s="16"/>
      <c r="AQ2810" s="16"/>
      <c r="AR2810" s="16"/>
      <c r="AS2810" s="16"/>
    </row>
    <row r="2811" spans="18:45" x14ac:dyDescent="0.35">
      <c r="R2811" s="191"/>
      <c r="S2811" s="191"/>
      <c r="T2811" s="193"/>
      <c r="U2811" s="191"/>
      <c r="V2811" s="194"/>
      <c r="W2811" s="191"/>
      <c r="Y2811" s="191"/>
      <c r="Z2811" s="191"/>
      <c r="AA2811" s="191"/>
      <c r="AB2811" s="191"/>
      <c r="AC2811" s="191"/>
      <c r="AD2811" s="16"/>
      <c r="AE2811" s="16"/>
      <c r="AF2811" s="16"/>
      <c r="AG2811" s="16"/>
      <c r="AH2811" s="16"/>
      <c r="AI2811" s="16"/>
      <c r="AJ2811" s="16"/>
      <c r="AK2811" s="16"/>
      <c r="AL2811" s="16"/>
      <c r="AM2811" s="16"/>
      <c r="AN2811" s="16"/>
      <c r="AO2811" s="16"/>
      <c r="AP2811" s="16"/>
      <c r="AQ2811" s="16"/>
      <c r="AR2811" s="16"/>
      <c r="AS2811" s="16"/>
    </row>
    <row r="2812" spans="18:45" x14ac:dyDescent="0.35">
      <c r="R2812" s="191"/>
      <c r="S2812" s="191"/>
      <c r="T2812" s="193"/>
      <c r="U2812" s="191"/>
      <c r="V2812" s="194"/>
      <c r="W2812" s="191"/>
      <c r="Y2812" s="191"/>
      <c r="Z2812" s="191"/>
      <c r="AA2812" s="191"/>
      <c r="AB2812" s="191"/>
      <c r="AC2812" s="191"/>
      <c r="AD2812" s="16"/>
      <c r="AE2812" s="16"/>
      <c r="AF2812" s="16"/>
      <c r="AG2812" s="16"/>
      <c r="AH2812" s="16"/>
      <c r="AI2812" s="16"/>
      <c r="AJ2812" s="16"/>
      <c r="AK2812" s="16"/>
      <c r="AL2812" s="16"/>
      <c r="AM2812" s="16"/>
      <c r="AN2812" s="16"/>
      <c r="AO2812" s="16"/>
      <c r="AP2812" s="16"/>
      <c r="AQ2812" s="16"/>
      <c r="AR2812" s="16"/>
      <c r="AS2812" s="16"/>
    </row>
    <row r="2813" spans="18:45" x14ac:dyDescent="0.35">
      <c r="R2813" s="191"/>
      <c r="S2813" s="191"/>
      <c r="T2813" s="193"/>
      <c r="U2813" s="191"/>
      <c r="V2813" s="194"/>
      <c r="W2813" s="191"/>
      <c r="Y2813" s="191"/>
      <c r="Z2813" s="191"/>
      <c r="AA2813" s="191"/>
      <c r="AB2813" s="191"/>
      <c r="AC2813" s="191"/>
      <c r="AD2813" s="16"/>
      <c r="AE2813" s="16"/>
      <c r="AF2813" s="16"/>
      <c r="AG2813" s="16"/>
      <c r="AH2813" s="16"/>
      <c r="AI2813" s="16"/>
      <c r="AJ2813" s="16"/>
      <c r="AK2813" s="16"/>
      <c r="AL2813" s="16"/>
      <c r="AM2813" s="16"/>
      <c r="AN2813" s="16"/>
      <c r="AO2813" s="16"/>
      <c r="AP2813" s="16"/>
      <c r="AQ2813" s="16"/>
      <c r="AR2813" s="16"/>
      <c r="AS2813" s="16"/>
    </row>
    <row r="2814" spans="18:45" x14ac:dyDescent="0.35">
      <c r="R2814" s="191"/>
      <c r="S2814" s="191"/>
      <c r="T2814" s="193"/>
      <c r="U2814" s="191"/>
      <c r="V2814" s="194"/>
      <c r="W2814" s="191"/>
      <c r="Y2814" s="191"/>
      <c r="Z2814" s="191"/>
      <c r="AA2814" s="191"/>
      <c r="AB2814" s="191"/>
      <c r="AC2814" s="191"/>
      <c r="AD2814" s="16"/>
      <c r="AE2814" s="16"/>
      <c r="AF2814" s="16"/>
      <c r="AG2814" s="16"/>
      <c r="AH2814" s="16"/>
      <c r="AI2814" s="16"/>
      <c r="AJ2814" s="16"/>
      <c r="AK2814" s="16"/>
      <c r="AL2814" s="16"/>
      <c r="AM2814" s="16"/>
      <c r="AN2814" s="16"/>
      <c r="AO2814" s="16"/>
      <c r="AP2814" s="16"/>
      <c r="AQ2814" s="16"/>
      <c r="AR2814" s="16"/>
      <c r="AS2814" s="16"/>
    </row>
    <row r="2815" spans="18:45" x14ac:dyDescent="0.35">
      <c r="R2815" s="191"/>
      <c r="S2815" s="191"/>
      <c r="T2815" s="193"/>
      <c r="U2815" s="191"/>
      <c r="V2815" s="194"/>
      <c r="W2815" s="191"/>
      <c r="Y2815" s="191"/>
      <c r="Z2815" s="191"/>
      <c r="AA2815" s="191"/>
      <c r="AB2815" s="191"/>
      <c r="AC2815" s="191"/>
      <c r="AD2815" s="16"/>
      <c r="AE2815" s="16"/>
      <c r="AF2815" s="16"/>
      <c r="AG2815" s="16"/>
      <c r="AH2815" s="16"/>
      <c r="AI2815" s="16"/>
      <c r="AJ2815" s="16"/>
      <c r="AK2815" s="16"/>
      <c r="AL2815" s="16"/>
      <c r="AM2815" s="16"/>
      <c r="AN2815" s="16"/>
      <c r="AO2815" s="16"/>
      <c r="AP2815" s="16"/>
      <c r="AQ2815" s="16"/>
      <c r="AR2815" s="16"/>
      <c r="AS2815" s="16"/>
    </row>
    <row r="2816" spans="18:45" x14ac:dyDescent="0.35">
      <c r="R2816" s="191"/>
      <c r="S2816" s="191"/>
      <c r="T2816" s="193"/>
      <c r="U2816" s="191"/>
      <c r="V2816" s="194"/>
      <c r="W2816" s="191"/>
      <c r="Y2816" s="191"/>
      <c r="Z2816" s="191"/>
      <c r="AA2816" s="191"/>
      <c r="AB2816" s="191"/>
      <c r="AC2816" s="191"/>
      <c r="AD2816" s="16"/>
      <c r="AE2816" s="16"/>
      <c r="AF2816" s="16"/>
      <c r="AG2816" s="16"/>
      <c r="AH2816" s="16"/>
      <c r="AI2816" s="16"/>
      <c r="AJ2816" s="16"/>
      <c r="AK2816" s="16"/>
      <c r="AL2816" s="16"/>
      <c r="AM2816" s="16"/>
      <c r="AN2816" s="16"/>
      <c r="AO2816" s="16"/>
      <c r="AP2816" s="16"/>
      <c r="AQ2816" s="16"/>
      <c r="AR2816" s="16"/>
      <c r="AS2816" s="16"/>
    </row>
    <row r="2817" spans="18:45" x14ac:dyDescent="0.35">
      <c r="R2817" s="191"/>
      <c r="S2817" s="191"/>
      <c r="T2817" s="193"/>
      <c r="U2817" s="191"/>
      <c r="V2817" s="194"/>
      <c r="W2817" s="191"/>
      <c r="Y2817" s="191"/>
      <c r="Z2817" s="191"/>
      <c r="AA2817" s="191"/>
      <c r="AB2817" s="191"/>
      <c r="AC2817" s="191"/>
      <c r="AD2817" s="16"/>
      <c r="AE2817" s="16"/>
      <c r="AF2817" s="16"/>
      <c r="AG2817" s="16"/>
      <c r="AH2817" s="16"/>
      <c r="AI2817" s="16"/>
      <c r="AJ2817" s="16"/>
      <c r="AK2817" s="16"/>
      <c r="AL2817" s="16"/>
      <c r="AM2817" s="16"/>
      <c r="AN2817" s="16"/>
      <c r="AO2817" s="16"/>
      <c r="AP2817" s="16"/>
      <c r="AQ2817" s="16"/>
      <c r="AR2817" s="16"/>
      <c r="AS2817" s="16"/>
    </row>
    <row r="2818" spans="18:45" x14ac:dyDescent="0.35">
      <c r="R2818" s="191"/>
      <c r="S2818" s="191"/>
      <c r="T2818" s="193"/>
      <c r="U2818" s="191"/>
      <c r="V2818" s="194"/>
      <c r="W2818" s="191"/>
      <c r="Y2818" s="191"/>
      <c r="Z2818" s="191"/>
      <c r="AA2818" s="191"/>
      <c r="AB2818" s="191"/>
      <c r="AC2818" s="191"/>
      <c r="AD2818" s="16"/>
      <c r="AE2818" s="16"/>
      <c r="AF2818" s="16"/>
      <c r="AG2818" s="16"/>
      <c r="AH2818" s="16"/>
      <c r="AI2818" s="16"/>
      <c r="AJ2818" s="16"/>
      <c r="AK2818" s="16"/>
      <c r="AL2818" s="16"/>
      <c r="AM2818" s="16"/>
      <c r="AN2818" s="16"/>
      <c r="AO2818" s="16"/>
      <c r="AP2818" s="16"/>
      <c r="AQ2818" s="16"/>
      <c r="AR2818" s="16"/>
      <c r="AS2818" s="16"/>
    </row>
    <row r="2819" spans="18:45" x14ac:dyDescent="0.35">
      <c r="R2819" s="191"/>
      <c r="S2819" s="191"/>
      <c r="T2819" s="193"/>
      <c r="U2819" s="191"/>
      <c r="V2819" s="194"/>
      <c r="W2819" s="191"/>
      <c r="Y2819" s="191"/>
      <c r="Z2819" s="191"/>
      <c r="AA2819" s="191"/>
      <c r="AB2819" s="191"/>
      <c r="AC2819" s="191"/>
      <c r="AD2819" s="16"/>
      <c r="AE2819" s="16"/>
      <c r="AF2819" s="16"/>
      <c r="AG2819" s="16"/>
      <c r="AH2819" s="16"/>
      <c r="AI2819" s="16"/>
      <c r="AJ2819" s="16"/>
      <c r="AK2819" s="16"/>
      <c r="AL2819" s="16"/>
      <c r="AM2819" s="16"/>
      <c r="AN2819" s="16"/>
      <c r="AO2819" s="16"/>
      <c r="AP2819" s="16"/>
      <c r="AQ2819" s="16"/>
      <c r="AR2819" s="16"/>
      <c r="AS2819" s="16"/>
    </row>
    <row r="2820" spans="18:45" x14ac:dyDescent="0.35">
      <c r="R2820" s="191"/>
      <c r="S2820" s="191"/>
      <c r="T2820" s="193"/>
      <c r="U2820" s="191"/>
      <c r="V2820" s="194"/>
      <c r="W2820" s="191"/>
      <c r="Y2820" s="191"/>
      <c r="Z2820" s="191"/>
      <c r="AA2820" s="191"/>
      <c r="AB2820" s="191"/>
      <c r="AC2820" s="191"/>
      <c r="AD2820" s="16"/>
      <c r="AE2820" s="16"/>
      <c r="AF2820" s="16"/>
      <c r="AG2820" s="16"/>
      <c r="AH2820" s="16"/>
      <c r="AI2820" s="16"/>
      <c r="AJ2820" s="16"/>
      <c r="AK2820" s="16"/>
      <c r="AL2820" s="16"/>
      <c r="AM2820" s="16"/>
      <c r="AN2820" s="16"/>
      <c r="AO2820" s="16"/>
      <c r="AP2820" s="16"/>
      <c r="AQ2820" s="16"/>
      <c r="AR2820" s="16"/>
      <c r="AS2820" s="16"/>
    </row>
    <row r="2821" spans="18:45" x14ac:dyDescent="0.35">
      <c r="R2821" s="191"/>
      <c r="S2821" s="191"/>
      <c r="T2821" s="193"/>
      <c r="U2821" s="191"/>
      <c r="V2821" s="194"/>
      <c r="W2821" s="191"/>
      <c r="Y2821" s="191"/>
      <c r="Z2821" s="191"/>
      <c r="AA2821" s="191"/>
      <c r="AB2821" s="191"/>
      <c r="AC2821" s="191"/>
      <c r="AD2821" s="16"/>
      <c r="AE2821" s="16"/>
      <c r="AF2821" s="16"/>
      <c r="AG2821" s="16"/>
      <c r="AH2821" s="16"/>
      <c r="AI2821" s="16"/>
      <c r="AJ2821" s="16"/>
      <c r="AK2821" s="16"/>
      <c r="AL2821" s="16"/>
      <c r="AM2821" s="16"/>
      <c r="AN2821" s="16"/>
      <c r="AO2821" s="16"/>
      <c r="AP2821" s="16"/>
      <c r="AQ2821" s="16"/>
      <c r="AR2821" s="16"/>
      <c r="AS2821" s="16"/>
    </row>
    <row r="2822" spans="18:45" x14ac:dyDescent="0.35">
      <c r="R2822" s="191"/>
      <c r="S2822" s="191"/>
      <c r="T2822" s="193"/>
      <c r="U2822" s="191"/>
      <c r="V2822" s="194"/>
      <c r="W2822" s="191"/>
      <c r="Y2822" s="191"/>
      <c r="Z2822" s="191"/>
      <c r="AA2822" s="191"/>
      <c r="AB2822" s="191"/>
      <c r="AC2822" s="191"/>
      <c r="AD2822" s="16"/>
      <c r="AE2822" s="16"/>
      <c r="AF2822" s="16"/>
      <c r="AG2822" s="16"/>
      <c r="AH2822" s="16"/>
      <c r="AI2822" s="16"/>
      <c r="AJ2822" s="16"/>
      <c r="AK2822" s="16"/>
      <c r="AL2822" s="16"/>
      <c r="AM2822" s="16"/>
      <c r="AN2822" s="16"/>
      <c r="AO2822" s="16"/>
      <c r="AP2822" s="16"/>
      <c r="AQ2822" s="16"/>
      <c r="AR2822" s="16"/>
      <c r="AS2822" s="16"/>
    </row>
    <row r="2823" spans="18:45" x14ac:dyDescent="0.35">
      <c r="R2823" s="191"/>
      <c r="S2823" s="191"/>
      <c r="T2823" s="193"/>
      <c r="U2823" s="191"/>
      <c r="V2823" s="194"/>
      <c r="W2823" s="191"/>
      <c r="Y2823" s="191"/>
      <c r="Z2823" s="191"/>
      <c r="AA2823" s="191"/>
      <c r="AB2823" s="191"/>
      <c r="AC2823" s="191"/>
      <c r="AD2823" s="16"/>
      <c r="AE2823" s="16"/>
      <c r="AF2823" s="16"/>
      <c r="AG2823" s="16"/>
      <c r="AH2823" s="16"/>
      <c r="AI2823" s="16"/>
      <c r="AJ2823" s="16"/>
      <c r="AK2823" s="16"/>
      <c r="AL2823" s="16"/>
      <c r="AM2823" s="16"/>
      <c r="AN2823" s="16"/>
      <c r="AO2823" s="16"/>
      <c r="AP2823" s="16"/>
      <c r="AQ2823" s="16"/>
      <c r="AR2823" s="16"/>
      <c r="AS2823" s="16"/>
    </row>
    <row r="2824" spans="18:45" x14ac:dyDescent="0.35">
      <c r="R2824" s="191"/>
      <c r="S2824" s="191"/>
      <c r="T2824" s="193"/>
      <c r="U2824" s="191"/>
      <c r="V2824" s="194"/>
      <c r="W2824" s="191"/>
      <c r="Y2824" s="191"/>
      <c r="Z2824" s="191"/>
      <c r="AA2824" s="191"/>
      <c r="AB2824" s="191"/>
      <c r="AC2824" s="191"/>
      <c r="AD2824" s="16"/>
      <c r="AE2824" s="16"/>
      <c r="AF2824" s="16"/>
      <c r="AG2824" s="16"/>
      <c r="AH2824" s="16"/>
      <c r="AI2824" s="16"/>
      <c r="AJ2824" s="16"/>
      <c r="AK2824" s="16"/>
      <c r="AL2824" s="16"/>
      <c r="AM2824" s="16"/>
      <c r="AN2824" s="16"/>
      <c r="AO2824" s="16"/>
      <c r="AP2824" s="16"/>
      <c r="AQ2824" s="16"/>
      <c r="AR2824" s="16"/>
      <c r="AS2824" s="16"/>
    </row>
    <row r="2825" spans="18:45" x14ac:dyDescent="0.35">
      <c r="R2825" s="191"/>
      <c r="S2825" s="191"/>
      <c r="T2825" s="193"/>
      <c r="U2825" s="191"/>
      <c r="V2825" s="194"/>
      <c r="W2825" s="191"/>
      <c r="Y2825" s="191"/>
      <c r="Z2825" s="191"/>
      <c r="AA2825" s="191"/>
      <c r="AB2825" s="191"/>
      <c r="AC2825" s="191"/>
      <c r="AD2825" s="16"/>
      <c r="AE2825" s="16"/>
      <c r="AF2825" s="16"/>
      <c r="AG2825" s="16"/>
      <c r="AH2825" s="16"/>
      <c r="AI2825" s="16"/>
      <c r="AJ2825" s="16"/>
      <c r="AK2825" s="16"/>
      <c r="AL2825" s="16"/>
      <c r="AM2825" s="16"/>
      <c r="AN2825" s="16"/>
      <c r="AO2825" s="16"/>
      <c r="AP2825" s="16"/>
      <c r="AQ2825" s="16"/>
      <c r="AR2825" s="16"/>
      <c r="AS2825" s="16"/>
    </row>
    <row r="2826" spans="18:45" x14ac:dyDescent="0.35">
      <c r="R2826" s="191"/>
      <c r="S2826" s="191"/>
      <c r="T2826" s="193"/>
      <c r="U2826" s="191"/>
      <c r="V2826" s="194"/>
      <c r="W2826" s="191"/>
      <c r="Y2826" s="191"/>
      <c r="Z2826" s="191"/>
      <c r="AA2826" s="191"/>
      <c r="AB2826" s="191"/>
      <c r="AC2826" s="191"/>
      <c r="AD2826" s="16"/>
      <c r="AE2826" s="16"/>
      <c r="AF2826" s="16"/>
      <c r="AG2826" s="16"/>
      <c r="AH2826" s="16"/>
      <c r="AI2826" s="16"/>
      <c r="AJ2826" s="16"/>
      <c r="AK2826" s="16"/>
      <c r="AL2826" s="16"/>
      <c r="AM2826" s="16"/>
      <c r="AN2826" s="16"/>
      <c r="AO2826" s="16"/>
      <c r="AP2826" s="16"/>
      <c r="AQ2826" s="16"/>
      <c r="AR2826" s="16"/>
      <c r="AS2826" s="16"/>
    </row>
    <row r="2827" spans="18:45" x14ac:dyDescent="0.35">
      <c r="R2827" s="191"/>
      <c r="S2827" s="191"/>
      <c r="T2827" s="193"/>
      <c r="U2827" s="191"/>
      <c r="V2827" s="194"/>
      <c r="W2827" s="191"/>
      <c r="Y2827" s="191"/>
      <c r="Z2827" s="191"/>
      <c r="AA2827" s="191"/>
      <c r="AB2827" s="191"/>
      <c r="AC2827" s="191"/>
      <c r="AD2827" s="16"/>
      <c r="AE2827" s="16"/>
      <c r="AF2827" s="16"/>
      <c r="AG2827" s="16"/>
      <c r="AH2827" s="16"/>
      <c r="AI2827" s="16"/>
      <c r="AJ2827" s="16"/>
      <c r="AK2827" s="16"/>
      <c r="AL2827" s="16"/>
      <c r="AM2827" s="16"/>
      <c r="AN2827" s="16"/>
      <c r="AO2827" s="16"/>
      <c r="AP2827" s="16"/>
      <c r="AQ2827" s="16"/>
      <c r="AR2827" s="16"/>
      <c r="AS2827" s="16"/>
    </row>
    <row r="2828" spans="18:45" x14ac:dyDescent="0.35">
      <c r="R2828" s="191"/>
      <c r="S2828" s="191"/>
      <c r="T2828" s="193"/>
      <c r="U2828" s="191"/>
      <c r="V2828" s="194"/>
      <c r="W2828" s="191"/>
      <c r="Y2828" s="191"/>
      <c r="Z2828" s="191"/>
      <c r="AA2828" s="191"/>
      <c r="AB2828" s="191"/>
      <c r="AC2828" s="191"/>
      <c r="AD2828" s="16"/>
      <c r="AE2828" s="16"/>
      <c r="AF2828" s="16"/>
      <c r="AG2828" s="16"/>
      <c r="AH2828" s="16"/>
      <c r="AI2828" s="16"/>
      <c r="AJ2828" s="16"/>
      <c r="AK2828" s="16"/>
      <c r="AL2828" s="16"/>
      <c r="AM2828" s="16"/>
      <c r="AN2828" s="16"/>
      <c r="AO2828" s="16"/>
      <c r="AP2828" s="16"/>
      <c r="AQ2828" s="16"/>
      <c r="AR2828" s="16"/>
      <c r="AS2828" s="16"/>
    </row>
    <row r="2829" spans="18:45" x14ac:dyDescent="0.35">
      <c r="R2829" s="191"/>
      <c r="S2829" s="191"/>
      <c r="T2829" s="193"/>
      <c r="U2829" s="191"/>
      <c r="V2829" s="194"/>
      <c r="W2829" s="191"/>
      <c r="Y2829" s="191"/>
      <c r="Z2829" s="191"/>
      <c r="AA2829" s="191"/>
      <c r="AB2829" s="191"/>
      <c r="AC2829" s="191"/>
      <c r="AD2829" s="16"/>
      <c r="AE2829" s="16"/>
      <c r="AF2829" s="16"/>
      <c r="AG2829" s="16"/>
      <c r="AH2829" s="16"/>
      <c r="AI2829" s="16"/>
      <c r="AJ2829" s="16"/>
      <c r="AK2829" s="16"/>
      <c r="AL2829" s="16"/>
      <c r="AM2829" s="16"/>
      <c r="AN2829" s="16"/>
      <c r="AO2829" s="16"/>
      <c r="AP2829" s="16"/>
      <c r="AQ2829" s="16"/>
      <c r="AR2829" s="16"/>
      <c r="AS2829" s="16"/>
    </row>
    <row r="2830" spans="18:45" x14ac:dyDescent="0.35">
      <c r="R2830" s="191"/>
      <c r="S2830" s="191"/>
      <c r="T2830" s="193"/>
      <c r="U2830" s="191"/>
      <c r="V2830" s="194"/>
      <c r="W2830" s="191"/>
      <c r="Y2830" s="191"/>
      <c r="Z2830" s="191"/>
      <c r="AA2830" s="191"/>
      <c r="AB2830" s="191"/>
      <c r="AC2830" s="191"/>
      <c r="AD2830" s="16"/>
      <c r="AE2830" s="16"/>
      <c r="AF2830" s="16"/>
      <c r="AG2830" s="16"/>
      <c r="AH2830" s="16"/>
      <c r="AI2830" s="16"/>
      <c r="AJ2830" s="16"/>
      <c r="AK2830" s="16"/>
      <c r="AL2830" s="16"/>
      <c r="AM2830" s="16"/>
      <c r="AN2830" s="16"/>
      <c r="AO2830" s="16"/>
      <c r="AP2830" s="16"/>
      <c r="AQ2830" s="16"/>
      <c r="AR2830" s="16"/>
      <c r="AS2830" s="16"/>
    </row>
    <row r="2831" spans="18:45" x14ac:dyDescent="0.35">
      <c r="R2831" s="191"/>
      <c r="S2831" s="191"/>
      <c r="T2831" s="193"/>
      <c r="U2831" s="191"/>
      <c r="V2831" s="194"/>
      <c r="W2831" s="191"/>
      <c r="Y2831" s="191"/>
      <c r="Z2831" s="191"/>
      <c r="AA2831" s="191"/>
      <c r="AB2831" s="191"/>
      <c r="AC2831" s="191"/>
      <c r="AD2831" s="16"/>
      <c r="AE2831" s="16"/>
      <c r="AF2831" s="16"/>
      <c r="AG2831" s="16"/>
      <c r="AH2831" s="16"/>
      <c r="AI2831" s="16"/>
      <c r="AJ2831" s="16"/>
      <c r="AK2831" s="16"/>
      <c r="AL2831" s="16"/>
      <c r="AM2831" s="16"/>
      <c r="AN2831" s="16"/>
      <c r="AO2831" s="16"/>
      <c r="AP2831" s="16"/>
      <c r="AQ2831" s="16"/>
      <c r="AR2831" s="16"/>
      <c r="AS2831" s="16"/>
    </row>
    <row r="2832" spans="18:45" x14ac:dyDescent="0.35">
      <c r="R2832" s="191"/>
      <c r="S2832" s="191"/>
      <c r="T2832" s="193"/>
      <c r="U2832" s="191"/>
      <c r="V2832" s="194"/>
      <c r="W2832" s="191"/>
      <c r="Y2832" s="191"/>
      <c r="Z2832" s="191"/>
      <c r="AA2832" s="191"/>
      <c r="AB2832" s="191"/>
      <c r="AC2832" s="191"/>
      <c r="AD2832" s="16"/>
      <c r="AE2832" s="16"/>
      <c r="AF2832" s="16"/>
      <c r="AG2832" s="16"/>
      <c r="AH2832" s="16"/>
      <c r="AI2832" s="16"/>
      <c r="AJ2832" s="16"/>
      <c r="AK2832" s="16"/>
      <c r="AL2832" s="16"/>
      <c r="AM2832" s="16"/>
      <c r="AN2832" s="16"/>
      <c r="AO2832" s="16"/>
      <c r="AP2832" s="16"/>
      <c r="AQ2832" s="16"/>
      <c r="AR2832" s="16"/>
      <c r="AS2832" s="16"/>
    </row>
    <row r="2833" spans="18:45" x14ac:dyDescent="0.35">
      <c r="R2833" s="191"/>
      <c r="S2833" s="191"/>
      <c r="T2833" s="193"/>
      <c r="U2833" s="191"/>
      <c r="V2833" s="194"/>
      <c r="W2833" s="191"/>
      <c r="Y2833" s="191"/>
      <c r="Z2833" s="191"/>
      <c r="AA2833" s="191"/>
      <c r="AB2833" s="191"/>
      <c r="AC2833" s="191"/>
      <c r="AD2833" s="16"/>
      <c r="AE2833" s="16"/>
      <c r="AF2833" s="16"/>
      <c r="AG2833" s="16"/>
      <c r="AH2833" s="16"/>
      <c r="AI2833" s="16"/>
      <c r="AJ2833" s="16"/>
      <c r="AK2833" s="16"/>
      <c r="AL2833" s="16"/>
      <c r="AM2833" s="16"/>
      <c r="AN2833" s="16"/>
      <c r="AO2833" s="16"/>
      <c r="AP2833" s="16"/>
      <c r="AQ2833" s="16"/>
      <c r="AR2833" s="16"/>
      <c r="AS2833" s="16"/>
    </row>
    <row r="2834" spans="18:45" x14ac:dyDescent="0.35">
      <c r="R2834" s="191"/>
      <c r="S2834" s="191"/>
      <c r="T2834" s="193"/>
      <c r="U2834" s="191"/>
      <c r="V2834" s="194"/>
      <c r="W2834" s="191"/>
      <c r="Y2834" s="191"/>
      <c r="Z2834" s="191"/>
      <c r="AA2834" s="191"/>
      <c r="AB2834" s="191"/>
      <c r="AC2834" s="191"/>
      <c r="AD2834" s="16"/>
      <c r="AE2834" s="16"/>
      <c r="AF2834" s="16"/>
      <c r="AG2834" s="16"/>
      <c r="AH2834" s="16"/>
      <c r="AI2834" s="16"/>
      <c r="AJ2834" s="16"/>
      <c r="AK2834" s="16"/>
      <c r="AL2834" s="16"/>
      <c r="AM2834" s="16"/>
      <c r="AN2834" s="16"/>
      <c r="AO2834" s="16"/>
      <c r="AP2834" s="16"/>
      <c r="AQ2834" s="16"/>
      <c r="AR2834" s="16"/>
      <c r="AS2834" s="16"/>
    </row>
    <row r="2835" spans="18:45" x14ac:dyDescent="0.35">
      <c r="R2835" s="191"/>
      <c r="S2835" s="191"/>
      <c r="T2835" s="193"/>
      <c r="U2835" s="191"/>
      <c r="V2835" s="194"/>
      <c r="W2835" s="191"/>
      <c r="Y2835" s="191"/>
      <c r="Z2835" s="191"/>
      <c r="AA2835" s="191"/>
      <c r="AB2835" s="191"/>
      <c r="AC2835" s="191"/>
      <c r="AD2835" s="16"/>
      <c r="AE2835" s="16"/>
      <c r="AF2835" s="16"/>
      <c r="AG2835" s="16"/>
      <c r="AH2835" s="16"/>
      <c r="AI2835" s="16"/>
      <c r="AJ2835" s="16"/>
      <c r="AK2835" s="16"/>
      <c r="AL2835" s="16"/>
      <c r="AM2835" s="16"/>
      <c r="AN2835" s="16"/>
      <c r="AO2835" s="16"/>
      <c r="AP2835" s="16"/>
      <c r="AQ2835" s="16"/>
      <c r="AR2835" s="16"/>
      <c r="AS2835" s="16"/>
    </row>
    <row r="2836" spans="18:45" x14ac:dyDescent="0.35">
      <c r="R2836" s="191"/>
      <c r="S2836" s="191"/>
      <c r="T2836" s="193"/>
      <c r="U2836" s="191"/>
      <c r="V2836" s="194"/>
      <c r="W2836" s="191"/>
      <c r="Y2836" s="191"/>
      <c r="Z2836" s="191"/>
      <c r="AA2836" s="191"/>
      <c r="AB2836" s="191"/>
      <c r="AC2836" s="191"/>
      <c r="AD2836" s="16"/>
      <c r="AE2836" s="16"/>
      <c r="AF2836" s="16"/>
      <c r="AG2836" s="16"/>
      <c r="AH2836" s="16"/>
      <c r="AI2836" s="16"/>
      <c r="AJ2836" s="16"/>
      <c r="AK2836" s="16"/>
      <c r="AL2836" s="16"/>
      <c r="AM2836" s="16"/>
      <c r="AN2836" s="16"/>
      <c r="AO2836" s="16"/>
      <c r="AP2836" s="16"/>
      <c r="AQ2836" s="16"/>
      <c r="AR2836" s="16"/>
      <c r="AS2836" s="16"/>
    </row>
    <row r="2837" spans="18:45" x14ac:dyDescent="0.35">
      <c r="R2837" s="191"/>
      <c r="S2837" s="191"/>
      <c r="T2837" s="193"/>
      <c r="U2837" s="191"/>
      <c r="V2837" s="194"/>
      <c r="W2837" s="191"/>
      <c r="Y2837" s="191"/>
      <c r="Z2837" s="191"/>
      <c r="AA2837" s="191"/>
      <c r="AB2837" s="191"/>
      <c r="AC2837" s="191"/>
      <c r="AD2837" s="16"/>
      <c r="AE2837" s="16"/>
      <c r="AF2837" s="16"/>
      <c r="AG2837" s="16"/>
      <c r="AH2837" s="16"/>
      <c r="AI2837" s="16"/>
      <c r="AJ2837" s="16"/>
      <c r="AK2837" s="16"/>
      <c r="AL2837" s="16"/>
      <c r="AM2837" s="16"/>
      <c r="AN2837" s="16"/>
      <c r="AO2837" s="16"/>
      <c r="AP2837" s="16"/>
      <c r="AQ2837" s="16"/>
      <c r="AR2837" s="16"/>
      <c r="AS2837" s="16"/>
    </row>
    <row r="2838" spans="18:45" x14ac:dyDescent="0.35">
      <c r="R2838" s="191"/>
      <c r="S2838" s="191"/>
      <c r="T2838" s="193"/>
      <c r="U2838" s="191"/>
      <c r="V2838" s="194"/>
      <c r="W2838" s="191"/>
      <c r="Y2838" s="191"/>
      <c r="Z2838" s="191"/>
      <c r="AA2838" s="191"/>
      <c r="AB2838" s="191"/>
      <c r="AC2838" s="191"/>
      <c r="AD2838" s="16"/>
      <c r="AE2838" s="16"/>
      <c r="AF2838" s="16"/>
      <c r="AG2838" s="16"/>
      <c r="AH2838" s="16"/>
      <c r="AI2838" s="16"/>
      <c r="AJ2838" s="16"/>
      <c r="AK2838" s="16"/>
      <c r="AL2838" s="16"/>
      <c r="AM2838" s="16"/>
      <c r="AN2838" s="16"/>
      <c r="AO2838" s="16"/>
      <c r="AP2838" s="16"/>
      <c r="AQ2838" s="16"/>
      <c r="AR2838" s="16"/>
      <c r="AS2838" s="16"/>
    </row>
    <row r="2839" spans="18:45" x14ac:dyDescent="0.35">
      <c r="R2839" s="191"/>
      <c r="S2839" s="191"/>
      <c r="T2839" s="193"/>
      <c r="U2839" s="191"/>
      <c r="V2839" s="194"/>
      <c r="W2839" s="191"/>
      <c r="Y2839" s="191"/>
      <c r="Z2839" s="191"/>
      <c r="AA2839" s="191"/>
      <c r="AB2839" s="191"/>
      <c r="AC2839" s="191"/>
      <c r="AD2839" s="16"/>
      <c r="AE2839" s="16"/>
      <c r="AF2839" s="16"/>
      <c r="AG2839" s="16"/>
      <c r="AH2839" s="16"/>
      <c r="AI2839" s="16"/>
      <c r="AJ2839" s="16"/>
      <c r="AK2839" s="16"/>
      <c r="AL2839" s="16"/>
      <c r="AM2839" s="16"/>
      <c r="AN2839" s="16"/>
      <c r="AO2839" s="16"/>
      <c r="AP2839" s="16"/>
      <c r="AQ2839" s="16"/>
      <c r="AR2839" s="16"/>
      <c r="AS2839" s="16"/>
    </row>
    <row r="2840" spans="18:45" x14ac:dyDescent="0.35">
      <c r="R2840" s="191"/>
      <c r="S2840" s="191"/>
      <c r="T2840" s="193"/>
      <c r="U2840" s="191"/>
      <c r="V2840" s="194"/>
      <c r="W2840" s="191"/>
      <c r="Y2840" s="191"/>
      <c r="Z2840" s="191"/>
      <c r="AA2840" s="191"/>
      <c r="AB2840" s="191"/>
      <c r="AC2840" s="191"/>
      <c r="AD2840" s="16"/>
      <c r="AE2840" s="16"/>
      <c r="AF2840" s="16"/>
      <c r="AG2840" s="16"/>
      <c r="AH2840" s="16"/>
      <c r="AI2840" s="16"/>
      <c r="AJ2840" s="16"/>
      <c r="AK2840" s="16"/>
      <c r="AL2840" s="16"/>
      <c r="AM2840" s="16"/>
      <c r="AN2840" s="16"/>
      <c r="AO2840" s="16"/>
      <c r="AP2840" s="16"/>
      <c r="AQ2840" s="16"/>
      <c r="AR2840" s="16"/>
      <c r="AS2840" s="16"/>
    </row>
    <row r="2841" spans="18:45" x14ac:dyDescent="0.35">
      <c r="R2841" s="191"/>
      <c r="S2841" s="191"/>
      <c r="T2841" s="193"/>
      <c r="U2841" s="191"/>
      <c r="V2841" s="194"/>
      <c r="W2841" s="191"/>
      <c r="Y2841" s="191"/>
      <c r="Z2841" s="191"/>
      <c r="AA2841" s="191"/>
      <c r="AB2841" s="191"/>
      <c r="AC2841" s="191"/>
      <c r="AD2841" s="16"/>
      <c r="AE2841" s="16"/>
      <c r="AF2841" s="16"/>
      <c r="AG2841" s="16"/>
      <c r="AH2841" s="16"/>
      <c r="AI2841" s="16"/>
      <c r="AJ2841" s="16"/>
      <c r="AK2841" s="16"/>
      <c r="AL2841" s="16"/>
      <c r="AM2841" s="16"/>
      <c r="AN2841" s="16"/>
      <c r="AO2841" s="16"/>
      <c r="AP2841" s="16"/>
      <c r="AQ2841" s="16"/>
      <c r="AR2841" s="16"/>
      <c r="AS2841" s="16"/>
    </row>
    <row r="2842" spans="18:45" x14ac:dyDescent="0.35">
      <c r="R2842" s="191"/>
      <c r="S2842" s="191"/>
      <c r="T2842" s="193"/>
      <c r="U2842" s="191"/>
      <c r="V2842" s="194"/>
      <c r="W2842" s="191"/>
      <c r="Y2842" s="191"/>
      <c r="Z2842" s="191"/>
      <c r="AA2842" s="191"/>
      <c r="AB2842" s="191"/>
      <c r="AC2842" s="191"/>
      <c r="AD2842" s="16"/>
      <c r="AE2842" s="16"/>
      <c r="AF2842" s="16"/>
      <c r="AG2842" s="16"/>
      <c r="AH2842" s="16"/>
      <c r="AI2842" s="16"/>
      <c r="AJ2842" s="16"/>
      <c r="AK2842" s="16"/>
      <c r="AL2842" s="16"/>
      <c r="AM2842" s="16"/>
      <c r="AN2842" s="16"/>
      <c r="AO2842" s="16"/>
      <c r="AP2842" s="16"/>
      <c r="AQ2842" s="16"/>
      <c r="AR2842" s="16"/>
      <c r="AS2842" s="16"/>
    </row>
    <row r="2843" spans="18:45" x14ac:dyDescent="0.35">
      <c r="R2843" s="191"/>
      <c r="S2843" s="191"/>
      <c r="T2843" s="193"/>
      <c r="U2843" s="191"/>
      <c r="V2843" s="194"/>
      <c r="W2843" s="191"/>
      <c r="Y2843" s="191"/>
      <c r="Z2843" s="191"/>
      <c r="AA2843" s="191"/>
      <c r="AB2843" s="191"/>
      <c r="AC2843" s="191"/>
      <c r="AD2843" s="16"/>
      <c r="AE2843" s="16"/>
      <c r="AF2843" s="16"/>
      <c r="AG2843" s="16"/>
      <c r="AH2843" s="16"/>
      <c r="AI2843" s="16"/>
      <c r="AJ2843" s="16"/>
      <c r="AK2843" s="16"/>
      <c r="AL2843" s="16"/>
      <c r="AM2843" s="16"/>
      <c r="AN2843" s="16"/>
      <c r="AO2843" s="16"/>
      <c r="AP2843" s="16"/>
      <c r="AQ2843" s="16"/>
      <c r="AR2843" s="16"/>
      <c r="AS2843" s="16"/>
    </row>
    <row r="2844" spans="18:45" x14ac:dyDescent="0.35">
      <c r="R2844" s="191"/>
      <c r="S2844" s="191"/>
      <c r="T2844" s="193"/>
      <c r="U2844" s="191"/>
      <c r="V2844" s="194"/>
      <c r="W2844" s="191"/>
      <c r="Y2844" s="191"/>
      <c r="Z2844" s="191"/>
      <c r="AA2844" s="191"/>
      <c r="AB2844" s="191"/>
      <c r="AC2844" s="191"/>
      <c r="AD2844" s="16"/>
      <c r="AE2844" s="16"/>
      <c r="AF2844" s="16"/>
      <c r="AG2844" s="16"/>
      <c r="AH2844" s="16"/>
      <c r="AI2844" s="16"/>
      <c r="AJ2844" s="16"/>
      <c r="AK2844" s="16"/>
      <c r="AL2844" s="16"/>
      <c r="AM2844" s="16"/>
      <c r="AN2844" s="16"/>
      <c r="AO2844" s="16"/>
      <c r="AP2844" s="16"/>
      <c r="AQ2844" s="16"/>
      <c r="AR2844" s="16"/>
      <c r="AS2844" s="16"/>
    </row>
    <row r="2845" spans="18:45" x14ac:dyDescent="0.35">
      <c r="R2845" s="191"/>
      <c r="S2845" s="191"/>
      <c r="T2845" s="193"/>
      <c r="U2845" s="191"/>
      <c r="V2845" s="194"/>
      <c r="W2845" s="191"/>
      <c r="Y2845" s="191"/>
      <c r="Z2845" s="191"/>
      <c r="AA2845" s="191"/>
      <c r="AB2845" s="191"/>
      <c r="AC2845" s="191"/>
      <c r="AD2845" s="16"/>
      <c r="AE2845" s="16"/>
      <c r="AF2845" s="16"/>
      <c r="AG2845" s="16"/>
      <c r="AH2845" s="16"/>
      <c r="AI2845" s="16"/>
      <c r="AJ2845" s="16"/>
      <c r="AK2845" s="16"/>
      <c r="AL2845" s="16"/>
      <c r="AM2845" s="16"/>
      <c r="AN2845" s="16"/>
      <c r="AO2845" s="16"/>
      <c r="AP2845" s="16"/>
      <c r="AQ2845" s="16"/>
      <c r="AR2845" s="16"/>
      <c r="AS2845" s="16"/>
    </row>
    <row r="2846" spans="18:45" x14ac:dyDescent="0.35">
      <c r="R2846" s="191"/>
      <c r="S2846" s="191"/>
      <c r="T2846" s="193"/>
      <c r="U2846" s="191"/>
      <c r="V2846" s="194"/>
      <c r="W2846" s="191"/>
      <c r="Y2846" s="191"/>
      <c r="Z2846" s="191"/>
      <c r="AA2846" s="191"/>
      <c r="AB2846" s="191"/>
      <c r="AC2846" s="191"/>
      <c r="AD2846" s="16"/>
      <c r="AE2846" s="16"/>
      <c r="AF2846" s="16"/>
      <c r="AG2846" s="16"/>
      <c r="AH2846" s="16"/>
      <c r="AI2846" s="16"/>
      <c r="AJ2846" s="16"/>
      <c r="AK2846" s="16"/>
      <c r="AL2846" s="16"/>
      <c r="AM2846" s="16"/>
      <c r="AN2846" s="16"/>
      <c r="AO2846" s="16"/>
      <c r="AP2846" s="16"/>
      <c r="AQ2846" s="16"/>
      <c r="AR2846" s="16"/>
      <c r="AS2846" s="16"/>
    </row>
    <row r="2847" spans="18:45" x14ac:dyDescent="0.35">
      <c r="R2847" s="191"/>
      <c r="S2847" s="191"/>
      <c r="T2847" s="193"/>
      <c r="U2847" s="191"/>
      <c r="V2847" s="194"/>
      <c r="W2847" s="191"/>
      <c r="Y2847" s="191"/>
      <c r="Z2847" s="191"/>
      <c r="AA2847" s="191"/>
      <c r="AB2847" s="191"/>
      <c r="AC2847" s="191"/>
      <c r="AD2847" s="16"/>
      <c r="AE2847" s="16"/>
      <c r="AF2847" s="16"/>
      <c r="AG2847" s="16"/>
      <c r="AH2847" s="16"/>
      <c r="AI2847" s="16"/>
      <c r="AJ2847" s="16"/>
      <c r="AK2847" s="16"/>
      <c r="AL2847" s="16"/>
      <c r="AM2847" s="16"/>
      <c r="AN2847" s="16"/>
      <c r="AO2847" s="16"/>
      <c r="AP2847" s="16"/>
      <c r="AQ2847" s="16"/>
      <c r="AR2847" s="16"/>
      <c r="AS2847" s="16"/>
    </row>
    <row r="2848" spans="18:45" x14ac:dyDescent="0.35">
      <c r="R2848" s="191"/>
      <c r="S2848" s="191"/>
      <c r="T2848" s="193"/>
      <c r="U2848" s="191"/>
      <c r="V2848" s="194"/>
      <c r="W2848" s="191"/>
      <c r="Y2848" s="191"/>
      <c r="Z2848" s="191"/>
      <c r="AA2848" s="191"/>
      <c r="AB2848" s="191"/>
      <c r="AC2848" s="191"/>
      <c r="AD2848" s="16"/>
      <c r="AE2848" s="16"/>
      <c r="AF2848" s="16"/>
      <c r="AG2848" s="16"/>
      <c r="AH2848" s="16"/>
      <c r="AI2848" s="16"/>
      <c r="AJ2848" s="16"/>
      <c r="AK2848" s="16"/>
      <c r="AL2848" s="16"/>
      <c r="AM2848" s="16"/>
      <c r="AN2848" s="16"/>
      <c r="AO2848" s="16"/>
      <c r="AP2848" s="16"/>
      <c r="AQ2848" s="16"/>
      <c r="AR2848" s="16"/>
      <c r="AS2848" s="16"/>
    </row>
    <row r="2849" spans="18:45" x14ac:dyDescent="0.35">
      <c r="R2849" s="191"/>
      <c r="S2849" s="191"/>
      <c r="T2849" s="193"/>
      <c r="U2849" s="191"/>
      <c r="V2849" s="194"/>
      <c r="W2849" s="191"/>
      <c r="Y2849" s="191"/>
      <c r="Z2849" s="191"/>
      <c r="AA2849" s="191"/>
      <c r="AB2849" s="191"/>
      <c r="AC2849" s="191"/>
      <c r="AD2849" s="16"/>
      <c r="AE2849" s="16"/>
      <c r="AF2849" s="16"/>
      <c r="AG2849" s="16"/>
      <c r="AH2849" s="16"/>
      <c r="AI2849" s="16"/>
      <c r="AJ2849" s="16"/>
      <c r="AK2849" s="16"/>
      <c r="AL2849" s="16"/>
      <c r="AM2849" s="16"/>
      <c r="AN2849" s="16"/>
      <c r="AO2849" s="16"/>
      <c r="AP2849" s="16"/>
      <c r="AQ2849" s="16"/>
      <c r="AR2849" s="16"/>
      <c r="AS2849" s="16"/>
    </row>
    <row r="2850" spans="18:45" x14ac:dyDescent="0.35">
      <c r="R2850" s="191"/>
      <c r="S2850" s="191"/>
      <c r="T2850" s="193"/>
      <c r="U2850" s="191"/>
      <c r="V2850" s="194"/>
      <c r="W2850" s="191"/>
      <c r="Y2850" s="191"/>
      <c r="Z2850" s="191"/>
      <c r="AA2850" s="191"/>
      <c r="AB2850" s="191"/>
      <c r="AC2850" s="191"/>
      <c r="AD2850" s="16"/>
      <c r="AE2850" s="16"/>
      <c r="AF2850" s="16"/>
      <c r="AG2850" s="16"/>
      <c r="AH2850" s="16"/>
      <c r="AI2850" s="16"/>
      <c r="AJ2850" s="16"/>
      <c r="AK2850" s="16"/>
      <c r="AL2850" s="16"/>
      <c r="AM2850" s="16"/>
      <c r="AN2850" s="16"/>
      <c r="AO2850" s="16"/>
      <c r="AP2850" s="16"/>
      <c r="AQ2850" s="16"/>
      <c r="AR2850" s="16"/>
      <c r="AS2850" s="16"/>
    </row>
    <row r="2851" spans="18:45" x14ac:dyDescent="0.35">
      <c r="R2851" s="191"/>
      <c r="S2851" s="191"/>
      <c r="T2851" s="193"/>
      <c r="U2851" s="191"/>
      <c r="V2851" s="194"/>
      <c r="W2851" s="191"/>
      <c r="Y2851" s="191"/>
      <c r="Z2851" s="191"/>
      <c r="AA2851" s="191"/>
      <c r="AB2851" s="191"/>
      <c r="AC2851" s="191"/>
      <c r="AD2851" s="16"/>
      <c r="AE2851" s="16"/>
      <c r="AF2851" s="16"/>
      <c r="AG2851" s="16"/>
      <c r="AH2851" s="16"/>
      <c r="AI2851" s="16"/>
      <c r="AJ2851" s="16"/>
      <c r="AK2851" s="16"/>
      <c r="AL2851" s="16"/>
      <c r="AM2851" s="16"/>
      <c r="AN2851" s="16"/>
      <c r="AO2851" s="16"/>
      <c r="AP2851" s="16"/>
      <c r="AQ2851" s="16"/>
      <c r="AR2851" s="16"/>
      <c r="AS2851" s="16"/>
    </row>
    <row r="2852" spans="18:45" x14ac:dyDescent="0.35">
      <c r="R2852" s="191"/>
      <c r="S2852" s="191"/>
      <c r="T2852" s="193"/>
      <c r="U2852" s="191"/>
      <c r="V2852" s="194"/>
      <c r="W2852" s="191"/>
      <c r="Y2852" s="191"/>
      <c r="Z2852" s="191"/>
      <c r="AA2852" s="191"/>
      <c r="AB2852" s="191"/>
      <c r="AC2852" s="191"/>
      <c r="AD2852" s="16"/>
      <c r="AE2852" s="16"/>
      <c r="AF2852" s="16"/>
      <c r="AG2852" s="16"/>
      <c r="AH2852" s="16"/>
      <c r="AI2852" s="16"/>
      <c r="AJ2852" s="16"/>
      <c r="AK2852" s="16"/>
      <c r="AL2852" s="16"/>
      <c r="AM2852" s="16"/>
      <c r="AN2852" s="16"/>
      <c r="AO2852" s="16"/>
      <c r="AP2852" s="16"/>
      <c r="AQ2852" s="16"/>
      <c r="AR2852" s="16"/>
      <c r="AS2852" s="16"/>
    </row>
    <row r="2853" spans="18:45" x14ac:dyDescent="0.35">
      <c r="R2853" s="191"/>
      <c r="S2853" s="191"/>
      <c r="T2853" s="193"/>
      <c r="U2853" s="191"/>
      <c r="V2853" s="194"/>
      <c r="W2853" s="191"/>
      <c r="Y2853" s="191"/>
      <c r="Z2853" s="191"/>
      <c r="AA2853" s="191"/>
      <c r="AB2853" s="191"/>
      <c r="AC2853" s="191"/>
      <c r="AD2853" s="16"/>
      <c r="AE2853" s="16"/>
      <c r="AF2853" s="16"/>
      <c r="AG2853" s="16"/>
      <c r="AH2853" s="16"/>
      <c r="AI2853" s="16"/>
      <c r="AJ2853" s="16"/>
      <c r="AK2853" s="16"/>
      <c r="AL2853" s="16"/>
      <c r="AM2853" s="16"/>
      <c r="AN2853" s="16"/>
      <c r="AO2853" s="16"/>
      <c r="AP2853" s="16"/>
      <c r="AQ2853" s="16"/>
      <c r="AR2853" s="16"/>
      <c r="AS2853" s="16"/>
    </row>
    <row r="2854" spans="18:45" x14ac:dyDescent="0.35">
      <c r="R2854" s="191"/>
      <c r="S2854" s="191"/>
      <c r="T2854" s="193"/>
      <c r="U2854" s="191"/>
      <c r="V2854" s="194"/>
      <c r="W2854" s="191"/>
      <c r="Y2854" s="191"/>
      <c r="Z2854" s="191"/>
      <c r="AA2854" s="191"/>
      <c r="AB2854" s="191"/>
      <c r="AC2854" s="191"/>
      <c r="AD2854" s="16"/>
      <c r="AE2854" s="16"/>
      <c r="AF2854" s="16"/>
      <c r="AG2854" s="16"/>
      <c r="AH2854" s="16"/>
      <c r="AI2854" s="16"/>
      <c r="AJ2854" s="16"/>
      <c r="AK2854" s="16"/>
      <c r="AL2854" s="16"/>
      <c r="AM2854" s="16"/>
      <c r="AN2854" s="16"/>
      <c r="AO2854" s="16"/>
      <c r="AP2854" s="16"/>
      <c r="AQ2854" s="16"/>
      <c r="AR2854" s="16"/>
      <c r="AS2854" s="16"/>
    </row>
    <row r="2855" spans="18:45" x14ac:dyDescent="0.35">
      <c r="R2855" s="191"/>
      <c r="S2855" s="191"/>
      <c r="T2855" s="193"/>
      <c r="U2855" s="191"/>
      <c r="V2855" s="194"/>
      <c r="W2855" s="191"/>
      <c r="Y2855" s="191"/>
      <c r="Z2855" s="191"/>
      <c r="AA2855" s="191"/>
      <c r="AB2855" s="191"/>
      <c r="AC2855" s="191"/>
      <c r="AD2855" s="16"/>
      <c r="AE2855" s="16"/>
      <c r="AF2855" s="16"/>
      <c r="AG2855" s="16"/>
      <c r="AH2855" s="16"/>
      <c r="AI2855" s="16"/>
      <c r="AJ2855" s="16"/>
      <c r="AK2855" s="16"/>
      <c r="AL2855" s="16"/>
      <c r="AM2855" s="16"/>
      <c r="AN2855" s="16"/>
      <c r="AO2855" s="16"/>
      <c r="AP2855" s="16"/>
      <c r="AQ2855" s="16"/>
      <c r="AR2855" s="16"/>
      <c r="AS2855" s="16"/>
    </row>
    <row r="2856" spans="18:45" x14ac:dyDescent="0.35">
      <c r="R2856" s="191"/>
      <c r="S2856" s="191"/>
      <c r="T2856" s="193"/>
      <c r="U2856" s="191"/>
      <c r="V2856" s="194"/>
      <c r="W2856" s="191"/>
      <c r="Y2856" s="191"/>
      <c r="Z2856" s="191"/>
      <c r="AA2856" s="191"/>
      <c r="AB2856" s="191"/>
      <c r="AC2856" s="191"/>
      <c r="AD2856" s="16"/>
      <c r="AE2856" s="16"/>
      <c r="AF2856" s="16"/>
      <c r="AG2856" s="16"/>
      <c r="AH2856" s="16"/>
      <c r="AI2856" s="16"/>
      <c r="AJ2856" s="16"/>
      <c r="AK2856" s="16"/>
      <c r="AL2856" s="16"/>
      <c r="AM2856" s="16"/>
      <c r="AN2856" s="16"/>
      <c r="AO2856" s="16"/>
      <c r="AP2856" s="16"/>
      <c r="AQ2856" s="16"/>
      <c r="AR2856" s="16"/>
      <c r="AS2856" s="16"/>
    </row>
    <row r="2857" spans="18:45" x14ac:dyDescent="0.35">
      <c r="R2857" s="191"/>
      <c r="S2857" s="191"/>
      <c r="T2857" s="193"/>
      <c r="U2857" s="191"/>
      <c r="V2857" s="194"/>
      <c r="W2857" s="191"/>
      <c r="Y2857" s="191"/>
      <c r="Z2857" s="191"/>
      <c r="AA2857" s="191"/>
      <c r="AB2857" s="191"/>
      <c r="AC2857" s="191"/>
      <c r="AD2857" s="16"/>
      <c r="AE2857" s="16"/>
      <c r="AF2857" s="16"/>
      <c r="AG2857" s="16"/>
      <c r="AH2857" s="16"/>
      <c r="AI2857" s="16"/>
      <c r="AJ2857" s="16"/>
      <c r="AK2857" s="16"/>
      <c r="AL2857" s="16"/>
      <c r="AM2857" s="16"/>
      <c r="AN2857" s="16"/>
      <c r="AO2857" s="16"/>
      <c r="AP2857" s="16"/>
      <c r="AQ2857" s="16"/>
      <c r="AR2857" s="16"/>
      <c r="AS2857" s="16"/>
    </row>
    <row r="2858" spans="18:45" x14ac:dyDescent="0.35">
      <c r="R2858" s="191"/>
      <c r="S2858" s="191"/>
      <c r="T2858" s="193"/>
      <c r="U2858" s="191"/>
      <c r="V2858" s="194"/>
      <c r="W2858" s="191"/>
      <c r="Y2858" s="191"/>
      <c r="Z2858" s="191"/>
      <c r="AA2858" s="191"/>
      <c r="AB2858" s="191"/>
      <c r="AC2858" s="191"/>
      <c r="AD2858" s="16"/>
      <c r="AE2858" s="16"/>
      <c r="AF2858" s="16"/>
      <c r="AG2858" s="16"/>
      <c r="AH2858" s="16"/>
      <c r="AI2858" s="16"/>
      <c r="AJ2858" s="16"/>
      <c r="AK2858" s="16"/>
      <c r="AL2858" s="16"/>
      <c r="AM2858" s="16"/>
      <c r="AN2858" s="16"/>
      <c r="AO2858" s="16"/>
      <c r="AP2858" s="16"/>
      <c r="AQ2858" s="16"/>
      <c r="AR2858" s="16"/>
      <c r="AS2858" s="16"/>
    </row>
    <row r="2859" spans="18:45" x14ac:dyDescent="0.35">
      <c r="R2859" s="191"/>
      <c r="S2859" s="191"/>
      <c r="T2859" s="193"/>
      <c r="U2859" s="191"/>
      <c r="V2859" s="194"/>
      <c r="W2859" s="191"/>
      <c r="Y2859" s="191"/>
      <c r="Z2859" s="191"/>
      <c r="AA2859" s="191"/>
      <c r="AB2859" s="191"/>
      <c r="AC2859" s="191"/>
      <c r="AD2859" s="16"/>
      <c r="AE2859" s="16"/>
      <c r="AF2859" s="16"/>
      <c r="AG2859" s="16"/>
      <c r="AH2859" s="16"/>
      <c r="AI2859" s="16"/>
      <c r="AJ2859" s="16"/>
      <c r="AK2859" s="16"/>
      <c r="AL2859" s="16"/>
      <c r="AM2859" s="16"/>
      <c r="AN2859" s="16"/>
      <c r="AO2859" s="16"/>
      <c r="AP2859" s="16"/>
      <c r="AQ2859" s="16"/>
      <c r="AR2859" s="16"/>
      <c r="AS2859" s="16"/>
    </row>
    <row r="2860" spans="18:45" x14ac:dyDescent="0.35">
      <c r="R2860" s="191"/>
      <c r="S2860" s="191"/>
      <c r="T2860" s="193"/>
      <c r="U2860" s="191"/>
      <c r="V2860" s="194"/>
      <c r="W2860" s="191"/>
      <c r="Y2860" s="191"/>
      <c r="Z2860" s="191"/>
      <c r="AA2860" s="191"/>
      <c r="AB2860" s="191"/>
      <c r="AC2860" s="191"/>
      <c r="AD2860" s="16"/>
      <c r="AE2860" s="16"/>
      <c r="AF2860" s="16"/>
      <c r="AG2860" s="16"/>
      <c r="AH2860" s="16"/>
      <c r="AI2860" s="16"/>
      <c r="AJ2860" s="16"/>
      <c r="AK2860" s="16"/>
      <c r="AL2860" s="16"/>
      <c r="AM2860" s="16"/>
      <c r="AN2860" s="16"/>
      <c r="AO2860" s="16"/>
      <c r="AP2860" s="16"/>
      <c r="AQ2860" s="16"/>
      <c r="AR2860" s="16"/>
      <c r="AS2860" s="16"/>
    </row>
    <row r="2861" spans="18:45" x14ac:dyDescent="0.35">
      <c r="R2861" s="191"/>
      <c r="S2861" s="191"/>
      <c r="T2861" s="193"/>
      <c r="U2861" s="191"/>
      <c r="V2861" s="194"/>
      <c r="W2861" s="191"/>
      <c r="Y2861" s="191"/>
      <c r="Z2861" s="191"/>
      <c r="AA2861" s="191"/>
      <c r="AB2861" s="191"/>
      <c r="AC2861" s="191"/>
      <c r="AD2861" s="16"/>
      <c r="AE2861" s="16"/>
      <c r="AF2861" s="16"/>
      <c r="AG2861" s="16"/>
      <c r="AH2861" s="16"/>
      <c r="AI2861" s="16"/>
      <c r="AJ2861" s="16"/>
      <c r="AK2861" s="16"/>
      <c r="AL2861" s="16"/>
      <c r="AM2861" s="16"/>
      <c r="AN2861" s="16"/>
      <c r="AO2861" s="16"/>
      <c r="AP2861" s="16"/>
      <c r="AQ2861" s="16"/>
      <c r="AR2861" s="16"/>
      <c r="AS2861" s="16"/>
    </row>
    <row r="2862" spans="18:45" x14ac:dyDescent="0.35">
      <c r="R2862" s="191"/>
      <c r="S2862" s="191"/>
      <c r="T2862" s="193"/>
      <c r="U2862" s="191"/>
      <c r="V2862" s="194"/>
      <c r="W2862" s="191"/>
      <c r="Y2862" s="191"/>
      <c r="Z2862" s="191"/>
      <c r="AA2862" s="191"/>
      <c r="AB2862" s="191"/>
      <c r="AC2862" s="191"/>
      <c r="AD2862" s="16"/>
      <c r="AE2862" s="16"/>
      <c r="AF2862" s="16"/>
      <c r="AG2862" s="16"/>
      <c r="AH2862" s="16"/>
      <c r="AI2862" s="16"/>
      <c r="AJ2862" s="16"/>
      <c r="AK2862" s="16"/>
      <c r="AL2862" s="16"/>
      <c r="AM2862" s="16"/>
      <c r="AN2862" s="16"/>
      <c r="AO2862" s="16"/>
      <c r="AP2862" s="16"/>
      <c r="AQ2862" s="16"/>
      <c r="AR2862" s="16"/>
      <c r="AS2862" s="16"/>
    </row>
    <row r="2863" spans="18:45" x14ac:dyDescent="0.35">
      <c r="R2863" s="191"/>
      <c r="S2863" s="191"/>
      <c r="T2863" s="193"/>
      <c r="U2863" s="191"/>
      <c r="V2863" s="194"/>
      <c r="W2863" s="191"/>
      <c r="Y2863" s="191"/>
      <c r="Z2863" s="191"/>
      <c r="AA2863" s="191"/>
      <c r="AB2863" s="191"/>
      <c r="AC2863" s="191"/>
      <c r="AD2863" s="16"/>
      <c r="AE2863" s="16"/>
      <c r="AF2863" s="16"/>
      <c r="AG2863" s="16"/>
      <c r="AH2863" s="16"/>
      <c r="AI2863" s="16"/>
      <c r="AJ2863" s="16"/>
      <c r="AK2863" s="16"/>
      <c r="AL2863" s="16"/>
      <c r="AM2863" s="16"/>
      <c r="AN2863" s="16"/>
      <c r="AO2863" s="16"/>
      <c r="AP2863" s="16"/>
      <c r="AQ2863" s="16"/>
      <c r="AR2863" s="16"/>
      <c r="AS2863" s="16"/>
    </row>
    <row r="2864" spans="18:45" x14ac:dyDescent="0.35">
      <c r="R2864" s="191"/>
      <c r="S2864" s="191"/>
      <c r="T2864" s="193"/>
      <c r="U2864" s="191"/>
      <c r="V2864" s="194"/>
      <c r="W2864" s="191"/>
      <c r="Y2864" s="191"/>
      <c r="Z2864" s="191"/>
      <c r="AA2864" s="191"/>
      <c r="AB2864" s="191"/>
      <c r="AC2864" s="191"/>
      <c r="AD2864" s="16"/>
      <c r="AE2864" s="16"/>
      <c r="AF2864" s="16"/>
      <c r="AG2864" s="16"/>
      <c r="AH2864" s="16"/>
      <c r="AI2864" s="16"/>
      <c r="AJ2864" s="16"/>
      <c r="AK2864" s="16"/>
      <c r="AL2864" s="16"/>
      <c r="AM2864" s="16"/>
      <c r="AN2864" s="16"/>
      <c r="AO2864" s="16"/>
      <c r="AP2864" s="16"/>
      <c r="AQ2864" s="16"/>
      <c r="AR2864" s="16"/>
      <c r="AS2864" s="16"/>
    </row>
    <row r="2865" spans="18:45" x14ac:dyDescent="0.35">
      <c r="R2865" s="191"/>
      <c r="S2865" s="191"/>
      <c r="T2865" s="193"/>
      <c r="U2865" s="191"/>
      <c r="V2865" s="194"/>
      <c r="W2865" s="191"/>
      <c r="Y2865" s="191"/>
      <c r="Z2865" s="191"/>
      <c r="AA2865" s="191"/>
      <c r="AB2865" s="191"/>
      <c r="AC2865" s="191"/>
      <c r="AD2865" s="16"/>
      <c r="AE2865" s="16"/>
      <c r="AF2865" s="16"/>
      <c r="AG2865" s="16"/>
      <c r="AH2865" s="16"/>
      <c r="AI2865" s="16"/>
      <c r="AJ2865" s="16"/>
      <c r="AK2865" s="16"/>
      <c r="AL2865" s="16"/>
      <c r="AM2865" s="16"/>
      <c r="AN2865" s="16"/>
      <c r="AO2865" s="16"/>
      <c r="AP2865" s="16"/>
      <c r="AQ2865" s="16"/>
      <c r="AR2865" s="16"/>
      <c r="AS2865" s="16"/>
    </row>
    <row r="2866" spans="18:45" x14ac:dyDescent="0.35">
      <c r="R2866" s="191"/>
      <c r="S2866" s="191"/>
      <c r="T2866" s="193"/>
      <c r="U2866" s="191"/>
      <c r="V2866" s="194"/>
      <c r="W2866" s="191"/>
      <c r="Y2866" s="191"/>
      <c r="Z2866" s="191"/>
      <c r="AA2866" s="191"/>
      <c r="AB2866" s="191"/>
      <c r="AC2866" s="191"/>
      <c r="AD2866" s="16"/>
      <c r="AE2866" s="16"/>
      <c r="AF2866" s="16"/>
      <c r="AG2866" s="16"/>
      <c r="AH2866" s="16"/>
      <c r="AI2866" s="16"/>
      <c r="AJ2866" s="16"/>
      <c r="AK2866" s="16"/>
      <c r="AL2866" s="16"/>
      <c r="AM2866" s="16"/>
      <c r="AN2866" s="16"/>
      <c r="AO2866" s="16"/>
      <c r="AP2866" s="16"/>
      <c r="AQ2866" s="16"/>
      <c r="AR2866" s="16"/>
      <c r="AS2866" s="16"/>
    </row>
    <row r="2867" spans="18:45" x14ac:dyDescent="0.35">
      <c r="R2867" s="191"/>
      <c r="S2867" s="191"/>
      <c r="T2867" s="193"/>
      <c r="U2867" s="191"/>
      <c r="V2867" s="194"/>
      <c r="W2867" s="191"/>
      <c r="Y2867" s="191"/>
      <c r="Z2867" s="191"/>
      <c r="AA2867" s="191"/>
      <c r="AB2867" s="191"/>
      <c r="AC2867" s="191"/>
      <c r="AD2867" s="16"/>
      <c r="AE2867" s="16"/>
      <c r="AF2867" s="16"/>
      <c r="AG2867" s="16"/>
      <c r="AH2867" s="16"/>
      <c r="AI2867" s="16"/>
      <c r="AJ2867" s="16"/>
      <c r="AK2867" s="16"/>
      <c r="AL2867" s="16"/>
      <c r="AM2867" s="16"/>
      <c r="AN2867" s="16"/>
      <c r="AO2867" s="16"/>
      <c r="AP2867" s="16"/>
      <c r="AQ2867" s="16"/>
      <c r="AR2867" s="16"/>
      <c r="AS2867" s="16"/>
    </row>
    <row r="2868" spans="18:45" x14ac:dyDescent="0.35">
      <c r="R2868" s="191"/>
      <c r="S2868" s="191"/>
      <c r="T2868" s="193"/>
      <c r="U2868" s="191"/>
      <c r="V2868" s="194"/>
      <c r="W2868" s="191"/>
      <c r="Y2868" s="191"/>
      <c r="Z2868" s="191"/>
      <c r="AA2868" s="191"/>
      <c r="AB2868" s="191"/>
      <c r="AC2868" s="191"/>
      <c r="AD2868" s="16"/>
      <c r="AE2868" s="16"/>
      <c r="AF2868" s="16"/>
      <c r="AG2868" s="16"/>
      <c r="AH2868" s="16"/>
      <c r="AI2868" s="16"/>
      <c r="AJ2868" s="16"/>
      <c r="AK2868" s="16"/>
      <c r="AL2868" s="16"/>
      <c r="AM2868" s="16"/>
      <c r="AN2868" s="16"/>
      <c r="AO2868" s="16"/>
      <c r="AP2868" s="16"/>
      <c r="AQ2868" s="16"/>
      <c r="AR2868" s="16"/>
      <c r="AS2868" s="16"/>
    </row>
    <row r="2869" spans="18:45" x14ac:dyDescent="0.35">
      <c r="R2869" s="191"/>
      <c r="S2869" s="191"/>
      <c r="T2869" s="193"/>
      <c r="U2869" s="191"/>
      <c r="V2869" s="194"/>
      <c r="W2869" s="191"/>
      <c r="Y2869" s="191"/>
      <c r="Z2869" s="191"/>
      <c r="AA2869" s="191"/>
      <c r="AB2869" s="191"/>
      <c r="AC2869" s="191"/>
      <c r="AD2869" s="16"/>
      <c r="AE2869" s="16"/>
      <c r="AF2869" s="16"/>
      <c r="AG2869" s="16"/>
      <c r="AH2869" s="16"/>
      <c r="AI2869" s="16"/>
      <c r="AJ2869" s="16"/>
      <c r="AK2869" s="16"/>
      <c r="AL2869" s="16"/>
      <c r="AM2869" s="16"/>
      <c r="AN2869" s="16"/>
      <c r="AO2869" s="16"/>
      <c r="AP2869" s="16"/>
      <c r="AQ2869" s="16"/>
      <c r="AR2869" s="16"/>
      <c r="AS2869" s="16"/>
    </row>
    <row r="2870" spans="18:45" x14ac:dyDescent="0.35">
      <c r="R2870" s="191"/>
      <c r="S2870" s="191"/>
      <c r="T2870" s="193"/>
      <c r="U2870" s="191"/>
      <c r="V2870" s="194"/>
      <c r="W2870" s="191"/>
      <c r="Y2870" s="191"/>
      <c r="Z2870" s="191"/>
      <c r="AA2870" s="191"/>
      <c r="AB2870" s="191"/>
      <c r="AC2870" s="191"/>
      <c r="AD2870" s="16"/>
      <c r="AE2870" s="16"/>
      <c r="AF2870" s="16"/>
      <c r="AG2870" s="16"/>
      <c r="AH2870" s="16"/>
      <c r="AI2870" s="16"/>
      <c r="AJ2870" s="16"/>
      <c r="AK2870" s="16"/>
      <c r="AL2870" s="16"/>
      <c r="AM2870" s="16"/>
      <c r="AN2870" s="16"/>
      <c r="AO2870" s="16"/>
      <c r="AP2870" s="16"/>
      <c r="AQ2870" s="16"/>
      <c r="AR2870" s="16"/>
      <c r="AS2870" s="16"/>
    </row>
    <row r="2871" spans="18:45" x14ac:dyDescent="0.35">
      <c r="R2871" s="191"/>
      <c r="S2871" s="191"/>
      <c r="T2871" s="193"/>
      <c r="U2871" s="191"/>
      <c r="V2871" s="194"/>
      <c r="W2871" s="191"/>
      <c r="Y2871" s="191"/>
      <c r="Z2871" s="191"/>
      <c r="AA2871" s="191"/>
      <c r="AB2871" s="191"/>
      <c r="AC2871" s="191"/>
      <c r="AD2871" s="16"/>
      <c r="AE2871" s="16"/>
      <c r="AF2871" s="16"/>
      <c r="AG2871" s="16"/>
      <c r="AH2871" s="16"/>
      <c r="AI2871" s="16"/>
      <c r="AJ2871" s="16"/>
      <c r="AK2871" s="16"/>
      <c r="AL2871" s="16"/>
      <c r="AM2871" s="16"/>
      <c r="AN2871" s="16"/>
      <c r="AO2871" s="16"/>
      <c r="AP2871" s="16"/>
      <c r="AQ2871" s="16"/>
      <c r="AR2871" s="16"/>
      <c r="AS2871" s="16"/>
    </row>
    <row r="2872" spans="18:45" x14ac:dyDescent="0.35">
      <c r="R2872" s="191"/>
      <c r="S2872" s="191"/>
      <c r="T2872" s="193"/>
      <c r="U2872" s="191"/>
      <c r="V2872" s="194"/>
      <c r="W2872" s="191"/>
      <c r="Y2872" s="191"/>
      <c r="Z2872" s="191"/>
      <c r="AA2872" s="191"/>
      <c r="AB2872" s="191"/>
      <c r="AC2872" s="191"/>
      <c r="AD2872" s="16"/>
      <c r="AE2872" s="16"/>
      <c r="AF2872" s="16"/>
      <c r="AG2872" s="16"/>
      <c r="AH2872" s="16"/>
      <c r="AI2872" s="16"/>
      <c r="AJ2872" s="16"/>
      <c r="AK2872" s="16"/>
      <c r="AL2872" s="16"/>
      <c r="AM2872" s="16"/>
      <c r="AN2872" s="16"/>
      <c r="AO2872" s="16"/>
      <c r="AP2872" s="16"/>
      <c r="AQ2872" s="16"/>
      <c r="AR2872" s="16"/>
      <c r="AS2872" s="16"/>
    </row>
    <row r="2873" spans="18:45" x14ac:dyDescent="0.35">
      <c r="R2873" s="191"/>
      <c r="S2873" s="191"/>
      <c r="T2873" s="193"/>
      <c r="U2873" s="191"/>
      <c r="V2873" s="194"/>
      <c r="W2873" s="191"/>
      <c r="Y2873" s="191"/>
      <c r="Z2873" s="191"/>
      <c r="AA2873" s="191"/>
      <c r="AB2873" s="191"/>
      <c r="AC2873" s="191"/>
      <c r="AD2873" s="16"/>
      <c r="AE2873" s="16"/>
      <c r="AF2873" s="16"/>
      <c r="AG2873" s="16"/>
      <c r="AH2873" s="16"/>
      <c r="AI2873" s="16"/>
      <c r="AJ2873" s="16"/>
      <c r="AK2873" s="16"/>
      <c r="AL2873" s="16"/>
      <c r="AM2873" s="16"/>
      <c r="AN2873" s="16"/>
      <c r="AO2873" s="16"/>
      <c r="AP2873" s="16"/>
      <c r="AQ2873" s="16"/>
      <c r="AR2873" s="16"/>
      <c r="AS2873" s="16"/>
    </row>
    <row r="2874" spans="18:45" x14ac:dyDescent="0.35">
      <c r="R2874" s="191"/>
      <c r="S2874" s="191"/>
      <c r="T2874" s="193"/>
      <c r="U2874" s="191"/>
      <c r="V2874" s="194"/>
      <c r="W2874" s="191"/>
      <c r="Y2874" s="191"/>
      <c r="Z2874" s="191"/>
      <c r="AA2874" s="191"/>
      <c r="AB2874" s="191"/>
      <c r="AC2874" s="191"/>
      <c r="AD2874" s="16"/>
      <c r="AE2874" s="16"/>
      <c r="AF2874" s="16"/>
      <c r="AG2874" s="16"/>
      <c r="AH2874" s="16"/>
      <c r="AI2874" s="16"/>
      <c r="AJ2874" s="16"/>
      <c r="AK2874" s="16"/>
      <c r="AL2874" s="16"/>
      <c r="AM2874" s="16"/>
      <c r="AN2874" s="16"/>
      <c r="AO2874" s="16"/>
      <c r="AP2874" s="16"/>
      <c r="AQ2874" s="16"/>
      <c r="AR2874" s="16"/>
      <c r="AS2874" s="16"/>
    </row>
    <row r="2875" spans="18:45" x14ac:dyDescent="0.35">
      <c r="R2875" s="191"/>
      <c r="S2875" s="191"/>
      <c r="T2875" s="193"/>
      <c r="U2875" s="191"/>
      <c r="V2875" s="194"/>
      <c r="W2875" s="191"/>
      <c r="Y2875" s="191"/>
      <c r="Z2875" s="191"/>
      <c r="AA2875" s="191"/>
      <c r="AB2875" s="191"/>
      <c r="AC2875" s="191"/>
      <c r="AD2875" s="16"/>
      <c r="AE2875" s="16"/>
      <c r="AF2875" s="16"/>
      <c r="AG2875" s="16"/>
      <c r="AH2875" s="16"/>
      <c r="AI2875" s="16"/>
      <c r="AJ2875" s="16"/>
      <c r="AK2875" s="16"/>
      <c r="AL2875" s="16"/>
      <c r="AM2875" s="16"/>
      <c r="AN2875" s="16"/>
      <c r="AO2875" s="16"/>
      <c r="AP2875" s="16"/>
      <c r="AQ2875" s="16"/>
      <c r="AR2875" s="16"/>
      <c r="AS2875" s="16"/>
    </row>
    <row r="2876" spans="18:45" x14ac:dyDescent="0.35">
      <c r="R2876" s="191"/>
      <c r="S2876" s="191"/>
      <c r="T2876" s="193"/>
      <c r="U2876" s="191"/>
      <c r="V2876" s="194"/>
      <c r="W2876" s="191"/>
      <c r="Y2876" s="191"/>
      <c r="Z2876" s="191"/>
      <c r="AA2876" s="191"/>
      <c r="AB2876" s="191"/>
      <c r="AC2876" s="191"/>
      <c r="AD2876" s="16"/>
      <c r="AE2876" s="16"/>
      <c r="AF2876" s="16"/>
      <c r="AG2876" s="16"/>
      <c r="AH2876" s="16"/>
      <c r="AI2876" s="16"/>
      <c r="AJ2876" s="16"/>
      <c r="AK2876" s="16"/>
      <c r="AL2876" s="16"/>
      <c r="AM2876" s="16"/>
      <c r="AN2876" s="16"/>
      <c r="AO2876" s="16"/>
      <c r="AP2876" s="16"/>
      <c r="AQ2876" s="16"/>
      <c r="AR2876" s="16"/>
      <c r="AS2876" s="16"/>
    </row>
    <row r="2877" spans="18:45" x14ac:dyDescent="0.35">
      <c r="R2877" s="191"/>
      <c r="S2877" s="191"/>
      <c r="T2877" s="193"/>
      <c r="U2877" s="191"/>
      <c r="V2877" s="194"/>
      <c r="W2877" s="191"/>
      <c r="Y2877" s="191"/>
      <c r="Z2877" s="191"/>
      <c r="AA2877" s="191"/>
      <c r="AB2877" s="191"/>
      <c r="AC2877" s="191"/>
      <c r="AD2877" s="16"/>
      <c r="AE2877" s="16"/>
      <c r="AF2877" s="16"/>
      <c r="AG2877" s="16"/>
      <c r="AH2877" s="16"/>
      <c r="AI2877" s="16"/>
      <c r="AJ2877" s="16"/>
      <c r="AK2877" s="16"/>
      <c r="AL2877" s="16"/>
      <c r="AM2877" s="16"/>
      <c r="AN2877" s="16"/>
      <c r="AO2877" s="16"/>
      <c r="AP2877" s="16"/>
      <c r="AQ2877" s="16"/>
      <c r="AR2877" s="16"/>
      <c r="AS2877" s="16"/>
    </row>
    <row r="2878" spans="18:45" x14ac:dyDescent="0.35">
      <c r="R2878" s="191"/>
      <c r="S2878" s="191"/>
      <c r="T2878" s="193"/>
      <c r="U2878" s="191"/>
      <c r="V2878" s="194"/>
      <c r="W2878" s="191"/>
      <c r="Y2878" s="191"/>
      <c r="Z2878" s="191"/>
      <c r="AA2878" s="191"/>
      <c r="AB2878" s="191"/>
      <c r="AC2878" s="191"/>
      <c r="AD2878" s="16"/>
      <c r="AE2878" s="16"/>
      <c r="AF2878" s="16"/>
      <c r="AG2878" s="16"/>
      <c r="AH2878" s="16"/>
      <c r="AI2878" s="16"/>
      <c r="AJ2878" s="16"/>
      <c r="AK2878" s="16"/>
      <c r="AL2878" s="16"/>
      <c r="AM2878" s="16"/>
      <c r="AN2878" s="16"/>
      <c r="AO2878" s="16"/>
      <c r="AP2878" s="16"/>
      <c r="AQ2878" s="16"/>
      <c r="AR2878" s="16"/>
      <c r="AS2878" s="16"/>
    </row>
    <row r="2879" spans="18:45" x14ac:dyDescent="0.35">
      <c r="R2879" s="191"/>
      <c r="S2879" s="191"/>
      <c r="T2879" s="193"/>
      <c r="U2879" s="191"/>
      <c r="V2879" s="194"/>
      <c r="W2879" s="191"/>
      <c r="Y2879" s="191"/>
      <c r="Z2879" s="191"/>
      <c r="AA2879" s="191"/>
      <c r="AB2879" s="191"/>
      <c r="AC2879" s="191"/>
      <c r="AD2879" s="16"/>
      <c r="AE2879" s="16"/>
      <c r="AF2879" s="16"/>
      <c r="AG2879" s="16"/>
      <c r="AH2879" s="16"/>
      <c r="AI2879" s="16"/>
      <c r="AJ2879" s="16"/>
      <c r="AK2879" s="16"/>
      <c r="AL2879" s="16"/>
      <c r="AM2879" s="16"/>
      <c r="AN2879" s="16"/>
      <c r="AO2879" s="16"/>
      <c r="AP2879" s="16"/>
      <c r="AQ2879" s="16"/>
      <c r="AR2879" s="16"/>
      <c r="AS2879" s="16"/>
    </row>
    <row r="2880" spans="18:45" x14ac:dyDescent="0.35">
      <c r="R2880" s="191"/>
      <c r="S2880" s="191"/>
      <c r="T2880" s="193"/>
      <c r="U2880" s="191"/>
      <c r="V2880" s="194"/>
      <c r="W2880" s="191"/>
      <c r="Y2880" s="191"/>
      <c r="Z2880" s="191"/>
      <c r="AA2880" s="191"/>
      <c r="AB2880" s="191"/>
      <c r="AC2880" s="191"/>
      <c r="AD2880" s="16"/>
      <c r="AE2880" s="16"/>
      <c r="AF2880" s="16"/>
      <c r="AG2880" s="16"/>
      <c r="AH2880" s="16"/>
      <c r="AI2880" s="16"/>
      <c r="AJ2880" s="16"/>
      <c r="AK2880" s="16"/>
      <c r="AL2880" s="16"/>
      <c r="AM2880" s="16"/>
      <c r="AN2880" s="16"/>
      <c r="AO2880" s="16"/>
      <c r="AP2880" s="16"/>
      <c r="AQ2880" s="16"/>
      <c r="AR2880" s="16"/>
      <c r="AS2880" s="16"/>
    </row>
    <row r="2881" spans="18:45" x14ac:dyDescent="0.35">
      <c r="R2881" s="191"/>
      <c r="S2881" s="191"/>
      <c r="T2881" s="193"/>
      <c r="U2881" s="191"/>
      <c r="V2881" s="194"/>
      <c r="W2881" s="191"/>
      <c r="Y2881" s="191"/>
      <c r="Z2881" s="191"/>
      <c r="AA2881" s="191"/>
      <c r="AB2881" s="191"/>
      <c r="AC2881" s="191"/>
      <c r="AD2881" s="16"/>
      <c r="AE2881" s="16"/>
      <c r="AF2881" s="16"/>
      <c r="AG2881" s="16"/>
      <c r="AH2881" s="16"/>
      <c r="AI2881" s="16"/>
      <c r="AJ2881" s="16"/>
      <c r="AK2881" s="16"/>
      <c r="AL2881" s="16"/>
      <c r="AM2881" s="16"/>
      <c r="AN2881" s="16"/>
      <c r="AO2881" s="16"/>
      <c r="AP2881" s="16"/>
      <c r="AQ2881" s="16"/>
      <c r="AR2881" s="16"/>
      <c r="AS2881" s="16"/>
    </row>
    <row r="2882" spans="18:45" x14ac:dyDescent="0.35">
      <c r="R2882" s="191"/>
      <c r="S2882" s="191"/>
      <c r="T2882" s="193"/>
      <c r="U2882" s="191"/>
      <c r="V2882" s="194"/>
      <c r="W2882" s="191"/>
      <c r="Y2882" s="191"/>
      <c r="Z2882" s="191"/>
      <c r="AA2882" s="191"/>
      <c r="AB2882" s="191"/>
      <c r="AC2882" s="191"/>
      <c r="AD2882" s="16"/>
      <c r="AE2882" s="16"/>
      <c r="AF2882" s="16"/>
      <c r="AG2882" s="16"/>
      <c r="AH2882" s="16"/>
      <c r="AI2882" s="16"/>
      <c r="AJ2882" s="16"/>
      <c r="AK2882" s="16"/>
      <c r="AL2882" s="16"/>
      <c r="AM2882" s="16"/>
      <c r="AN2882" s="16"/>
      <c r="AO2882" s="16"/>
      <c r="AP2882" s="16"/>
      <c r="AQ2882" s="16"/>
      <c r="AR2882" s="16"/>
      <c r="AS2882" s="16"/>
    </row>
    <row r="2883" spans="18:45" x14ac:dyDescent="0.35">
      <c r="R2883" s="191"/>
      <c r="S2883" s="191"/>
      <c r="T2883" s="193"/>
      <c r="U2883" s="191"/>
      <c r="V2883" s="194"/>
      <c r="W2883" s="191"/>
      <c r="Y2883" s="191"/>
      <c r="Z2883" s="191"/>
      <c r="AA2883" s="191"/>
      <c r="AB2883" s="191"/>
      <c r="AC2883" s="191"/>
      <c r="AD2883" s="16"/>
      <c r="AE2883" s="16"/>
      <c r="AF2883" s="16"/>
      <c r="AG2883" s="16"/>
      <c r="AH2883" s="16"/>
      <c r="AI2883" s="16"/>
      <c r="AJ2883" s="16"/>
      <c r="AK2883" s="16"/>
      <c r="AL2883" s="16"/>
      <c r="AM2883" s="16"/>
      <c r="AN2883" s="16"/>
      <c r="AO2883" s="16"/>
      <c r="AP2883" s="16"/>
      <c r="AQ2883" s="16"/>
      <c r="AR2883" s="16"/>
      <c r="AS2883" s="16"/>
    </row>
    <row r="2884" spans="18:45" x14ac:dyDescent="0.35">
      <c r="R2884" s="191"/>
      <c r="S2884" s="191"/>
      <c r="T2884" s="193"/>
      <c r="U2884" s="191"/>
      <c r="V2884" s="194"/>
      <c r="W2884" s="191"/>
      <c r="Y2884" s="191"/>
      <c r="Z2884" s="191"/>
      <c r="AA2884" s="191"/>
      <c r="AB2884" s="191"/>
      <c r="AC2884" s="191"/>
      <c r="AD2884" s="16"/>
      <c r="AE2884" s="16"/>
      <c r="AF2884" s="16"/>
      <c r="AG2884" s="16"/>
      <c r="AH2884" s="16"/>
      <c r="AI2884" s="16"/>
      <c r="AJ2884" s="16"/>
      <c r="AK2884" s="16"/>
      <c r="AL2884" s="16"/>
      <c r="AM2884" s="16"/>
      <c r="AN2884" s="16"/>
      <c r="AO2884" s="16"/>
      <c r="AP2884" s="16"/>
      <c r="AQ2884" s="16"/>
      <c r="AR2884" s="16"/>
      <c r="AS2884" s="16"/>
    </row>
    <row r="2885" spans="18:45" x14ac:dyDescent="0.35">
      <c r="R2885" s="191"/>
      <c r="S2885" s="191"/>
      <c r="T2885" s="193"/>
      <c r="U2885" s="191"/>
      <c r="V2885" s="194"/>
      <c r="W2885" s="191"/>
      <c r="Y2885" s="191"/>
      <c r="Z2885" s="191"/>
      <c r="AA2885" s="191"/>
      <c r="AB2885" s="191"/>
      <c r="AC2885" s="191"/>
      <c r="AD2885" s="16"/>
      <c r="AE2885" s="16"/>
      <c r="AF2885" s="16"/>
      <c r="AG2885" s="16"/>
      <c r="AH2885" s="16"/>
      <c r="AI2885" s="16"/>
      <c r="AJ2885" s="16"/>
      <c r="AK2885" s="16"/>
      <c r="AL2885" s="16"/>
      <c r="AM2885" s="16"/>
      <c r="AN2885" s="16"/>
      <c r="AO2885" s="16"/>
      <c r="AP2885" s="16"/>
      <c r="AQ2885" s="16"/>
      <c r="AR2885" s="16"/>
      <c r="AS2885" s="16"/>
    </row>
    <row r="2886" spans="18:45" x14ac:dyDescent="0.35">
      <c r="R2886" s="191"/>
      <c r="S2886" s="191"/>
      <c r="T2886" s="193"/>
      <c r="U2886" s="191"/>
      <c r="V2886" s="194"/>
      <c r="W2886" s="191"/>
      <c r="Y2886" s="191"/>
      <c r="Z2886" s="191"/>
      <c r="AA2886" s="191"/>
      <c r="AB2886" s="191"/>
      <c r="AC2886" s="191"/>
      <c r="AD2886" s="16"/>
      <c r="AE2886" s="16"/>
      <c r="AF2886" s="16"/>
      <c r="AG2886" s="16"/>
      <c r="AH2886" s="16"/>
      <c r="AI2886" s="16"/>
      <c r="AJ2886" s="16"/>
      <c r="AK2886" s="16"/>
      <c r="AL2886" s="16"/>
      <c r="AM2886" s="16"/>
      <c r="AN2886" s="16"/>
      <c r="AO2886" s="16"/>
      <c r="AP2886" s="16"/>
      <c r="AQ2886" s="16"/>
      <c r="AR2886" s="16"/>
      <c r="AS2886" s="16"/>
    </row>
    <row r="2887" spans="18:45" x14ac:dyDescent="0.35">
      <c r="R2887" s="191"/>
      <c r="S2887" s="191"/>
      <c r="T2887" s="193"/>
      <c r="U2887" s="191"/>
      <c r="V2887" s="194"/>
      <c r="W2887" s="191"/>
      <c r="Y2887" s="191"/>
      <c r="Z2887" s="191"/>
      <c r="AA2887" s="191"/>
      <c r="AB2887" s="191"/>
      <c r="AC2887" s="191"/>
      <c r="AD2887" s="16"/>
      <c r="AE2887" s="16"/>
      <c r="AF2887" s="16"/>
      <c r="AG2887" s="16"/>
      <c r="AH2887" s="16"/>
      <c r="AI2887" s="16"/>
      <c r="AJ2887" s="16"/>
      <c r="AK2887" s="16"/>
      <c r="AL2887" s="16"/>
      <c r="AM2887" s="16"/>
      <c r="AN2887" s="16"/>
      <c r="AO2887" s="16"/>
      <c r="AP2887" s="16"/>
      <c r="AQ2887" s="16"/>
      <c r="AR2887" s="16"/>
      <c r="AS2887" s="16"/>
    </row>
    <row r="2888" spans="18:45" x14ac:dyDescent="0.35">
      <c r="R2888" s="191"/>
      <c r="S2888" s="191"/>
      <c r="T2888" s="193"/>
      <c r="U2888" s="191"/>
      <c r="V2888" s="194"/>
      <c r="W2888" s="191"/>
      <c r="Y2888" s="191"/>
      <c r="Z2888" s="191"/>
      <c r="AA2888" s="191"/>
      <c r="AB2888" s="191"/>
      <c r="AC2888" s="191"/>
      <c r="AD2888" s="16"/>
      <c r="AE2888" s="16"/>
      <c r="AF2888" s="16"/>
      <c r="AG2888" s="16"/>
      <c r="AH2888" s="16"/>
      <c r="AI2888" s="16"/>
      <c r="AJ2888" s="16"/>
      <c r="AK2888" s="16"/>
      <c r="AL2888" s="16"/>
      <c r="AM2888" s="16"/>
      <c r="AN2888" s="16"/>
      <c r="AO2888" s="16"/>
      <c r="AP2888" s="16"/>
      <c r="AQ2888" s="16"/>
      <c r="AR2888" s="16"/>
      <c r="AS2888" s="16"/>
    </row>
    <row r="2889" spans="18:45" x14ac:dyDescent="0.35">
      <c r="R2889" s="191"/>
      <c r="S2889" s="191"/>
      <c r="T2889" s="193"/>
      <c r="U2889" s="191"/>
      <c r="V2889" s="194"/>
      <c r="W2889" s="191"/>
      <c r="Y2889" s="191"/>
      <c r="Z2889" s="191"/>
      <c r="AA2889" s="191"/>
      <c r="AB2889" s="191"/>
      <c r="AC2889" s="191"/>
      <c r="AD2889" s="16"/>
      <c r="AE2889" s="16"/>
      <c r="AF2889" s="16"/>
      <c r="AG2889" s="16"/>
      <c r="AH2889" s="16"/>
      <c r="AI2889" s="16"/>
      <c r="AJ2889" s="16"/>
      <c r="AK2889" s="16"/>
      <c r="AL2889" s="16"/>
      <c r="AM2889" s="16"/>
      <c r="AN2889" s="16"/>
      <c r="AO2889" s="16"/>
      <c r="AP2889" s="16"/>
      <c r="AQ2889" s="16"/>
      <c r="AR2889" s="16"/>
      <c r="AS2889" s="16"/>
    </row>
    <row r="2890" spans="18:45" x14ac:dyDescent="0.35">
      <c r="R2890" s="191"/>
      <c r="S2890" s="191"/>
      <c r="T2890" s="193"/>
      <c r="U2890" s="191"/>
      <c r="V2890" s="194"/>
      <c r="W2890" s="191"/>
      <c r="Y2890" s="191"/>
      <c r="Z2890" s="191"/>
      <c r="AA2890" s="191"/>
      <c r="AB2890" s="191"/>
      <c r="AC2890" s="191"/>
      <c r="AD2890" s="16"/>
      <c r="AE2890" s="16"/>
      <c r="AF2890" s="16"/>
      <c r="AG2890" s="16"/>
      <c r="AH2890" s="16"/>
      <c r="AI2890" s="16"/>
      <c r="AJ2890" s="16"/>
      <c r="AK2890" s="16"/>
      <c r="AL2890" s="16"/>
      <c r="AM2890" s="16"/>
      <c r="AN2890" s="16"/>
      <c r="AO2890" s="16"/>
      <c r="AP2890" s="16"/>
      <c r="AQ2890" s="16"/>
      <c r="AR2890" s="16"/>
      <c r="AS2890" s="16"/>
    </row>
    <row r="2891" spans="18:45" x14ac:dyDescent="0.35">
      <c r="R2891" s="191"/>
      <c r="S2891" s="191"/>
      <c r="T2891" s="193"/>
      <c r="U2891" s="191"/>
      <c r="V2891" s="194"/>
      <c r="W2891" s="191"/>
      <c r="Y2891" s="191"/>
      <c r="Z2891" s="191"/>
      <c r="AA2891" s="191"/>
      <c r="AB2891" s="191"/>
      <c r="AC2891" s="191"/>
      <c r="AD2891" s="16"/>
      <c r="AE2891" s="16"/>
      <c r="AF2891" s="16"/>
      <c r="AG2891" s="16"/>
      <c r="AH2891" s="16"/>
      <c r="AI2891" s="16"/>
      <c r="AJ2891" s="16"/>
      <c r="AK2891" s="16"/>
      <c r="AL2891" s="16"/>
      <c r="AM2891" s="16"/>
      <c r="AN2891" s="16"/>
      <c r="AO2891" s="16"/>
      <c r="AP2891" s="16"/>
      <c r="AQ2891" s="16"/>
      <c r="AR2891" s="16"/>
      <c r="AS2891" s="16"/>
    </row>
    <row r="2892" spans="18:45" x14ac:dyDescent="0.35">
      <c r="R2892" s="191"/>
      <c r="S2892" s="191"/>
      <c r="T2892" s="193"/>
      <c r="U2892" s="191"/>
      <c r="V2892" s="194"/>
      <c r="W2892" s="191"/>
      <c r="Y2892" s="191"/>
      <c r="Z2892" s="191"/>
      <c r="AA2892" s="191"/>
      <c r="AB2892" s="191"/>
      <c r="AC2892" s="191"/>
      <c r="AD2892" s="16"/>
      <c r="AE2892" s="16"/>
      <c r="AF2892" s="16"/>
      <c r="AG2892" s="16"/>
      <c r="AH2892" s="16"/>
      <c r="AI2892" s="16"/>
      <c r="AJ2892" s="16"/>
      <c r="AK2892" s="16"/>
      <c r="AL2892" s="16"/>
      <c r="AM2892" s="16"/>
      <c r="AN2892" s="16"/>
      <c r="AO2892" s="16"/>
      <c r="AP2892" s="16"/>
      <c r="AQ2892" s="16"/>
      <c r="AR2892" s="16"/>
      <c r="AS2892" s="16"/>
    </row>
    <row r="2893" spans="18:45" x14ac:dyDescent="0.35">
      <c r="R2893" s="191"/>
      <c r="S2893" s="191"/>
      <c r="T2893" s="193"/>
      <c r="U2893" s="191"/>
      <c r="V2893" s="194"/>
      <c r="W2893" s="191"/>
      <c r="Y2893" s="191"/>
      <c r="Z2893" s="191"/>
      <c r="AA2893" s="191"/>
      <c r="AB2893" s="191"/>
      <c r="AC2893" s="191"/>
      <c r="AD2893" s="16"/>
      <c r="AE2893" s="16"/>
      <c r="AF2893" s="16"/>
      <c r="AG2893" s="16"/>
      <c r="AH2893" s="16"/>
      <c r="AI2893" s="16"/>
      <c r="AJ2893" s="16"/>
      <c r="AK2893" s="16"/>
      <c r="AL2893" s="16"/>
      <c r="AM2893" s="16"/>
      <c r="AN2893" s="16"/>
      <c r="AO2893" s="16"/>
      <c r="AP2893" s="16"/>
      <c r="AQ2893" s="16"/>
      <c r="AR2893" s="16"/>
      <c r="AS2893" s="16"/>
    </row>
    <row r="2894" spans="18:45" x14ac:dyDescent="0.35">
      <c r="R2894" s="191"/>
      <c r="S2894" s="191"/>
      <c r="T2894" s="193"/>
      <c r="U2894" s="191"/>
      <c r="V2894" s="194"/>
      <c r="W2894" s="191"/>
      <c r="Y2894" s="191"/>
      <c r="Z2894" s="191"/>
      <c r="AA2894" s="191"/>
      <c r="AB2894" s="191"/>
      <c r="AC2894" s="191"/>
      <c r="AD2894" s="16"/>
      <c r="AE2894" s="16"/>
      <c r="AF2894" s="16"/>
      <c r="AG2894" s="16"/>
      <c r="AH2894" s="16"/>
      <c r="AI2894" s="16"/>
      <c r="AJ2894" s="16"/>
      <c r="AK2894" s="16"/>
      <c r="AL2894" s="16"/>
      <c r="AM2894" s="16"/>
      <c r="AN2894" s="16"/>
      <c r="AO2894" s="16"/>
      <c r="AP2894" s="16"/>
      <c r="AQ2894" s="16"/>
      <c r="AR2894" s="16"/>
      <c r="AS2894" s="16"/>
    </row>
    <row r="2895" spans="18:45" x14ac:dyDescent="0.35">
      <c r="R2895" s="191"/>
      <c r="S2895" s="191"/>
      <c r="T2895" s="193"/>
      <c r="U2895" s="191"/>
      <c r="V2895" s="194"/>
      <c r="W2895" s="191"/>
      <c r="Y2895" s="191"/>
      <c r="Z2895" s="191"/>
      <c r="AA2895" s="191"/>
      <c r="AB2895" s="191"/>
      <c r="AC2895" s="191"/>
      <c r="AD2895" s="16"/>
      <c r="AE2895" s="16"/>
      <c r="AF2895" s="16"/>
      <c r="AG2895" s="16"/>
      <c r="AH2895" s="16"/>
      <c r="AI2895" s="16"/>
      <c r="AJ2895" s="16"/>
      <c r="AK2895" s="16"/>
      <c r="AL2895" s="16"/>
      <c r="AM2895" s="16"/>
      <c r="AN2895" s="16"/>
      <c r="AO2895" s="16"/>
      <c r="AP2895" s="16"/>
      <c r="AQ2895" s="16"/>
      <c r="AR2895" s="16"/>
      <c r="AS2895" s="16"/>
    </row>
    <row r="2896" spans="18:45" x14ac:dyDescent="0.35">
      <c r="R2896" s="191"/>
      <c r="S2896" s="191"/>
      <c r="T2896" s="193"/>
      <c r="U2896" s="191"/>
      <c r="V2896" s="194"/>
      <c r="W2896" s="191"/>
      <c r="Y2896" s="191"/>
      <c r="Z2896" s="191"/>
      <c r="AA2896" s="191"/>
      <c r="AB2896" s="191"/>
      <c r="AC2896" s="191"/>
      <c r="AD2896" s="16"/>
      <c r="AE2896" s="16"/>
      <c r="AF2896" s="16"/>
      <c r="AG2896" s="16"/>
      <c r="AH2896" s="16"/>
      <c r="AI2896" s="16"/>
      <c r="AJ2896" s="16"/>
      <c r="AK2896" s="16"/>
      <c r="AL2896" s="16"/>
      <c r="AM2896" s="16"/>
      <c r="AN2896" s="16"/>
      <c r="AO2896" s="16"/>
      <c r="AP2896" s="16"/>
      <c r="AQ2896" s="16"/>
      <c r="AR2896" s="16"/>
      <c r="AS2896" s="16"/>
    </row>
    <row r="2897" spans="18:45" x14ac:dyDescent="0.35">
      <c r="R2897" s="191"/>
      <c r="S2897" s="191"/>
      <c r="T2897" s="193"/>
      <c r="U2897" s="191"/>
      <c r="V2897" s="194"/>
      <c r="W2897" s="191"/>
      <c r="Y2897" s="191"/>
      <c r="Z2897" s="191"/>
      <c r="AA2897" s="191"/>
      <c r="AB2897" s="191"/>
      <c r="AC2897" s="191"/>
      <c r="AD2897" s="16"/>
      <c r="AE2897" s="16"/>
      <c r="AF2897" s="16"/>
      <c r="AG2897" s="16"/>
      <c r="AH2897" s="16"/>
      <c r="AI2897" s="16"/>
      <c r="AJ2897" s="16"/>
      <c r="AK2897" s="16"/>
      <c r="AL2897" s="16"/>
      <c r="AM2897" s="16"/>
      <c r="AN2897" s="16"/>
      <c r="AO2897" s="16"/>
      <c r="AP2897" s="16"/>
      <c r="AQ2897" s="16"/>
      <c r="AR2897" s="16"/>
      <c r="AS2897" s="16"/>
    </row>
    <row r="2898" spans="18:45" x14ac:dyDescent="0.35">
      <c r="R2898" s="191"/>
      <c r="S2898" s="191"/>
      <c r="T2898" s="193"/>
      <c r="U2898" s="191"/>
      <c r="V2898" s="194"/>
      <c r="W2898" s="191"/>
      <c r="Y2898" s="191"/>
      <c r="Z2898" s="191"/>
      <c r="AA2898" s="191"/>
      <c r="AB2898" s="191"/>
      <c r="AC2898" s="191"/>
      <c r="AD2898" s="16"/>
      <c r="AE2898" s="16"/>
      <c r="AF2898" s="16"/>
      <c r="AG2898" s="16"/>
      <c r="AH2898" s="16"/>
      <c r="AI2898" s="16"/>
      <c r="AJ2898" s="16"/>
      <c r="AK2898" s="16"/>
      <c r="AL2898" s="16"/>
      <c r="AM2898" s="16"/>
      <c r="AN2898" s="16"/>
      <c r="AO2898" s="16"/>
      <c r="AP2898" s="16"/>
      <c r="AQ2898" s="16"/>
      <c r="AR2898" s="16"/>
      <c r="AS2898" s="16"/>
    </row>
    <row r="2899" spans="18:45" x14ac:dyDescent="0.35">
      <c r="R2899" s="191"/>
      <c r="S2899" s="191"/>
      <c r="T2899" s="193"/>
      <c r="U2899" s="191"/>
      <c r="V2899" s="194"/>
      <c r="W2899" s="191"/>
      <c r="Y2899" s="191"/>
      <c r="Z2899" s="191"/>
      <c r="AA2899" s="191"/>
      <c r="AB2899" s="191"/>
      <c r="AC2899" s="191"/>
      <c r="AD2899" s="16"/>
      <c r="AE2899" s="16"/>
      <c r="AF2899" s="16"/>
      <c r="AG2899" s="16"/>
      <c r="AH2899" s="16"/>
      <c r="AI2899" s="16"/>
      <c r="AJ2899" s="16"/>
      <c r="AK2899" s="16"/>
      <c r="AL2899" s="16"/>
      <c r="AM2899" s="16"/>
      <c r="AN2899" s="16"/>
      <c r="AO2899" s="16"/>
      <c r="AP2899" s="16"/>
      <c r="AQ2899" s="16"/>
      <c r="AR2899" s="16"/>
      <c r="AS2899" s="16"/>
    </row>
    <row r="2900" spans="18:45" x14ac:dyDescent="0.35">
      <c r="R2900" s="191"/>
      <c r="S2900" s="191"/>
      <c r="T2900" s="193"/>
      <c r="U2900" s="191"/>
      <c r="V2900" s="194"/>
      <c r="W2900" s="191"/>
      <c r="Y2900" s="191"/>
      <c r="Z2900" s="191"/>
      <c r="AA2900" s="191"/>
      <c r="AB2900" s="191"/>
      <c r="AC2900" s="191"/>
      <c r="AD2900" s="16"/>
      <c r="AE2900" s="16"/>
      <c r="AF2900" s="16"/>
      <c r="AG2900" s="16"/>
      <c r="AH2900" s="16"/>
      <c r="AI2900" s="16"/>
      <c r="AJ2900" s="16"/>
      <c r="AK2900" s="16"/>
      <c r="AL2900" s="16"/>
      <c r="AM2900" s="16"/>
      <c r="AN2900" s="16"/>
      <c r="AO2900" s="16"/>
      <c r="AP2900" s="16"/>
      <c r="AQ2900" s="16"/>
      <c r="AR2900" s="16"/>
      <c r="AS2900" s="16"/>
    </row>
    <row r="2901" spans="18:45" x14ac:dyDescent="0.35">
      <c r="R2901" s="191"/>
      <c r="S2901" s="191"/>
      <c r="T2901" s="193"/>
      <c r="U2901" s="191"/>
      <c r="V2901" s="194"/>
      <c r="W2901" s="191"/>
      <c r="Y2901" s="191"/>
      <c r="Z2901" s="191"/>
      <c r="AA2901" s="191"/>
      <c r="AB2901" s="191"/>
      <c r="AC2901" s="191"/>
      <c r="AD2901" s="16"/>
      <c r="AE2901" s="16"/>
      <c r="AF2901" s="16"/>
      <c r="AG2901" s="16"/>
      <c r="AH2901" s="16"/>
      <c r="AI2901" s="16"/>
      <c r="AJ2901" s="16"/>
      <c r="AK2901" s="16"/>
      <c r="AL2901" s="16"/>
      <c r="AM2901" s="16"/>
      <c r="AN2901" s="16"/>
      <c r="AO2901" s="16"/>
      <c r="AP2901" s="16"/>
      <c r="AQ2901" s="16"/>
      <c r="AR2901" s="16"/>
      <c r="AS2901" s="16"/>
    </row>
    <row r="2902" spans="18:45" x14ac:dyDescent="0.35">
      <c r="R2902" s="191"/>
      <c r="S2902" s="191"/>
      <c r="T2902" s="193"/>
      <c r="U2902" s="191"/>
      <c r="V2902" s="194"/>
      <c r="W2902" s="191"/>
      <c r="Y2902" s="191"/>
      <c r="Z2902" s="191"/>
      <c r="AA2902" s="191"/>
      <c r="AB2902" s="191"/>
      <c r="AC2902" s="191"/>
      <c r="AD2902" s="16"/>
      <c r="AE2902" s="16"/>
      <c r="AF2902" s="16"/>
      <c r="AG2902" s="16"/>
      <c r="AH2902" s="16"/>
      <c r="AI2902" s="16"/>
      <c r="AJ2902" s="16"/>
      <c r="AK2902" s="16"/>
      <c r="AL2902" s="16"/>
      <c r="AM2902" s="16"/>
      <c r="AN2902" s="16"/>
      <c r="AO2902" s="16"/>
      <c r="AP2902" s="16"/>
      <c r="AQ2902" s="16"/>
      <c r="AR2902" s="16"/>
      <c r="AS2902" s="16"/>
    </row>
    <row r="2903" spans="18:45" x14ac:dyDescent="0.35">
      <c r="R2903" s="191"/>
      <c r="S2903" s="191"/>
      <c r="T2903" s="193"/>
      <c r="U2903" s="191"/>
      <c r="V2903" s="194"/>
      <c r="W2903" s="191"/>
      <c r="Y2903" s="191"/>
      <c r="Z2903" s="191"/>
      <c r="AA2903" s="191"/>
      <c r="AB2903" s="191"/>
      <c r="AC2903" s="191"/>
      <c r="AD2903" s="16"/>
      <c r="AE2903" s="16"/>
      <c r="AF2903" s="16"/>
      <c r="AG2903" s="16"/>
      <c r="AH2903" s="16"/>
      <c r="AI2903" s="16"/>
      <c r="AJ2903" s="16"/>
      <c r="AK2903" s="16"/>
      <c r="AL2903" s="16"/>
      <c r="AM2903" s="16"/>
      <c r="AN2903" s="16"/>
      <c r="AO2903" s="16"/>
      <c r="AP2903" s="16"/>
      <c r="AQ2903" s="16"/>
      <c r="AR2903" s="16"/>
      <c r="AS2903" s="16"/>
    </row>
    <row r="2904" spans="18:45" x14ac:dyDescent="0.35">
      <c r="R2904" s="191"/>
      <c r="S2904" s="191"/>
      <c r="T2904" s="193"/>
      <c r="U2904" s="191"/>
      <c r="V2904" s="194"/>
      <c r="W2904" s="191"/>
      <c r="Y2904" s="191"/>
      <c r="Z2904" s="191"/>
      <c r="AA2904" s="191"/>
      <c r="AB2904" s="191"/>
      <c r="AC2904" s="191"/>
      <c r="AD2904" s="16"/>
      <c r="AE2904" s="16"/>
      <c r="AF2904" s="16"/>
      <c r="AG2904" s="16"/>
      <c r="AH2904" s="16"/>
      <c r="AI2904" s="16"/>
      <c r="AJ2904" s="16"/>
      <c r="AK2904" s="16"/>
      <c r="AL2904" s="16"/>
      <c r="AM2904" s="16"/>
      <c r="AN2904" s="16"/>
      <c r="AO2904" s="16"/>
      <c r="AP2904" s="16"/>
      <c r="AQ2904" s="16"/>
      <c r="AR2904" s="16"/>
      <c r="AS2904" s="16"/>
    </row>
    <row r="2905" spans="18:45" x14ac:dyDescent="0.35">
      <c r="R2905" s="191"/>
      <c r="S2905" s="191"/>
      <c r="T2905" s="193"/>
      <c r="U2905" s="191"/>
      <c r="V2905" s="194"/>
      <c r="W2905" s="191"/>
      <c r="Y2905" s="191"/>
      <c r="Z2905" s="191"/>
      <c r="AA2905" s="191"/>
      <c r="AB2905" s="191"/>
      <c r="AC2905" s="191"/>
      <c r="AD2905" s="16"/>
      <c r="AE2905" s="16"/>
      <c r="AF2905" s="16"/>
      <c r="AG2905" s="16"/>
      <c r="AH2905" s="16"/>
      <c r="AI2905" s="16"/>
      <c r="AJ2905" s="16"/>
      <c r="AK2905" s="16"/>
      <c r="AL2905" s="16"/>
      <c r="AM2905" s="16"/>
      <c r="AN2905" s="16"/>
      <c r="AO2905" s="16"/>
      <c r="AP2905" s="16"/>
      <c r="AQ2905" s="16"/>
      <c r="AR2905" s="16"/>
      <c r="AS2905" s="16"/>
    </row>
    <row r="2906" spans="18:45" x14ac:dyDescent="0.35">
      <c r="R2906" s="191"/>
      <c r="S2906" s="191"/>
      <c r="T2906" s="193"/>
      <c r="U2906" s="191"/>
      <c r="V2906" s="194"/>
      <c r="W2906" s="191"/>
      <c r="Y2906" s="191"/>
      <c r="Z2906" s="191"/>
      <c r="AA2906" s="191"/>
      <c r="AB2906" s="191"/>
      <c r="AC2906" s="191"/>
      <c r="AD2906" s="16"/>
      <c r="AE2906" s="16"/>
      <c r="AF2906" s="16"/>
      <c r="AG2906" s="16"/>
      <c r="AH2906" s="16"/>
      <c r="AI2906" s="16"/>
      <c r="AJ2906" s="16"/>
      <c r="AK2906" s="16"/>
      <c r="AL2906" s="16"/>
      <c r="AM2906" s="16"/>
      <c r="AN2906" s="16"/>
      <c r="AO2906" s="16"/>
      <c r="AP2906" s="16"/>
      <c r="AQ2906" s="16"/>
      <c r="AR2906" s="16"/>
      <c r="AS2906" s="16"/>
    </row>
    <row r="2907" spans="18:45" x14ac:dyDescent="0.35">
      <c r="R2907" s="191"/>
      <c r="S2907" s="191"/>
      <c r="T2907" s="193"/>
      <c r="U2907" s="191"/>
      <c r="V2907" s="194"/>
      <c r="W2907" s="191"/>
      <c r="Y2907" s="191"/>
      <c r="Z2907" s="191"/>
      <c r="AA2907" s="191"/>
      <c r="AB2907" s="191"/>
      <c r="AC2907" s="191"/>
      <c r="AD2907" s="16"/>
      <c r="AE2907" s="16"/>
      <c r="AF2907" s="16"/>
      <c r="AG2907" s="16"/>
      <c r="AH2907" s="16"/>
      <c r="AI2907" s="16"/>
      <c r="AJ2907" s="16"/>
      <c r="AK2907" s="16"/>
      <c r="AL2907" s="16"/>
      <c r="AM2907" s="16"/>
      <c r="AN2907" s="16"/>
      <c r="AO2907" s="16"/>
      <c r="AP2907" s="16"/>
      <c r="AQ2907" s="16"/>
      <c r="AR2907" s="16"/>
      <c r="AS2907" s="16"/>
    </row>
    <row r="2908" spans="18:45" x14ac:dyDescent="0.35">
      <c r="R2908" s="191"/>
      <c r="S2908" s="191"/>
      <c r="T2908" s="193"/>
      <c r="U2908" s="191"/>
      <c r="V2908" s="194"/>
      <c r="W2908" s="191"/>
      <c r="Y2908" s="191"/>
      <c r="Z2908" s="191"/>
      <c r="AA2908" s="191"/>
      <c r="AB2908" s="191"/>
      <c r="AC2908" s="191"/>
      <c r="AD2908" s="16"/>
      <c r="AE2908" s="16"/>
      <c r="AF2908" s="16"/>
      <c r="AG2908" s="16"/>
      <c r="AH2908" s="16"/>
      <c r="AI2908" s="16"/>
      <c r="AJ2908" s="16"/>
      <c r="AK2908" s="16"/>
      <c r="AL2908" s="16"/>
      <c r="AM2908" s="16"/>
      <c r="AN2908" s="16"/>
      <c r="AO2908" s="16"/>
      <c r="AP2908" s="16"/>
      <c r="AQ2908" s="16"/>
      <c r="AR2908" s="16"/>
      <c r="AS2908" s="16"/>
    </row>
    <row r="2909" spans="18:45" x14ac:dyDescent="0.35">
      <c r="R2909" s="191"/>
      <c r="S2909" s="191"/>
      <c r="T2909" s="193"/>
      <c r="U2909" s="191"/>
      <c r="V2909" s="194"/>
      <c r="W2909" s="191"/>
      <c r="Y2909" s="191"/>
      <c r="Z2909" s="191"/>
      <c r="AA2909" s="191"/>
      <c r="AB2909" s="191"/>
      <c r="AC2909" s="191"/>
      <c r="AD2909" s="16"/>
      <c r="AE2909" s="16"/>
      <c r="AF2909" s="16"/>
      <c r="AG2909" s="16"/>
      <c r="AH2909" s="16"/>
      <c r="AI2909" s="16"/>
      <c r="AJ2909" s="16"/>
      <c r="AK2909" s="16"/>
      <c r="AL2909" s="16"/>
      <c r="AM2909" s="16"/>
      <c r="AN2909" s="16"/>
      <c r="AO2909" s="16"/>
      <c r="AP2909" s="16"/>
      <c r="AQ2909" s="16"/>
      <c r="AR2909" s="16"/>
      <c r="AS2909" s="16"/>
    </row>
    <row r="2910" spans="18:45" x14ac:dyDescent="0.35">
      <c r="R2910" s="191"/>
      <c r="S2910" s="191"/>
      <c r="T2910" s="193"/>
      <c r="U2910" s="191"/>
      <c r="V2910" s="194"/>
      <c r="W2910" s="191"/>
      <c r="Y2910" s="191"/>
      <c r="Z2910" s="191"/>
      <c r="AA2910" s="191"/>
      <c r="AB2910" s="191"/>
      <c r="AC2910" s="191"/>
      <c r="AD2910" s="16"/>
      <c r="AE2910" s="16"/>
      <c r="AF2910" s="16"/>
      <c r="AG2910" s="16"/>
      <c r="AH2910" s="16"/>
      <c r="AI2910" s="16"/>
      <c r="AJ2910" s="16"/>
      <c r="AK2910" s="16"/>
      <c r="AL2910" s="16"/>
      <c r="AM2910" s="16"/>
      <c r="AN2910" s="16"/>
      <c r="AO2910" s="16"/>
      <c r="AP2910" s="16"/>
      <c r="AQ2910" s="16"/>
      <c r="AR2910" s="16"/>
      <c r="AS2910" s="16"/>
    </row>
    <row r="2911" spans="18:45" x14ac:dyDescent="0.35">
      <c r="R2911" s="191"/>
      <c r="S2911" s="191"/>
      <c r="T2911" s="193"/>
      <c r="U2911" s="191"/>
      <c r="V2911" s="194"/>
      <c r="W2911" s="191"/>
      <c r="Y2911" s="191"/>
      <c r="Z2911" s="191"/>
      <c r="AA2911" s="191"/>
      <c r="AB2911" s="191"/>
      <c r="AC2911" s="191"/>
      <c r="AD2911" s="16"/>
      <c r="AE2911" s="16"/>
      <c r="AF2911" s="16"/>
      <c r="AG2911" s="16"/>
      <c r="AH2911" s="16"/>
      <c r="AI2911" s="16"/>
      <c r="AJ2911" s="16"/>
      <c r="AK2911" s="16"/>
      <c r="AL2911" s="16"/>
      <c r="AM2911" s="16"/>
      <c r="AN2911" s="16"/>
      <c r="AO2911" s="16"/>
      <c r="AP2911" s="16"/>
      <c r="AQ2911" s="16"/>
      <c r="AR2911" s="16"/>
      <c r="AS2911" s="16"/>
    </row>
    <row r="2912" spans="18:45" x14ac:dyDescent="0.35">
      <c r="R2912" s="191"/>
      <c r="S2912" s="191"/>
      <c r="T2912" s="193"/>
      <c r="U2912" s="191"/>
      <c r="V2912" s="194"/>
      <c r="W2912" s="191"/>
      <c r="Y2912" s="191"/>
      <c r="Z2912" s="191"/>
      <c r="AA2912" s="191"/>
      <c r="AB2912" s="191"/>
      <c r="AC2912" s="191"/>
      <c r="AD2912" s="16"/>
      <c r="AE2912" s="16"/>
      <c r="AF2912" s="16"/>
      <c r="AG2912" s="16"/>
      <c r="AH2912" s="16"/>
      <c r="AI2912" s="16"/>
      <c r="AJ2912" s="16"/>
      <c r="AK2912" s="16"/>
      <c r="AL2912" s="16"/>
      <c r="AM2912" s="16"/>
      <c r="AN2912" s="16"/>
      <c r="AO2912" s="16"/>
      <c r="AP2912" s="16"/>
      <c r="AQ2912" s="16"/>
      <c r="AR2912" s="16"/>
      <c r="AS2912" s="16"/>
    </row>
    <row r="2913" spans="18:45" x14ac:dyDescent="0.35">
      <c r="R2913" s="191"/>
      <c r="S2913" s="191"/>
      <c r="T2913" s="193"/>
      <c r="U2913" s="191"/>
      <c r="V2913" s="194"/>
      <c r="W2913" s="191"/>
      <c r="Y2913" s="191"/>
      <c r="Z2913" s="191"/>
      <c r="AA2913" s="191"/>
      <c r="AB2913" s="191"/>
      <c r="AC2913" s="191"/>
      <c r="AD2913" s="16"/>
      <c r="AE2913" s="16"/>
      <c r="AF2913" s="16"/>
      <c r="AG2913" s="16"/>
      <c r="AH2913" s="16"/>
      <c r="AI2913" s="16"/>
      <c r="AJ2913" s="16"/>
      <c r="AK2913" s="16"/>
      <c r="AL2913" s="16"/>
      <c r="AM2913" s="16"/>
      <c r="AN2913" s="16"/>
      <c r="AO2913" s="16"/>
      <c r="AP2913" s="16"/>
      <c r="AQ2913" s="16"/>
      <c r="AR2913" s="16"/>
      <c r="AS2913" s="16"/>
    </row>
    <row r="2914" spans="18:45" x14ac:dyDescent="0.35">
      <c r="R2914" s="191"/>
      <c r="S2914" s="191"/>
      <c r="T2914" s="193"/>
      <c r="U2914" s="191"/>
      <c r="V2914" s="194"/>
      <c r="W2914" s="191"/>
      <c r="Y2914" s="191"/>
      <c r="Z2914" s="191"/>
      <c r="AA2914" s="191"/>
      <c r="AB2914" s="191"/>
      <c r="AC2914" s="191"/>
      <c r="AD2914" s="16"/>
      <c r="AE2914" s="16"/>
      <c r="AF2914" s="16"/>
      <c r="AG2914" s="16"/>
      <c r="AH2914" s="16"/>
      <c r="AI2914" s="16"/>
      <c r="AJ2914" s="16"/>
      <c r="AK2914" s="16"/>
      <c r="AL2914" s="16"/>
      <c r="AM2914" s="16"/>
      <c r="AN2914" s="16"/>
      <c r="AO2914" s="16"/>
      <c r="AP2914" s="16"/>
      <c r="AQ2914" s="16"/>
      <c r="AR2914" s="16"/>
      <c r="AS2914" s="16"/>
    </row>
    <row r="2915" spans="18:45" x14ac:dyDescent="0.35">
      <c r="R2915" s="191"/>
      <c r="S2915" s="191"/>
      <c r="T2915" s="193"/>
      <c r="U2915" s="191"/>
      <c r="V2915" s="194"/>
      <c r="W2915" s="191"/>
      <c r="Y2915" s="191"/>
      <c r="Z2915" s="191"/>
      <c r="AA2915" s="191"/>
      <c r="AB2915" s="191"/>
      <c r="AC2915" s="191"/>
      <c r="AD2915" s="16"/>
      <c r="AE2915" s="16"/>
      <c r="AF2915" s="16"/>
      <c r="AG2915" s="16"/>
      <c r="AH2915" s="16"/>
      <c r="AI2915" s="16"/>
      <c r="AJ2915" s="16"/>
      <c r="AK2915" s="16"/>
      <c r="AL2915" s="16"/>
      <c r="AM2915" s="16"/>
      <c r="AN2915" s="16"/>
      <c r="AO2915" s="16"/>
      <c r="AP2915" s="16"/>
      <c r="AQ2915" s="16"/>
      <c r="AR2915" s="16"/>
      <c r="AS2915" s="16"/>
    </row>
    <row r="2916" spans="18:45" x14ac:dyDescent="0.35">
      <c r="R2916" s="191"/>
      <c r="S2916" s="191"/>
      <c r="T2916" s="193"/>
      <c r="U2916" s="191"/>
      <c r="V2916" s="194"/>
      <c r="W2916" s="191"/>
      <c r="Y2916" s="191"/>
      <c r="Z2916" s="191"/>
      <c r="AA2916" s="191"/>
      <c r="AB2916" s="191"/>
      <c r="AC2916" s="191"/>
      <c r="AD2916" s="16"/>
      <c r="AE2916" s="16"/>
      <c r="AF2916" s="16"/>
      <c r="AG2916" s="16"/>
      <c r="AH2916" s="16"/>
      <c r="AI2916" s="16"/>
      <c r="AJ2916" s="16"/>
      <c r="AK2916" s="16"/>
      <c r="AL2916" s="16"/>
      <c r="AM2916" s="16"/>
      <c r="AN2916" s="16"/>
      <c r="AO2916" s="16"/>
      <c r="AP2916" s="16"/>
      <c r="AQ2916" s="16"/>
      <c r="AR2916" s="16"/>
      <c r="AS2916" s="16"/>
    </row>
    <row r="2917" spans="18:45" x14ac:dyDescent="0.35">
      <c r="R2917" s="191"/>
      <c r="S2917" s="191"/>
      <c r="T2917" s="193"/>
      <c r="U2917" s="191"/>
      <c r="V2917" s="194"/>
      <c r="W2917" s="191"/>
      <c r="Y2917" s="191"/>
      <c r="Z2917" s="191"/>
      <c r="AA2917" s="191"/>
      <c r="AB2917" s="191"/>
      <c r="AC2917" s="191"/>
      <c r="AD2917" s="16"/>
      <c r="AE2917" s="16"/>
      <c r="AF2917" s="16"/>
      <c r="AG2917" s="16"/>
      <c r="AH2917" s="16"/>
      <c r="AI2917" s="16"/>
      <c r="AJ2917" s="16"/>
      <c r="AK2917" s="16"/>
      <c r="AL2917" s="16"/>
      <c r="AM2917" s="16"/>
      <c r="AN2917" s="16"/>
      <c r="AO2917" s="16"/>
      <c r="AP2917" s="16"/>
      <c r="AQ2917" s="16"/>
      <c r="AR2917" s="16"/>
      <c r="AS2917" s="16"/>
    </row>
    <row r="2918" spans="18:45" x14ac:dyDescent="0.35">
      <c r="R2918" s="191"/>
      <c r="S2918" s="191"/>
      <c r="T2918" s="193"/>
      <c r="U2918" s="191"/>
      <c r="V2918" s="194"/>
      <c r="W2918" s="191"/>
      <c r="Y2918" s="191"/>
      <c r="Z2918" s="191"/>
      <c r="AA2918" s="191"/>
      <c r="AB2918" s="191"/>
      <c r="AC2918" s="191"/>
      <c r="AD2918" s="16"/>
      <c r="AE2918" s="16"/>
      <c r="AF2918" s="16"/>
      <c r="AG2918" s="16"/>
      <c r="AH2918" s="16"/>
      <c r="AI2918" s="16"/>
      <c r="AJ2918" s="16"/>
      <c r="AK2918" s="16"/>
      <c r="AL2918" s="16"/>
      <c r="AM2918" s="16"/>
      <c r="AN2918" s="16"/>
      <c r="AO2918" s="16"/>
      <c r="AP2918" s="16"/>
      <c r="AQ2918" s="16"/>
      <c r="AR2918" s="16"/>
      <c r="AS2918" s="16"/>
    </row>
    <row r="2919" spans="18:45" x14ac:dyDescent="0.35">
      <c r="R2919" s="191"/>
      <c r="S2919" s="191"/>
      <c r="T2919" s="193"/>
      <c r="U2919" s="191"/>
      <c r="V2919" s="194"/>
      <c r="W2919" s="191"/>
      <c r="Y2919" s="191"/>
      <c r="Z2919" s="191"/>
      <c r="AA2919" s="191"/>
      <c r="AB2919" s="191"/>
      <c r="AC2919" s="191"/>
      <c r="AD2919" s="16"/>
      <c r="AE2919" s="16"/>
      <c r="AF2919" s="16"/>
      <c r="AG2919" s="16"/>
      <c r="AH2919" s="16"/>
      <c r="AI2919" s="16"/>
      <c r="AJ2919" s="16"/>
      <c r="AK2919" s="16"/>
      <c r="AL2919" s="16"/>
      <c r="AM2919" s="16"/>
      <c r="AN2919" s="16"/>
      <c r="AO2919" s="16"/>
      <c r="AP2919" s="16"/>
      <c r="AQ2919" s="16"/>
      <c r="AR2919" s="16"/>
      <c r="AS2919" s="16"/>
    </row>
    <row r="2920" spans="18:45" x14ac:dyDescent="0.35">
      <c r="R2920" s="191"/>
      <c r="S2920" s="191"/>
      <c r="T2920" s="193"/>
      <c r="U2920" s="191"/>
      <c r="V2920" s="194"/>
      <c r="W2920" s="191"/>
      <c r="Y2920" s="191"/>
      <c r="Z2920" s="191"/>
      <c r="AA2920" s="191"/>
      <c r="AB2920" s="191"/>
      <c r="AC2920" s="191"/>
      <c r="AD2920" s="16"/>
      <c r="AE2920" s="16"/>
      <c r="AF2920" s="16"/>
      <c r="AG2920" s="16"/>
      <c r="AH2920" s="16"/>
      <c r="AI2920" s="16"/>
      <c r="AJ2920" s="16"/>
      <c r="AK2920" s="16"/>
      <c r="AL2920" s="16"/>
      <c r="AM2920" s="16"/>
      <c r="AN2920" s="16"/>
      <c r="AO2920" s="16"/>
      <c r="AP2920" s="16"/>
      <c r="AQ2920" s="16"/>
      <c r="AR2920" s="16"/>
      <c r="AS2920" s="16"/>
    </row>
    <row r="2921" spans="18:45" x14ac:dyDescent="0.35">
      <c r="R2921" s="191"/>
      <c r="S2921" s="191"/>
      <c r="T2921" s="193"/>
      <c r="U2921" s="191"/>
      <c r="V2921" s="194"/>
      <c r="W2921" s="191"/>
      <c r="Y2921" s="191"/>
      <c r="Z2921" s="191"/>
      <c r="AA2921" s="191"/>
      <c r="AB2921" s="191"/>
      <c r="AC2921" s="191"/>
      <c r="AD2921" s="16"/>
      <c r="AE2921" s="16"/>
      <c r="AF2921" s="16"/>
      <c r="AG2921" s="16"/>
      <c r="AH2921" s="16"/>
      <c r="AI2921" s="16"/>
      <c r="AJ2921" s="16"/>
      <c r="AK2921" s="16"/>
      <c r="AL2921" s="16"/>
      <c r="AM2921" s="16"/>
      <c r="AN2921" s="16"/>
      <c r="AO2921" s="16"/>
      <c r="AP2921" s="16"/>
      <c r="AQ2921" s="16"/>
      <c r="AR2921" s="16"/>
      <c r="AS2921" s="16"/>
    </row>
    <row r="2922" spans="18:45" x14ac:dyDescent="0.35">
      <c r="R2922" s="191"/>
      <c r="S2922" s="191"/>
      <c r="T2922" s="193"/>
      <c r="U2922" s="191"/>
      <c r="V2922" s="194"/>
      <c r="W2922" s="191"/>
      <c r="Y2922" s="191"/>
      <c r="Z2922" s="191"/>
      <c r="AA2922" s="191"/>
      <c r="AB2922" s="191"/>
      <c r="AC2922" s="191"/>
      <c r="AD2922" s="16"/>
      <c r="AE2922" s="16"/>
      <c r="AF2922" s="16"/>
      <c r="AG2922" s="16"/>
      <c r="AH2922" s="16"/>
      <c r="AI2922" s="16"/>
      <c r="AJ2922" s="16"/>
      <c r="AK2922" s="16"/>
      <c r="AL2922" s="16"/>
      <c r="AM2922" s="16"/>
      <c r="AN2922" s="16"/>
      <c r="AO2922" s="16"/>
      <c r="AP2922" s="16"/>
      <c r="AQ2922" s="16"/>
      <c r="AR2922" s="16"/>
      <c r="AS2922" s="16"/>
    </row>
    <row r="2923" spans="18:45" x14ac:dyDescent="0.35">
      <c r="R2923" s="191"/>
      <c r="S2923" s="191"/>
      <c r="T2923" s="193"/>
      <c r="U2923" s="191"/>
      <c r="V2923" s="194"/>
      <c r="W2923" s="191"/>
      <c r="Y2923" s="191"/>
      <c r="Z2923" s="191"/>
      <c r="AA2923" s="191"/>
      <c r="AB2923" s="191"/>
      <c r="AC2923" s="191"/>
      <c r="AD2923" s="16"/>
      <c r="AE2923" s="16"/>
      <c r="AF2923" s="16"/>
      <c r="AG2923" s="16"/>
      <c r="AH2923" s="16"/>
      <c r="AI2923" s="16"/>
      <c r="AJ2923" s="16"/>
      <c r="AK2923" s="16"/>
      <c r="AL2923" s="16"/>
      <c r="AM2923" s="16"/>
      <c r="AN2923" s="16"/>
      <c r="AO2923" s="16"/>
      <c r="AP2923" s="16"/>
      <c r="AQ2923" s="16"/>
      <c r="AR2923" s="16"/>
      <c r="AS2923" s="16"/>
    </row>
    <row r="2924" spans="18:45" x14ac:dyDescent="0.35">
      <c r="R2924" s="191"/>
      <c r="S2924" s="191"/>
      <c r="T2924" s="193"/>
      <c r="U2924" s="191"/>
      <c r="V2924" s="194"/>
      <c r="W2924" s="191"/>
      <c r="Y2924" s="191"/>
      <c r="Z2924" s="191"/>
      <c r="AA2924" s="191"/>
      <c r="AB2924" s="191"/>
      <c r="AC2924" s="191"/>
      <c r="AD2924" s="16"/>
      <c r="AE2924" s="16"/>
      <c r="AF2924" s="16"/>
      <c r="AG2924" s="16"/>
      <c r="AH2924" s="16"/>
      <c r="AI2924" s="16"/>
      <c r="AJ2924" s="16"/>
      <c r="AK2924" s="16"/>
      <c r="AL2924" s="16"/>
      <c r="AM2924" s="16"/>
      <c r="AN2924" s="16"/>
      <c r="AO2924" s="16"/>
      <c r="AP2924" s="16"/>
      <c r="AQ2924" s="16"/>
      <c r="AR2924" s="16"/>
      <c r="AS2924" s="16"/>
    </row>
    <row r="2925" spans="18:45" x14ac:dyDescent="0.35">
      <c r="R2925" s="191"/>
      <c r="S2925" s="191"/>
      <c r="T2925" s="193"/>
      <c r="U2925" s="191"/>
      <c r="V2925" s="194"/>
      <c r="W2925" s="191"/>
      <c r="Y2925" s="191"/>
      <c r="Z2925" s="191"/>
      <c r="AA2925" s="191"/>
      <c r="AB2925" s="191"/>
      <c r="AC2925" s="191"/>
      <c r="AD2925" s="16"/>
      <c r="AE2925" s="16"/>
      <c r="AF2925" s="16"/>
      <c r="AG2925" s="16"/>
      <c r="AH2925" s="16"/>
      <c r="AI2925" s="16"/>
      <c r="AJ2925" s="16"/>
      <c r="AK2925" s="16"/>
      <c r="AL2925" s="16"/>
      <c r="AM2925" s="16"/>
      <c r="AN2925" s="16"/>
      <c r="AO2925" s="16"/>
      <c r="AP2925" s="16"/>
      <c r="AQ2925" s="16"/>
      <c r="AR2925" s="16"/>
      <c r="AS2925" s="16"/>
    </row>
    <row r="2926" spans="18:45" x14ac:dyDescent="0.35">
      <c r="R2926" s="191"/>
      <c r="S2926" s="191"/>
      <c r="T2926" s="193"/>
      <c r="U2926" s="191"/>
      <c r="V2926" s="194"/>
      <c r="W2926" s="191"/>
      <c r="Y2926" s="191"/>
      <c r="Z2926" s="191"/>
      <c r="AA2926" s="191"/>
      <c r="AB2926" s="191"/>
      <c r="AC2926" s="191"/>
      <c r="AD2926" s="16"/>
      <c r="AE2926" s="16"/>
      <c r="AF2926" s="16"/>
      <c r="AG2926" s="16"/>
      <c r="AH2926" s="16"/>
      <c r="AI2926" s="16"/>
      <c r="AJ2926" s="16"/>
      <c r="AK2926" s="16"/>
      <c r="AL2926" s="16"/>
      <c r="AM2926" s="16"/>
      <c r="AN2926" s="16"/>
      <c r="AO2926" s="16"/>
      <c r="AP2926" s="16"/>
      <c r="AQ2926" s="16"/>
      <c r="AR2926" s="16"/>
      <c r="AS2926" s="16"/>
    </row>
    <row r="2927" spans="18:45" x14ac:dyDescent="0.35">
      <c r="R2927" s="191"/>
      <c r="S2927" s="191"/>
      <c r="T2927" s="193"/>
      <c r="U2927" s="191"/>
      <c r="V2927" s="194"/>
      <c r="W2927" s="191"/>
      <c r="Y2927" s="191"/>
      <c r="Z2927" s="191"/>
      <c r="AA2927" s="191"/>
      <c r="AB2927" s="191"/>
      <c r="AC2927" s="191"/>
      <c r="AD2927" s="16"/>
      <c r="AE2927" s="16"/>
      <c r="AF2927" s="16"/>
      <c r="AG2927" s="16"/>
      <c r="AH2927" s="16"/>
      <c r="AI2927" s="16"/>
      <c r="AJ2927" s="16"/>
      <c r="AK2927" s="16"/>
      <c r="AL2927" s="16"/>
      <c r="AM2927" s="16"/>
      <c r="AN2927" s="16"/>
      <c r="AO2927" s="16"/>
      <c r="AP2927" s="16"/>
      <c r="AQ2927" s="16"/>
      <c r="AR2927" s="16"/>
      <c r="AS2927" s="16"/>
    </row>
    <row r="2928" spans="18:45" x14ac:dyDescent="0.35">
      <c r="R2928" s="191"/>
      <c r="S2928" s="191"/>
      <c r="T2928" s="193"/>
      <c r="U2928" s="191"/>
      <c r="V2928" s="194"/>
      <c r="W2928" s="191"/>
      <c r="Y2928" s="191"/>
      <c r="Z2928" s="191"/>
      <c r="AA2928" s="191"/>
      <c r="AB2928" s="191"/>
      <c r="AC2928" s="191"/>
      <c r="AD2928" s="16"/>
      <c r="AE2928" s="16"/>
      <c r="AF2928" s="16"/>
      <c r="AG2928" s="16"/>
      <c r="AH2928" s="16"/>
      <c r="AI2928" s="16"/>
      <c r="AJ2928" s="16"/>
      <c r="AK2928" s="16"/>
      <c r="AL2928" s="16"/>
      <c r="AM2928" s="16"/>
      <c r="AN2928" s="16"/>
      <c r="AO2928" s="16"/>
      <c r="AP2928" s="16"/>
      <c r="AQ2928" s="16"/>
      <c r="AR2928" s="16"/>
      <c r="AS2928" s="16"/>
    </row>
    <row r="2929" spans="18:45" x14ac:dyDescent="0.35">
      <c r="R2929" s="191"/>
      <c r="S2929" s="191"/>
      <c r="T2929" s="193"/>
      <c r="U2929" s="191"/>
      <c r="V2929" s="194"/>
      <c r="W2929" s="191"/>
      <c r="Y2929" s="191"/>
      <c r="Z2929" s="191"/>
      <c r="AA2929" s="191"/>
      <c r="AB2929" s="191"/>
      <c r="AC2929" s="191"/>
      <c r="AD2929" s="16"/>
      <c r="AE2929" s="16"/>
      <c r="AF2929" s="16"/>
      <c r="AG2929" s="16"/>
      <c r="AH2929" s="16"/>
      <c r="AI2929" s="16"/>
      <c r="AJ2929" s="16"/>
      <c r="AK2929" s="16"/>
      <c r="AL2929" s="16"/>
      <c r="AM2929" s="16"/>
      <c r="AN2929" s="16"/>
      <c r="AO2929" s="16"/>
      <c r="AP2929" s="16"/>
      <c r="AQ2929" s="16"/>
      <c r="AR2929" s="16"/>
      <c r="AS2929" s="16"/>
    </row>
    <row r="2930" spans="18:45" x14ac:dyDescent="0.35">
      <c r="R2930" s="191"/>
      <c r="S2930" s="191"/>
      <c r="T2930" s="193"/>
      <c r="U2930" s="191"/>
      <c r="V2930" s="194"/>
      <c r="W2930" s="191"/>
      <c r="Y2930" s="191"/>
      <c r="Z2930" s="191"/>
      <c r="AA2930" s="191"/>
      <c r="AB2930" s="191"/>
      <c r="AC2930" s="191"/>
      <c r="AD2930" s="16"/>
      <c r="AE2930" s="16"/>
      <c r="AF2930" s="16"/>
      <c r="AG2930" s="16"/>
      <c r="AH2930" s="16"/>
      <c r="AI2930" s="16"/>
      <c r="AJ2930" s="16"/>
      <c r="AK2930" s="16"/>
      <c r="AL2930" s="16"/>
      <c r="AM2930" s="16"/>
      <c r="AN2930" s="16"/>
      <c r="AO2930" s="16"/>
      <c r="AP2930" s="16"/>
      <c r="AQ2930" s="16"/>
      <c r="AR2930" s="16"/>
      <c r="AS2930" s="16"/>
    </row>
    <row r="2931" spans="18:45" x14ac:dyDescent="0.35">
      <c r="R2931" s="191"/>
      <c r="S2931" s="191"/>
      <c r="T2931" s="193"/>
      <c r="U2931" s="191"/>
      <c r="V2931" s="194"/>
      <c r="W2931" s="191"/>
      <c r="Y2931" s="191"/>
      <c r="Z2931" s="191"/>
      <c r="AA2931" s="191"/>
      <c r="AB2931" s="191"/>
      <c r="AC2931" s="191"/>
      <c r="AD2931" s="16"/>
      <c r="AE2931" s="16"/>
      <c r="AF2931" s="16"/>
      <c r="AG2931" s="16"/>
      <c r="AH2931" s="16"/>
      <c r="AI2931" s="16"/>
      <c r="AJ2931" s="16"/>
      <c r="AK2931" s="16"/>
      <c r="AL2931" s="16"/>
      <c r="AM2931" s="16"/>
      <c r="AN2931" s="16"/>
      <c r="AO2931" s="16"/>
      <c r="AP2931" s="16"/>
      <c r="AQ2931" s="16"/>
      <c r="AR2931" s="16"/>
      <c r="AS2931" s="16"/>
    </row>
    <row r="2932" spans="18:45" x14ac:dyDescent="0.35">
      <c r="R2932" s="191"/>
      <c r="S2932" s="191"/>
      <c r="T2932" s="193"/>
      <c r="U2932" s="191"/>
      <c r="V2932" s="194"/>
      <c r="W2932" s="191"/>
      <c r="Y2932" s="191"/>
      <c r="Z2932" s="191"/>
      <c r="AA2932" s="191"/>
      <c r="AB2932" s="191"/>
      <c r="AC2932" s="191"/>
      <c r="AD2932" s="16"/>
      <c r="AE2932" s="16"/>
      <c r="AF2932" s="16"/>
      <c r="AG2932" s="16"/>
      <c r="AH2932" s="16"/>
      <c r="AI2932" s="16"/>
      <c r="AJ2932" s="16"/>
      <c r="AK2932" s="16"/>
      <c r="AL2932" s="16"/>
      <c r="AM2932" s="16"/>
      <c r="AN2932" s="16"/>
      <c r="AO2932" s="16"/>
      <c r="AP2932" s="16"/>
      <c r="AQ2932" s="16"/>
      <c r="AR2932" s="16"/>
      <c r="AS2932" s="16"/>
    </row>
    <row r="2933" spans="18:45" x14ac:dyDescent="0.35">
      <c r="R2933" s="191"/>
      <c r="S2933" s="191"/>
      <c r="T2933" s="193"/>
      <c r="U2933" s="191"/>
      <c r="V2933" s="194"/>
      <c r="W2933" s="191"/>
      <c r="Y2933" s="191"/>
      <c r="Z2933" s="191"/>
      <c r="AA2933" s="191"/>
      <c r="AB2933" s="191"/>
      <c r="AC2933" s="191"/>
      <c r="AD2933" s="16"/>
      <c r="AE2933" s="16"/>
      <c r="AF2933" s="16"/>
      <c r="AG2933" s="16"/>
      <c r="AH2933" s="16"/>
      <c r="AI2933" s="16"/>
      <c r="AJ2933" s="16"/>
      <c r="AK2933" s="16"/>
      <c r="AL2933" s="16"/>
      <c r="AM2933" s="16"/>
      <c r="AN2933" s="16"/>
      <c r="AO2933" s="16"/>
      <c r="AP2933" s="16"/>
      <c r="AQ2933" s="16"/>
      <c r="AR2933" s="16"/>
      <c r="AS2933" s="16"/>
    </row>
    <row r="2934" spans="18:45" x14ac:dyDescent="0.35">
      <c r="R2934" s="191"/>
      <c r="S2934" s="191"/>
      <c r="T2934" s="193"/>
      <c r="U2934" s="191"/>
      <c r="V2934" s="194"/>
      <c r="W2934" s="191"/>
      <c r="Y2934" s="191"/>
      <c r="Z2934" s="191"/>
      <c r="AA2934" s="191"/>
      <c r="AB2934" s="191"/>
      <c r="AC2934" s="191"/>
      <c r="AD2934" s="16"/>
      <c r="AE2934" s="16"/>
      <c r="AF2934" s="16"/>
      <c r="AG2934" s="16"/>
      <c r="AH2934" s="16"/>
      <c r="AI2934" s="16"/>
      <c r="AJ2934" s="16"/>
      <c r="AK2934" s="16"/>
      <c r="AL2934" s="16"/>
      <c r="AM2934" s="16"/>
      <c r="AN2934" s="16"/>
      <c r="AO2934" s="16"/>
      <c r="AP2934" s="16"/>
      <c r="AQ2934" s="16"/>
      <c r="AR2934" s="16"/>
      <c r="AS2934" s="16"/>
    </row>
    <row r="2935" spans="18:45" x14ac:dyDescent="0.35">
      <c r="R2935" s="191"/>
      <c r="S2935" s="191"/>
      <c r="T2935" s="193"/>
      <c r="U2935" s="191"/>
      <c r="V2935" s="194"/>
      <c r="W2935" s="191"/>
      <c r="Y2935" s="191"/>
      <c r="Z2935" s="191"/>
      <c r="AA2935" s="191"/>
      <c r="AB2935" s="191"/>
      <c r="AC2935" s="191"/>
      <c r="AD2935" s="16"/>
      <c r="AE2935" s="16"/>
      <c r="AF2935" s="16"/>
      <c r="AG2935" s="16"/>
      <c r="AH2935" s="16"/>
      <c r="AI2935" s="16"/>
      <c r="AJ2935" s="16"/>
      <c r="AK2935" s="16"/>
      <c r="AL2935" s="16"/>
      <c r="AM2935" s="16"/>
      <c r="AN2935" s="16"/>
      <c r="AO2935" s="16"/>
      <c r="AP2935" s="16"/>
      <c r="AQ2935" s="16"/>
      <c r="AR2935" s="16"/>
      <c r="AS2935" s="16"/>
    </row>
    <row r="2936" spans="18:45" x14ac:dyDescent="0.35">
      <c r="R2936" s="191"/>
      <c r="S2936" s="191"/>
      <c r="T2936" s="193"/>
      <c r="U2936" s="191"/>
      <c r="V2936" s="194"/>
      <c r="W2936" s="191"/>
      <c r="Y2936" s="191"/>
      <c r="Z2936" s="191"/>
      <c r="AA2936" s="191"/>
      <c r="AB2936" s="191"/>
      <c r="AC2936" s="191"/>
      <c r="AD2936" s="16"/>
      <c r="AE2936" s="16"/>
      <c r="AF2936" s="16"/>
      <c r="AG2936" s="16"/>
      <c r="AH2936" s="16"/>
      <c r="AI2936" s="16"/>
      <c r="AJ2936" s="16"/>
      <c r="AK2936" s="16"/>
      <c r="AL2936" s="16"/>
      <c r="AM2936" s="16"/>
      <c r="AN2936" s="16"/>
      <c r="AO2936" s="16"/>
      <c r="AP2936" s="16"/>
      <c r="AQ2936" s="16"/>
      <c r="AR2936" s="16"/>
      <c r="AS2936" s="16"/>
    </row>
    <row r="2937" spans="18:45" x14ac:dyDescent="0.35">
      <c r="R2937" s="191"/>
      <c r="S2937" s="191"/>
      <c r="T2937" s="193"/>
      <c r="U2937" s="191"/>
      <c r="V2937" s="194"/>
      <c r="W2937" s="191"/>
      <c r="Y2937" s="191"/>
      <c r="Z2937" s="191"/>
      <c r="AA2937" s="191"/>
      <c r="AB2937" s="191"/>
      <c r="AC2937" s="191"/>
      <c r="AD2937" s="16"/>
      <c r="AE2937" s="16"/>
      <c r="AF2937" s="16"/>
      <c r="AG2937" s="16"/>
      <c r="AH2937" s="16"/>
      <c r="AI2937" s="16"/>
      <c r="AJ2937" s="16"/>
      <c r="AK2937" s="16"/>
      <c r="AL2937" s="16"/>
      <c r="AM2937" s="16"/>
      <c r="AN2937" s="16"/>
      <c r="AO2937" s="16"/>
      <c r="AP2937" s="16"/>
      <c r="AQ2937" s="16"/>
      <c r="AR2937" s="16"/>
      <c r="AS2937" s="16"/>
    </row>
    <row r="2938" spans="18:45" x14ac:dyDescent="0.35">
      <c r="R2938" s="191"/>
      <c r="S2938" s="191"/>
      <c r="T2938" s="193"/>
      <c r="U2938" s="191"/>
      <c r="V2938" s="194"/>
      <c r="W2938" s="191"/>
      <c r="Y2938" s="191"/>
      <c r="Z2938" s="191"/>
      <c r="AA2938" s="191"/>
      <c r="AB2938" s="191"/>
      <c r="AC2938" s="191"/>
      <c r="AD2938" s="16"/>
      <c r="AE2938" s="16"/>
      <c r="AF2938" s="16"/>
      <c r="AG2938" s="16"/>
      <c r="AH2938" s="16"/>
      <c r="AI2938" s="16"/>
      <c r="AJ2938" s="16"/>
      <c r="AK2938" s="16"/>
      <c r="AL2938" s="16"/>
      <c r="AM2938" s="16"/>
      <c r="AN2938" s="16"/>
      <c r="AO2938" s="16"/>
      <c r="AP2938" s="16"/>
      <c r="AQ2938" s="16"/>
      <c r="AR2938" s="16"/>
      <c r="AS2938" s="16"/>
    </row>
    <row r="2939" spans="18:45" x14ac:dyDescent="0.35">
      <c r="R2939" s="191"/>
      <c r="S2939" s="191"/>
      <c r="T2939" s="193"/>
      <c r="U2939" s="191"/>
      <c r="V2939" s="194"/>
      <c r="W2939" s="191"/>
      <c r="Y2939" s="191"/>
      <c r="Z2939" s="191"/>
      <c r="AA2939" s="191"/>
      <c r="AB2939" s="191"/>
      <c r="AC2939" s="191"/>
      <c r="AD2939" s="16"/>
      <c r="AE2939" s="16"/>
      <c r="AF2939" s="16"/>
      <c r="AG2939" s="16"/>
      <c r="AH2939" s="16"/>
      <c r="AI2939" s="16"/>
      <c r="AJ2939" s="16"/>
      <c r="AK2939" s="16"/>
      <c r="AL2939" s="16"/>
      <c r="AM2939" s="16"/>
      <c r="AN2939" s="16"/>
      <c r="AO2939" s="16"/>
      <c r="AP2939" s="16"/>
      <c r="AQ2939" s="16"/>
      <c r="AR2939" s="16"/>
      <c r="AS2939" s="16"/>
    </row>
    <row r="2940" spans="18:45" x14ac:dyDescent="0.35">
      <c r="R2940" s="191"/>
      <c r="S2940" s="191"/>
      <c r="T2940" s="193"/>
      <c r="U2940" s="191"/>
      <c r="V2940" s="194"/>
      <c r="W2940" s="191"/>
      <c r="Y2940" s="191"/>
      <c r="Z2940" s="191"/>
      <c r="AA2940" s="191"/>
      <c r="AB2940" s="191"/>
      <c r="AC2940" s="191"/>
      <c r="AD2940" s="16"/>
      <c r="AE2940" s="16"/>
      <c r="AF2940" s="16"/>
      <c r="AG2940" s="16"/>
      <c r="AH2940" s="16"/>
      <c r="AI2940" s="16"/>
      <c r="AJ2940" s="16"/>
      <c r="AK2940" s="16"/>
      <c r="AL2940" s="16"/>
      <c r="AM2940" s="16"/>
      <c r="AN2940" s="16"/>
      <c r="AO2940" s="16"/>
      <c r="AP2940" s="16"/>
      <c r="AQ2940" s="16"/>
      <c r="AR2940" s="16"/>
      <c r="AS2940" s="16"/>
    </row>
    <row r="2941" spans="18:45" x14ac:dyDescent="0.35">
      <c r="R2941" s="191"/>
      <c r="S2941" s="191"/>
      <c r="T2941" s="193"/>
      <c r="U2941" s="191"/>
      <c r="V2941" s="194"/>
      <c r="W2941" s="191"/>
      <c r="Y2941" s="191"/>
      <c r="Z2941" s="191"/>
      <c r="AA2941" s="191"/>
      <c r="AB2941" s="191"/>
      <c r="AC2941" s="191"/>
      <c r="AD2941" s="16"/>
      <c r="AE2941" s="16"/>
      <c r="AF2941" s="16"/>
      <c r="AG2941" s="16"/>
      <c r="AH2941" s="16"/>
      <c r="AI2941" s="16"/>
      <c r="AJ2941" s="16"/>
      <c r="AK2941" s="16"/>
      <c r="AL2941" s="16"/>
      <c r="AM2941" s="16"/>
      <c r="AN2941" s="16"/>
      <c r="AO2941" s="16"/>
      <c r="AP2941" s="16"/>
      <c r="AQ2941" s="16"/>
      <c r="AR2941" s="16"/>
      <c r="AS2941" s="16"/>
    </row>
    <row r="2942" spans="18:45" x14ac:dyDescent="0.35">
      <c r="R2942" s="191"/>
      <c r="S2942" s="191"/>
      <c r="T2942" s="193"/>
      <c r="U2942" s="191"/>
      <c r="V2942" s="194"/>
      <c r="W2942" s="191"/>
      <c r="Y2942" s="191"/>
      <c r="Z2942" s="191"/>
      <c r="AA2942" s="191"/>
      <c r="AB2942" s="191"/>
      <c r="AC2942" s="191"/>
      <c r="AD2942" s="16"/>
      <c r="AE2942" s="16"/>
      <c r="AF2942" s="16"/>
      <c r="AG2942" s="16"/>
      <c r="AH2942" s="16"/>
      <c r="AI2942" s="16"/>
      <c r="AJ2942" s="16"/>
      <c r="AK2942" s="16"/>
      <c r="AL2942" s="16"/>
      <c r="AM2942" s="16"/>
      <c r="AN2942" s="16"/>
      <c r="AO2942" s="16"/>
      <c r="AP2942" s="16"/>
      <c r="AQ2942" s="16"/>
      <c r="AR2942" s="16"/>
      <c r="AS2942" s="16"/>
    </row>
    <row r="2943" spans="18:45" x14ac:dyDescent="0.35">
      <c r="R2943" s="191"/>
      <c r="S2943" s="191"/>
      <c r="T2943" s="193"/>
      <c r="U2943" s="191"/>
      <c r="V2943" s="194"/>
      <c r="W2943" s="191"/>
      <c r="Y2943" s="191"/>
      <c r="Z2943" s="191"/>
      <c r="AA2943" s="191"/>
      <c r="AB2943" s="191"/>
      <c r="AC2943" s="191"/>
      <c r="AD2943" s="16"/>
      <c r="AE2943" s="16"/>
      <c r="AF2943" s="16"/>
      <c r="AG2943" s="16"/>
      <c r="AH2943" s="16"/>
      <c r="AI2943" s="16"/>
      <c r="AJ2943" s="16"/>
      <c r="AK2943" s="16"/>
      <c r="AL2943" s="16"/>
      <c r="AM2943" s="16"/>
      <c r="AN2943" s="16"/>
      <c r="AO2943" s="16"/>
      <c r="AP2943" s="16"/>
      <c r="AQ2943" s="16"/>
      <c r="AR2943" s="16"/>
      <c r="AS2943" s="16"/>
    </row>
    <row r="2944" spans="18:45" x14ac:dyDescent="0.35">
      <c r="R2944" s="191"/>
      <c r="S2944" s="191"/>
      <c r="T2944" s="193"/>
      <c r="U2944" s="191"/>
      <c r="V2944" s="194"/>
      <c r="W2944" s="191"/>
      <c r="Y2944" s="191"/>
      <c r="Z2944" s="191"/>
      <c r="AA2944" s="191"/>
      <c r="AB2944" s="191"/>
      <c r="AC2944" s="191"/>
      <c r="AD2944" s="16"/>
      <c r="AE2944" s="16"/>
      <c r="AF2944" s="16"/>
      <c r="AG2944" s="16"/>
      <c r="AH2944" s="16"/>
      <c r="AI2944" s="16"/>
      <c r="AJ2944" s="16"/>
      <c r="AK2944" s="16"/>
      <c r="AL2944" s="16"/>
      <c r="AM2944" s="16"/>
      <c r="AN2944" s="16"/>
      <c r="AO2944" s="16"/>
      <c r="AP2944" s="16"/>
      <c r="AQ2944" s="16"/>
      <c r="AR2944" s="16"/>
      <c r="AS2944" s="16"/>
    </row>
    <row r="2945" spans="18:45" x14ac:dyDescent="0.35">
      <c r="R2945" s="191"/>
      <c r="S2945" s="191"/>
      <c r="T2945" s="193"/>
      <c r="U2945" s="191"/>
      <c r="V2945" s="194"/>
      <c r="W2945" s="191"/>
      <c r="Y2945" s="191"/>
      <c r="Z2945" s="191"/>
      <c r="AA2945" s="191"/>
      <c r="AB2945" s="191"/>
      <c r="AC2945" s="191"/>
      <c r="AD2945" s="16"/>
      <c r="AE2945" s="16"/>
      <c r="AF2945" s="16"/>
      <c r="AG2945" s="16"/>
      <c r="AH2945" s="16"/>
      <c r="AI2945" s="16"/>
      <c r="AJ2945" s="16"/>
      <c r="AK2945" s="16"/>
      <c r="AL2945" s="16"/>
      <c r="AM2945" s="16"/>
      <c r="AN2945" s="16"/>
      <c r="AO2945" s="16"/>
      <c r="AP2945" s="16"/>
      <c r="AQ2945" s="16"/>
      <c r="AR2945" s="16"/>
      <c r="AS2945" s="16"/>
    </row>
    <row r="2946" spans="18:45" x14ac:dyDescent="0.35">
      <c r="R2946" s="191"/>
      <c r="S2946" s="191"/>
      <c r="T2946" s="193"/>
      <c r="U2946" s="191"/>
      <c r="V2946" s="194"/>
      <c r="W2946" s="191"/>
      <c r="Y2946" s="191"/>
      <c r="Z2946" s="191"/>
      <c r="AA2946" s="191"/>
      <c r="AB2946" s="191"/>
      <c r="AC2946" s="191"/>
      <c r="AD2946" s="16"/>
      <c r="AE2946" s="16"/>
      <c r="AF2946" s="16"/>
      <c r="AG2946" s="16"/>
      <c r="AH2946" s="16"/>
      <c r="AI2946" s="16"/>
      <c r="AJ2946" s="16"/>
      <c r="AK2946" s="16"/>
      <c r="AL2946" s="16"/>
      <c r="AM2946" s="16"/>
      <c r="AN2946" s="16"/>
      <c r="AO2946" s="16"/>
      <c r="AP2946" s="16"/>
      <c r="AQ2946" s="16"/>
      <c r="AR2946" s="16"/>
      <c r="AS2946" s="16"/>
    </row>
    <row r="2947" spans="18:45" x14ac:dyDescent="0.35">
      <c r="R2947" s="191"/>
      <c r="S2947" s="191"/>
      <c r="T2947" s="193"/>
      <c r="U2947" s="191"/>
      <c r="V2947" s="194"/>
      <c r="W2947" s="191"/>
      <c r="Y2947" s="191"/>
      <c r="Z2947" s="191"/>
      <c r="AA2947" s="191"/>
      <c r="AB2947" s="191"/>
      <c r="AC2947" s="191"/>
      <c r="AD2947" s="16"/>
      <c r="AE2947" s="16"/>
      <c r="AF2947" s="16"/>
      <c r="AG2947" s="16"/>
      <c r="AH2947" s="16"/>
      <c r="AI2947" s="16"/>
      <c r="AJ2947" s="16"/>
      <c r="AK2947" s="16"/>
      <c r="AL2947" s="16"/>
      <c r="AM2947" s="16"/>
      <c r="AN2947" s="16"/>
      <c r="AO2947" s="16"/>
      <c r="AP2947" s="16"/>
      <c r="AQ2947" s="16"/>
      <c r="AR2947" s="16"/>
      <c r="AS2947" s="16"/>
    </row>
    <row r="2948" spans="18:45" x14ac:dyDescent="0.35">
      <c r="R2948" s="191"/>
      <c r="S2948" s="191"/>
      <c r="T2948" s="193"/>
      <c r="U2948" s="191"/>
      <c r="V2948" s="194"/>
      <c r="W2948" s="191"/>
      <c r="Y2948" s="191"/>
      <c r="Z2948" s="191"/>
      <c r="AA2948" s="191"/>
      <c r="AB2948" s="191"/>
      <c r="AC2948" s="191"/>
      <c r="AD2948" s="16"/>
      <c r="AE2948" s="16"/>
      <c r="AF2948" s="16"/>
      <c r="AG2948" s="16"/>
      <c r="AH2948" s="16"/>
      <c r="AI2948" s="16"/>
      <c r="AJ2948" s="16"/>
      <c r="AK2948" s="16"/>
      <c r="AL2948" s="16"/>
      <c r="AM2948" s="16"/>
      <c r="AN2948" s="16"/>
      <c r="AO2948" s="16"/>
      <c r="AP2948" s="16"/>
      <c r="AQ2948" s="16"/>
      <c r="AR2948" s="16"/>
      <c r="AS2948" s="16"/>
    </row>
    <row r="2949" spans="18:45" x14ac:dyDescent="0.35">
      <c r="R2949" s="191"/>
      <c r="S2949" s="191"/>
      <c r="T2949" s="193"/>
      <c r="U2949" s="191"/>
      <c r="V2949" s="194"/>
      <c r="W2949" s="191"/>
      <c r="Y2949" s="191"/>
      <c r="Z2949" s="191"/>
      <c r="AA2949" s="191"/>
      <c r="AB2949" s="191"/>
      <c r="AC2949" s="191"/>
      <c r="AD2949" s="16"/>
      <c r="AE2949" s="16"/>
      <c r="AF2949" s="16"/>
      <c r="AG2949" s="16"/>
      <c r="AH2949" s="16"/>
      <c r="AI2949" s="16"/>
      <c r="AJ2949" s="16"/>
      <c r="AK2949" s="16"/>
      <c r="AL2949" s="16"/>
      <c r="AM2949" s="16"/>
      <c r="AN2949" s="16"/>
      <c r="AO2949" s="16"/>
      <c r="AP2949" s="16"/>
      <c r="AQ2949" s="16"/>
      <c r="AR2949" s="16"/>
      <c r="AS2949" s="16"/>
    </row>
    <row r="2950" spans="18:45" x14ac:dyDescent="0.35">
      <c r="R2950" s="191"/>
      <c r="S2950" s="191"/>
      <c r="T2950" s="193"/>
      <c r="U2950" s="191"/>
      <c r="V2950" s="194"/>
      <c r="W2950" s="191"/>
      <c r="Y2950" s="191"/>
      <c r="Z2950" s="191"/>
      <c r="AA2950" s="191"/>
      <c r="AB2950" s="191"/>
      <c r="AC2950" s="191"/>
      <c r="AD2950" s="16"/>
      <c r="AE2950" s="16"/>
      <c r="AF2950" s="16"/>
      <c r="AG2950" s="16"/>
      <c r="AH2950" s="16"/>
      <c r="AI2950" s="16"/>
      <c r="AJ2950" s="16"/>
      <c r="AK2950" s="16"/>
      <c r="AL2950" s="16"/>
      <c r="AM2950" s="16"/>
      <c r="AN2950" s="16"/>
      <c r="AO2950" s="16"/>
      <c r="AP2950" s="16"/>
      <c r="AQ2950" s="16"/>
      <c r="AR2950" s="16"/>
      <c r="AS2950" s="16"/>
    </row>
    <row r="2951" spans="18:45" x14ac:dyDescent="0.35">
      <c r="R2951" s="191"/>
      <c r="S2951" s="191"/>
      <c r="T2951" s="193"/>
      <c r="U2951" s="191"/>
      <c r="V2951" s="194"/>
      <c r="W2951" s="191"/>
      <c r="Y2951" s="191"/>
      <c r="Z2951" s="191"/>
      <c r="AA2951" s="191"/>
      <c r="AB2951" s="191"/>
      <c r="AC2951" s="191"/>
      <c r="AD2951" s="16"/>
      <c r="AE2951" s="16"/>
      <c r="AF2951" s="16"/>
      <c r="AG2951" s="16"/>
      <c r="AH2951" s="16"/>
      <c r="AI2951" s="16"/>
      <c r="AJ2951" s="16"/>
      <c r="AK2951" s="16"/>
      <c r="AL2951" s="16"/>
      <c r="AM2951" s="16"/>
      <c r="AN2951" s="16"/>
      <c r="AO2951" s="16"/>
      <c r="AP2951" s="16"/>
      <c r="AQ2951" s="16"/>
      <c r="AR2951" s="16"/>
      <c r="AS2951" s="16"/>
    </row>
    <row r="2952" spans="18:45" x14ac:dyDescent="0.35">
      <c r="R2952" s="191"/>
      <c r="S2952" s="191"/>
      <c r="T2952" s="193"/>
      <c r="U2952" s="191"/>
      <c r="V2952" s="194"/>
      <c r="W2952" s="191"/>
      <c r="Y2952" s="191"/>
      <c r="Z2952" s="191"/>
      <c r="AA2952" s="191"/>
      <c r="AB2952" s="191"/>
      <c r="AC2952" s="191"/>
      <c r="AD2952" s="16"/>
      <c r="AE2952" s="16"/>
      <c r="AF2952" s="16"/>
      <c r="AG2952" s="16"/>
      <c r="AH2952" s="16"/>
      <c r="AI2952" s="16"/>
      <c r="AJ2952" s="16"/>
      <c r="AK2952" s="16"/>
      <c r="AL2952" s="16"/>
      <c r="AM2952" s="16"/>
      <c r="AN2952" s="16"/>
      <c r="AO2952" s="16"/>
      <c r="AP2952" s="16"/>
      <c r="AQ2952" s="16"/>
      <c r="AR2952" s="16"/>
      <c r="AS2952" s="16"/>
    </row>
    <row r="2953" spans="18:45" x14ac:dyDescent="0.35">
      <c r="R2953" s="191"/>
      <c r="S2953" s="191"/>
      <c r="T2953" s="193"/>
      <c r="U2953" s="191"/>
      <c r="V2953" s="194"/>
      <c r="W2953" s="191"/>
      <c r="Y2953" s="191"/>
      <c r="Z2953" s="191"/>
      <c r="AA2953" s="191"/>
      <c r="AB2953" s="191"/>
      <c r="AC2953" s="191"/>
      <c r="AD2953" s="16"/>
      <c r="AE2953" s="16"/>
      <c r="AF2953" s="16"/>
      <c r="AG2953" s="16"/>
      <c r="AH2953" s="16"/>
      <c r="AI2953" s="16"/>
      <c r="AJ2953" s="16"/>
      <c r="AK2953" s="16"/>
      <c r="AL2953" s="16"/>
      <c r="AM2953" s="16"/>
      <c r="AN2953" s="16"/>
      <c r="AO2953" s="16"/>
      <c r="AP2953" s="16"/>
      <c r="AQ2953" s="16"/>
      <c r="AR2953" s="16"/>
      <c r="AS2953" s="16"/>
    </row>
    <row r="2954" spans="18:45" x14ac:dyDescent="0.35">
      <c r="R2954" s="191"/>
      <c r="S2954" s="191"/>
      <c r="T2954" s="193"/>
      <c r="U2954" s="191"/>
      <c r="V2954" s="194"/>
      <c r="W2954" s="191"/>
      <c r="Y2954" s="191"/>
      <c r="Z2954" s="191"/>
      <c r="AA2954" s="191"/>
      <c r="AB2954" s="191"/>
      <c r="AC2954" s="191"/>
      <c r="AD2954" s="16"/>
      <c r="AE2954" s="16"/>
      <c r="AF2954" s="16"/>
      <c r="AG2954" s="16"/>
      <c r="AH2954" s="16"/>
      <c r="AI2954" s="16"/>
      <c r="AJ2954" s="16"/>
      <c r="AK2954" s="16"/>
      <c r="AL2954" s="16"/>
      <c r="AM2954" s="16"/>
      <c r="AN2954" s="16"/>
      <c r="AO2954" s="16"/>
      <c r="AP2954" s="16"/>
      <c r="AQ2954" s="16"/>
      <c r="AR2954" s="16"/>
      <c r="AS2954" s="16"/>
    </row>
    <row r="2955" spans="18:45" x14ac:dyDescent="0.35">
      <c r="R2955" s="191"/>
      <c r="S2955" s="191"/>
      <c r="T2955" s="193"/>
      <c r="U2955" s="191"/>
      <c r="V2955" s="194"/>
      <c r="W2955" s="191"/>
      <c r="Y2955" s="191"/>
      <c r="Z2955" s="191"/>
      <c r="AA2955" s="191"/>
      <c r="AB2955" s="191"/>
      <c r="AC2955" s="191"/>
      <c r="AD2955" s="16"/>
      <c r="AE2955" s="16"/>
      <c r="AF2955" s="16"/>
      <c r="AG2955" s="16"/>
      <c r="AH2955" s="16"/>
      <c r="AI2955" s="16"/>
      <c r="AJ2955" s="16"/>
      <c r="AK2955" s="16"/>
      <c r="AL2955" s="16"/>
      <c r="AM2955" s="16"/>
      <c r="AN2955" s="16"/>
      <c r="AO2955" s="16"/>
      <c r="AP2955" s="16"/>
      <c r="AQ2955" s="16"/>
      <c r="AR2955" s="16"/>
      <c r="AS2955" s="16"/>
    </row>
    <row r="2956" spans="18:45" x14ac:dyDescent="0.35">
      <c r="R2956" s="191"/>
      <c r="S2956" s="191"/>
      <c r="T2956" s="193"/>
      <c r="U2956" s="191"/>
      <c r="V2956" s="194"/>
      <c r="W2956" s="191"/>
      <c r="Y2956" s="191"/>
      <c r="Z2956" s="191"/>
      <c r="AA2956" s="191"/>
      <c r="AB2956" s="191"/>
      <c r="AC2956" s="191"/>
      <c r="AD2956" s="16"/>
      <c r="AE2956" s="16"/>
      <c r="AF2956" s="16"/>
      <c r="AG2956" s="16"/>
      <c r="AH2956" s="16"/>
      <c r="AI2956" s="16"/>
      <c r="AJ2956" s="16"/>
      <c r="AK2956" s="16"/>
      <c r="AL2956" s="16"/>
      <c r="AM2956" s="16"/>
      <c r="AN2956" s="16"/>
      <c r="AO2956" s="16"/>
      <c r="AP2956" s="16"/>
      <c r="AQ2956" s="16"/>
      <c r="AR2956" s="16"/>
      <c r="AS2956" s="16"/>
    </row>
    <row r="2957" spans="18:45" x14ac:dyDescent="0.35">
      <c r="R2957" s="191"/>
      <c r="S2957" s="191"/>
      <c r="T2957" s="193"/>
      <c r="U2957" s="191"/>
      <c r="V2957" s="194"/>
      <c r="W2957" s="191"/>
      <c r="Y2957" s="191"/>
      <c r="Z2957" s="191"/>
      <c r="AA2957" s="191"/>
      <c r="AB2957" s="191"/>
      <c r="AC2957" s="191"/>
      <c r="AD2957" s="16"/>
      <c r="AE2957" s="16"/>
      <c r="AF2957" s="16"/>
      <c r="AG2957" s="16"/>
      <c r="AH2957" s="16"/>
      <c r="AI2957" s="16"/>
      <c r="AJ2957" s="16"/>
      <c r="AK2957" s="16"/>
      <c r="AL2957" s="16"/>
      <c r="AM2957" s="16"/>
      <c r="AN2957" s="16"/>
      <c r="AO2957" s="16"/>
      <c r="AP2957" s="16"/>
      <c r="AQ2957" s="16"/>
      <c r="AR2957" s="16"/>
      <c r="AS2957" s="16"/>
    </row>
    <row r="2958" spans="18:45" x14ac:dyDescent="0.35">
      <c r="R2958" s="191"/>
      <c r="S2958" s="191"/>
      <c r="T2958" s="193"/>
      <c r="U2958" s="191"/>
      <c r="V2958" s="194"/>
      <c r="W2958" s="191"/>
      <c r="Y2958" s="191"/>
      <c r="Z2958" s="191"/>
      <c r="AA2958" s="191"/>
      <c r="AB2958" s="191"/>
      <c r="AC2958" s="191"/>
      <c r="AD2958" s="16"/>
      <c r="AE2958" s="16"/>
      <c r="AF2958" s="16"/>
      <c r="AG2958" s="16"/>
      <c r="AH2958" s="16"/>
      <c r="AI2958" s="16"/>
      <c r="AJ2958" s="16"/>
      <c r="AK2958" s="16"/>
      <c r="AL2958" s="16"/>
      <c r="AM2958" s="16"/>
      <c r="AN2958" s="16"/>
      <c r="AO2958" s="16"/>
      <c r="AP2958" s="16"/>
      <c r="AQ2958" s="16"/>
      <c r="AR2958" s="16"/>
      <c r="AS2958" s="16"/>
    </row>
    <row r="2959" spans="18:45" x14ac:dyDescent="0.35">
      <c r="R2959" s="191"/>
      <c r="S2959" s="191"/>
      <c r="T2959" s="193"/>
      <c r="U2959" s="191"/>
      <c r="V2959" s="194"/>
      <c r="W2959" s="191"/>
      <c r="Y2959" s="191"/>
      <c r="Z2959" s="191"/>
      <c r="AA2959" s="191"/>
      <c r="AB2959" s="191"/>
      <c r="AC2959" s="191"/>
      <c r="AD2959" s="16"/>
      <c r="AE2959" s="16"/>
      <c r="AF2959" s="16"/>
      <c r="AG2959" s="16"/>
      <c r="AH2959" s="16"/>
      <c r="AI2959" s="16"/>
      <c r="AJ2959" s="16"/>
      <c r="AK2959" s="16"/>
      <c r="AL2959" s="16"/>
      <c r="AM2959" s="16"/>
      <c r="AN2959" s="16"/>
      <c r="AO2959" s="16"/>
      <c r="AP2959" s="16"/>
      <c r="AQ2959" s="16"/>
      <c r="AR2959" s="16"/>
      <c r="AS2959" s="16"/>
    </row>
    <row r="2960" spans="18:45" x14ac:dyDescent="0.35">
      <c r="R2960" s="191"/>
      <c r="S2960" s="191"/>
      <c r="T2960" s="193"/>
      <c r="U2960" s="191"/>
      <c r="V2960" s="194"/>
      <c r="W2960" s="191"/>
      <c r="Y2960" s="191"/>
      <c r="Z2960" s="191"/>
      <c r="AA2960" s="191"/>
      <c r="AB2960" s="191"/>
      <c r="AC2960" s="191"/>
      <c r="AD2960" s="16"/>
      <c r="AE2960" s="16"/>
      <c r="AF2960" s="16"/>
      <c r="AG2960" s="16"/>
      <c r="AH2960" s="16"/>
      <c r="AI2960" s="16"/>
      <c r="AJ2960" s="16"/>
      <c r="AK2960" s="16"/>
      <c r="AL2960" s="16"/>
      <c r="AM2960" s="16"/>
      <c r="AN2960" s="16"/>
      <c r="AO2960" s="16"/>
      <c r="AP2960" s="16"/>
      <c r="AQ2960" s="16"/>
      <c r="AR2960" s="16"/>
      <c r="AS2960" s="16"/>
    </row>
    <row r="2961" spans="18:45" x14ac:dyDescent="0.35">
      <c r="R2961" s="191"/>
      <c r="S2961" s="191"/>
      <c r="T2961" s="193"/>
      <c r="U2961" s="191"/>
      <c r="V2961" s="194"/>
      <c r="W2961" s="191"/>
      <c r="Y2961" s="191"/>
      <c r="Z2961" s="191"/>
      <c r="AA2961" s="191"/>
      <c r="AB2961" s="191"/>
      <c r="AC2961" s="191"/>
      <c r="AD2961" s="16"/>
      <c r="AE2961" s="16"/>
      <c r="AF2961" s="16"/>
      <c r="AG2961" s="16"/>
      <c r="AH2961" s="16"/>
      <c r="AI2961" s="16"/>
      <c r="AJ2961" s="16"/>
      <c r="AK2961" s="16"/>
      <c r="AL2961" s="16"/>
      <c r="AM2961" s="16"/>
      <c r="AN2961" s="16"/>
      <c r="AO2961" s="16"/>
      <c r="AP2961" s="16"/>
      <c r="AQ2961" s="16"/>
      <c r="AR2961" s="16"/>
      <c r="AS2961" s="16"/>
    </row>
    <row r="2962" spans="18:45" x14ac:dyDescent="0.35">
      <c r="R2962" s="191"/>
      <c r="S2962" s="191"/>
      <c r="T2962" s="193"/>
      <c r="U2962" s="191"/>
      <c r="V2962" s="194"/>
      <c r="W2962" s="191"/>
      <c r="Y2962" s="191"/>
      <c r="Z2962" s="191"/>
      <c r="AA2962" s="191"/>
      <c r="AB2962" s="191"/>
      <c r="AC2962" s="191"/>
      <c r="AD2962" s="16"/>
      <c r="AE2962" s="16"/>
      <c r="AF2962" s="16"/>
      <c r="AG2962" s="16"/>
      <c r="AH2962" s="16"/>
      <c r="AI2962" s="16"/>
      <c r="AJ2962" s="16"/>
      <c r="AK2962" s="16"/>
      <c r="AL2962" s="16"/>
      <c r="AM2962" s="16"/>
      <c r="AN2962" s="16"/>
      <c r="AO2962" s="16"/>
      <c r="AP2962" s="16"/>
      <c r="AQ2962" s="16"/>
      <c r="AR2962" s="16"/>
      <c r="AS2962" s="16"/>
    </row>
    <row r="2963" spans="18:45" x14ac:dyDescent="0.35">
      <c r="R2963" s="191"/>
      <c r="S2963" s="191"/>
      <c r="T2963" s="193"/>
      <c r="U2963" s="191"/>
      <c r="V2963" s="194"/>
      <c r="W2963" s="191"/>
      <c r="Y2963" s="191"/>
      <c r="Z2963" s="191"/>
      <c r="AA2963" s="191"/>
      <c r="AB2963" s="191"/>
      <c r="AC2963" s="191"/>
      <c r="AD2963" s="16"/>
      <c r="AE2963" s="16"/>
      <c r="AF2963" s="16"/>
      <c r="AG2963" s="16"/>
      <c r="AH2963" s="16"/>
      <c r="AI2963" s="16"/>
      <c r="AJ2963" s="16"/>
      <c r="AK2963" s="16"/>
      <c r="AL2963" s="16"/>
      <c r="AM2963" s="16"/>
      <c r="AN2963" s="16"/>
      <c r="AO2963" s="16"/>
      <c r="AP2963" s="16"/>
      <c r="AQ2963" s="16"/>
      <c r="AR2963" s="16"/>
      <c r="AS2963" s="16"/>
    </row>
    <row r="2964" spans="18:45" x14ac:dyDescent="0.35">
      <c r="R2964" s="191"/>
      <c r="S2964" s="191"/>
      <c r="T2964" s="193"/>
      <c r="U2964" s="191"/>
      <c r="V2964" s="194"/>
      <c r="W2964" s="191"/>
      <c r="Y2964" s="191"/>
      <c r="Z2964" s="191"/>
      <c r="AA2964" s="191"/>
      <c r="AB2964" s="191"/>
      <c r="AC2964" s="191"/>
      <c r="AD2964" s="16"/>
      <c r="AE2964" s="16"/>
      <c r="AF2964" s="16"/>
      <c r="AG2964" s="16"/>
      <c r="AH2964" s="16"/>
      <c r="AI2964" s="16"/>
      <c r="AJ2964" s="16"/>
      <c r="AK2964" s="16"/>
      <c r="AL2964" s="16"/>
      <c r="AM2964" s="16"/>
      <c r="AN2964" s="16"/>
      <c r="AO2964" s="16"/>
      <c r="AP2964" s="16"/>
      <c r="AQ2964" s="16"/>
      <c r="AR2964" s="16"/>
      <c r="AS2964" s="16"/>
    </row>
    <row r="2965" spans="18:45" x14ac:dyDescent="0.35">
      <c r="R2965" s="191"/>
      <c r="S2965" s="191"/>
      <c r="T2965" s="193"/>
      <c r="U2965" s="191"/>
      <c r="V2965" s="194"/>
      <c r="W2965" s="191"/>
      <c r="Y2965" s="191"/>
      <c r="Z2965" s="191"/>
      <c r="AA2965" s="191"/>
      <c r="AB2965" s="191"/>
      <c r="AC2965" s="191"/>
      <c r="AD2965" s="16"/>
      <c r="AE2965" s="16"/>
      <c r="AF2965" s="16"/>
      <c r="AG2965" s="16"/>
      <c r="AH2965" s="16"/>
      <c r="AI2965" s="16"/>
      <c r="AJ2965" s="16"/>
      <c r="AK2965" s="16"/>
      <c r="AL2965" s="16"/>
      <c r="AM2965" s="16"/>
      <c r="AN2965" s="16"/>
      <c r="AO2965" s="16"/>
      <c r="AP2965" s="16"/>
      <c r="AQ2965" s="16"/>
      <c r="AR2965" s="16"/>
      <c r="AS2965" s="16"/>
    </row>
    <row r="2966" spans="18:45" x14ac:dyDescent="0.35">
      <c r="R2966" s="191"/>
      <c r="S2966" s="191"/>
      <c r="T2966" s="193"/>
      <c r="U2966" s="191"/>
      <c r="V2966" s="194"/>
      <c r="W2966" s="191"/>
      <c r="Y2966" s="191"/>
      <c r="Z2966" s="191"/>
      <c r="AA2966" s="191"/>
      <c r="AB2966" s="191"/>
      <c r="AC2966" s="191"/>
      <c r="AD2966" s="16"/>
      <c r="AE2966" s="16"/>
      <c r="AF2966" s="16"/>
      <c r="AG2966" s="16"/>
      <c r="AH2966" s="16"/>
      <c r="AI2966" s="16"/>
      <c r="AJ2966" s="16"/>
      <c r="AK2966" s="16"/>
      <c r="AL2966" s="16"/>
      <c r="AM2966" s="16"/>
      <c r="AN2966" s="16"/>
      <c r="AO2966" s="16"/>
      <c r="AP2966" s="16"/>
      <c r="AQ2966" s="16"/>
      <c r="AR2966" s="16"/>
      <c r="AS2966" s="16"/>
    </row>
    <row r="2967" spans="18:45" x14ac:dyDescent="0.35">
      <c r="R2967" s="191"/>
      <c r="S2967" s="191"/>
      <c r="T2967" s="193"/>
      <c r="U2967" s="191"/>
      <c r="V2967" s="194"/>
      <c r="W2967" s="191"/>
      <c r="Y2967" s="191"/>
      <c r="Z2967" s="191"/>
      <c r="AA2967" s="191"/>
      <c r="AB2967" s="191"/>
      <c r="AC2967" s="191"/>
      <c r="AD2967" s="16"/>
      <c r="AE2967" s="16"/>
      <c r="AF2967" s="16"/>
      <c r="AG2967" s="16"/>
      <c r="AH2967" s="16"/>
      <c r="AI2967" s="16"/>
      <c r="AJ2967" s="16"/>
      <c r="AK2967" s="16"/>
      <c r="AL2967" s="16"/>
      <c r="AM2967" s="16"/>
      <c r="AN2967" s="16"/>
      <c r="AO2967" s="16"/>
      <c r="AP2967" s="16"/>
      <c r="AQ2967" s="16"/>
      <c r="AR2967" s="16"/>
      <c r="AS2967" s="16"/>
    </row>
    <row r="2968" spans="18:45" x14ac:dyDescent="0.35">
      <c r="R2968" s="191"/>
      <c r="S2968" s="191"/>
      <c r="T2968" s="193"/>
      <c r="U2968" s="191"/>
      <c r="V2968" s="194"/>
      <c r="W2968" s="191"/>
      <c r="Y2968" s="191"/>
      <c r="Z2968" s="191"/>
      <c r="AA2968" s="191"/>
      <c r="AB2968" s="191"/>
      <c r="AC2968" s="191"/>
      <c r="AD2968" s="16"/>
      <c r="AE2968" s="16"/>
      <c r="AF2968" s="16"/>
      <c r="AG2968" s="16"/>
      <c r="AH2968" s="16"/>
      <c r="AI2968" s="16"/>
      <c r="AJ2968" s="16"/>
      <c r="AK2968" s="16"/>
      <c r="AL2968" s="16"/>
      <c r="AM2968" s="16"/>
      <c r="AN2968" s="16"/>
      <c r="AO2968" s="16"/>
      <c r="AP2968" s="16"/>
      <c r="AQ2968" s="16"/>
      <c r="AR2968" s="16"/>
      <c r="AS2968" s="16"/>
    </row>
    <row r="2969" spans="18:45" x14ac:dyDescent="0.35">
      <c r="R2969" s="191"/>
      <c r="S2969" s="191"/>
      <c r="T2969" s="193"/>
      <c r="U2969" s="191"/>
      <c r="V2969" s="194"/>
      <c r="W2969" s="191"/>
      <c r="Y2969" s="191"/>
      <c r="Z2969" s="191"/>
      <c r="AA2969" s="191"/>
      <c r="AB2969" s="191"/>
      <c r="AC2969" s="191"/>
      <c r="AD2969" s="16"/>
      <c r="AE2969" s="16"/>
      <c r="AF2969" s="16"/>
      <c r="AG2969" s="16"/>
      <c r="AH2969" s="16"/>
      <c r="AI2969" s="16"/>
      <c r="AJ2969" s="16"/>
      <c r="AK2969" s="16"/>
      <c r="AL2969" s="16"/>
      <c r="AM2969" s="16"/>
      <c r="AN2969" s="16"/>
      <c r="AO2969" s="16"/>
      <c r="AP2969" s="16"/>
      <c r="AQ2969" s="16"/>
      <c r="AR2969" s="16"/>
      <c r="AS2969" s="16"/>
    </row>
    <row r="2970" spans="18:45" x14ac:dyDescent="0.35">
      <c r="R2970" s="191"/>
      <c r="S2970" s="191"/>
      <c r="T2970" s="193"/>
      <c r="U2970" s="191"/>
      <c r="V2970" s="194"/>
      <c r="W2970" s="191"/>
      <c r="Y2970" s="191"/>
      <c r="Z2970" s="191"/>
      <c r="AA2970" s="191"/>
      <c r="AB2970" s="191"/>
      <c r="AC2970" s="191"/>
      <c r="AD2970" s="16"/>
      <c r="AE2970" s="16"/>
      <c r="AF2970" s="16"/>
      <c r="AG2970" s="16"/>
      <c r="AH2970" s="16"/>
      <c r="AI2970" s="16"/>
      <c r="AJ2970" s="16"/>
      <c r="AK2970" s="16"/>
      <c r="AL2970" s="16"/>
      <c r="AM2970" s="16"/>
      <c r="AN2970" s="16"/>
      <c r="AO2970" s="16"/>
      <c r="AP2970" s="16"/>
      <c r="AQ2970" s="16"/>
      <c r="AR2970" s="16"/>
      <c r="AS2970" s="16"/>
    </row>
    <row r="2971" spans="18:45" x14ac:dyDescent="0.35">
      <c r="R2971" s="191"/>
      <c r="S2971" s="191"/>
      <c r="T2971" s="193"/>
      <c r="U2971" s="191"/>
      <c r="V2971" s="194"/>
      <c r="W2971" s="191"/>
      <c r="Y2971" s="191"/>
      <c r="Z2971" s="191"/>
      <c r="AA2971" s="191"/>
      <c r="AB2971" s="191"/>
      <c r="AC2971" s="191"/>
      <c r="AD2971" s="16"/>
      <c r="AE2971" s="16"/>
      <c r="AF2971" s="16"/>
      <c r="AG2971" s="16"/>
      <c r="AH2971" s="16"/>
      <c r="AI2971" s="16"/>
      <c r="AJ2971" s="16"/>
      <c r="AK2971" s="16"/>
      <c r="AL2971" s="16"/>
      <c r="AM2971" s="16"/>
      <c r="AN2971" s="16"/>
      <c r="AO2971" s="16"/>
      <c r="AP2971" s="16"/>
      <c r="AQ2971" s="16"/>
      <c r="AR2971" s="16"/>
      <c r="AS2971" s="16"/>
    </row>
    <row r="2972" spans="18:45" x14ac:dyDescent="0.35">
      <c r="R2972" s="191"/>
      <c r="S2972" s="191"/>
      <c r="T2972" s="193"/>
      <c r="U2972" s="191"/>
      <c r="V2972" s="194"/>
      <c r="W2972" s="191"/>
      <c r="Y2972" s="191"/>
      <c r="Z2972" s="191"/>
      <c r="AA2972" s="191"/>
      <c r="AB2972" s="191"/>
      <c r="AC2972" s="191"/>
      <c r="AD2972" s="16"/>
      <c r="AE2972" s="16"/>
      <c r="AF2972" s="16"/>
      <c r="AG2972" s="16"/>
      <c r="AH2972" s="16"/>
      <c r="AI2972" s="16"/>
      <c r="AJ2972" s="16"/>
      <c r="AK2972" s="16"/>
      <c r="AL2972" s="16"/>
      <c r="AM2972" s="16"/>
      <c r="AN2972" s="16"/>
      <c r="AO2972" s="16"/>
      <c r="AP2972" s="16"/>
      <c r="AQ2972" s="16"/>
      <c r="AR2972" s="16"/>
      <c r="AS2972" s="16"/>
    </row>
    <row r="2973" spans="18:45" x14ac:dyDescent="0.35">
      <c r="R2973" s="191"/>
      <c r="S2973" s="191"/>
      <c r="T2973" s="193"/>
      <c r="U2973" s="191"/>
      <c r="V2973" s="194"/>
      <c r="W2973" s="191"/>
      <c r="Y2973" s="191"/>
      <c r="Z2973" s="191"/>
      <c r="AA2973" s="191"/>
      <c r="AB2973" s="191"/>
      <c r="AC2973" s="191"/>
      <c r="AD2973" s="16"/>
      <c r="AE2973" s="16"/>
      <c r="AF2973" s="16"/>
      <c r="AG2973" s="16"/>
      <c r="AH2973" s="16"/>
      <c r="AI2973" s="16"/>
      <c r="AJ2973" s="16"/>
      <c r="AK2973" s="16"/>
      <c r="AL2973" s="16"/>
      <c r="AM2973" s="16"/>
      <c r="AN2973" s="16"/>
      <c r="AO2973" s="16"/>
      <c r="AP2973" s="16"/>
      <c r="AQ2973" s="16"/>
      <c r="AR2973" s="16"/>
      <c r="AS2973" s="16"/>
    </row>
    <row r="2974" spans="18:45" x14ac:dyDescent="0.35">
      <c r="R2974" s="191"/>
      <c r="S2974" s="191"/>
      <c r="T2974" s="193"/>
      <c r="U2974" s="191"/>
      <c r="V2974" s="194"/>
      <c r="W2974" s="191"/>
      <c r="Y2974" s="191"/>
      <c r="Z2974" s="191"/>
      <c r="AA2974" s="191"/>
      <c r="AB2974" s="191"/>
      <c r="AC2974" s="191"/>
      <c r="AD2974" s="16"/>
      <c r="AE2974" s="16"/>
      <c r="AF2974" s="16"/>
      <c r="AG2974" s="16"/>
      <c r="AH2974" s="16"/>
      <c r="AI2974" s="16"/>
      <c r="AJ2974" s="16"/>
      <c r="AK2974" s="16"/>
      <c r="AL2974" s="16"/>
      <c r="AM2974" s="16"/>
      <c r="AN2974" s="16"/>
      <c r="AO2974" s="16"/>
      <c r="AP2974" s="16"/>
      <c r="AQ2974" s="16"/>
      <c r="AR2974" s="16"/>
      <c r="AS2974" s="16"/>
    </row>
    <row r="2975" spans="18:45" x14ac:dyDescent="0.35">
      <c r="R2975" s="191"/>
      <c r="S2975" s="191"/>
      <c r="T2975" s="193"/>
      <c r="U2975" s="191"/>
      <c r="V2975" s="194"/>
      <c r="W2975" s="191"/>
      <c r="Y2975" s="191"/>
      <c r="Z2975" s="191"/>
      <c r="AA2975" s="191"/>
      <c r="AB2975" s="191"/>
      <c r="AC2975" s="191"/>
      <c r="AD2975" s="16"/>
      <c r="AE2975" s="16"/>
      <c r="AF2975" s="16"/>
      <c r="AG2975" s="16"/>
      <c r="AH2975" s="16"/>
      <c r="AI2975" s="16"/>
      <c r="AJ2975" s="16"/>
      <c r="AK2975" s="16"/>
      <c r="AL2975" s="16"/>
      <c r="AM2975" s="16"/>
      <c r="AN2975" s="16"/>
      <c r="AO2975" s="16"/>
      <c r="AP2975" s="16"/>
      <c r="AQ2975" s="16"/>
      <c r="AR2975" s="16"/>
      <c r="AS2975" s="16"/>
    </row>
    <row r="2976" spans="18:45" x14ac:dyDescent="0.35">
      <c r="R2976" s="191"/>
      <c r="S2976" s="191"/>
      <c r="T2976" s="193"/>
      <c r="U2976" s="191"/>
      <c r="V2976" s="194"/>
      <c r="W2976" s="191"/>
      <c r="Y2976" s="191"/>
      <c r="Z2976" s="191"/>
      <c r="AA2976" s="191"/>
      <c r="AB2976" s="191"/>
      <c r="AC2976" s="191"/>
      <c r="AD2976" s="16"/>
      <c r="AE2976" s="16"/>
      <c r="AF2976" s="16"/>
      <c r="AG2976" s="16"/>
      <c r="AH2976" s="16"/>
      <c r="AI2976" s="16"/>
      <c r="AJ2976" s="16"/>
      <c r="AK2976" s="16"/>
      <c r="AL2976" s="16"/>
      <c r="AM2976" s="16"/>
      <c r="AN2976" s="16"/>
      <c r="AO2976" s="16"/>
      <c r="AP2976" s="16"/>
      <c r="AQ2976" s="16"/>
      <c r="AR2976" s="16"/>
      <c r="AS2976" s="16"/>
    </row>
    <row r="2977" spans="18:45" x14ac:dyDescent="0.35">
      <c r="R2977" s="191"/>
      <c r="S2977" s="191"/>
      <c r="T2977" s="193"/>
      <c r="U2977" s="191"/>
      <c r="V2977" s="194"/>
      <c r="W2977" s="191"/>
      <c r="Y2977" s="191"/>
      <c r="Z2977" s="191"/>
      <c r="AA2977" s="191"/>
      <c r="AB2977" s="191"/>
      <c r="AC2977" s="191"/>
      <c r="AD2977" s="16"/>
      <c r="AE2977" s="16"/>
      <c r="AF2977" s="16"/>
      <c r="AG2977" s="16"/>
      <c r="AH2977" s="16"/>
      <c r="AI2977" s="16"/>
      <c r="AJ2977" s="16"/>
      <c r="AK2977" s="16"/>
      <c r="AL2977" s="16"/>
      <c r="AM2977" s="16"/>
      <c r="AN2977" s="16"/>
      <c r="AO2977" s="16"/>
      <c r="AP2977" s="16"/>
      <c r="AQ2977" s="16"/>
      <c r="AR2977" s="16"/>
      <c r="AS2977" s="16"/>
    </row>
    <row r="2978" spans="18:45" x14ac:dyDescent="0.35">
      <c r="R2978" s="191"/>
      <c r="S2978" s="191"/>
      <c r="T2978" s="193"/>
      <c r="U2978" s="191"/>
      <c r="V2978" s="194"/>
      <c r="W2978" s="191"/>
      <c r="Y2978" s="191"/>
      <c r="Z2978" s="191"/>
      <c r="AA2978" s="191"/>
      <c r="AB2978" s="191"/>
      <c r="AC2978" s="191"/>
      <c r="AD2978" s="16"/>
      <c r="AE2978" s="16"/>
      <c r="AF2978" s="16"/>
      <c r="AG2978" s="16"/>
      <c r="AH2978" s="16"/>
      <c r="AI2978" s="16"/>
      <c r="AJ2978" s="16"/>
      <c r="AK2978" s="16"/>
      <c r="AL2978" s="16"/>
      <c r="AM2978" s="16"/>
      <c r="AN2978" s="16"/>
      <c r="AO2978" s="16"/>
      <c r="AP2978" s="16"/>
      <c r="AQ2978" s="16"/>
      <c r="AR2978" s="16"/>
      <c r="AS2978" s="16"/>
    </row>
    <row r="2979" spans="18:45" x14ac:dyDescent="0.35">
      <c r="R2979" s="191"/>
      <c r="S2979" s="191"/>
      <c r="T2979" s="193"/>
      <c r="U2979" s="191"/>
      <c r="V2979" s="194"/>
      <c r="W2979" s="191"/>
      <c r="Y2979" s="191"/>
      <c r="Z2979" s="191"/>
      <c r="AA2979" s="191"/>
      <c r="AB2979" s="191"/>
      <c r="AC2979" s="191"/>
      <c r="AD2979" s="16"/>
      <c r="AE2979" s="16"/>
      <c r="AF2979" s="16"/>
      <c r="AG2979" s="16"/>
      <c r="AH2979" s="16"/>
      <c r="AI2979" s="16"/>
      <c r="AJ2979" s="16"/>
      <c r="AK2979" s="16"/>
      <c r="AL2979" s="16"/>
      <c r="AM2979" s="16"/>
      <c r="AN2979" s="16"/>
      <c r="AO2979" s="16"/>
      <c r="AP2979" s="16"/>
      <c r="AQ2979" s="16"/>
      <c r="AR2979" s="16"/>
      <c r="AS2979" s="16"/>
    </row>
    <row r="2980" spans="18:45" x14ac:dyDescent="0.35">
      <c r="R2980" s="191"/>
      <c r="S2980" s="191"/>
      <c r="T2980" s="193"/>
      <c r="U2980" s="191"/>
      <c r="V2980" s="194"/>
      <c r="W2980" s="191"/>
      <c r="Y2980" s="191"/>
      <c r="Z2980" s="191"/>
      <c r="AA2980" s="191"/>
      <c r="AB2980" s="191"/>
      <c r="AC2980" s="191"/>
      <c r="AD2980" s="16"/>
      <c r="AE2980" s="16"/>
      <c r="AF2980" s="16"/>
      <c r="AG2980" s="16"/>
      <c r="AH2980" s="16"/>
      <c r="AI2980" s="16"/>
      <c r="AJ2980" s="16"/>
      <c r="AK2980" s="16"/>
      <c r="AL2980" s="16"/>
      <c r="AM2980" s="16"/>
      <c r="AN2980" s="16"/>
      <c r="AO2980" s="16"/>
      <c r="AP2980" s="16"/>
      <c r="AQ2980" s="16"/>
      <c r="AR2980" s="16"/>
      <c r="AS2980" s="16"/>
    </row>
    <row r="2981" spans="18:45" x14ac:dyDescent="0.35">
      <c r="R2981" s="191"/>
      <c r="S2981" s="191"/>
      <c r="T2981" s="193"/>
      <c r="U2981" s="191"/>
      <c r="V2981" s="194"/>
      <c r="W2981" s="191"/>
      <c r="Y2981" s="191"/>
      <c r="Z2981" s="191"/>
      <c r="AA2981" s="191"/>
      <c r="AB2981" s="191"/>
      <c r="AC2981" s="191"/>
      <c r="AD2981" s="16"/>
      <c r="AE2981" s="16"/>
      <c r="AF2981" s="16"/>
      <c r="AG2981" s="16"/>
      <c r="AH2981" s="16"/>
      <c r="AI2981" s="16"/>
      <c r="AJ2981" s="16"/>
      <c r="AK2981" s="16"/>
      <c r="AL2981" s="16"/>
      <c r="AM2981" s="16"/>
      <c r="AN2981" s="16"/>
      <c r="AO2981" s="16"/>
      <c r="AP2981" s="16"/>
      <c r="AQ2981" s="16"/>
      <c r="AR2981" s="16"/>
      <c r="AS2981" s="16"/>
    </row>
    <row r="2982" spans="18:45" x14ac:dyDescent="0.35">
      <c r="R2982" s="191"/>
      <c r="S2982" s="191"/>
      <c r="T2982" s="193"/>
      <c r="U2982" s="191"/>
      <c r="V2982" s="194"/>
      <c r="W2982" s="191"/>
      <c r="Y2982" s="191"/>
      <c r="Z2982" s="191"/>
      <c r="AA2982" s="191"/>
      <c r="AB2982" s="191"/>
      <c r="AC2982" s="191"/>
      <c r="AD2982" s="16"/>
      <c r="AE2982" s="16"/>
      <c r="AF2982" s="16"/>
      <c r="AG2982" s="16"/>
      <c r="AH2982" s="16"/>
      <c r="AI2982" s="16"/>
      <c r="AJ2982" s="16"/>
      <c r="AK2982" s="16"/>
      <c r="AL2982" s="16"/>
      <c r="AM2982" s="16"/>
      <c r="AN2982" s="16"/>
      <c r="AO2982" s="16"/>
      <c r="AP2982" s="16"/>
      <c r="AQ2982" s="16"/>
      <c r="AR2982" s="16"/>
      <c r="AS2982" s="16"/>
    </row>
    <row r="2983" spans="18:45" x14ac:dyDescent="0.35">
      <c r="R2983" s="191"/>
      <c r="S2983" s="191"/>
      <c r="T2983" s="193"/>
      <c r="U2983" s="191"/>
      <c r="V2983" s="194"/>
      <c r="W2983" s="191"/>
      <c r="Y2983" s="191"/>
      <c r="Z2983" s="191"/>
      <c r="AA2983" s="191"/>
      <c r="AB2983" s="191"/>
      <c r="AC2983" s="191"/>
      <c r="AD2983" s="16"/>
      <c r="AE2983" s="16"/>
      <c r="AF2983" s="16"/>
      <c r="AG2983" s="16"/>
      <c r="AH2983" s="16"/>
      <c r="AI2983" s="16"/>
      <c r="AJ2983" s="16"/>
      <c r="AK2983" s="16"/>
      <c r="AL2983" s="16"/>
      <c r="AM2983" s="16"/>
      <c r="AN2983" s="16"/>
      <c r="AO2983" s="16"/>
      <c r="AP2983" s="16"/>
      <c r="AQ2983" s="16"/>
      <c r="AR2983" s="16"/>
      <c r="AS2983" s="16"/>
    </row>
    <row r="2984" spans="18:45" x14ac:dyDescent="0.35">
      <c r="R2984" s="191"/>
      <c r="S2984" s="191"/>
      <c r="T2984" s="193"/>
      <c r="U2984" s="191"/>
      <c r="V2984" s="194"/>
      <c r="W2984" s="191"/>
      <c r="Y2984" s="191"/>
      <c r="Z2984" s="191"/>
      <c r="AA2984" s="191"/>
      <c r="AB2984" s="191"/>
      <c r="AC2984" s="191"/>
      <c r="AD2984" s="16"/>
      <c r="AE2984" s="16"/>
      <c r="AF2984" s="16"/>
      <c r="AG2984" s="16"/>
      <c r="AH2984" s="16"/>
      <c r="AI2984" s="16"/>
      <c r="AJ2984" s="16"/>
      <c r="AK2984" s="16"/>
      <c r="AL2984" s="16"/>
      <c r="AM2984" s="16"/>
      <c r="AN2984" s="16"/>
      <c r="AO2984" s="16"/>
      <c r="AP2984" s="16"/>
      <c r="AQ2984" s="16"/>
      <c r="AR2984" s="16"/>
      <c r="AS2984" s="16"/>
    </row>
    <row r="2985" spans="18:45" x14ac:dyDescent="0.35">
      <c r="R2985" s="191"/>
      <c r="S2985" s="191"/>
      <c r="T2985" s="193"/>
      <c r="U2985" s="191"/>
      <c r="V2985" s="194"/>
      <c r="W2985" s="191"/>
      <c r="Y2985" s="191"/>
      <c r="Z2985" s="191"/>
      <c r="AA2985" s="191"/>
      <c r="AB2985" s="191"/>
      <c r="AC2985" s="191"/>
      <c r="AD2985" s="16"/>
      <c r="AE2985" s="16"/>
      <c r="AF2985" s="16"/>
      <c r="AG2985" s="16"/>
      <c r="AH2985" s="16"/>
      <c r="AI2985" s="16"/>
      <c r="AJ2985" s="16"/>
      <c r="AK2985" s="16"/>
      <c r="AL2985" s="16"/>
      <c r="AM2985" s="16"/>
      <c r="AN2985" s="16"/>
      <c r="AO2985" s="16"/>
      <c r="AP2985" s="16"/>
      <c r="AQ2985" s="16"/>
      <c r="AR2985" s="16"/>
      <c r="AS2985" s="16"/>
    </row>
    <row r="2986" spans="18:45" x14ac:dyDescent="0.35">
      <c r="R2986" s="191"/>
      <c r="S2986" s="191"/>
      <c r="T2986" s="193"/>
      <c r="U2986" s="191"/>
      <c r="V2986" s="194"/>
      <c r="W2986" s="191"/>
      <c r="Y2986" s="191"/>
      <c r="Z2986" s="191"/>
      <c r="AA2986" s="191"/>
      <c r="AB2986" s="191"/>
      <c r="AC2986" s="191"/>
      <c r="AD2986" s="16"/>
      <c r="AE2986" s="16"/>
      <c r="AF2986" s="16"/>
      <c r="AG2986" s="16"/>
      <c r="AH2986" s="16"/>
      <c r="AI2986" s="16"/>
      <c r="AJ2986" s="16"/>
      <c r="AK2986" s="16"/>
      <c r="AL2986" s="16"/>
      <c r="AM2986" s="16"/>
      <c r="AN2986" s="16"/>
      <c r="AO2986" s="16"/>
      <c r="AP2986" s="16"/>
      <c r="AQ2986" s="16"/>
      <c r="AR2986" s="16"/>
      <c r="AS2986" s="16"/>
    </row>
    <row r="2987" spans="18:45" x14ac:dyDescent="0.35">
      <c r="R2987" s="191"/>
      <c r="S2987" s="191"/>
      <c r="T2987" s="193"/>
      <c r="U2987" s="191"/>
      <c r="V2987" s="194"/>
      <c r="W2987" s="191"/>
      <c r="Y2987" s="191"/>
      <c r="Z2987" s="191"/>
      <c r="AA2987" s="191"/>
      <c r="AB2987" s="191"/>
      <c r="AC2987" s="191"/>
      <c r="AD2987" s="16"/>
      <c r="AE2987" s="16"/>
      <c r="AF2987" s="16"/>
      <c r="AG2987" s="16"/>
      <c r="AH2987" s="16"/>
      <c r="AI2987" s="16"/>
      <c r="AJ2987" s="16"/>
      <c r="AK2987" s="16"/>
      <c r="AL2987" s="16"/>
      <c r="AM2987" s="16"/>
      <c r="AN2987" s="16"/>
      <c r="AO2987" s="16"/>
      <c r="AP2987" s="16"/>
      <c r="AQ2987" s="16"/>
      <c r="AR2987" s="16"/>
      <c r="AS2987" s="16"/>
    </row>
    <row r="2988" spans="18:45" x14ac:dyDescent="0.35">
      <c r="R2988" s="191"/>
      <c r="S2988" s="191"/>
      <c r="T2988" s="193"/>
      <c r="U2988" s="191"/>
      <c r="V2988" s="194"/>
      <c r="W2988" s="191"/>
      <c r="Y2988" s="191"/>
      <c r="Z2988" s="191"/>
      <c r="AA2988" s="191"/>
      <c r="AB2988" s="191"/>
      <c r="AC2988" s="191"/>
      <c r="AD2988" s="16"/>
      <c r="AE2988" s="16"/>
      <c r="AF2988" s="16"/>
      <c r="AG2988" s="16"/>
      <c r="AH2988" s="16"/>
      <c r="AI2988" s="16"/>
      <c r="AJ2988" s="16"/>
      <c r="AK2988" s="16"/>
      <c r="AL2988" s="16"/>
      <c r="AM2988" s="16"/>
      <c r="AN2988" s="16"/>
      <c r="AO2988" s="16"/>
      <c r="AP2988" s="16"/>
      <c r="AQ2988" s="16"/>
      <c r="AR2988" s="16"/>
      <c r="AS2988" s="16"/>
    </row>
    <row r="2989" spans="18:45" x14ac:dyDescent="0.35">
      <c r="R2989" s="191"/>
      <c r="S2989" s="191"/>
      <c r="T2989" s="193"/>
      <c r="U2989" s="191"/>
      <c r="V2989" s="194"/>
      <c r="W2989" s="191"/>
      <c r="Y2989" s="191"/>
      <c r="Z2989" s="191"/>
      <c r="AA2989" s="191"/>
      <c r="AB2989" s="191"/>
      <c r="AC2989" s="191"/>
      <c r="AD2989" s="16"/>
      <c r="AE2989" s="16"/>
      <c r="AF2989" s="16"/>
      <c r="AG2989" s="16"/>
      <c r="AH2989" s="16"/>
      <c r="AI2989" s="16"/>
      <c r="AJ2989" s="16"/>
      <c r="AK2989" s="16"/>
      <c r="AL2989" s="16"/>
      <c r="AM2989" s="16"/>
      <c r="AN2989" s="16"/>
      <c r="AO2989" s="16"/>
      <c r="AP2989" s="16"/>
      <c r="AQ2989" s="16"/>
      <c r="AR2989" s="16"/>
      <c r="AS2989" s="16"/>
    </row>
    <row r="2990" spans="18:45" x14ac:dyDescent="0.35">
      <c r="R2990" s="191"/>
      <c r="S2990" s="191"/>
      <c r="T2990" s="193"/>
      <c r="U2990" s="191"/>
      <c r="V2990" s="194"/>
      <c r="W2990" s="191"/>
      <c r="Y2990" s="191"/>
      <c r="Z2990" s="191"/>
      <c r="AA2990" s="191"/>
      <c r="AB2990" s="191"/>
      <c r="AC2990" s="191"/>
      <c r="AD2990" s="16"/>
      <c r="AE2990" s="16"/>
      <c r="AF2990" s="16"/>
      <c r="AG2990" s="16"/>
      <c r="AH2990" s="16"/>
      <c r="AI2990" s="16"/>
      <c r="AJ2990" s="16"/>
      <c r="AK2990" s="16"/>
      <c r="AL2990" s="16"/>
      <c r="AM2990" s="16"/>
      <c r="AN2990" s="16"/>
      <c r="AO2990" s="16"/>
      <c r="AP2990" s="16"/>
      <c r="AQ2990" s="16"/>
      <c r="AR2990" s="16"/>
      <c r="AS2990" s="16"/>
    </row>
    <row r="2991" spans="18:45" x14ac:dyDescent="0.35">
      <c r="R2991" s="191"/>
      <c r="S2991" s="191"/>
      <c r="T2991" s="193"/>
      <c r="U2991" s="191"/>
      <c r="V2991" s="194"/>
      <c r="W2991" s="191"/>
      <c r="Y2991" s="191"/>
      <c r="Z2991" s="191"/>
      <c r="AA2991" s="191"/>
      <c r="AB2991" s="191"/>
      <c r="AC2991" s="191"/>
      <c r="AD2991" s="16"/>
      <c r="AE2991" s="16"/>
      <c r="AF2991" s="16"/>
      <c r="AG2991" s="16"/>
      <c r="AH2991" s="16"/>
      <c r="AI2991" s="16"/>
      <c r="AJ2991" s="16"/>
      <c r="AK2991" s="16"/>
      <c r="AL2991" s="16"/>
      <c r="AM2991" s="16"/>
      <c r="AN2991" s="16"/>
      <c r="AO2991" s="16"/>
      <c r="AP2991" s="16"/>
      <c r="AQ2991" s="16"/>
      <c r="AR2991" s="16"/>
      <c r="AS2991" s="16"/>
    </row>
    <row r="2992" spans="18:45" x14ac:dyDescent="0.35">
      <c r="R2992" s="191"/>
      <c r="S2992" s="191"/>
      <c r="T2992" s="193"/>
      <c r="U2992" s="191"/>
      <c r="V2992" s="194"/>
      <c r="W2992" s="191"/>
      <c r="Y2992" s="191"/>
      <c r="Z2992" s="191"/>
      <c r="AA2992" s="191"/>
      <c r="AB2992" s="191"/>
      <c r="AC2992" s="191"/>
      <c r="AD2992" s="16"/>
      <c r="AE2992" s="16"/>
      <c r="AF2992" s="16"/>
      <c r="AG2992" s="16"/>
      <c r="AH2992" s="16"/>
      <c r="AI2992" s="16"/>
      <c r="AJ2992" s="16"/>
      <c r="AK2992" s="16"/>
      <c r="AL2992" s="16"/>
      <c r="AM2992" s="16"/>
      <c r="AN2992" s="16"/>
      <c r="AO2992" s="16"/>
      <c r="AP2992" s="16"/>
      <c r="AQ2992" s="16"/>
      <c r="AR2992" s="16"/>
      <c r="AS2992" s="16"/>
    </row>
    <row r="2993" spans="18:45" x14ac:dyDescent="0.35">
      <c r="R2993" s="191"/>
      <c r="S2993" s="191"/>
      <c r="T2993" s="193"/>
      <c r="U2993" s="191"/>
      <c r="V2993" s="194"/>
      <c r="W2993" s="191"/>
      <c r="Y2993" s="191"/>
      <c r="Z2993" s="191"/>
      <c r="AA2993" s="191"/>
      <c r="AB2993" s="191"/>
      <c r="AC2993" s="191"/>
      <c r="AD2993" s="16"/>
      <c r="AE2993" s="16"/>
      <c r="AF2993" s="16"/>
      <c r="AG2993" s="16"/>
      <c r="AH2993" s="16"/>
      <c r="AI2993" s="16"/>
      <c r="AJ2993" s="16"/>
      <c r="AK2993" s="16"/>
      <c r="AL2993" s="16"/>
      <c r="AM2993" s="16"/>
      <c r="AN2993" s="16"/>
      <c r="AO2993" s="16"/>
      <c r="AP2993" s="16"/>
      <c r="AQ2993" s="16"/>
      <c r="AR2993" s="16"/>
      <c r="AS2993" s="16"/>
    </row>
    <row r="2994" spans="18:45" x14ac:dyDescent="0.35">
      <c r="R2994" s="191"/>
      <c r="S2994" s="191"/>
      <c r="T2994" s="193"/>
      <c r="U2994" s="191"/>
      <c r="V2994" s="194"/>
      <c r="W2994" s="191"/>
      <c r="Y2994" s="191"/>
      <c r="Z2994" s="191"/>
      <c r="AA2994" s="191"/>
      <c r="AB2994" s="191"/>
      <c r="AC2994" s="191"/>
      <c r="AD2994" s="16"/>
      <c r="AE2994" s="16"/>
      <c r="AF2994" s="16"/>
      <c r="AG2994" s="16"/>
      <c r="AH2994" s="16"/>
      <c r="AI2994" s="16"/>
      <c r="AJ2994" s="16"/>
      <c r="AK2994" s="16"/>
      <c r="AL2994" s="16"/>
      <c r="AM2994" s="16"/>
      <c r="AN2994" s="16"/>
      <c r="AO2994" s="16"/>
      <c r="AP2994" s="16"/>
      <c r="AQ2994" s="16"/>
      <c r="AR2994" s="16"/>
      <c r="AS2994" s="16"/>
    </row>
    <row r="2995" spans="18:45" x14ac:dyDescent="0.35">
      <c r="R2995" s="191"/>
      <c r="S2995" s="191"/>
      <c r="T2995" s="193"/>
      <c r="U2995" s="191"/>
      <c r="V2995" s="194"/>
      <c r="W2995" s="191"/>
      <c r="Y2995" s="191"/>
      <c r="Z2995" s="191"/>
      <c r="AA2995" s="191"/>
      <c r="AB2995" s="191"/>
      <c r="AC2995" s="191"/>
      <c r="AD2995" s="16"/>
      <c r="AE2995" s="16"/>
      <c r="AF2995" s="16"/>
      <c r="AG2995" s="16"/>
      <c r="AH2995" s="16"/>
      <c r="AI2995" s="16"/>
      <c r="AJ2995" s="16"/>
      <c r="AK2995" s="16"/>
      <c r="AL2995" s="16"/>
      <c r="AM2995" s="16"/>
      <c r="AN2995" s="16"/>
      <c r="AO2995" s="16"/>
      <c r="AP2995" s="16"/>
      <c r="AQ2995" s="16"/>
      <c r="AR2995" s="16"/>
      <c r="AS2995" s="16"/>
    </row>
    <row r="2996" spans="18:45" x14ac:dyDescent="0.35">
      <c r="R2996" s="191"/>
      <c r="S2996" s="191"/>
      <c r="T2996" s="193"/>
      <c r="U2996" s="191"/>
      <c r="V2996" s="194"/>
      <c r="W2996" s="191"/>
      <c r="Y2996" s="191"/>
      <c r="Z2996" s="191"/>
      <c r="AA2996" s="191"/>
      <c r="AB2996" s="191"/>
      <c r="AC2996" s="191"/>
      <c r="AD2996" s="16"/>
      <c r="AE2996" s="16"/>
      <c r="AF2996" s="16"/>
      <c r="AG2996" s="16"/>
      <c r="AH2996" s="16"/>
      <c r="AI2996" s="16"/>
      <c r="AJ2996" s="16"/>
      <c r="AK2996" s="16"/>
      <c r="AL2996" s="16"/>
      <c r="AM2996" s="16"/>
      <c r="AN2996" s="16"/>
      <c r="AO2996" s="16"/>
      <c r="AP2996" s="16"/>
      <c r="AQ2996" s="16"/>
      <c r="AR2996" s="16"/>
      <c r="AS2996" s="16"/>
    </row>
    <row r="2997" spans="18:45" x14ac:dyDescent="0.35">
      <c r="R2997" s="191"/>
      <c r="S2997" s="191"/>
      <c r="T2997" s="193"/>
      <c r="U2997" s="191"/>
      <c r="V2997" s="194"/>
      <c r="W2997" s="191"/>
      <c r="Y2997" s="191"/>
      <c r="Z2997" s="191"/>
      <c r="AA2997" s="191"/>
      <c r="AB2997" s="191"/>
      <c r="AC2997" s="191"/>
      <c r="AD2997" s="16"/>
      <c r="AE2997" s="16"/>
      <c r="AF2997" s="16"/>
      <c r="AG2997" s="16"/>
      <c r="AH2997" s="16"/>
      <c r="AI2997" s="16"/>
      <c r="AJ2997" s="16"/>
      <c r="AK2997" s="16"/>
      <c r="AL2997" s="16"/>
      <c r="AM2997" s="16"/>
      <c r="AN2997" s="16"/>
      <c r="AO2997" s="16"/>
      <c r="AP2997" s="16"/>
      <c r="AQ2997" s="16"/>
      <c r="AR2997" s="16"/>
      <c r="AS2997" s="16"/>
    </row>
    <row r="2998" spans="18:45" x14ac:dyDescent="0.35">
      <c r="R2998" s="191"/>
      <c r="S2998" s="191"/>
      <c r="T2998" s="193"/>
      <c r="U2998" s="191"/>
      <c r="V2998" s="194"/>
      <c r="W2998" s="191"/>
      <c r="Y2998" s="191"/>
      <c r="Z2998" s="191"/>
      <c r="AA2998" s="191"/>
      <c r="AB2998" s="191"/>
      <c r="AC2998" s="191"/>
      <c r="AD2998" s="16"/>
      <c r="AE2998" s="16"/>
      <c r="AF2998" s="16"/>
      <c r="AG2998" s="16"/>
      <c r="AH2998" s="16"/>
      <c r="AI2998" s="16"/>
      <c r="AJ2998" s="16"/>
      <c r="AK2998" s="16"/>
      <c r="AL2998" s="16"/>
      <c r="AM2998" s="16"/>
      <c r="AN2998" s="16"/>
      <c r="AO2998" s="16"/>
      <c r="AP2998" s="16"/>
      <c r="AQ2998" s="16"/>
      <c r="AR2998" s="16"/>
      <c r="AS2998" s="16"/>
    </row>
    <row r="2999" spans="18:45" x14ac:dyDescent="0.35">
      <c r="R2999" s="191"/>
      <c r="S2999" s="191"/>
      <c r="T2999" s="193"/>
      <c r="U2999" s="191"/>
      <c r="V2999" s="194"/>
      <c r="W2999" s="191"/>
      <c r="Y2999" s="191"/>
      <c r="Z2999" s="191"/>
      <c r="AA2999" s="191"/>
      <c r="AB2999" s="191"/>
      <c r="AC2999" s="191"/>
      <c r="AD2999" s="16"/>
      <c r="AE2999" s="16"/>
      <c r="AF2999" s="16"/>
      <c r="AG2999" s="16"/>
      <c r="AH2999" s="16"/>
      <c r="AI2999" s="16"/>
      <c r="AJ2999" s="16"/>
      <c r="AK2999" s="16"/>
      <c r="AL2999" s="16"/>
      <c r="AM2999" s="16"/>
      <c r="AN2999" s="16"/>
      <c r="AO2999" s="16"/>
      <c r="AP2999" s="16"/>
      <c r="AQ2999" s="16"/>
      <c r="AR2999" s="16"/>
      <c r="AS2999" s="16"/>
    </row>
    <row r="3000" spans="18:45" x14ac:dyDescent="0.35">
      <c r="R3000" s="191"/>
      <c r="S3000" s="191"/>
      <c r="T3000" s="193"/>
      <c r="U3000" s="191"/>
      <c r="V3000" s="194"/>
      <c r="W3000" s="191"/>
      <c r="Y3000" s="191"/>
      <c r="Z3000" s="191"/>
      <c r="AA3000" s="191"/>
      <c r="AB3000" s="191"/>
      <c r="AC3000" s="191"/>
      <c r="AD3000" s="16"/>
      <c r="AE3000" s="16"/>
      <c r="AF3000" s="16"/>
      <c r="AG3000" s="16"/>
      <c r="AH3000" s="16"/>
      <c r="AI3000" s="16"/>
      <c r="AJ3000" s="16"/>
      <c r="AK3000" s="16"/>
      <c r="AL3000" s="16"/>
      <c r="AM3000" s="16"/>
      <c r="AN3000" s="16"/>
      <c r="AO3000" s="16"/>
      <c r="AP3000" s="16"/>
      <c r="AQ3000" s="16"/>
      <c r="AR3000" s="16"/>
      <c r="AS3000" s="16"/>
    </row>
    <row r="3001" spans="18:45" x14ac:dyDescent="0.35">
      <c r="R3001" s="191"/>
      <c r="S3001" s="191"/>
      <c r="T3001" s="193"/>
      <c r="U3001" s="191"/>
      <c r="V3001" s="194"/>
      <c r="W3001" s="191"/>
      <c r="Y3001" s="191"/>
      <c r="Z3001" s="191"/>
      <c r="AA3001" s="191"/>
      <c r="AB3001" s="191"/>
      <c r="AC3001" s="191"/>
      <c r="AD3001" s="16"/>
      <c r="AE3001" s="16"/>
      <c r="AF3001" s="16"/>
      <c r="AG3001" s="16"/>
      <c r="AH3001" s="16"/>
      <c r="AI3001" s="16"/>
      <c r="AJ3001" s="16"/>
      <c r="AK3001" s="16"/>
      <c r="AL3001" s="16"/>
      <c r="AM3001" s="16"/>
      <c r="AN3001" s="16"/>
      <c r="AO3001" s="16"/>
      <c r="AP3001" s="16"/>
      <c r="AQ3001" s="16"/>
      <c r="AR3001" s="16"/>
      <c r="AS3001" s="16"/>
    </row>
    <row r="3002" spans="18:45" x14ac:dyDescent="0.35">
      <c r="R3002" s="191"/>
      <c r="S3002" s="191"/>
      <c r="T3002" s="193"/>
      <c r="U3002" s="191"/>
      <c r="V3002" s="194"/>
      <c r="W3002" s="191"/>
      <c r="Y3002" s="191"/>
      <c r="Z3002" s="191"/>
      <c r="AA3002" s="191"/>
      <c r="AB3002" s="191"/>
      <c r="AC3002" s="191"/>
      <c r="AD3002" s="16"/>
      <c r="AE3002" s="16"/>
      <c r="AF3002" s="16"/>
      <c r="AG3002" s="16"/>
      <c r="AH3002" s="16"/>
      <c r="AI3002" s="16"/>
      <c r="AJ3002" s="16"/>
      <c r="AK3002" s="16"/>
      <c r="AL3002" s="16"/>
      <c r="AM3002" s="16"/>
      <c r="AN3002" s="16"/>
      <c r="AO3002" s="16"/>
      <c r="AP3002" s="16"/>
      <c r="AQ3002" s="16"/>
      <c r="AR3002" s="16"/>
      <c r="AS3002" s="16"/>
    </row>
    <row r="3003" spans="18:45" x14ac:dyDescent="0.35">
      <c r="R3003" s="191"/>
      <c r="S3003" s="191"/>
      <c r="T3003" s="193"/>
      <c r="U3003" s="191"/>
      <c r="V3003" s="194"/>
      <c r="W3003" s="191"/>
      <c r="Y3003" s="191"/>
      <c r="Z3003" s="191"/>
      <c r="AA3003" s="191"/>
      <c r="AB3003" s="191"/>
      <c r="AC3003" s="191"/>
      <c r="AD3003" s="16"/>
      <c r="AE3003" s="16"/>
      <c r="AF3003" s="16"/>
      <c r="AG3003" s="16"/>
      <c r="AH3003" s="16"/>
      <c r="AI3003" s="16"/>
      <c r="AJ3003" s="16"/>
      <c r="AK3003" s="16"/>
      <c r="AL3003" s="16"/>
      <c r="AM3003" s="16"/>
      <c r="AN3003" s="16"/>
      <c r="AO3003" s="16"/>
      <c r="AP3003" s="16"/>
      <c r="AQ3003" s="16"/>
      <c r="AR3003" s="16"/>
      <c r="AS3003" s="16"/>
    </row>
    <row r="3004" spans="18:45" x14ac:dyDescent="0.35">
      <c r="R3004" s="191"/>
      <c r="S3004" s="191"/>
      <c r="T3004" s="193"/>
      <c r="U3004" s="191"/>
      <c r="V3004" s="194"/>
      <c r="W3004" s="191"/>
      <c r="Y3004" s="191"/>
      <c r="Z3004" s="191"/>
      <c r="AA3004" s="191"/>
      <c r="AB3004" s="191"/>
      <c r="AC3004" s="191"/>
      <c r="AD3004" s="16"/>
      <c r="AE3004" s="16"/>
      <c r="AF3004" s="16"/>
      <c r="AG3004" s="16"/>
      <c r="AH3004" s="16"/>
      <c r="AI3004" s="16"/>
      <c r="AJ3004" s="16"/>
      <c r="AK3004" s="16"/>
      <c r="AL3004" s="16"/>
      <c r="AM3004" s="16"/>
      <c r="AN3004" s="16"/>
      <c r="AO3004" s="16"/>
      <c r="AP3004" s="16"/>
      <c r="AQ3004" s="16"/>
      <c r="AR3004" s="16"/>
      <c r="AS3004" s="16"/>
    </row>
    <row r="3005" spans="18:45" x14ac:dyDescent="0.35">
      <c r="R3005" s="191"/>
      <c r="S3005" s="191"/>
      <c r="T3005" s="193"/>
      <c r="U3005" s="191"/>
      <c r="V3005" s="194"/>
      <c r="W3005" s="191"/>
      <c r="Y3005" s="191"/>
      <c r="Z3005" s="191"/>
      <c r="AA3005" s="191"/>
      <c r="AB3005" s="191"/>
      <c r="AC3005" s="191"/>
      <c r="AD3005" s="16"/>
      <c r="AE3005" s="16"/>
      <c r="AF3005" s="16"/>
      <c r="AG3005" s="16"/>
      <c r="AH3005" s="16"/>
      <c r="AI3005" s="16"/>
      <c r="AJ3005" s="16"/>
      <c r="AK3005" s="16"/>
      <c r="AL3005" s="16"/>
      <c r="AM3005" s="16"/>
      <c r="AN3005" s="16"/>
      <c r="AO3005" s="16"/>
      <c r="AP3005" s="16"/>
      <c r="AQ3005" s="16"/>
      <c r="AR3005" s="16"/>
      <c r="AS3005" s="16"/>
    </row>
    <row r="3006" spans="18:45" x14ac:dyDescent="0.35">
      <c r="R3006" s="191"/>
      <c r="S3006" s="191"/>
      <c r="T3006" s="193"/>
      <c r="U3006" s="191"/>
      <c r="V3006" s="194"/>
      <c r="W3006" s="191"/>
      <c r="Y3006" s="191"/>
      <c r="Z3006" s="191"/>
      <c r="AA3006" s="191"/>
      <c r="AB3006" s="191"/>
      <c r="AC3006" s="191"/>
      <c r="AD3006" s="16"/>
      <c r="AE3006" s="16"/>
      <c r="AF3006" s="16"/>
      <c r="AG3006" s="16"/>
      <c r="AH3006" s="16"/>
      <c r="AI3006" s="16"/>
      <c r="AJ3006" s="16"/>
      <c r="AK3006" s="16"/>
      <c r="AL3006" s="16"/>
      <c r="AM3006" s="16"/>
      <c r="AN3006" s="16"/>
      <c r="AO3006" s="16"/>
      <c r="AP3006" s="16"/>
      <c r="AQ3006" s="16"/>
      <c r="AR3006" s="16"/>
      <c r="AS3006" s="16"/>
    </row>
    <row r="3007" spans="18:45" x14ac:dyDescent="0.35">
      <c r="R3007" s="191"/>
      <c r="S3007" s="191"/>
      <c r="T3007" s="193"/>
      <c r="U3007" s="191"/>
      <c r="V3007" s="194"/>
      <c r="W3007" s="191"/>
      <c r="Y3007" s="191"/>
      <c r="Z3007" s="191"/>
      <c r="AA3007" s="191"/>
      <c r="AB3007" s="191"/>
      <c r="AC3007" s="191"/>
      <c r="AD3007" s="16"/>
      <c r="AE3007" s="16"/>
      <c r="AF3007" s="16"/>
      <c r="AG3007" s="16"/>
      <c r="AH3007" s="16"/>
      <c r="AI3007" s="16"/>
      <c r="AJ3007" s="16"/>
      <c r="AK3007" s="16"/>
      <c r="AL3007" s="16"/>
      <c r="AM3007" s="16"/>
      <c r="AN3007" s="16"/>
      <c r="AO3007" s="16"/>
      <c r="AP3007" s="16"/>
      <c r="AQ3007" s="16"/>
      <c r="AR3007" s="16"/>
      <c r="AS3007" s="16"/>
    </row>
    <row r="3008" spans="18:45" x14ac:dyDescent="0.35">
      <c r="R3008" s="191"/>
      <c r="S3008" s="191"/>
      <c r="T3008" s="193"/>
      <c r="U3008" s="191"/>
      <c r="V3008" s="194"/>
      <c r="W3008" s="191"/>
      <c r="Y3008" s="191"/>
      <c r="Z3008" s="191"/>
      <c r="AA3008" s="191"/>
      <c r="AB3008" s="191"/>
      <c r="AC3008" s="191"/>
      <c r="AD3008" s="16"/>
      <c r="AE3008" s="16"/>
      <c r="AF3008" s="16"/>
      <c r="AG3008" s="16"/>
      <c r="AH3008" s="16"/>
      <c r="AI3008" s="16"/>
      <c r="AJ3008" s="16"/>
      <c r="AK3008" s="16"/>
      <c r="AL3008" s="16"/>
      <c r="AM3008" s="16"/>
      <c r="AN3008" s="16"/>
      <c r="AO3008" s="16"/>
      <c r="AP3008" s="16"/>
      <c r="AQ3008" s="16"/>
      <c r="AR3008" s="16"/>
      <c r="AS3008" s="16"/>
    </row>
    <row r="3009" spans="18:45" x14ac:dyDescent="0.35">
      <c r="R3009" s="191"/>
      <c r="S3009" s="191"/>
      <c r="T3009" s="193"/>
      <c r="U3009" s="191"/>
      <c r="V3009" s="194"/>
      <c r="W3009" s="191"/>
      <c r="Y3009" s="191"/>
      <c r="Z3009" s="191"/>
      <c r="AA3009" s="191"/>
      <c r="AB3009" s="191"/>
      <c r="AC3009" s="191"/>
      <c r="AD3009" s="16"/>
      <c r="AE3009" s="16"/>
      <c r="AF3009" s="16"/>
      <c r="AG3009" s="16"/>
      <c r="AH3009" s="16"/>
      <c r="AI3009" s="16"/>
      <c r="AJ3009" s="16"/>
      <c r="AK3009" s="16"/>
      <c r="AL3009" s="16"/>
      <c r="AM3009" s="16"/>
      <c r="AN3009" s="16"/>
      <c r="AO3009" s="16"/>
      <c r="AP3009" s="16"/>
      <c r="AQ3009" s="16"/>
      <c r="AR3009" s="16"/>
      <c r="AS3009" s="16"/>
    </row>
    <row r="3010" spans="18:45" x14ac:dyDescent="0.35">
      <c r="R3010" s="191"/>
      <c r="S3010" s="191"/>
      <c r="T3010" s="193"/>
      <c r="U3010" s="191"/>
      <c r="V3010" s="194"/>
      <c r="W3010" s="191"/>
      <c r="Y3010" s="191"/>
      <c r="Z3010" s="191"/>
      <c r="AA3010" s="191"/>
      <c r="AB3010" s="191"/>
      <c r="AC3010" s="191"/>
      <c r="AD3010" s="16"/>
      <c r="AE3010" s="16"/>
      <c r="AF3010" s="16"/>
      <c r="AG3010" s="16"/>
      <c r="AH3010" s="16"/>
      <c r="AI3010" s="16"/>
      <c r="AJ3010" s="16"/>
      <c r="AK3010" s="16"/>
      <c r="AL3010" s="16"/>
      <c r="AM3010" s="16"/>
      <c r="AN3010" s="16"/>
      <c r="AO3010" s="16"/>
      <c r="AP3010" s="16"/>
      <c r="AQ3010" s="16"/>
      <c r="AR3010" s="16"/>
      <c r="AS3010" s="16"/>
    </row>
    <row r="3011" spans="18:45" x14ac:dyDescent="0.35">
      <c r="R3011" s="191"/>
      <c r="S3011" s="191"/>
      <c r="T3011" s="193"/>
      <c r="U3011" s="191"/>
      <c r="V3011" s="194"/>
      <c r="W3011" s="191"/>
      <c r="Y3011" s="191"/>
      <c r="Z3011" s="191"/>
      <c r="AA3011" s="191"/>
      <c r="AB3011" s="191"/>
      <c r="AC3011" s="191"/>
      <c r="AD3011" s="16"/>
      <c r="AE3011" s="16"/>
      <c r="AF3011" s="16"/>
      <c r="AG3011" s="16"/>
      <c r="AH3011" s="16"/>
      <c r="AI3011" s="16"/>
      <c r="AJ3011" s="16"/>
      <c r="AK3011" s="16"/>
      <c r="AL3011" s="16"/>
      <c r="AM3011" s="16"/>
      <c r="AN3011" s="16"/>
      <c r="AO3011" s="16"/>
      <c r="AP3011" s="16"/>
      <c r="AQ3011" s="16"/>
      <c r="AR3011" s="16"/>
      <c r="AS3011" s="16"/>
    </row>
    <row r="3012" spans="18:45" x14ac:dyDescent="0.35">
      <c r="R3012" s="191"/>
      <c r="S3012" s="191"/>
      <c r="T3012" s="193"/>
      <c r="U3012" s="191"/>
      <c r="V3012" s="194"/>
      <c r="W3012" s="191"/>
      <c r="Y3012" s="191"/>
      <c r="Z3012" s="191"/>
      <c r="AA3012" s="191"/>
      <c r="AB3012" s="191"/>
      <c r="AC3012" s="191"/>
      <c r="AD3012" s="16"/>
      <c r="AE3012" s="16"/>
      <c r="AF3012" s="16"/>
      <c r="AG3012" s="16"/>
      <c r="AH3012" s="16"/>
      <c r="AI3012" s="16"/>
      <c r="AJ3012" s="16"/>
      <c r="AK3012" s="16"/>
      <c r="AL3012" s="16"/>
      <c r="AM3012" s="16"/>
      <c r="AN3012" s="16"/>
      <c r="AO3012" s="16"/>
      <c r="AP3012" s="16"/>
      <c r="AQ3012" s="16"/>
      <c r="AR3012" s="16"/>
      <c r="AS3012" s="16"/>
    </row>
    <row r="3013" spans="18:45" x14ac:dyDescent="0.35">
      <c r="R3013" s="191"/>
      <c r="S3013" s="191"/>
      <c r="T3013" s="193"/>
      <c r="U3013" s="191"/>
      <c r="V3013" s="194"/>
      <c r="W3013" s="191"/>
      <c r="Y3013" s="191"/>
      <c r="Z3013" s="191"/>
      <c r="AA3013" s="191"/>
      <c r="AB3013" s="191"/>
      <c r="AC3013" s="191"/>
      <c r="AD3013" s="16"/>
      <c r="AE3013" s="16"/>
      <c r="AF3013" s="16"/>
      <c r="AG3013" s="16"/>
      <c r="AH3013" s="16"/>
      <c r="AI3013" s="16"/>
      <c r="AJ3013" s="16"/>
      <c r="AK3013" s="16"/>
      <c r="AL3013" s="16"/>
      <c r="AM3013" s="16"/>
      <c r="AN3013" s="16"/>
      <c r="AO3013" s="16"/>
      <c r="AP3013" s="16"/>
      <c r="AQ3013" s="16"/>
      <c r="AR3013" s="16"/>
      <c r="AS3013" s="16"/>
    </row>
    <row r="3014" spans="18:45" x14ac:dyDescent="0.35">
      <c r="R3014" s="191"/>
      <c r="S3014" s="191"/>
      <c r="T3014" s="193"/>
      <c r="U3014" s="191"/>
      <c r="V3014" s="194"/>
      <c r="W3014" s="191"/>
      <c r="Y3014" s="191"/>
      <c r="Z3014" s="191"/>
      <c r="AA3014" s="191"/>
      <c r="AB3014" s="191"/>
      <c r="AC3014" s="191"/>
      <c r="AD3014" s="16"/>
      <c r="AE3014" s="16"/>
      <c r="AF3014" s="16"/>
      <c r="AG3014" s="16"/>
      <c r="AH3014" s="16"/>
      <c r="AI3014" s="16"/>
      <c r="AJ3014" s="16"/>
      <c r="AK3014" s="16"/>
      <c r="AL3014" s="16"/>
      <c r="AM3014" s="16"/>
      <c r="AN3014" s="16"/>
      <c r="AO3014" s="16"/>
      <c r="AP3014" s="16"/>
      <c r="AQ3014" s="16"/>
      <c r="AR3014" s="16"/>
      <c r="AS3014" s="16"/>
    </row>
    <row r="3015" spans="18:45" x14ac:dyDescent="0.35">
      <c r="R3015" s="191"/>
      <c r="S3015" s="191"/>
      <c r="T3015" s="193"/>
      <c r="U3015" s="191"/>
      <c r="V3015" s="194"/>
      <c r="W3015" s="191"/>
      <c r="Y3015" s="191"/>
      <c r="Z3015" s="191"/>
      <c r="AA3015" s="191"/>
      <c r="AB3015" s="191"/>
      <c r="AC3015" s="191"/>
      <c r="AD3015" s="16"/>
      <c r="AE3015" s="16"/>
      <c r="AF3015" s="16"/>
      <c r="AG3015" s="16"/>
      <c r="AH3015" s="16"/>
      <c r="AI3015" s="16"/>
      <c r="AJ3015" s="16"/>
      <c r="AK3015" s="16"/>
      <c r="AL3015" s="16"/>
      <c r="AM3015" s="16"/>
      <c r="AN3015" s="16"/>
      <c r="AO3015" s="16"/>
      <c r="AP3015" s="16"/>
      <c r="AQ3015" s="16"/>
      <c r="AR3015" s="16"/>
      <c r="AS3015" s="16"/>
    </row>
    <row r="3016" spans="18:45" x14ac:dyDescent="0.35">
      <c r="R3016" s="191"/>
      <c r="S3016" s="191"/>
      <c r="T3016" s="193"/>
      <c r="U3016" s="191"/>
      <c r="V3016" s="194"/>
      <c r="W3016" s="191"/>
      <c r="Y3016" s="191"/>
      <c r="Z3016" s="191"/>
      <c r="AA3016" s="191"/>
      <c r="AB3016" s="191"/>
      <c r="AC3016" s="191"/>
      <c r="AD3016" s="16"/>
      <c r="AE3016" s="16"/>
      <c r="AF3016" s="16"/>
      <c r="AG3016" s="16"/>
      <c r="AH3016" s="16"/>
      <c r="AI3016" s="16"/>
      <c r="AJ3016" s="16"/>
      <c r="AK3016" s="16"/>
      <c r="AL3016" s="16"/>
      <c r="AM3016" s="16"/>
      <c r="AN3016" s="16"/>
      <c r="AO3016" s="16"/>
      <c r="AP3016" s="16"/>
      <c r="AQ3016" s="16"/>
      <c r="AR3016" s="16"/>
      <c r="AS3016" s="16"/>
    </row>
    <row r="3017" spans="18:45" x14ac:dyDescent="0.35">
      <c r="R3017" s="191"/>
      <c r="S3017" s="191"/>
      <c r="T3017" s="193"/>
      <c r="U3017" s="191"/>
      <c r="V3017" s="194"/>
      <c r="W3017" s="191"/>
      <c r="Y3017" s="191"/>
      <c r="Z3017" s="191"/>
      <c r="AA3017" s="191"/>
      <c r="AB3017" s="191"/>
      <c r="AC3017" s="191"/>
      <c r="AD3017" s="16"/>
      <c r="AE3017" s="16"/>
      <c r="AF3017" s="16"/>
      <c r="AG3017" s="16"/>
      <c r="AH3017" s="16"/>
      <c r="AI3017" s="16"/>
      <c r="AJ3017" s="16"/>
      <c r="AK3017" s="16"/>
      <c r="AL3017" s="16"/>
      <c r="AM3017" s="16"/>
      <c r="AN3017" s="16"/>
      <c r="AO3017" s="16"/>
      <c r="AP3017" s="16"/>
      <c r="AQ3017" s="16"/>
      <c r="AR3017" s="16"/>
      <c r="AS3017" s="16"/>
    </row>
    <row r="3018" spans="18:45" x14ac:dyDescent="0.35">
      <c r="R3018" s="191"/>
      <c r="S3018" s="191"/>
      <c r="T3018" s="193"/>
      <c r="U3018" s="191"/>
      <c r="V3018" s="194"/>
      <c r="W3018" s="191"/>
      <c r="Y3018" s="191"/>
      <c r="Z3018" s="191"/>
      <c r="AA3018" s="191"/>
      <c r="AB3018" s="191"/>
      <c r="AC3018" s="191"/>
      <c r="AD3018" s="16"/>
      <c r="AE3018" s="16"/>
      <c r="AF3018" s="16"/>
      <c r="AG3018" s="16"/>
      <c r="AH3018" s="16"/>
      <c r="AI3018" s="16"/>
      <c r="AJ3018" s="16"/>
      <c r="AK3018" s="16"/>
      <c r="AL3018" s="16"/>
      <c r="AM3018" s="16"/>
      <c r="AN3018" s="16"/>
      <c r="AO3018" s="16"/>
      <c r="AP3018" s="16"/>
      <c r="AQ3018" s="16"/>
      <c r="AR3018" s="16"/>
      <c r="AS3018" s="16"/>
    </row>
    <row r="3019" spans="18:45" x14ac:dyDescent="0.35">
      <c r="R3019" s="191"/>
      <c r="S3019" s="191"/>
      <c r="T3019" s="193"/>
      <c r="U3019" s="191"/>
      <c r="V3019" s="194"/>
      <c r="W3019" s="191"/>
      <c r="Y3019" s="191"/>
      <c r="Z3019" s="191"/>
      <c r="AA3019" s="191"/>
      <c r="AB3019" s="191"/>
      <c r="AC3019" s="191"/>
      <c r="AD3019" s="16"/>
      <c r="AE3019" s="16"/>
      <c r="AF3019" s="16"/>
      <c r="AG3019" s="16"/>
      <c r="AH3019" s="16"/>
      <c r="AI3019" s="16"/>
      <c r="AJ3019" s="16"/>
      <c r="AK3019" s="16"/>
      <c r="AL3019" s="16"/>
      <c r="AM3019" s="16"/>
      <c r="AN3019" s="16"/>
      <c r="AO3019" s="16"/>
      <c r="AP3019" s="16"/>
      <c r="AQ3019" s="16"/>
      <c r="AR3019" s="16"/>
      <c r="AS3019" s="16"/>
    </row>
    <row r="3020" spans="18:45" x14ac:dyDescent="0.35">
      <c r="R3020" s="191"/>
      <c r="S3020" s="191"/>
      <c r="T3020" s="193"/>
      <c r="U3020" s="191"/>
      <c r="V3020" s="194"/>
      <c r="W3020" s="191"/>
      <c r="Y3020" s="191"/>
      <c r="Z3020" s="191"/>
      <c r="AA3020" s="191"/>
      <c r="AB3020" s="191"/>
      <c r="AC3020" s="191"/>
      <c r="AD3020" s="16"/>
      <c r="AE3020" s="16"/>
      <c r="AF3020" s="16"/>
      <c r="AG3020" s="16"/>
      <c r="AH3020" s="16"/>
      <c r="AI3020" s="16"/>
      <c r="AJ3020" s="16"/>
      <c r="AK3020" s="16"/>
      <c r="AL3020" s="16"/>
      <c r="AM3020" s="16"/>
      <c r="AN3020" s="16"/>
      <c r="AO3020" s="16"/>
      <c r="AP3020" s="16"/>
      <c r="AQ3020" s="16"/>
      <c r="AR3020" s="16"/>
      <c r="AS3020" s="16"/>
    </row>
    <row r="3021" spans="18:45" x14ac:dyDescent="0.35">
      <c r="R3021" s="191"/>
      <c r="S3021" s="191"/>
      <c r="T3021" s="193"/>
      <c r="U3021" s="191"/>
      <c r="V3021" s="194"/>
      <c r="W3021" s="191"/>
      <c r="Y3021" s="191"/>
      <c r="Z3021" s="191"/>
      <c r="AA3021" s="191"/>
      <c r="AB3021" s="191"/>
      <c r="AC3021" s="191"/>
      <c r="AD3021" s="16"/>
      <c r="AE3021" s="16"/>
      <c r="AF3021" s="16"/>
      <c r="AG3021" s="16"/>
      <c r="AH3021" s="16"/>
      <c r="AI3021" s="16"/>
      <c r="AJ3021" s="16"/>
      <c r="AK3021" s="16"/>
      <c r="AL3021" s="16"/>
      <c r="AM3021" s="16"/>
      <c r="AN3021" s="16"/>
      <c r="AO3021" s="16"/>
      <c r="AP3021" s="16"/>
      <c r="AQ3021" s="16"/>
      <c r="AR3021" s="16"/>
      <c r="AS3021" s="16"/>
    </row>
    <row r="3022" spans="18:45" x14ac:dyDescent="0.35">
      <c r="R3022" s="191"/>
      <c r="S3022" s="191"/>
      <c r="T3022" s="193"/>
      <c r="U3022" s="191"/>
      <c r="V3022" s="194"/>
      <c r="W3022" s="191"/>
      <c r="Y3022" s="191"/>
      <c r="Z3022" s="191"/>
      <c r="AA3022" s="191"/>
      <c r="AB3022" s="191"/>
      <c r="AC3022" s="191"/>
      <c r="AD3022" s="16"/>
      <c r="AE3022" s="16"/>
      <c r="AF3022" s="16"/>
      <c r="AG3022" s="16"/>
      <c r="AH3022" s="16"/>
      <c r="AI3022" s="16"/>
      <c r="AJ3022" s="16"/>
      <c r="AK3022" s="16"/>
      <c r="AL3022" s="16"/>
      <c r="AM3022" s="16"/>
      <c r="AN3022" s="16"/>
      <c r="AO3022" s="16"/>
      <c r="AP3022" s="16"/>
      <c r="AQ3022" s="16"/>
      <c r="AR3022" s="16"/>
      <c r="AS3022" s="16"/>
    </row>
    <row r="3023" spans="18:45" x14ac:dyDescent="0.35">
      <c r="R3023" s="191"/>
      <c r="S3023" s="191"/>
      <c r="T3023" s="193"/>
      <c r="U3023" s="191"/>
      <c r="V3023" s="194"/>
      <c r="W3023" s="191"/>
      <c r="Y3023" s="191"/>
      <c r="Z3023" s="191"/>
      <c r="AA3023" s="191"/>
      <c r="AB3023" s="191"/>
      <c r="AC3023" s="191"/>
      <c r="AD3023" s="16"/>
      <c r="AE3023" s="16"/>
      <c r="AF3023" s="16"/>
      <c r="AG3023" s="16"/>
      <c r="AH3023" s="16"/>
      <c r="AI3023" s="16"/>
      <c r="AJ3023" s="16"/>
      <c r="AK3023" s="16"/>
      <c r="AL3023" s="16"/>
      <c r="AM3023" s="16"/>
      <c r="AN3023" s="16"/>
      <c r="AO3023" s="16"/>
      <c r="AP3023" s="16"/>
      <c r="AQ3023" s="16"/>
      <c r="AR3023" s="16"/>
      <c r="AS3023" s="16"/>
    </row>
    <row r="3024" spans="18:45" x14ac:dyDescent="0.35">
      <c r="R3024" s="191"/>
      <c r="S3024" s="191"/>
      <c r="T3024" s="193"/>
      <c r="U3024" s="191"/>
      <c r="V3024" s="194"/>
      <c r="W3024" s="191"/>
      <c r="Y3024" s="191"/>
      <c r="Z3024" s="191"/>
      <c r="AA3024" s="191"/>
      <c r="AB3024" s="191"/>
      <c r="AC3024" s="191"/>
      <c r="AD3024" s="16"/>
      <c r="AE3024" s="16"/>
      <c r="AF3024" s="16"/>
      <c r="AG3024" s="16"/>
      <c r="AH3024" s="16"/>
      <c r="AI3024" s="16"/>
      <c r="AJ3024" s="16"/>
      <c r="AK3024" s="16"/>
      <c r="AL3024" s="16"/>
      <c r="AM3024" s="16"/>
      <c r="AN3024" s="16"/>
      <c r="AO3024" s="16"/>
      <c r="AP3024" s="16"/>
      <c r="AQ3024" s="16"/>
      <c r="AR3024" s="16"/>
      <c r="AS3024" s="16"/>
    </row>
    <row r="3025" spans="18:45" x14ac:dyDescent="0.35">
      <c r="R3025" s="191"/>
      <c r="S3025" s="191"/>
      <c r="T3025" s="193"/>
      <c r="U3025" s="191"/>
      <c r="V3025" s="194"/>
      <c r="W3025" s="191"/>
      <c r="Y3025" s="191"/>
      <c r="Z3025" s="191"/>
      <c r="AA3025" s="191"/>
      <c r="AB3025" s="191"/>
      <c r="AC3025" s="191"/>
      <c r="AD3025" s="16"/>
      <c r="AE3025" s="16"/>
      <c r="AF3025" s="16"/>
      <c r="AG3025" s="16"/>
      <c r="AH3025" s="16"/>
      <c r="AI3025" s="16"/>
      <c r="AJ3025" s="16"/>
      <c r="AK3025" s="16"/>
      <c r="AL3025" s="16"/>
      <c r="AM3025" s="16"/>
      <c r="AN3025" s="16"/>
      <c r="AO3025" s="16"/>
      <c r="AP3025" s="16"/>
      <c r="AQ3025" s="16"/>
      <c r="AR3025" s="16"/>
      <c r="AS3025" s="16"/>
    </row>
    <row r="3026" spans="18:45" x14ac:dyDescent="0.35">
      <c r="R3026" s="191"/>
      <c r="S3026" s="191"/>
      <c r="T3026" s="193"/>
      <c r="U3026" s="191"/>
      <c r="V3026" s="194"/>
      <c r="W3026" s="191"/>
      <c r="Y3026" s="191"/>
      <c r="Z3026" s="191"/>
      <c r="AA3026" s="191"/>
      <c r="AB3026" s="191"/>
      <c r="AC3026" s="191"/>
      <c r="AD3026" s="16"/>
      <c r="AE3026" s="16"/>
      <c r="AF3026" s="16"/>
      <c r="AG3026" s="16"/>
      <c r="AH3026" s="16"/>
      <c r="AI3026" s="16"/>
      <c r="AJ3026" s="16"/>
      <c r="AK3026" s="16"/>
      <c r="AL3026" s="16"/>
      <c r="AM3026" s="16"/>
      <c r="AN3026" s="16"/>
      <c r="AO3026" s="16"/>
      <c r="AP3026" s="16"/>
      <c r="AQ3026" s="16"/>
      <c r="AR3026" s="16"/>
      <c r="AS3026" s="16"/>
    </row>
    <row r="3027" spans="18:45" x14ac:dyDescent="0.35">
      <c r="R3027" s="191"/>
      <c r="S3027" s="191"/>
      <c r="T3027" s="193"/>
      <c r="U3027" s="191"/>
      <c r="V3027" s="194"/>
      <c r="W3027" s="191"/>
      <c r="Y3027" s="191"/>
      <c r="Z3027" s="191"/>
      <c r="AA3027" s="191"/>
      <c r="AB3027" s="191"/>
      <c r="AC3027" s="191"/>
      <c r="AD3027" s="16"/>
      <c r="AE3027" s="16"/>
      <c r="AF3027" s="16"/>
      <c r="AG3027" s="16"/>
      <c r="AH3027" s="16"/>
      <c r="AI3027" s="16"/>
      <c r="AJ3027" s="16"/>
      <c r="AK3027" s="16"/>
      <c r="AL3027" s="16"/>
      <c r="AM3027" s="16"/>
      <c r="AN3027" s="16"/>
      <c r="AO3027" s="16"/>
      <c r="AP3027" s="16"/>
      <c r="AQ3027" s="16"/>
      <c r="AR3027" s="16"/>
      <c r="AS3027" s="16"/>
    </row>
    <row r="3028" spans="18:45" x14ac:dyDescent="0.35">
      <c r="R3028" s="191"/>
      <c r="S3028" s="191"/>
      <c r="T3028" s="193"/>
      <c r="U3028" s="191"/>
      <c r="V3028" s="194"/>
      <c r="W3028" s="191"/>
      <c r="Y3028" s="191"/>
      <c r="Z3028" s="191"/>
      <c r="AA3028" s="191"/>
      <c r="AB3028" s="191"/>
      <c r="AC3028" s="191"/>
      <c r="AD3028" s="16"/>
      <c r="AE3028" s="16"/>
      <c r="AF3028" s="16"/>
      <c r="AG3028" s="16"/>
      <c r="AH3028" s="16"/>
      <c r="AI3028" s="16"/>
      <c r="AJ3028" s="16"/>
      <c r="AK3028" s="16"/>
      <c r="AL3028" s="16"/>
      <c r="AM3028" s="16"/>
      <c r="AN3028" s="16"/>
      <c r="AO3028" s="16"/>
      <c r="AP3028" s="16"/>
      <c r="AQ3028" s="16"/>
      <c r="AR3028" s="16"/>
      <c r="AS3028" s="16"/>
    </row>
    <row r="3029" spans="18:45" x14ac:dyDescent="0.35">
      <c r="R3029" s="191"/>
      <c r="S3029" s="191"/>
      <c r="T3029" s="193"/>
      <c r="U3029" s="191"/>
      <c r="V3029" s="194"/>
      <c r="W3029" s="191"/>
      <c r="Y3029" s="191"/>
      <c r="Z3029" s="191"/>
      <c r="AA3029" s="191"/>
      <c r="AB3029" s="191"/>
      <c r="AC3029" s="191"/>
      <c r="AD3029" s="16"/>
      <c r="AE3029" s="16"/>
      <c r="AF3029" s="16"/>
      <c r="AG3029" s="16"/>
      <c r="AH3029" s="16"/>
      <c r="AI3029" s="16"/>
      <c r="AJ3029" s="16"/>
      <c r="AK3029" s="16"/>
      <c r="AL3029" s="16"/>
      <c r="AM3029" s="16"/>
      <c r="AN3029" s="16"/>
      <c r="AO3029" s="16"/>
      <c r="AP3029" s="16"/>
      <c r="AQ3029" s="16"/>
      <c r="AR3029" s="16"/>
      <c r="AS3029" s="16"/>
    </row>
    <row r="3030" spans="18:45" x14ac:dyDescent="0.35">
      <c r="R3030" s="191"/>
      <c r="S3030" s="191"/>
      <c r="T3030" s="193"/>
      <c r="U3030" s="191"/>
      <c r="V3030" s="194"/>
      <c r="W3030" s="191"/>
      <c r="Y3030" s="191"/>
      <c r="Z3030" s="191"/>
      <c r="AA3030" s="191"/>
      <c r="AB3030" s="191"/>
      <c r="AC3030" s="191"/>
      <c r="AD3030" s="16"/>
      <c r="AE3030" s="16"/>
      <c r="AF3030" s="16"/>
      <c r="AG3030" s="16"/>
      <c r="AH3030" s="16"/>
      <c r="AI3030" s="16"/>
      <c r="AJ3030" s="16"/>
      <c r="AK3030" s="16"/>
      <c r="AL3030" s="16"/>
      <c r="AM3030" s="16"/>
      <c r="AN3030" s="16"/>
      <c r="AO3030" s="16"/>
      <c r="AP3030" s="16"/>
      <c r="AQ3030" s="16"/>
      <c r="AR3030" s="16"/>
      <c r="AS3030" s="16"/>
    </row>
    <row r="3031" spans="18:45" x14ac:dyDescent="0.35">
      <c r="R3031" s="191"/>
      <c r="S3031" s="191"/>
      <c r="T3031" s="193"/>
      <c r="U3031" s="191"/>
      <c r="V3031" s="194"/>
      <c r="W3031" s="191"/>
      <c r="Y3031" s="191"/>
      <c r="Z3031" s="191"/>
      <c r="AA3031" s="191"/>
      <c r="AB3031" s="191"/>
      <c r="AC3031" s="191"/>
      <c r="AD3031" s="16"/>
      <c r="AE3031" s="16"/>
      <c r="AF3031" s="16"/>
      <c r="AG3031" s="16"/>
      <c r="AH3031" s="16"/>
      <c r="AI3031" s="16"/>
      <c r="AJ3031" s="16"/>
      <c r="AK3031" s="16"/>
      <c r="AL3031" s="16"/>
      <c r="AM3031" s="16"/>
      <c r="AN3031" s="16"/>
      <c r="AO3031" s="16"/>
      <c r="AP3031" s="16"/>
      <c r="AQ3031" s="16"/>
      <c r="AR3031" s="16"/>
      <c r="AS3031" s="16"/>
    </row>
    <row r="3032" spans="18:45" x14ac:dyDescent="0.35">
      <c r="R3032" s="191"/>
      <c r="S3032" s="191"/>
      <c r="T3032" s="193"/>
      <c r="U3032" s="191"/>
      <c r="V3032" s="194"/>
      <c r="W3032" s="191"/>
      <c r="Y3032" s="191"/>
      <c r="Z3032" s="191"/>
      <c r="AA3032" s="191"/>
      <c r="AB3032" s="191"/>
      <c r="AC3032" s="191"/>
      <c r="AD3032" s="16"/>
      <c r="AE3032" s="16"/>
      <c r="AF3032" s="16"/>
      <c r="AG3032" s="16"/>
      <c r="AH3032" s="16"/>
      <c r="AI3032" s="16"/>
      <c r="AJ3032" s="16"/>
      <c r="AK3032" s="16"/>
      <c r="AL3032" s="16"/>
      <c r="AM3032" s="16"/>
      <c r="AN3032" s="16"/>
      <c r="AO3032" s="16"/>
      <c r="AP3032" s="16"/>
      <c r="AQ3032" s="16"/>
      <c r="AR3032" s="16"/>
      <c r="AS3032" s="16"/>
    </row>
    <row r="3033" spans="18:45" x14ac:dyDescent="0.35">
      <c r="R3033" s="191"/>
      <c r="S3033" s="191"/>
      <c r="T3033" s="193"/>
      <c r="U3033" s="191"/>
      <c r="V3033" s="194"/>
      <c r="W3033" s="191"/>
      <c r="Y3033" s="191"/>
      <c r="Z3033" s="191"/>
      <c r="AA3033" s="191"/>
      <c r="AB3033" s="191"/>
      <c r="AC3033" s="191"/>
      <c r="AD3033" s="16"/>
      <c r="AE3033" s="16"/>
      <c r="AF3033" s="16"/>
      <c r="AG3033" s="16"/>
      <c r="AH3033" s="16"/>
      <c r="AI3033" s="16"/>
      <c r="AJ3033" s="16"/>
      <c r="AK3033" s="16"/>
      <c r="AL3033" s="16"/>
      <c r="AM3033" s="16"/>
      <c r="AN3033" s="16"/>
      <c r="AO3033" s="16"/>
      <c r="AP3033" s="16"/>
      <c r="AQ3033" s="16"/>
      <c r="AR3033" s="16"/>
      <c r="AS3033" s="16"/>
    </row>
    <row r="3034" spans="18:45" x14ac:dyDescent="0.35">
      <c r="R3034" s="191"/>
      <c r="S3034" s="191"/>
      <c r="T3034" s="193"/>
      <c r="U3034" s="191"/>
      <c r="V3034" s="194"/>
      <c r="W3034" s="191"/>
      <c r="Y3034" s="191"/>
      <c r="Z3034" s="191"/>
      <c r="AA3034" s="191"/>
      <c r="AB3034" s="191"/>
      <c r="AC3034" s="191"/>
      <c r="AD3034" s="16"/>
      <c r="AE3034" s="16"/>
      <c r="AF3034" s="16"/>
      <c r="AG3034" s="16"/>
      <c r="AH3034" s="16"/>
      <c r="AI3034" s="16"/>
      <c r="AJ3034" s="16"/>
      <c r="AK3034" s="16"/>
      <c r="AL3034" s="16"/>
      <c r="AM3034" s="16"/>
      <c r="AN3034" s="16"/>
      <c r="AO3034" s="16"/>
      <c r="AP3034" s="16"/>
      <c r="AQ3034" s="16"/>
      <c r="AR3034" s="16"/>
      <c r="AS3034" s="16"/>
    </row>
    <row r="3035" spans="18:45" x14ac:dyDescent="0.35">
      <c r="R3035" s="191"/>
      <c r="S3035" s="191"/>
      <c r="T3035" s="193"/>
      <c r="U3035" s="191"/>
      <c r="V3035" s="194"/>
      <c r="W3035" s="191"/>
      <c r="Y3035" s="191"/>
      <c r="Z3035" s="191"/>
      <c r="AA3035" s="191"/>
      <c r="AB3035" s="191"/>
      <c r="AC3035" s="191"/>
      <c r="AD3035" s="16"/>
      <c r="AE3035" s="16"/>
      <c r="AF3035" s="16"/>
      <c r="AG3035" s="16"/>
      <c r="AH3035" s="16"/>
      <c r="AI3035" s="16"/>
      <c r="AJ3035" s="16"/>
      <c r="AK3035" s="16"/>
      <c r="AL3035" s="16"/>
      <c r="AM3035" s="16"/>
      <c r="AN3035" s="16"/>
      <c r="AO3035" s="16"/>
      <c r="AP3035" s="16"/>
      <c r="AQ3035" s="16"/>
      <c r="AR3035" s="16"/>
      <c r="AS3035" s="16"/>
    </row>
    <row r="3036" spans="18:45" x14ac:dyDescent="0.35">
      <c r="R3036" s="191"/>
      <c r="S3036" s="191"/>
      <c r="T3036" s="193"/>
      <c r="U3036" s="191"/>
      <c r="V3036" s="194"/>
      <c r="W3036" s="191"/>
      <c r="Y3036" s="191"/>
      <c r="Z3036" s="191"/>
      <c r="AA3036" s="191"/>
      <c r="AB3036" s="191"/>
      <c r="AC3036" s="191"/>
      <c r="AD3036" s="16"/>
      <c r="AE3036" s="16"/>
      <c r="AF3036" s="16"/>
      <c r="AG3036" s="16"/>
      <c r="AH3036" s="16"/>
      <c r="AI3036" s="16"/>
      <c r="AJ3036" s="16"/>
      <c r="AK3036" s="16"/>
      <c r="AL3036" s="16"/>
      <c r="AM3036" s="16"/>
      <c r="AN3036" s="16"/>
      <c r="AO3036" s="16"/>
      <c r="AP3036" s="16"/>
      <c r="AQ3036" s="16"/>
      <c r="AR3036" s="16"/>
      <c r="AS3036" s="16"/>
    </row>
    <row r="3037" spans="18:45" x14ac:dyDescent="0.35">
      <c r="R3037" s="191"/>
      <c r="S3037" s="191"/>
      <c r="T3037" s="193"/>
      <c r="U3037" s="191"/>
      <c r="V3037" s="194"/>
      <c r="W3037" s="191"/>
      <c r="Y3037" s="191"/>
      <c r="Z3037" s="191"/>
      <c r="AA3037" s="191"/>
      <c r="AB3037" s="191"/>
      <c r="AC3037" s="191"/>
      <c r="AD3037" s="16"/>
      <c r="AE3037" s="16"/>
      <c r="AF3037" s="16"/>
      <c r="AG3037" s="16"/>
      <c r="AH3037" s="16"/>
      <c r="AI3037" s="16"/>
      <c r="AJ3037" s="16"/>
      <c r="AK3037" s="16"/>
      <c r="AL3037" s="16"/>
      <c r="AM3037" s="16"/>
      <c r="AN3037" s="16"/>
      <c r="AO3037" s="16"/>
      <c r="AP3037" s="16"/>
      <c r="AQ3037" s="16"/>
      <c r="AR3037" s="16"/>
      <c r="AS3037" s="16"/>
    </row>
    <row r="3038" spans="18:45" x14ac:dyDescent="0.35">
      <c r="R3038" s="191"/>
      <c r="S3038" s="191"/>
      <c r="T3038" s="193"/>
      <c r="U3038" s="191"/>
      <c r="V3038" s="194"/>
      <c r="W3038" s="191"/>
      <c r="Y3038" s="191"/>
      <c r="Z3038" s="191"/>
      <c r="AA3038" s="191"/>
      <c r="AB3038" s="191"/>
      <c r="AC3038" s="191"/>
      <c r="AD3038" s="16"/>
      <c r="AE3038" s="16"/>
      <c r="AF3038" s="16"/>
      <c r="AG3038" s="16"/>
      <c r="AH3038" s="16"/>
      <c r="AI3038" s="16"/>
      <c r="AJ3038" s="16"/>
      <c r="AK3038" s="16"/>
      <c r="AL3038" s="16"/>
      <c r="AM3038" s="16"/>
      <c r="AN3038" s="16"/>
      <c r="AO3038" s="16"/>
      <c r="AP3038" s="16"/>
      <c r="AQ3038" s="16"/>
      <c r="AR3038" s="16"/>
      <c r="AS3038" s="16"/>
    </row>
    <row r="3039" spans="18:45" x14ac:dyDescent="0.35">
      <c r="R3039" s="191"/>
      <c r="S3039" s="191"/>
      <c r="T3039" s="193"/>
      <c r="U3039" s="191"/>
      <c r="V3039" s="194"/>
      <c r="W3039" s="191"/>
      <c r="Y3039" s="191"/>
      <c r="Z3039" s="191"/>
      <c r="AA3039" s="191"/>
      <c r="AB3039" s="191"/>
      <c r="AC3039" s="191"/>
      <c r="AD3039" s="16"/>
      <c r="AE3039" s="16"/>
      <c r="AF3039" s="16"/>
      <c r="AG3039" s="16"/>
      <c r="AH3039" s="16"/>
      <c r="AI3039" s="16"/>
      <c r="AJ3039" s="16"/>
      <c r="AK3039" s="16"/>
      <c r="AL3039" s="16"/>
      <c r="AM3039" s="16"/>
      <c r="AN3039" s="16"/>
      <c r="AO3039" s="16"/>
      <c r="AP3039" s="16"/>
      <c r="AQ3039" s="16"/>
      <c r="AR3039" s="16"/>
      <c r="AS3039" s="16"/>
    </row>
    <row r="3040" spans="18:45" x14ac:dyDescent="0.35">
      <c r="R3040" s="191"/>
      <c r="S3040" s="191"/>
      <c r="T3040" s="193"/>
      <c r="U3040" s="191"/>
      <c r="V3040" s="194"/>
      <c r="W3040" s="191"/>
      <c r="Y3040" s="191"/>
      <c r="Z3040" s="191"/>
      <c r="AA3040" s="191"/>
      <c r="AB3040" s="191"/>
      <c r="AC3040" s="191"/>
      <c r="AD3040" s="16"/>
      <c r="AE3040" s="16"/>
      <c r="AF3040" s="16"/>
      <c r="AG3040" s="16"/>
      <c r="AH3040" s="16"/>
      <c r="AI3040" s="16"/>
      <c r="AJ3040" s="16"/>
      <c r="AK3040" s="16"/>
      <c r="AL3040" s="16"/>
      <c r="AM3040" s="16"/>
      <c r="AN3040" s="16"/>
      <c r="AO3040" s="16"/>
      <c r="AP3040" s="16"/>
      <c r="AQ3040" s="16"/>
      <c r="AR3040" s="16"/>
      <c r="AS3040" s="16"/>
    </row>
    <row r="3041" spans="18:45" x14ac:dyDescent="0.35">
      <c r="R3041" s="191"/>
      <c r="S3041" s="191"/>
      <c r="T3041" s="193"/>
      <c r="U3041" s="191"/>
      <c r="V3041" s="194"/>
      <c r="W3041" s="191"/>
      <c r="Y3041" s="191"/>
      <c r="Z3041" s="191"/>
      <c r="AA3041" s="191"/>
      <c r="AB3041" s="191"/>
      <c r="AC3041" s="191"/>
      <c r="AD3041" s="16"/>
      <c r="AE3041" s="16"/>
      <c r="AF3041" s="16"/>
      <c r="AG3041" s="16"/>
      <c r="AH3041" s="16"/>
      <c r="AI3041" s="16"/>
      <c r="AJ3041" s="16"/>
      <c r="AK3041" s="16"/>
      <c r="AL3041" s="16"/>
      <c r="AM3041" s="16"/>
      <c r="AN3041" s="16"/>
      <c r="AO3041" s="16"/>
      <c r="AP3041" s="16"/>
      <c r="AQ3041" s="16"/>
      <c r="AR3041" s="16"/>
      <c r="AS3041" s="16"/>
    </row>
    <row r="3042" spans="18:45" x14ac:dyDescent="0.35">
      <c r="R3042" s="191"/>
      <c r="S3042" s="191"/>
      <c r="T3042" s="193"/>
      <c r="U3042" s="191"/>
      <c r="V3042" s="194"/>
      <c r="W3042" s="191"/>
      <c r="Y3042" s="191"/>
      <c r="Z3042" s="191"/>
      <c r="AA3042" s="191"/>
      <c r="AB3042" s="191"/>
      <c r="AC3042" s="191"/>
      <c r="AD3042" s="16"/>
      <c r="AE3042" s="16"/>
      <c r="AF3042" s="16"/>
      <c r="AG3042" s="16"/>
      <c r="AH3042" s="16"/>
      <c r="AI3042" s="16"/>
      <c r="AJ3042" s="16"/>
      <c r="AK3042" s="16"/>
      <c r="AL3042" s="16"/>
      <c r="AM3042" s="16"/>
      <c r="AN3042" s="16"/>
      <c r="AO3042" s="16"/>
      <c r="AP3042" s="16"/>
      <c r="AQ3042" s="16"/>
      <c r="AR3042" s="16"/>
      <c r="AS3042" s="16"/>
    </row>
    <row r="3043" spans="18:45" x14ac:dyDescent="0.35">
      <c r="R3043" s="191"/>
      <c r="S3043" s="191"/>
      <c r="T3043" s="193"/>
      <c r="U3043" s="191"/>
      <c r="V3043" s="194"/>
      <c r="W3043" s="191"/>
      <c r="Y3043" s="191"/>
      <c r="Z3043" s="191"/>
      <c r="AA3043" s="191"/>
      <c r="AB3043" s="191"/>
      <c r="AC3043" s="191"/>
      <c r="AD3043" s="16"/>
      <c r="AE3043" s="16"/>
      <c r="AF3043" s="16"/>
      <c r="AG3043" s="16"/>
      <c r="AH3043" s="16"/>
      <c r="AI3043" s="16"/>
      <c r="AJ3043" s="16"/>
      <c r="AK3043" s="16"/>
      <c r="AL3043" s="16"/>
      <c r="AM3043" s="16"/>
      <c r="AN3043" s="16"/>
      <c r="AO3043" s="16"/>
      <c r="AP3043" s="16"/>
      <c r="AQ3043" s="16"/>
      <c r="AR3043" s="16"/>
      <c r="AS3043" s="16"/>
    </row>
    <row r="3044" spans="18:45" x14ac:dyDescent="0.35">
      <c r="R3044" s="191"/>
      <c r="S3044" s="191"/>
      <c r="T3044" s="193"/>
      <c r="U3044" s="191"/>
      <c r="V3044" s="194"/>
      <c r="W3044" s="191"/>
      <c r="Y3044" s="191"/>
      <c r="Z3044" s="191"/>
      <c r="AA3044" s="191"/>
      <c r="AB3044" s="191"/>
      <c r="AC3044" s="191"/>
      <c r="AD3044" s="16"/>
      <c r="AE3044" s="16"/>
      <c r="AF3044" s="16"/>
      <c r="AG3044" s="16"/>
      <c r="AH3044" s="16"/>
      <c r="AI3044" s="16"/>
      <c r="AJ3044" s="16"/>
      <c r="AK3044" s="16"/>
      <c r="AL3044" s="16"/>
      <c r="AM3044" s="16"/>
      <c r="AN3044" s="16"/>
      <c r="AO3044" s="16"/>
      <c r="AP3044" s="16"/>
      <c r="AQ3044" s="16"/>
      <c r="AR3044" s="16"/>
      <c r="AS3044" s="16"/>
    </row>
    <row r="3045" spans="18:45" x14ac:dyDescent="0.35">
      <c r="R3045" s="191"/>
      <c r="S3045" s="191"/>
      <c r="T3045" s="193"/>
      <c r="U3045" s="191"/>
      <c r="V3045" s="194"/>
      <c r="W3045" s="191"/>
      <c r="Y3045" s="191"/>
      <c r="Z3045" s="191"/>
      <c r="AA3045" s="191"/>
      <c r="AB3045" s="191"/>
      <c r="AC3045" s="191"/>
      <c r="AD3045" s="16"/>
      <c r="AE3045" s="16"/>
      <c r="AF3045" s="16"/>
      <c r="AG3045" s="16"/>
      <c r="AH3045" s="16"/>
      <c r="AI3045" s="16"/>
      <c r="AJ3045" s="16"/>
      <c r="AK3045" s="16"/>
      <c r="AL3045" s="16"/>
      <c r="AM3045" s="16"/>
      <c r="AN3045" s="16"/>
      <c r="AO3045" s="16"/>
      <c r="AP3045" s="16"/>
      <c r="AQ3045" s="16"/>
      <c r="AR3045" s="16"/>
      <c r="AS3045" s="16"/>
    </row>
    <row r="3046" spans="18:45" x14ac:dyDescent="0.35">
      <c r="R3046" s="191"/>
      <c r="S3046" s="191"/>
      <c r="T3046" s="193"/>
      <c r="U3046" s="191"/>
      <c r="V3046" s="194"/>
      <c r="W3046" s="191"/>
      <c r="Y3046" s="191"/>
      <c r="Z3046" s="191"/>
      <c r="AA3046" s="191"/>
      <c r="AB3046" s="191"/>
      <c r="AC3046" s="191"/>
      <c r="AD3046" s="16"/>
      <c r="AE3046" s="16"/>
      <c r="AF3046" s="16"/>
      <c r="AG3046" s="16"/>
      <c r="AH3046" s="16"/>
      <c r="AI3046" s="16"/>
      <c r="AJ3046" s="16"/>
      <c r="AK3046" s="16"/>
      <c r="AL3046" s="16"/>
      <c r="AM3046" s="16"/>
      <c r="AN3046" s="16"/>
      <c r="AO3046" s="16"/>
      <c r="AP3046" s="16"/>
      <c r="AQ3046" s="16"/>
      <c r="AR3046" s="16"/>
      <c r="AS3046" s="16"/>
    </row>
    <row r="3047" spans="18:45" x14ac:dyDescent="0.35">
      <c r="R3047" s="191"/>
      <c r="S3047" s="191"/>
      <c r="T3047" s="193"/>
      <c r="U3047" s="191"/>
      <c r="V3047" s="194"/>
      <c r="W3047" s="191"/>
      <c r="Y3047" s="191"/>
      <c r="Z3047" s="191"/>
      <c r="AA3047" s="191"/>
      <c r="AB3047" s="191"/>
      <c r="AC3047" s="191"/>
      <c r="AD3047" s="16"/>
      <c r="AE3047" s="16"/>
      <c r="AF3047" s="16"/>
      <c r="AG3047" s="16"/>
      <c r="AH3047" s="16"/>
      <c r="AI3047" s="16"/>
      <c r="AJ3047" s="16"/>
      <c r="AK3047" s="16"/>
      <c r="AL3047" s="16"/>
      <c r="AM3047" s="16"/>
      <c r="AN3047" s="16"/>
      <c r="AO3047" s="16"/>
      <c r="AP3047" s="16"/>
      <c r="AQ3047" s="16"/>
      <c r="AR3047" s="16"/>
      <c r="AS3047" s="16"/>
    </row>
    <row r="3048" spans="18:45" x14ac:dyDescent="0.35">
      <c r="R3048" s="191"/>
      <c r="S3048" s="191"/>
      <c r="T3048" s="193"/>
      <c r="U3048" s="191"/>
      <c r="V3048" s="194"/>
      <c r="W3048" s="191"/>
      <c r="Y3048" s="191"/>
      <c r="Z3048" s="191"/>
      <c r="AA3048" s="191"/>
      <c r="AB3048" s="191"/>
      <c r="AC3048" s="191"/>
      <c r="AD3048" s="16"/>
      <c r="AE3048" s="16"/>
      <c r="AF3048" s="16"/>
      <c r="AG3048" s="16"/>
      <c r="AH3048" s="16"/>
      <c r="AI3048" s="16"/>
      <c r="AJ3048" s="16"/>
      <c r="AK3048" s="16"/>
      <c r="AL3048" s="16"/>
      <c r="AM3048" s="16"/>
      <c r="AN3048" s="16"/>
      <c r="AO3048" s="16"/>
      <c r="AP3048" s="16"/>
      <c r="AQ3048" s="16"/>
      <c r="AR3048" s="16"/>
      <c r="AS3048" s="16"/>
    </row>
    <row r="3049" spans="18:45" x14ac:dyDescent="0.35">
      <c r="R3049" s="191"/>
      <c r="S3049" s="191"/>
      <c r="T3049" s="193"/>
      <c r="U3049" s="191"/>
      <c r="V3049" s="194"/>
      <c r="W3049" s="191"/>
      <c r="Y3049" s="191"/>
      <c r="Z3049" s="191"/>
      <c r="AA3049" s="191"/>
      <c r="AB3049" s="191"/>
      <c r="AC3049" s="191"/>
      <c r="AD3049" s="16"/>
      <c r="AE3049" s="16"/>
      <c r="AF3049" s="16"/>
      <c r="AG3049" s="16"/>
      <c r="AH3049" s="16"/>
      <c r="AI3049" s="16"/>
      <c r="AJ3049" s="16"/>
      <c r="AK3049" s="16"/>
      <c r="AL3049" s="16"/>
      <c r="AM3049" s="16"/>
      <c r="AN3049" s="16"/>
      <c r="AO3049" s="16"/>
      <c r="AP3049" s="16"/>
      <c r="AQ3049" s="16"/>
      <c r="AR3049" s="16"/>
      <c r="AS3049" s="16"/>
    </row>
    <row r="3050" spans="18:45" x14ac:dyDescent="0.35">
      <c r="R3050" s="191"/>
      <c r="S3050" s="191"/>
      <c r="T3050" s="193"/>
      <c r="U3050" s="191"/>
      <c r="V3050" s="194"/>
      <c r="W3050" s="191"/>
      <c r="Y3050" s="191"/>
      <c r="Z3050" s="191"/>
      <c r="AA3050" s="191"/>
      <c r="AB3050" s="191"/>
      <c r="AC3050" s="191"/>
      <c r="AD3050" s="16"/>
      <c r="AE3050" s="16"/>
      <c r="AF3050" s="16"/>
      <c r="AG3050" s="16"/>
      <c r="AH3050" s="16"/>
      <c r="AI3050" s="16"/>
      <c r="AJ3050" s="16"/>
      <c r="AK3050" s="16"/>
      <c r="AL3050" s="16"/>
      <c r="AM3050" s="16"/>
      <c r="AN3050" s="16"/>
      <c r="AO3050" s="16"/>
      <c r="AP3050" s="16"/>
      <c r="AQ3050" s="16"/>
      <c r="AR3050" s="16"/>
      <c r="AS3050" s="16"/>
    </row>
    <row r="3051" spans="18:45" x14ac:dyDescent="0.35">
      <c r="R3051" s="191"/>
      <c r="S3051" s="191"/>
      <c r="T3051" s="193"/>
      <c r="U3051" s="191"/>
      <c r="V3051" s="194"/>
      <c r="W3051" s="191"/>
      <c r="Y3051" s="191"/>
      <c r="Z3051" s="191"/>
      <c r="AA3051" s="191"/>
      <c r="AB3051" s="191"/>
      <c r="AC3051" s="191"/>
      <c r="AD3051" s="16"/>
      <c r="AE3051" s="16"/>
      <c r="AF3051" s="16"/>
      <c r="AG3051" s="16"/>
      <c r="AH3051" s="16"/>
      <c r="AI3051" s="16"/>
      <c r="AJ3051" s="16"/>
      <c r="AK3051" s="16"/>
      <c r="AL3051" s="16"/>
      <c r="AM3051" s="16"/>
      <c r="AN3051" s="16"/>
      <c r="AO3051" s="16"/>
      <c r="AP3051" s="16"/>
      <c r="AQ3051" s="16"/>
      <c r="AR3051" s="16"/>
      <c r="AS3051" s="16"/>
    </row>
    <row r="3052" spans="18:45" x14ac:dyDescent="0.35">
      <c r="R3052" s="191"/>
      <c r="S3052" s="191"/>
      <c r="T3052" s="193"/>
      <c r="U3052" s="191"/>
      <c r="V3052" s="194"/>
      <c r="W3052" s="191"/>
      <c r="Y3052" s="191"/>
      <c r="Z3052" s="191"/>
      <c r="AA3052" s="191"/>
      <c r="AB3052" s="191"/>
      <c r="AC3052" s="191"/>
      <c r="AD3052" s="16"/>
      <c r="AE3052" s="16"/>
      <c r="AF3052" s="16"/>
      <c r="AG3052" s="16"/>
      <c r="AH3052" s="16"/>
      <c r="AI3052" s="16"/>
      <c r="AJ3052" s="16"/>
      <c r="AK3052" s="16"/>
      <c r="AL3052" s="16"/>
      <c r="AM3052" s="16"/>
      <c r="AN3052" s="16"/>
      <c r="AO3052" s="16"/>
      <c r="AP3052" s="16"/>
      <c r="AQ3052" s="16"/>
      <c r="AR3052" s="16"/>
      <c r="AS3052" s="16"/>
    </row>
    <row r="3053" spans="18:45" x14ac:dyDescent="0.35">
      <c r="R3053" s="191"/>
      <c r="S3053" s="191"/>
      <c r="T3053" s="193"/>
      <c r="U3053" s="191"/>
      <c r="V3053" s="194"/>
      <c r="W3053" s="191"/>
      <c r="Y3053" s="191"/>
      <c r="Z3053" s="191"/>
      <c r="AA3053" s="191"/>
      <c r="AB3053" s="191"/>
      <c r="AC3053" s="191"/>
      <c r="AD3053" s="16"/>
      <c r="AE3053" s="16"/>
      <c r="AF3053" s="16"/>
      <c r="AG3053" s="16"/>
      <c r="AH3053" s="16"/>
      <c r="AI3053" s="16"/>
      <c r="AJ3053" s="16"/>
      <c r="AK3053" s="16"/>
      <c r="AL3053" s="16"/>
      <c r="AM3053" s="16"/>
      <c r="AN3053" s="16"/>
      <c r="AO3053" s="16"/>
      <c r="AP3053" s="16"/>
      <c r="AQ3053" s="16"/>
      <c r="AR3053" s="16"/>
      <c r="AS3053" s="16"/>
    </row>
    <row r="3054" spans="18:45" x14ac:dyDescent="0.35">
      <c r="R3054" s="191"/>
      <c r="S3054" s="191"/>
      <c r="T3054" s="193"/>
      <c r="U3054" s="191"/>
      <c r="V3054" s="194"/>
      <c r="W3054" s="191"/>
      <c r="Y3054" s="191"/>
      <c r="Z3054" s="191"/>
      <c r="AA3054" s="191"/>
      <c r="AB3054" s="191"/>
      <c r="AC3054" s="191"/>
      <c r="AD3054" s="16"/>
      <c r="AE3054" s="16"/>
      <c r="AF3054" s="16"/>
      <c r="AG3054" s="16"/>
      <c r="AH3054" s="16"/>
      <c r="AI3054" s="16"/>
      <c r="AJ3054" s="16"/>
      <c r="AK3054" s="16"/>
      <c r="AL3054" s="16"/>
      <c r="AM3054" s="16"/>
      <c r="AN3054" s="16"/>
      <c r="AO3054" s="16"/>
      <c r="AP3054" s="16"/>
      <c r="AQ3054" s="16"/>
      <c r="AR3054" s="16"/>
      <c r="AS3054" s="16"/>
    </row>
    <row r="3055" spans="18:45" x14ac:dyDescent="0.35">
      <c r="R3055" s="191"/>
      <c r="S3055" s="191"/>
      <c r="T3055" s="193"/>
      <c r="U3055" s="191"/>
      <c r="V3055" s="194"/>
      <c r="W3055" s="191"/>
      <c r="Y3055" s="191"/>
      <c r="Z3055" s="191"/>
      <c r="AA3055" s="191"/>
      <c r="AB3055" s="191"/>
      <c r="AC3055" s="191"/>
      <c r="AD3055" s="16"/>
      <c r="AE3055" s="16"/>
      <c r="AF3055" s="16"/>
      <c r="AG3055" s="16"/>
      <c r="AH3055" s="16"/>
      <c r="AI3055" s="16"/>
      <c r="AJ3055" s="16"/>
      <c r="AK3055" s="16"/>
      <c r="AL3055" s="16"/>
      <c r="AM3055" s="16"/>
      <c r="AN3055" s="16"/>
      <c r="AO3055" s="16"/>
      <c r="AP3055" s="16"/>
      <c r="AQ3055" s="16"/>
      <c r="AR3055" s="16"/>
      <c r="AS3055" s="16"/>
    </row>
    <row r="3056" spans="18:45" x14ac:dyDescent="0.35">
      <c r="R3056" s="191"/>
      <c r="S3056" s="191"/>
      <c r="T3056" s="193"/>
      <c r="U3056" s="191"/>
      <c r="V3056" s="194"/>
      <c r="W3056" s="191"/>
      <c r="Y3056" s="191"/>
      <c r="Z3056" s="191"/>
      <c r="AA3056" s="191"/>
      <c r="AB3056" s="191"/>
      <c r="AC3056" s="191"/>
      <c r="AD3056" s="16"/>
      <c r="AE3056" s="16"/>
      <c r="AF3056" s="16"/>
      <c r="AG3056" s="16"/>
      <c r="AH3056" s="16"/>
      <c r="AI3056" s="16"/>
      <c r="AJ3056" s="16"/>
      <c r="AK3056" s="16"/>
      <c r="AL3056" s="16"/>
      <c r="AM3056" s="16"/>
      <c r="AN3056" s="16"/>
      <c r="AO3056" s="16"/>
      <c r="AP3056" s="16"/>
      <c r="AQ3056" s="16"/>
      <c r="AR3056" s="16"/>
      <c r="AS3056" s="16"/>
    </row>
    <row r="3057" spans="18:45" x14ac:dyDescent="0.35">
      <c r="R3057" s="191"/>
      <c r="S3057" s="191"/>
      <c r="T3057" s="193"/>
      <c r="U3057" s="191"/>
      <c r="V3057" s="194"/>
      <c r="W3057" s="191"/>
      <c r="Y3057" s="191"/>
      <c r="Z3057" s="191"/>
      <c r="AA3057" s="191"/>
      <c r="AB3057" s="191"/>
      <c r="AC3057" s="191"/>
      <c r="AD3057" s="16"/>
      <c r="AE3057" s="16"/>
      <c r="AF3057" s="16"/>
      <c r="AG3057" s="16"/>
      <c r="AH3057" s="16"/>
      <c r="AI3057" s="16"/>
      <c r="AJ3057" s="16"/>
      <c r="AK3057" s="16"/>
      <c r="AL3057" s="16"/>
      <c r="AM3057" s="16"/>
      <c r="AN3057" s="16"/>
      <c r="AO3057" s="16"/>
      <c r="AP3057" s="16"/>
      <c r="AQ3057" s="16"/>
      <c r="AR3057" s="16"/>
      <c r="AS3057" s="16"/>
    </row>
    <row r="3058" spans="18:45" x14ac:dyDescent="0.35">
      <c r="R3058" s="191"/>
      <c r="S3058" s="191"/>
      <c r="T3058" s="193"/>
      <c r="U3058" s="191"/>
      <c r="V3058" s="194"/>
      <c r="W3058" s="191"/>
      <c r="Y3058" s="191"/>
      <c r="Z3058" s="191"/>
      <c r="AA3058" s="191"/>
      <c r="AB3058" s="191"/>
      <c r="AC3058" s="191"/>
      <c r="AD3058" s="16"/>
      <c r="AE3058" s="16"/>
      <c r="AF3058" s="16"/>
      <c r="AG3058" s="16"/>
      <c r="AH3058" s="16"/>
      <c r="AI3058" s="16"/>
      <c r="AJ3058" s="16"/>
      <c r="AK3058" s="16"/>
      <c r="AL3058" s="16"/>
      <c r="AM3058" s="16"/>
      <c r="AN3058" s="16"/>
      <c r="AO3058" s="16"/>
      <c r="AP3058" s="16"/>
      <c r="AQ3058" s="16"/>
      <c r="AR3058" s="16"/>
      <c r="AS3058" s="16"/>
    </row>
    <row r="3059" spans="18:45" x14ac:dyDescent="0.35">
      <c r="R3059" s="191"/>
      <c r="S3059" s="191"/>
      <c r="T3059" s="193"/>
      <c r="U3059" s="191"/>
      <c r="V3059" s="194"/>
      <c r="W3059" s="191"/>
      <c r="Y3059" s="191"/>
      <c r="Z3059" s="191"/>
      <c r="AA3059" s="191"/>
      <c r="AB3059" s="191"/>
      <c r="AC3059" s="191"/>
      <c r="AD3059" s="16"/>
      <c r="AE3059" s="16"/>
      <c r="AF3059" s="16"/>
      <c r="AG3059" s="16"/>
      <c r="AH3059" s="16"/>
      <c r="AI3059" s="16"/>
      <c r="AJ3059" s="16"/>
      <c r="AK3059" s="16"/>
      <c r="AL3059" s="16"/>
      <c r="AM3059" s="16"/>
      <c r="AN3059" s="16"/>
      <c r="AO3059" s="16"/>
      <c r="AP3059" s="16"/>
      <c r="AQ3059" s="16"/>
      <c r="AR3059" s="16"/>
      <c r="AS3059" s="16"/>
    </row>
    <row r="3060" spans="18:45" x14ac:dyDescent="0.35">
      <c r="R3060" s="191"/>
      <c r="S3060" s="191"/>
      <c r="T3060" s="193"/>
      <c r="U3060" s="191"/>
      <c r="V3060" s="194"/>
      <c r="W3060" s="191"/>
      <c r="Y3060" s="191"/>
      <c r="Z3060" s="191"/>
      <c r="AA3060" s="191"/>
      <c r="AB3060" s="191"/>
      <c r="AC3060" s="191"/>
      <c r="AD3060" s="16"/>
      <c r="AE3060" s="16"/>
      <c r="AF3060" s="16"/>
      <c r="AG3060" s="16"/>
      <c r="AH3060" s="16"/>
      <c r="AI3060" s="16"/>
      <c r="AJ3060" s="16"/>
      <c r="AK3060" s="16"/>
      <c r="AL3060" s="16"/>
      <c r="AM3060" s="16"/>
      <c r="AN3060" s="16"/>
      <c r="AO3060" s="16"/>
      <c r="AP3060" s="16"/>
      <c r="AQ3060" s="16"/>
      <c r="AR3060" s="16"/>
      <c r="AS3060" s="16"/>
    </row>
    <row r="3061" spans="18:45" x14ac:dyDescent="0.35">
      <c r="R3061" s="191"/>
      <c r="S3061" s="191"/>
      <c r="T3061" s="193"/>
      <c r="U3061" s="191"/>
      <c r="V3061" s="194"/>
      <c r="W3061" s="191"/>
      <c r="Y3061" s="191"/>
      <c r="Z3061" s="191"/>
      <c r="AA3061" s="191"/>
      <c r="AB3061" s="191"/>
      <c r="AC3061" s="191"/>
      <c r="AD3061" s="16"/>
      <c r="AE3061" s="16"/>
      <c r="AF3061" s="16"/>
      <c r="AG3061" s="16"/>
      <c r="AH3061" s="16"/>
      <c r="AI3061" s="16"/>
      <c r="AJ3061" s="16"/>
      <c r="AK3061" s="16"/>
      <c r="AL3061" s="16"/>
      <c r="AM3061" s="16"/>
      <c r="AN3061" s="16"/>
      <c r="AO3061" s="16"/>
      <c r="AP3061" s="16"/>
      <c r="AQ3061" s="16"/>
      <c r="AR3061" s="16"/>
      <c r="AS3061" s="16"/>
    </row>
    <row r="3062" spans="18:45" x14ac:dyDescent="0.35">
      <c r="R3062" s="191"/>
      <c r="S3062" s="191"/>
      <c r="T3062" s="193"/>
      <c r="U3062" s="191"/>
      <c r="V3062" s="194"/>
      <c r="W3062" s="191"/>
      <c r="Y3062" s="191"/>
      <c r="Z3062" s="191"/>
      <c r="AA3062" s="191"/>
      <c r="AB3062" s="191"/>
      <c r="AC3062" s="191"/>
      <c r="AD3062" s="16"/>
      <c r="AE3062" s="16"/>
      <c r="AF3062" s="16"/>
      <c r="AG3062" s="16"/>
      <c r="AH3062" s="16"/>
      <c r="AI3062" s="16"/>
      <c r="AJ3062" s="16"/>
      <c r="AK3062" s="16"/>
      <c r="AL3062" s="16"/>
      <c r="AM3062" s="16"/>
      <c r="AN3062" s="16"/>
      <c r="AO3062" s="16"/>
      <c r="AP3062" s="16"/>
      <c r="AQ3062" s="16"/>
      <c r="AR3062" s="16"/>
      <c r="AS3062" s="16"/>
    </row>
    <row r="3063" spans="18:45" x14ac:dyDescent="0.35">
      <c r="R3063" s="191"/>
      <c r="S3063" s="191"/>
      <c r="T3063" s="193"/>
      <c r="U3063" s="191"/>
      <c r="V3063" s="194"/>
      <c r="W3063" s="191"/>
      <c r="Y3063" s="191"/>
      <c r="Z3063" s="191"/>
      <c r="AA3063" s="191"/>
      <c r="AB3063" s="191"/>
      <c r="AC3063" s="191"/>
      <c r="AD3063" s="16"/>
      <c r="AE3063" s="16"/>
      <c r="AF3063" s="16"/>
      <c r="AG3063" s="16"/>
      <c r="AH3063" s="16"/>
      <c r="AI3063" s="16"/>
      <c r="AJ3063" s="16"/>
      <c r="AK3063" s="16"/>
      <c r="AL3063" s="16"/>
      <c r="AM3063" s="16"/>
      <c r="AN3063" s="16"/>
      <c r="AO3063" s="16"/>
      <c r="AP3063" s="16"/>
      <c r="AQ3063" s="16"/>
      <c r="AR3063" s="16"/>
      <c r="AS3063" s="16"/>
    </row>
    <row r="3064" spans="18:45" x14ac:dyDescent="0.35">
      <c r="R3064" s="191"/>
      <c r="S3064" s="191"/>
      <c r="T3064" s="193"/>
      <c r="U3064" s="191"/>
      <c r="V3064" s="194"/>
      <c r="W3064" s="191"/>
      <c r="Y3064" s="191"/>
      <c r="Z3064" s="191"/>
      <c r="AA3064" s="191"/>
      <c r="AB3064" s="191"/>
      <c r="AC3064" s="191"/>
      <c r="AD3064" s="16"/>
      <c r="AE3064" s="16"/>
      <c r="AF3064" s="16"/>
      <c r="AG3064" s="16"/>
      <c r="AH3064" s="16"/>
      <c r="AI3064" s="16"/>
      <c r="AJ3064" s="16"/>
      <c r="AK3064" s="16"/>
      <c r="AL3064" s="16"/>
      <c r="AM3064" s="16"/>
      <c r="AN3064" s="16"/>
      <c r="AO3064" s="16"/>
      <c r="AP3064" s="16"/>
      <c r="AQ3064" s="16"/>
      <c r="AR3064" s="16"/>
      <c r="AS3064" s="16"/>
    </row>
    <row r="3065" spans="18:45" x14ac:dyDescent="0.35">
      <c r="R3065" s="191"/>
      <c r="S3065" s="191"/>
      <c r="T3065" s="193"/>
      <c r="U3065" s="191"/>
      <c r="V3065" s="194"/>
      <c r="W3065" s="191"/>
      <c r="Y3065" s="191"/>
      <c r="Z3065" s="191"/>
      <c r="AA3065" s="191"/>
      <c r="AB3065" s="191"/>
      <c r="AC3065" s="191"/>
      <c r="AD3065" s="16"/>
      <c r="AE3065" s="16"/>
      <c r="AF3065" s="16"/>
      <c r="AG3065" s="16"/>
      <c r="AH3065" s="16"/>
      <c r="AI3065" s="16"/>
      <c r="AJ3065" s="16"/>
      <c r="AK3065" s="16"/>
      <c r="AL3065" s="16"/>
      <c r="AM3065" s="16"/>
      <c r="AN3065" s="16"/>
      <c r="AO3065" s="16"/>
      <c r="AP3065" s="16"/>
      <c r="AQ3065" s="16"/>
      <c r="AR3065" s="16"/>
      <c r="AS3065" s="16"/>
    </row>
    <row r="3066" spans="18:45" x14ac:dyDescent="0.35">
      <c r="R3066" s="191"/>
      <c r="S3066" s="191"/>
      <c r="T3066" s="193"/>
      <c r="U3066" s="191"/>
      <c r="V3066" s="194"/>
      <c r="W3066" s="191"/>
      <c r="Y3066" s="191"/>
      <c r="Z3066" s="191"/>
      <c r="AA3066" s="191"/>
      <c r="AB3066" s="191"/>
      <c r="AC3066" s="191"/>
      <c r="AD3066" s="16"/>
      <c r="AE3066" s="16"/>
      <c r="AF3066" s="16"/>
      <c r="AG3066" s="16"/>
      <c r="AH3066" s="16"/>
      <c r="AI3066" s="16"/>
      <c r="AJ3066" s="16"/>
      <c r="AK3066" s="16"/>
      <c r="AL3066" s="16"/>
      <c r="AM3066" s="16"/>
      <c r="AN3066" s="16"/>
      <c r="AO3066" s="16"/>
      <c r="AP3066" s="16"/>
      <c r="AQ3066" s="16"/>
      <c r="AR3066" s="16"/>
      <c r="AS3066" s="16"/>
    </row>
    <row r="3067" spans="18:45" x14ac:dyDescent="0.35">
      <c r="R3067" s="191"/>
      <c r="S3067" s="191"/>
      <c r="T3067" s="193"/>
      <c r="U3067" s="191"/>
      <c r="V3067" s="194"/>
      <c r="W3067" s="191"/>
      <c r="Y3067" s="191"/>
      <c r="Z3067" s="191"/>
      <c r="AA3067" s="191"/>
      <c r="AB3067" s="191"/>
      <c r="AC3067" s="191"/>
      <c r="AD3067" s="16"/>
      <c r="AE3067" s="16"/>
      <c r="AF3067" s="16"/>
      <c r="AG3067" s="16"/>
      <c r="AH3067" s="16"/>
      <c r="AI3067" s="16"/>
      <c r="AJ3067" s="16"/>
      <c r="AK3067" s="16"/>
      <c r="AL3067" s="16"/>
      <c r="AM3067" s="16"/>
      <c r="AN3067" s="16"/>
      <c r="AO3067" s="16"/>
      <c r="AP3067" s="16"/>
      <c r="AQ3067" s="16"/>
      <c r="AR3067" s="16"/>
      <c r="AS3067" s="16"/>
    </row>
    <row r="3068" spans="18:45" x14ac:dyDescent="0.35">
      <c r="R3068" s="191"/>
      <c r="S3068" s="191"/>
      <c r="T3068" s="193"/>
      <c r="U3068" s="191"/>
      <c r="V3068" s="194"/>
      <c r="W3068" s="191"/>
      <c r="Y3068" s="191"/>
      <c r="Z3068" s="191"/>
      <c r="AA3068" s="191"/>
      <c r="AB3068" s="191"/>
      <c r="AC3068" s="191"/>
      <c r="AD3068" s="16"/>
      <c r="AE3068" s="16"/>
      <c r="AF3068" s="16"/>
      <c r="AG3068" s="16"/>
      <c r="AH3068" s="16"/>
      <c r="AI3068" s="16"/>
      <c r="AJ3068" s="16"/>
      <c r="AK3068" s="16"/>
      <c r="AL3068" s="16"/>
      <c r="AM3068" s="16"/>
      <c r="AN3068" s="16"/>
      <c r="AO3068" s="16"/>
      <c r="AP3068" s="16"/>
      <c r="AQ3068" s="16"/>
      <c r="AR3068" s="16"/>
      <c r="AS3068" s="16"/>
    </row>
    <row r="3069" spans="18:45" x14ac:dyDescent="0.35">
      <c r="R3069" s="191"/>
      <c r="S3069" s="191"/>
      <c r="T3069" s="193"/>
      <c r="U3069" s="191"/>
      <c r="V3069" s="194"/>
      <c r="W3069" s="191"/>
      <c r="Y3069" s="191"/>
      <c r="Z3069" s="191"/>
      <c r="AA3069" s="191"/>
      <c r="AB3069" s="191"/>
      <c r="AC3069" s="191"/>
      <c r="AD3069" s="16"/>
      <c r="AE3069" s="16"/>
      <c r="AF3069" s="16"/>
      <c r="AG3069" s="16"/>
      <c r="AH3069" s="16"/>
      <c r="AI3069" s="16"/>
      <c r="AJ3069" s="16"/>
      <c r="AK3069" s="16"/>
      <c r="AL3069" s="16"/>
      <c r="AM3069" s="16"/>
      <c r="AN3069" s="16"/>
      <c r="AO3069" s="16"/>
      <c r="AP3069" s="16"/>
      <c r="AQ3069" s="16"/>
      <c r="AR3069" s="16"/>
      <c r="AS3069" s="16"/>
    </row>
    <row r="3070" spans="18:45" x14ac:dyDescent="0.35">
      <c r="R3070" s="191"/>
      <c r="S3070" s="191"/>
      <c r="T3070" s="193"/>
      <c r="U3070" s="191"/>
      <c r="V3070" s="194"/>
      <c r="W3070" s="191"/>
      <c r="Y3070" s="191"/>
      <c r="Z3070" s="191"/>
      <c r="AA3070" s="191"/>
      <c r="AB3070" s="191"/>
      <c r="AC3070" s="191"/>
      <c r="AD3070" s="16"/>
      <c r="AE3070" s="16"/>
      <c r="AF3070" s="16"/>
      <c r="AG3070" s="16"/>
      <c r="AH3070" s="16"/>
      <c r="AI3070" s="16"/>
      <c r="AJ3070" s="16"/>
      <c r="AK3070" s="16"/>
      <c r="AL3070" s="16"/>
      <c r="AM3070" s="16"/>
      <c r="AN3070" s="16"/>
      <c r="AO3070" s="16"/>
      <c r="AP3070" s="16"/>
      <c r="AQ3070" s="16"/>
      <c r="AR3070" s="16"/>
      <c r="AS3070" s="16"/>
    </row>
    <row r="3071" spans="18:45" x14ac:dyDescent="0.35">
      <c r="R3071" s="191"/>
      <c r="S3071" s="191"/>
      <c r="T3071" s="193"/>
      <c r="U3071" s="191"/>
      <c r="V3071" s="194"/>
      <c r="W3071" s="191"/>
      <c r="Y3071" s="191"/>
      <c r="Z3071" s="191"/>
      <c r="AA3071" s="191"/>
      <c r="AB3071" s="191"/>
      <c r="AC3071" s="191"/>
      <c r="AD3071" s="16"/>
      <c r="AE3071" s="16"/>
      <c r="AF3071" s="16"/>
      <c r="AG3071" s="16"/>
      <c r="AH3071" s="16"/>
      <c r="AI3071" s="16"/>
      <c r="AJ3071" s="16"/>
      <c r="AK3071" s="16"/>
      <c r="AL3071" s="16"/>
      <c r="AM3071" s="16"/>
      <c r="AN3071" s="16"/>
      <c r="AO3071" s="16"/>
      <c r="AP3071" s="16"/>
      <c r="AQ3071" s="16"/>
      <c r="AR3071" s="16"/>
      <c r="AS3071" s="16"/>
    </row>
    <row r="3072" spans="18:45" x14ac:dyDescent="0.35">
      <c r="R3072" s="191"/>
      <c r="S3072" s="191"/>
      <c r="T3072" s="193"/>
      <c r="U3072" s="191"/>
      <c r="V3072" s="194"/>
      <c r="W3072" s="191"/>
      <c r="Y3072" s="191"/>
      <c r="Z3072" s="191"/>
      <c r="AA3072" s="191"/>
      <c r="AB3072" s="191"/>
      <c r="AC3072" s="191"/>
      <c r="AD3072" s="16"/>
      <c r="AE3072" s="16"/>
      <c r="AF3072" s="16"/>
      <c r="AG3072" s="16"/>
      <c r="AH3072" s="16"/>
      <c r="AI3072" s="16"/>
      <c r="AJ3072" s="16"/>
      <c r="AK3072" s="16"/>
      <c r="AL3072" s="16"/>
      <c r="AM3072" s="16"/>
      <c r="AN3072" s="16"/>
      <c r="AO3072" s="16"/>
      <c r="AP3072" s="16"/>
      <c r="AQ3072" s="16"/>
      <c r="AR3072" s="16"/>
      <c r="AS3072" s="16"/>
    </row>
    <row r="3073" spans="18:45" x14ac:dyDescent="0.35">
      <c r="R3073" s="191"/>
      <c r="S3073" s="191"/>
      <c r="T3073" s="193"/>
      <c r="U3073" s="191"/>
      <c r="V3073" s="194"/>
      <c r="W3073" s="191"/>
      <c r="Y3073" s="191"/>
      <c r="Z3073" s="191"/>
      <c r="AA3073" s="191"/>
      <c r="AB3073" s="191"/>
      <c r="AC3073" s="191"/>
      <c r="AD3073" s="16"/>
      <c r="AE3073" s="16"/>
      <c r="AF3073" s="16"/>
      <c r="AG3073" s="16"/>
      <c r="AH3073" s="16"/>
      <c r="AI3073" s="16"/>
      <c r="AJ3073" s="16"/>
      <c r="AK3073" s="16"/>
      <c r="AL3073" s="16"/>
      <c r="AM3073" s="16"/>
      <c r="AN3073" s="16"/>
      <c r="AO3073" s="16"/>
      <c r="AP3073" s="16"/>
      <c r="AQ3073" s="16"/>
      <c r="AR3073" s="16"/>
      <c r="AS3073" s="16"/>
    </row>
    <row r="3074" spans="18:45" x14ac:dyDescent="0.35">
      <c r="R3074" s="191"/>
      <c r="S3074" s="191"/>
      <c r="T3074" s="193"/>
      <c r="U3074" s="191"/>
      <c r="V3074" s="194"/>
      <c r="W3074" s="191"/>
      <c r="Y3074" s="191"/>
      <c r="Z3074" s="191"/>
      <c r="AA3074" s="191"/>
      <c r="AB3074" s="191"/>
      <c r="AC3074" s="191"/>
      <c r="AD3074" s="16"/>
      <c r="AE3074" s="16"/>
      <c r="AF3074" s="16"/>
      <c r="AG3074" s="16"/>
      <c r="AH3074" s="16"/>
      <c r="AI3074" s="16"/>
      <c r="AJ3074" s="16"/>
      <c r="AK3074" s="16"/>
      <c r="AL3074" s="16"/>
      <c r="AM3074" s="16"/>
      <c r="AN3074" s="16"/>
      <c r="AO3074" s="16"/>
      <c r="AP3074" s="16"/>
      <c r="AQ3074" s="16"/>
      <c r="AR3074" s="16"/>
      <c r="AS3074" s="16"/>
    </row>
    <row r="3075" spans="18:45" x14ac:dyDescent="0.35">
      <c r="R3075" s="191"/>
      <c r="S3075" s="191"/>
      <c r="T3075" s="193"/>
      <c r="U3075" s="191"/>
      <c r="V3075" s="194"/>
      <c r="W3075" s="191"/>
      <c r="Y3075" s="191"/>
      <c r="Z3075" s="191"/>
      <c r="AA3075" s="191"/>
      <c r="AB3075" s="191"/>
      <c r="AC3075" s="191"/>
      <c r="AD3075" s="16"/>
      <c r="AE3075" s="16"/>
      <c r="AF3075" s="16"/>
      <c r="AG3075" s="16"/>
      <c r="AH3075" s="16"/>
      <c r="AI3075" s="16"/>
      <c r="AJ3075" s="16"/>
      <c r="AK3075" s="16"/>
      <c r="AL3075" s="16"/>
      <c r="AM3075" s="16"/>
      <c r="AN3075" s="16"/>
      <c r="AO3075" s="16"/>
      <c r="AP3075" s="16"/>
      <c r="AQ3075" s="16"/>
      <c r="AR3075" s="16"/>
      <c r="AS3075" s="16"/>
    </row>
    <row r="3076" spans="18:45" x14ac:dyDescent="0.35">
      <c r="R3076" s="191"/>
      <c r="S3076" s="191"/>
      <c r="T3076" s="193"/>
      <c r="U3076" s="191"/>
      <c r="V3076" s="194"/>
      <c r="W3076" s="191"/>
      <c r="Y3076" s="191"/>
      <c r="Z3076" s="191"/>
      <c r="AA3076" s="191"/>
      <c r="AB3076" s="191"/>
      <c r="AC3076" s="191"/>
      <c r="AD3076" s="16"/>
      <c r="AE3076" s="16"/>
      <c r="AF3076" s="16"/>
      <c r="AG3076" s="16"/>
      <c r="AH3076" s="16"/>
      <c r="AI3076" s="16"/>
      <c r="AJ3076" s="16"/>
      <c r="AK3076" s="16"/>
      <c r="AL3076" s="16"/>
      <c r="AM3076" s="16"/>
      <c r="AN3076" s="16"/>
      <c r="AO3076" s="16"/>
      <c r="AP3076" s="16"/>
      <c r="AQ3076" s="16"/>
      <c r="AR3076" s="16"/>
      <c r="AS3076" s="16"/>
    </row>
    <row r="3077" spans="18:45" x14ac:dyDescent="0.35">
      <c r="R3077" s="191"/>
      <c r="S3077" s="191"/>
      <c r="T3077" s="193"/>
      <c r="U3077" s="191"/>
      <c r="V3077" s="194"/>
      <c r="W3077" s="191"/>
      <c r="Y3077" s="191"/>
      <c r="Z3077" s="191"/>
      <c r="AA3077" s="191"/>
      <c r="AB3077" s="191"/>
      <c r="AC3077" s="191"/>
      <c r="AD3077" s="16"/>
      <c r="AE3077" s="16"/>
      <c r="AF3077" s="16"/>
      <c r="AG3077" s="16"/>
      <c r="AH3077" s="16"/>
      <c r="AI3077" s="16"/>
      <c r="AJ3077" s="16"/>
      <c r="AK3077" s="16"/>
      <c r="AL3077" s="16"/>
      <c r="AM3077" s="16"/>
      <c r="AN3077" s="16"/>
      <c r="AO3077" s="16"/>
      <c r="AP3077" s="16"/>
      <c r="AQ3077" s="16"/>
      <c r="AR3077" s="16"/>
      <c r="AS3077" s="16"/>
    </row>
    <row r="3078" spans="18:45" x14ac:dyDescent="0.35">
      <c r="R3078" s="191"/>
      <c r="S3078" s="191"/>
      <c r="T3078" s="193"/>
      <c r="U3078" s="191"/>
      <c r="V3078" s="194"/>
      <c r="W3078" s="191"/>
      <c r="Y3078" s="191"/>
      <c r="Z3078" s="191"/>
      <c r="AA3078" s="191"/>
      <c r="AB3078" s="191"/>
      <c r="AC3078" s="191"/>
      <c r="AD3078" s="16"/>
      <c r="AE3078" s="16"/>
      <c r="AF3078" s="16"/>
      <c r="AG3078" s="16"/>
      <c r="AH3078" s="16"/>
      <c r="AI3078" s="16"/>
      <c r="AJ3078" s="16"/>
      <c r="AK3078" s="16"/>
      <c r="AL3078" s="16"/>
      <c r="AM3078" s="16"/>
      <c r="AN3078" s="16"/>
      <c r="AO3078" s="16"/>
      <c r="AP3078" s="16"/>
      <c r="AQ3078" s="16"/>
      <c r="AR3078" s="16"/>
      <c r="AS3078" s="16"/>
    </row>
    <row r="3079" spans="18:45" x14ac:dyDescent="0.35">
      <c r="R3079" s="191"/>
      <c r="S3079" s="191"/>
      <c r="T3079" s="193"/>
      <c r="U3079" s="191"/>
      <c r="V3079" s="194"/>
      <c r="W3079" s="191"/>
      <c r="Y3079" s="191"/>
      <c r="Z3079" s="191"/>
      <c r="AA3079" s="191"/>
      <c r="AB3079" s="191"/>
      <c r="AC3079" s="191"/>
      <c r="AD3079" s="16"/>
      <c r="AE3079" s="16"/>
      <c r="AF3079" s="16"/>
      <c r="AG3079" s="16"/>
      <c r="AH3079" s="16"/>
      <c r="AI3079" s="16"/>
      <c r="AJ3079" s="16"/>
      <c r="AK3079" s="16"/>
      <c r="AL3079" s="16"/>
      <c r="AM3079" s="16"/>
      <c r="AN3079" s="16"/>
      <c r="AO3079" s="16"/>
      <c r="AP3079" s="16"/>
      <c r="AQ3079" s="16"/>
      <c r="AR3079" s="16"/>
      <c r="AS3079" s="16"/>
    </row>
    <row r="3080" spans="18:45" x14ac:dyDescent="0.35">
      <c r="R3080" s="191"/>
      <c r="S3080" s="191"/>
      <c r="T3080" s="193"/>
      <c r="U3080" s="191"/>
      <c r="V3080" s="194"/>
      <c r="W3080" s="191"/>
      <c r="Y3080" s="191"/>
      <c r="Z3080" s="191"/>
      <c r="AA3080" s="191"/>
      <c r="AB3080" s="191"/>
      <c r="AC3080" s="191"/>
      <c r="AD3080" s="16"/>
      <c r="AE3080" s="16"/>
      <c r="AF3080" s="16"/>
      <c r="AG3080" s="16"/>
      <c r="AH3080" s="16"/>
      <c r="AI3080" s="16"/>
      <c r="AJ3080" s="16"/>
      <c r="AK3080" s="16"/>
      <c r="AL3080" s="16"/>
      <c r="AM3080" s="16"/>
      <c r="AN3080" s="16"/>
      <c r="AO3080" s="16"/>
      <c r="AP3080" s="16"/>
      <c r="AQ3080" s="16"/>
      <c r="AR3080" s="16"/>
      <c r="AS3080" s="16"/>
    </row>
    <row r="3081" spans="18:45" x14ac:dyDescent="0.35">
      <c r="R3081" s="191"/>
      <c r="S3081" s="191"/>
      <c r="T3081" s="193"/>
      <c r="U3081" s="191"/>
      <c r="V3081" s="194"/>
      <c r="W3081" s="191"/>
      <c r="Y3081" s="191"/>
      <c r="Z3081" s="191"/>
      <c r="AA3081" s="191"/>
      <c r="AB3081" s="191"/>
      <c r="AC3081" s="191"/>
      <c r="AD3081" s="16"/>
      <c r="AE3081" s="16"/>
      <c r="AF3081" s="16"/>
      <c r="AG3081" s="16"/>
      <c r="AH3081" s="16"/>
      <c r="AI3081" s="16"/>
      <c r="AJ3081" s="16"/>
      <c r="AK3081" s="16"/>
      <c r="AL3081" s="16"/>
      <c r="AM3081" s="16"/>
      <c r="AN3081" s="16"/>
      <c r="AO3081" s="16"/>
      <c r="AP3081" s="16"/>
      <c r="AQ3081" s="16"/>
      <c r="AR3081" s="16"/>
      <c r="AS3081" s="16"/>
    </row>
    <row r="3082" spans="18:45" x14ac:dyDescent="0.35">
      <c r="R3082" s="191"/>
      <c r="S3082" s="191"/>
      <c r="T3082" s="193"/>
      <c r="U3082" s="191"/>
      <c r="V3082" s="194"/>
      <c r="W3082" s="191"/>
      <c r="Y3082" s="191"/>
      <c r="Z3082" s="191"/>
      <c r="AA3082" s="191"/>
      <c r="AB3082" s="191"/>
      <c r="AC3082" s="191"/>
      <c r="AD3082" s="16"/>
      <c r="AE3082" s="16"/>
      <c r="AF3082" s="16"/>
      <c r="AG3082" s="16"/>
      <c r="AH3082" s="16"/>
      <c r="AI3082" s="16"/>
      <c r="AJ3082" s="16"/>
      <c r="AK3082" s="16"/>
      <c r="AL3082" s="16"/>
      <c r="AM3082" s="16"/>
      <c r="AN3082" s="16"/>
      <c r="AO3082" s="16"/>
      <c r="AP3082" s="16"/>
      <c r="AQ3082" s="16"/>
      <c r="AR3082" s="16"/>
      <c r="AS3082" s="16"/>
    </row>
    <row r="3083" spans="18:45" x14ac:dyDescent="0.35">
      <c r="R3083" s="191"/>
      <c r="S3083" s="191"/>
      <c r="T3083" s="193"/>
      <c r="U3083" s="191"/>
      <c r="V3083" s="194"/>
      <c r="W3083" s="191"/>
      <c r="Y3083" s="191"/>
      <c r="Z3083" s="191"/>
      <c r="AA3083" s="191"/>
      <c r="AB3083" s="191"/>
      <c r="AC3083" s="191"/>
      <c r="AD3083" s="16"/>
      <c r="AE3083" s="16"/>
      <c r="AF3083" s="16"/>
      <c r="AG3083" s="16"/>
      <c r="AH3083" s="16"/>
      <c r="AI3083" s="16"/>
      <c r="AJ3083" s="16"/>
      <c r="AK3083" s="16"/>
      <c r="AL3083" s="16"/>
      <c r="AM3083" s="16"/>
      <c r="AN3083" s="16"/>
      <c r="AO3083" s="16"/>
      <c r="AP3083" s="16"/>
      <c r="AQ3083" s="16"/>
      <c r="AR3083" s="16"/>
      <c r="AS3083" s="16"/>
    </row>
    <row r="3084" spans="18:45" x14ac:dyDescent="0.35">
      <c r="R3084" s="191"/>
      <c r="S3084" s="191"/>
      <c r="T3084" s="193"/>
      <c r="U3084" s="191"/>
      <c r="V3084" s="194"/>
      <c r="W3084" s="191"/>
      <c r="Y3084" s="191"/>
      <c r="Z3084" s="191"/>
      <c r="AA3084" s="191"/>
      <c r="AB3084" s="191"/>
      <c r="AC3084" s="191"/>
      <c r="AD3084" s="16"/>
      <c r="AE3084" s="16"/>
      <c r="AF3084" s="16"/>
      <c r="AG3084" s="16"/>
      <c r="AH3084" s="16"/>
      <c r="AI3084" s="16"/>
      <c r="AJ3084" s="16"/>
      <c r="AK3084" s="16"/>
      <c r="AL3084" s="16"/>
      <c r="AM3084" s="16"/>
      <c r="AN3084" s="16"/>
      <c r="AO3084" s="16"/>
      <c r="AP3084" s="16"/>
      <c r="AQ3084" s="16"/>
      <c r="AR3084" s="16"/>
      <c r="AS3084" s="16"/>
    </row>
    <row r="3085" spans="18:45" x14ac:dyDescent="0.35">
      <c r="R3085" s="191"/>
      <c r="S3085" s="191"/>
      <c r="T3085" s="193"/>
      <c r="U3085" s="191"/>
      <c r="V3085" s="194"/>
      <c r="W3085" s="191"/>
      <c r="Y3085" s="191"/>
      <c r="Z3085" s="191"/>
      <c r="AA3085" s="191"/>
      <c r="AB3085" s="191"/>
      <c r="AC3085" s="191"/>
      <c r="AD3085" s="16"/>
      <c r="AE3085" s="16"/>
      <c r="AF3085" s="16"/>
      <c r="AG3085" s="16"/>
      <c r="AH3085" s="16"/>
      <c r="AI3085" s="16"/>
      <c r="AJ3085" s="16"/>
      <c r="AK3085" s="16"/>
      <c r="AL3085" s="16"/>
      <c r="AM3085" s="16"/>
      <c r="AN3085" s="16"/>
      <c r="AO3085" s="16"/>
      <c r="AP3085" s="16"/>
      <c r="AQ3085" s="16"/>
      <c r="AR3085" s="16"/>
      <c r="AS3085" s="16"/>
    </row>
    <row r="3086" spans="18:45" x14ac:dyDescent="0.35">
      <c r="R3086" s="191"/>
      <c r="S3086" s="191"/>
      <c r="T3086" s="193"/>
      <c r="U3086" s="191"/>
      <c r="V3086" s="194"/>
      <c r="W3086" s="191"/>
      <c r="Y3086" s="191"/>
      <c r="Z3086" s="191"/>
      <c r="AA3086" s="191"/>
      <c r="AB3086" s="191"/>
      <c r="AC3086" s="191"/>
      <c r="AD3086" s="16"/>
      <c r="AE3086" s="16"/>
      <c r="AF3086" s="16"/>
      <c r="AG3086" s="16"/>
      <c r="AH3086" s="16"/>
      <c r="AI3086" s="16"/>
      <c r="AJ3086" s="16"/>
      <c r="AK3086" s="16"/>
      <c r="AL3086" s="16"/>
      <c r="AM3086" s="16"/>
      <c r="AN3086" s="16"/>
      <c r="AO3086" s="16"/>
      <c r="AP3086" s="16"/>
      <c r="AQ3086" s="16"/>
      <c r="AR3086" s="16"/>
      <c r="AS3086" s="16"/>
    </row>
    <row r="3087" spans="18:45" x14ac:dyDescent="0.35">
      <c r="R3087" s="191"/>
      <c r="S3087" s="191"/>
      <c r="T3087" s="193"/>
      <c r="U3087" s="191"/>
      <c r="V3087" s="194"/>
      <c r="W3087" s="191"/>
      <c r="Y3087" s="191"/>
      <c r="Z3087" s="191"/>
      <c r="AA3087" s="191"/>
      <c r="AB3087" s="191"/>
      <c r="AC3087" s="191"/>
      <c r="AD3087" s="16"/>
      <c r="AE3087" s="16"/>
      <c r="AF3087" s="16"/>
      <c r="AG3087" s="16"/>
      <c r="AH3087" s="16"/>
      <c r="AI3087" s="16"/>
      <c r="AJ3087" s="16"/>
      <c r="AK3087" s="16"/>
      <c r="AL3087" s="16"/>
      <c r="AM3087" s="16"/>
      <c r="AN3087" s="16"/>
      <c r="AO3087" s="16"/>
      <c r="AP3087" s="16"/>
      <c r="AQ3087" s="16"/>
      <c r="AR3087" s="16"/>
      <c r="AS3087" s="16"/>
    </row>
    <row r="3088" spans="18:45" x14ac:dyDescent="0.35">
      <c r="R3088" s="191"/>
      <c r="S3088" s="191"/>
      <c r="T3088" s="193"/>
      <c r="U3088" s="191"/>
      <c r="V3088" s="194"/>
      <c r="W3088" s="191"/>
      <c r="Y3088" s="191"/>
      <c r="Z3088" s="191"/>
      <c r="AA3088" s="191"/>
      <c r="AB3088" s="191"/>
      <c r="AC3088" s="191"/>
      <c r="AD3088" s="16"/>
      <c r="AE3088" s="16"/>
      <c r="AF3088" s="16"/>
      <c r="AG3088" s="16"/>
      <c r="AH3088" s="16"/>
      <c r="AI3088" s="16"/>
      <c r="AJ3088" s="16"/>
      <c r="AK3088" s="16"/>
      <c r="AL3088" s="16"/>
      <c r="AM3088" s="16"/>
      <c r="AN3088" s="16"/>
      <c r="AO3088" s="16"/>
      <c r="AP3088" s="16"/>
      <c r="AQ3088" s="16"/>
      <c r="AR3088" s="16"/>
      <c r="AS3088" s="16"/>
    </row>
    <row r="3089" spans="18:45" x14ac:dyDescent="0.35">
      <c r="R3089" s="191"/>
      <c r="S3089" s="191"/>
      <c r="T3089" s="193"/>
      <c r="U3089" s="191"/>
      <c r="V3089" s="194"/>
      <c r="W3089" s="191"/>
      <c r="Y3089" s="191"/>
      <c r="Z3089" s="191"/>
      <c r="AA3089" s="191"/>
      <c r="AB3089" s="191"/>
      <c r="AC3089" s="191"/>
      <c r="AD3089" s="16"/>
      <c r="AE3089" s="16"/>
      <c r="AF3089" s="16"/>
      <c r="AG3089" s="16"/>
      <c r="AH3089" s="16"/>
      <c r="AI3089" s="16"/>
      <c r="AJ3089" s="16"/>
      <c r="AK3089" s="16"/>
      <c r="AL3089" s="16"/>
      <c r="AM3089" s="16"/>
      <c r="AN3089" s="16"/>
      <c r="AO3089" s="16"/>
      <c r="AP3089" s="16"/>
      <c r="AQ3089" s="16"/>
      <c r="AR3089" s="16"/>
      <c r="AS3089" s="16"/>
    </row>
    <row r="3090" spans="18:45" x14ac:dyDescent="0.35">
      <c r="R3090" s="191"/>
      <c r="S3090" s="191"/>
      <c r="T3090" s="193"/>
      <c r="U3090" s="191"/>
      <c r="V3090" s="194"/>
      <c r="W3090" s="191"/>
      <c r="Y3090" s="191"/>
      <c r="Z3090" s="191"/>
      <c r="AA3090" s="191"/>
      <c r="AB3090" s="191"/>
      <c r="AC3090" s="191"/>
      <c r="AD3090" s="16"/>
      <c r="AE3090" s="16"/>
      <c r="AF3090" s="16"/>
      <c r="AG3090" s="16"/>
      <c r="AH3090" s="16"/>
      <c r="AI3090" s="16"/>
      <c r="AJ3090" s="16"/>
      <c r="AK3090" s="16"/>
      <c r="AL3090" s="16"/>
      <c r="AM3090" s="16"/>
      <c r="AN3090" s="16"/>
      <c r="AO3090" s="16"/>
      <c r="AP3090" s="16"/>
      <c r="AQ3090" s="16"/>
      <c r="AR3090" s="16"/>
      <c r="AS3090" s="16"/>
    </row>
    <row r="3091" spans="18:45" x14ac:dyDescent="0.35">
      <c r="R3091" s="191"/>
      <c r="S3091" s="191"/>
      <c r="T3091" s="193"/>
      <c r="U3091" s="191"/>
      <c r="V3091" s="194"/>
      <c r="W3091" s="191"/>
      <c r="Y3091" s="191"/>
      <c r="Z3091" s="191"/>
      <c r="AA3091" s="191"/>
      <c r="AB3091" s="191"/>
      <c r="AC3091" s="191"/>
      <c r="AD3091" s="16"/>
      <c r="AE3091" s="16"/>
      <c r="AF3091" s="16"/>
      <c r="AG3091" s="16"/>
      <c r="AH3091" s="16"/>
      <c r="AI3091" s="16"/>
      <c r="AJ3091" s="16"/>
      <c r="AK3091" s="16"/>
      <c r="AL3091" s="16"/>
      <c r="AM3091" s="16"/>
      <c r="AN3091" s="16"/>
      <c r="AO3091" s="16"/>
      <c r="AP3091" s="16"/>
      <c r="AQ3091" s="16"/>
      <c r="AR3091" s="16"/>
      <c r="AS3091" s="16"/>
    </row>
    <row r="3092" spans="18:45" x14ac:dyDescent="0.35">
      <c r="R3092" s="191"/>
      <c r="S3092" s="191"/>
      <c r="T3092" s="193"/>
      <c r="U3092" s="191"/>
      <c r="V3092" s="194"/>
      <c r="W3092" s="191"/>
      <c r="Y3092" s="191"/>
      <c r="Z3092" s="191"/>
      <c r="AA3092" s="191"/>
      <c r="AB3092" s="191"/>
      <c r="AC3092" s="191"/>
      <c r="AD3092" s="16"/>
      <c r="AE3092" s="16"/>
      <c r="AF3092" s="16"/>
      <c r="AG3092" s="16"/>
      <c r="AH3092" s="16"/>
      <c r="AI3092" s="16"/>
      <c r="AJ3092" s="16"/>
      <c r="AK3092" s="16"/>
      <c r="AL3092" s="16"/>
      <c r="AM3092" s="16"/>
      <c r="AN3092" s="16"/>
      <c r="AO3092" s="16"/>
      <c r="AP3092" s="16"/>
      <c r="AQ3092" s="16"/>
      <c r="AR3092" s="16"/>
      <c r="AS3092" s="16"/>
    </row>
    <row r="3093" spans="18:45" x14ac:dyDescent="0.35">
      <c r="R3093" s="191"/>
      <c r="S3093" s="191"/>
      <c r="T3093" s="193"/>
      <c r="U3093" s="191"/>
      <c r="V3093" s="194"/>
      <c r="W3093" s="191"/>
      <c r="Y3093" s="191"/>
      <c r="Z3093" s="191"/>
      <c r="AA3093" s="191"/>
      <c r="AB3093" s="191"/>
      <c r="AC3093" s="191"/>
      <c r="AD3093" s="16"/>
      <c r="AE3093" s="16"/>
      <c r="AF3093" s="16"/>
      <c r="AG3093" s="16"/>
      <c r="AH3093" s="16"/>
      <c r="AI3093" s="16"/>
      <c r="AJ3093" s="16"/>
      <c r="AK3093" s="16"/>
      <c r="AL3093" s="16"/>
      <c r="AM3093" s="16"/>
      <c r="AN3093" s="16"/>
      <c r="AO3093" s="16"/>
      <c r="AP3093" s="16"/>
      <c r="AQ3093" s="16"/>
      <c r="AR3093" s="16"/>
      <c r="AS3093" s="16"/>
    </row>
    <row r="3094" spans="18:45" x14ac:dyDescent="0.35">
      <c r="R3094" s="191"/>
      <c r="S3094" s="191"/>
      <c r="T3094" s="193"/>
      <c r="U3094" s="191"/>
      <c r="V3094" s="194"/>
      <c r="W3094" s="191"/>
      <c r="Y3094" s="191"/>
      <c r="Z3094" s="191"/>
      <c r="AA3094" s="191"/>
      <c r="AB3094" s="191"/>
      <c r="AC3094" s="191"/>
      <c r="AD3094" s="16"/>
      <c r="AE3094" s="16"/>
      <c r="AF3094" s="16"/>
      <c r="AG3094" s="16"/>
      <c r="AH3094" s="16"/>
      <c r="AI3094" s="16"/>
      <c r="AJ3094" s="16"/>
      <c r="AK3094" s="16"/>
      <c r="AL3094" s="16"/>
      <c r="AM3094" s="16"/>
      <c r="AN3094" s="16"/>
      <c r="AO3094" s="16"/>
      <c r="AP3094" s="16"/>
      <c r="AQ3094" s="16"/>
      <c r="AR3094" s="16"/>
      <c r="AS3094" s="16"/>
    </row>
    <row r="3095" spans="18:45" x14ac:dyDescent="0.35">
      <c r="R3095" s="191"/>
      <c r="S3095" s="191"/>
      <c r="T3095" s="193"/>
      <c r="U3095" s="191"/>
      <c r="V3095" s="194"/>
      <c r="W3095" s="191"/>
      <c r="Y3095" s="191"/>
      <c r="Z3095" s="191"/>
      <c r="AA3095" s="191"/>
      <c r="AB3095" s="191"/>
      <c r="AC3095" s="191"/>
      <c r="AD3095" s="16"/>
      <c r="AE3095" s="16"/>
      <c r="AF3095" s="16"/>
      <c r="AG3095" s="16"/>
      <c r="AH3095" s="16"/>
      <c r="AI3095" s="16"/>
      <c r="AJ3095" s="16"/>
      <c r="AK3095" s="16"/>
      <c r="AL3095" s="16"/>
      <c r="AM3095" s="16"/>
      <c r="AN3095" s="16"/>
      <c r="AO3095" s="16"/>
      <c r="AP3095" s="16"/>
      <c r="AQ3095" s="16"/>
      <c r="AR3095" s="16"/>
      <c r="AS3095" s="16"/>
    </row>
    <row r="3096" spans="18:45" x14ac:dyDescent="0.35">
      <c r="R3096" s="191"/>
      <c r="S3096" s="191"/>
      <c r="T3096" s="193"/>
      <c r="U3096" s="191"/>
      <c r="V3096" s="194"/>
      <c r="W3096" s="191"/>
      <c r="Y3096" s="191"/>
      <c r="Z3096" s="191"/>
      <c r="AA3096" s="191"/>
      <c r="AB3096" s="191"/>
      <c r="AC3096" s="191"/>
      <c r="AD3096" s="16"/>
      <c r="AE3096" s="16"/>
      <c r="AF3096" s="16"/>
      <c r="AG3096" s="16"/>
      <c r="AH3096" s="16"/>
      <c r="AI3096" s="16"/>
      <c r="AJ3096" s="16"/>
      <c r="AK3096" s="16"/>
      <c r="AL3096" s="16"/>
      <c r="AM3096" s="16"/>
      <c r="AN3096" s="16"/>
      <c r="AO3096" s="16"/>
      <c r="AP3096" s="16"/>
      <c r="AQ3096" s="16"/>
      <c r="AR3096" s="16"/>
      <c r="AS3096" s="16"/>
    </row>
    <row r="3097" spans="18:45" x14ac:dyDescent="0.35">
      <c r="R3097" s="191"/>
      <c r="S3097" s="191"/>
      <c r="T3097" s="193"/>
      <c r="U3097" s="191"/>
      <c r="V3097" s="194"/>
      <c r="W3097" s="191"/>
      <c r="Y3097" s="191"/>
      <c r="Z3097" s="191"/>
      <c r="AA3097" s="191"/>
      <c r="AB3097" s="191"/>
      <c r="AC3097" s="191"/>
      <c r="AD3097" s="16"/>
      <c r="AE3097" s="16"/>
      <c r="AF3097" s="16"/>
      <c r="AG3097" s="16"/>
      <c r="AH3097" s="16"/>
      <c r="AI3097" s="16"/>
      <c r="AJ3097" s="16"/>
      <c r="AK3097" s="16"/>
      <c r="AL3097" s="16"/>
      <c r="AM3097" s="16"/>
      <c r="AN3097" s="16"/>
      <c r="AO3097" s="16"/>
      <c r="AP3097" s="16"/>
      <c r="AQ3097" s="16"/>
      <c r="AR3097" s="16"/>
      <c r="AS3097" s="16"/>
    </row>
    <row r="3098" spans="18:45" x14ac:dyDescent="0.35">
      <c r="R3098" s="191"/>
      <c r="S3098" s="191"/>
      <c r="T3098" s="193"/>
      <c r="U3098" s="191"/>
      <c r="V3098" s="194"/>
      <c r="W3098" s="191"/>
      <c r="Y3098" s="191"/>
      <c r="Z3098" s="191"/>
      <c r="AA3098" s="191"/>
      <c r="AB3098" s="191"/>
      <c r="AC3098" s="191"/>
      <c r="AD3098" s="16"/>
      <c r="AE3098" s="16"/>
      <c r="AF3098" s="16"/>
      <c r="AG3098" s="16"/>
      <c r="AH3098" s="16"/>
      <c r="AI3098" s="16"/>
      <c r="AJ3098" s="16"/>
      <c r="AK3098" s="16"/>
      <c r="AL3098" s="16"/>
      <c r="AM3098" s="16"/>
      <c r="AN3098" s="16"/>
      <c r="AO3098" s="16"/>
      <c r="AP3098" s="16"/>
      <c r="AQ3098" s="16"/>
      <c r="AR3098" s="16"/>
      <c r="AS3098" s="16"/>
    </row>
    <row r="3099" spans="18:45" x14ac:dyDescent="0.35">
      <c r="R3099" s="191"/>
      <c r="S3099" s="191"/>
      <c r="T3099" s="193"/>
      <c r="U3099" s="191"/>
      <c r="V3099" s="194"/>
      <c r="W3099" s="191"/>
      <c r="Y3099" s="191"/>
      <c r="Z3099" s="191"/>
      <c r="AA3099" s="191"/>
      <c r="AB3099" s="191"/>
      <c r="AC3099" s="191"/>
      <c r="AD3099" s="16"/>
      <c r="AE3099" s="16"/>
      <c r="AF3099" s="16"/>
      <c r="AG3099" s="16"/>
      <c r="AH3099" s="16"/>
      <c r="AI3099" s="16"/>
      <c r="AJ3099" s="16"/>
      <c r="AK3099" s="16"/>
      <c r="AL3099" s="16"/>
      <c r="AM3099" s="16"/>
      <c r="AN3099" s="16"/>
      <c r="AO3099" s="16"/>
      <c r="AP3099" s="16"/>
      <c r="AQ3099" s="16"/>
      <c r="AR3099" s="16"/>
      <c r="AS3099" s="16"/>
    </row>
    <row r="3100" spans="18:45" x14ac:dyDescent="0.35">
      <c r="R3100" s="191"/>
      <c r="S3100" s="191"/>
      <c r="T3100" s="193"/>
      <c r="U3100" s="191"/>
      <c r="V3100" s="194"/>
      <c r="W3100" s="191"/>
      <c r="Y3100" s="191"/>
      <c r="Z3100" s="191"/>
      <c r="AA3100" s="191"/>
      <c r="AB3100" s="191"/>
      <c r="AC3100" s="191"/>
      <c r="AD3100" s="16"/>
      <c r="AE3100" s="16"/>
      <c r="AF3100" s="16"/>
      <c r="AG3100" s="16"/>
      <c r="AH3100" s="16"/>
      <c r="AI3100" s="16"/>
      <c r="AJ3100" s="16"/>
      <c r="AK3100" s="16"/>
      <c r="AL3100" s="16"/>
      <c r="AM3100" s="16"/>
      <c r="AN3100" s="16"/>
      <c r="AO3100" s="16"/>
      <c r="AP3100" s="16"/>
      <c r="AQ3100" s="16"/>
      <c r="AR3100" s="16"/>
      <c r="AS3100" s="16"/>
    </row>
    <row r="3101" spans="18:45" x14ac:dyDescent="0.35">
      <c r="R3101" s="191"/>
      <c r="S3101" s="191"/>
      <c r="T3101" s="193"/>
      <c r="U3101" s="191"/>
      <c r="V3101" s="194"/>
      <c r="W3101" s="191"/>
      <c r="Y3101" s="191"/>
      <c r="Z3101" s="191"/>
      <c r="AA3101" s="191"/>
      <c r="AB3101" s="191"/>
      <c r="AC3101" s="191"/>
      <c r="AD3101" s="16"/>
      <c r="AE3101" s="16"/>
      <c r="AF3101" s="16"/>
      <c r="AG3101" s="16"/>
      <c r="AH3101" s="16"/>
      <c r="AI3101" s="16"/>
      <c r="AJ3101" s="16"/>
      <c r="AK3101" s="16"/>
      <c r="AL3101" s="16"/>
      <c r="AM3101" s="16"/>
      <c r="AN3101" s="16"/>
      <c r="AO3101" s="16"/>
      <c r="AP3101" s="16"/>
      <c r="AQ3101" s="16"/>
      <c r="AR3101" s="16"/>
      <c r="AS3101" s="16"/>
    </row>
    <row r="3102" spans="18:45" x14ac:dyDescent="0.35">
      <c r="R3102" s="191"/>
      <c r="S3102" s="191"/>
      <c r="T3102" s="193"/>
      <c r="U3102" s="191"/>
      <c r="V3102" s="194"/>
      <c r="W3102" s="191"/>
      <c r="Y3102" s="191"/>
      <c r="Z3102" s="191"/>
      <c r="AA3102" s="191"/>
      <c r="AB3102" s="191"/>
      <c r="AC3102" s="191"/>
      <c r="AD3102" s="16"/>
      <c r="AE3102" s="16"/>
      <c r="AF3102" s="16"/>
      <c r="AG3102" s="16"/>
      <c r="AH3102" s="16"/>
      <c r="AI3102" s="16"/>
      <c r="AJ3102" s="16"/>
      <c r="AK3102" s="16"/>
      <c r="AL3102" s="16"/>
      <c r="AM3102" s="16"/>
      <c r="AN3102" s="16"/>
      <c r="AO3102" s="16"/>
      <c r="AP3102" s="16"/>
      <c r="AQ3102" s="16"/>
      <c r="AR3102" s="16"/>
      <c r="AS3102" s="16"/>
    </row>
    <row r="3103" spans="18:45" x14ac:dyDescent="0.35">
      <c r="R3103" s="191"/>
      <c r="S3103" s="191"/>
      <c r="T3103" s="193"/>
      <c r="U3103" s="191"/>
      <c r="V3103" s="194"/>
      <c r="W3103" s="191"/>
      <c r="Y3103" s="191"/>
      <c r="Z3103" s="191"/>
      <c r="AA3103" s="191"/>
      <c r="AB3103" s="191"/>
      <c r="AC3103" s="191"/>
      <c r="AD3103" s="16"/>
      <c r="AE3103" s="16"/>
      <c r="AF3103" s="16"/>
      <c r="AG3103" s="16"/>
      <c r="AH3103" s="16"/>
      <c r="AI3103" s="16"/>
      <c r="AJ3103" s="16"/>
      <c r="AK3103" s="16"/>
      <c r="AL3103" s="16"/>
      <c r="AM3103" s="16"/>
      <c r="AN3103" s="16"/>
      <c r="AO3103" s="16"/>
      <c r="AP3103" s="16"/>
      <c r="AQ3103" s="16"/>
      <c r="AR3103" s="16"/>
      <c r="AS3103" s="16"/>
    </row>
    <row r="3104" spans="18:45" x14ac:dyDescent="0.35">
      <c r="R3104" s="191"/>
      <c r="S3104" s="191"/>
      <c r="T3104" s="193"/>
      <c r="U3104" s="191"/>
      <c r="V3104" s="194"/>
      <c r="W3104" s="191"/>
      <c r="Y3104" s="191"/>
      <c r="Z3104" s="191"/>
      <c r="AA3104" s="191"/>
      <c r="AB3104" s="191"/>
      <c r="AC3104" s="191"/>
      <c r="AD3104" s="16"/>
      <c r="AE3104" s="16"/>
      <c r="AF3104" s="16"/>
      <c r="AG3104" s="16"/>
      <c r="AH3104" s="16"/>
      <c r="AI3104" s="16"/>
      <c r="AJ3104" s="16"/>
      <c r="AK3104" s="16"/>
      <c r="AL3104" s="16"/>
      <c r="AM3104" s="16"/>
      <c r="AN3104" s="16"/>
      <c r="AO3104" s="16"/>
      <c r="AP3104" s="16"/>
      <c r="AQ3104" s="16"/>
      <c r="AR3104" s="16"/>
      <c r="AS3104" s="16"/>
    </row>
    <row r="3105" spans="18:45" x14ac:dyDescent="0.35">
      <c r="R3105" s="191"/>
      <c r="S3105" s="191"/>
      <c r="T3105" s="193"/>
      <c r="U3105" s="191"/>
      <c r="V3105" s="194"/>
      <c r="W3105" s="191"/>
      <c r="Y3105" s="191"/>
      <c r="Z3105" s="191"/>
      <c r="AA3105" s="191"/>
      <c r="AB3105" s="191"/>
      <c r="AC3105" s="191"/>
      <c r="AD3105" s="16"/>
      <c r="AE3105" s="16"/>
      <c r="AF3105" s="16"/>
      <c r="AG3105" s="16"/>
      <c r="AH3105" s="16"/>
      <c r="AI3105" s="16"/>
      <c r="AJ3105" s="16"/>
      <c r="AK3105" s="16"/>
      <c r="AL3105" s="16"/>
      <c r="AM3105" s="16"/>
      <c r="AN3105" s="16"/>
      <c r="AO3105" s="16"/>
      <c r="AP3105" s="16"/>
      <c r="AQ3105" s="16"/>
      <c r="AR3105" s="16"/>
      <c r="AS3105" s="16"/>
    </row>
    <row r="3106" spans="18:45" x14ac:dyDescent="0.35">
      <c r="R3106" s="191"/>
      <c r="S3106" s="191"/>
      <c r="T3106" s="193"/>
      <c r="U3106" s="191"/>
      <c r="V3106" s="194"/>
      <c r="W3106" s="191"/>
      <c r="Y3106" s="191"/>
      <c r="Z3106" s="191"/>
      <c r="AA3106" s="191"/>
      <c r="AB3106" s="191"/>
      <c r="AC3106" s="191"/>
      <c r="AD3106" s="16"/>
      <c r="AE3106" s="16"/>
      <c r="AF3106" s="16"/>
      <c r="AG3106" s="16"/>
      <c r="AH3106" s="16"/>
      <c r="AI3106" s="16"/>
      <c r="AJ3106" s="16"/>
      <c r="AK3106" s="16"/>
      <c r="AL3106" s="16"/>
      <c r="AM3106" s="16"/>
      <c r="AN3106" s="16"/>
      <c r="AO3106" s="16"/>
      <c r="AP3106" s="16"/>
      <c r="AQ3106" s="16"/>
      <c r="AR3106" s="16"/>
      <c r="AS3106" s="16"/>
    </row>
    <row r="3107" spans="18:45" x14ac:dyDescent="0.35">
      <c r="R3107" s="191"/>
      <c r="S3107" s="191"/>
      <c r="T3107" s="193"/>
      <c r="U3107" s="191"/>
      <c r="V3107" s="194"/>
      <c r="W3107" s="191"/>
      <c r="Y3107" s="191"/>
      <c r="Z3107" s="191"/>
      <c r="AA3107" s="191"/>
      <c r="AB3107" s="191"/>
      <c r="AC3107" s="191"/>
      <c r="AD3107" s="16"/>
      <c r="AE3107" s="16"/>
      <c r="AF3107" s="16"/>
      <c r="AG3107" s="16"/>
      <c r="AH3107" s="16"/>
      <c r="AI3107" s="16"/>
      <c r="AJ3107" s="16"/>
      <c r="AK3107" s="16"/>
      <c r="AL3107" s="16"/>
      <c r="AM3107" s="16"/>
      <c r="AN3107" s="16"/>
      <c r="AO3107" s="16"/>
      <c r="AP3107" s="16"/>
      <c r="AQ3107" s="16"/>
      <c r="AR3107" s="16"/>
      <c r="AS3107" s="16"/>
    </row>
    <row r="3108" spans="18:45" x14ac:dyDescent="0.35">
      <c r="R3108" s="191"/>
      <c r="S3108" s="191"/>
      <c r="T3108" s="193"/>
      <c r="U3108" s="191"/>
      <c r="V3108" s="194"/>
      <c r="W3108" s="191"/>
      <c r="Y3108" s="191"/>
      <c r="Z3108" s="191"/>
      <c r="AA3108" s="191"/>
      <c r="AB3108" s="191"/>
      <c r="AC3108" s="191"/>
      <c r="AD3108" s="16"/>
      <c r="AE3108" s="16"/>
      <c r="AF3108" s="16"/>
      <c r="AG3108" s="16"/>
      <c r="AH3108" s="16"/>
      <c r="AI3108" s="16"/>
      <c r="AJ3108" s="16"/>
      <c r="AK3108" s="16"/>
      <c r="AL3108" s="16"/>
      <c r="AM3108" s="16"/>
      <c r="AN3108" s="16"/>
      <c r="AO3108" s="16"/>
      <c r="AP3108" s="16"/>
      <c r="AQ3108" s="16"/>
      <c r="AR3108" s="16"/>
      <c r="AS3108" s="16"/>
    </row>
    <row r="3109" spans="18:45" x14ac:dyDescent="0.35">
      <c r="R3109" s="191"/>
      <c r="S3109" s="191"/>
      <c r="T3109" s="193"/>
      <c r="U3109" s="191"/>
      <c r="V3109" s="194"/>
      <c r="W3109" s="191"/>
      <c r="Y3109" s="191"/>
      <c r="Z3109" s="191"/>
      <c r="AA3109" s="191"/>
      <c r="AB3109" s="191"/>
      <c r="AC3109" s="191"/>
      <c r="AD3109" s="16"/>
      <c r="AE3109" s="16"/>
      <c r="AF3109" s="16"/>
      <c r="AG3109" s="16"/>
      <c r="AH3109" s="16"/>
      <c r="AI3109" s="16"/>
      <c r="AJ3109" s="16"/>
      <c r="AK3109" s="16"/>
      <c r="AL3109" s="16"/>
      <c r="AM3109" s="16"/>
      <c r="AN3109" s="16"/>
      <c r="AO3109" s="16"/>
      <c r="AP3109" s="16"/>
      <c r="AQ3109" s="16"/>
      <c r="AR3109" s="16"/>
      <c r="AS3109" s="16"/>
    </row>
    <row r="3110" spans="18:45" x14ac:dyDescent="0.35">
      <c r="R3110" s="191"/>
      <c r="S3110" s="191"/>
      <c r="T3110" s="193"/>
      <c r="U3110" s="191"/>
      <c r="V3110" s="194"/>
      <c r="W3110" s="191"/>
      <c r="Y3110" s="191"/>
      <c r="Z3110" s="191"/>
      <c r="AA3110" s="191"/>
      <c r="AB3110" s="191"/>
      <c r="AC3110" s="191"/>
      <c r="AD3110" s="16"/>
      <c r="AE3110" s="16"/>
      <c r="AF3110" s="16"/>
      <c r="AG3110" s="16"/>
      <c r="AH3110" s="16"/>
      <c r="AI3110" s="16"/>
      <c r="AJ3110" s="16"/>
      <c r="AK3110" s="16"/>
      <c r="AL3110" s="16"/>
      <c r="AM3110" s="16"/>
      <c r="AN3110" s="16"/>
      <c r="AO3110" s="16"/>
      <c r="AP3110" s="16"/>
      <c r="AQ3110" s="16"/>
      <c r="AR3110" s="16"/>
      <c r="AS3110" s="16"/>
    </row>
    <row r="3111" spans="18:45" x14ac:dyDescent="0.35">
      <c r="R3111" s="191"/>
      <c r="S3111" s="191"/>
      <c r="T3111" s="193"/>
      <c r="U3111" s="191"/>
      <c r="V3111" s="194"/>
      <c r="W3111" s="191"/>
      <c r="Y3111" s="191"/>
      <c r="Z3111" s="191"/>
      <c r="AA3111" s="191"/>
      <c r="AB3111" s="191"/>
      <c r="AC3111" s="191"/>
      <c r="AD3111" s="16"/>
      <c r="AE3111" s="16"/>
      <c r="AF3111" s="16"/>
      <c r="AG3111" s="16"/>
      <c r="AH3111" s="16"/>
      <c r="AI3111" s="16"/>
      <c r="AJ3111" s="16"/>
      <c r="AK3111" s="16"/>
      <c r="AL3111" s="16"/>
      <c r="AM3111" s="16"/>
      <c r="AN3111" s="16"/>
      <c r="AO3111" s="16"/>
      <c r="AP3111" s="16"/>
      <c r="AQ3111" s="16"/>
      <c r="AR3111" s="16"/>
      <c r="AS3111" s="16"/>
    </row>
    <row r="3112" spans="18:45" x14ac:dyDescent="0.35">
      <c r="R3112" s="191"/>
      <c r="S3112" s="191"/>
      <c r="T3112" s="193"/>
      <c r="U3112" s="191"/>
      <c r="V3112" s="194"/>
      <c r="W3112" s="191"/>
      <c r="Y3112" s="191"/>
      <c r="Z3112" s="191"/>
      <c r="AA3112" s="191"/>
      <c r="AB3112" s="191"/>
      <c r="AC3112" s="191"/>
      <c r="AD3112" s="16"/>
      <c r="AE3112" s="16"/>
      <c r="AF3112" s="16"/>
      <c r="AG3112" s="16"/>
      <c r="AH3112" s="16"/>
      <c r="AI3112" s="16"/>
      <c r="AJ3112" s="16"/>
      <c r="AK3112" s="16"/>
      <c r="AL3112" s="16"/>
      <c r="AM3112" s="16"/>
      <c r="AN3112" s="16"/>
      <c r="AO3112" s="16"/>
      <c r="AP3112" s="16"/>
      <c r="AQ3112" s="16"/>
      <c r="AR3112" s="16"/>
      <c r="AS3112" s="16"/>
    </row>
    <row r="3113" spans="18:45" x14ac:dyDescent="0.35">
      <c r="R3113" s="191"/>
      <c r="S3113" s="191"/>
      <c r="T3113" s="193"/>
      <c r="U3113" s="191"/>
      <c r="V3113" s="194"/>
      <c r="W3113" s="191"/>
      <c r="Y3113" s="191"/>
      <c r="Z3113" s="191"/>
      <c r="AA3113" s="191"/>
      <c r="AB3113" s="191"/>
      <c r="AC3113" s="191"/>
      <c r="AD3113" s="16"/>
      <c r="AE3113" s="16"/>
      <c r="AF3113" s="16"/>
      <c r="AG3113" s="16"/>
      <c r="AH3113" s="16"/>
      <c r="AI3113" s="16"/>
      <c r="AJ3113" s="16"/>
      <c r="AK3113" s="16"/>
      <c r="AL3113" s="16"/>
      <c r="AM3113" s="16"/>
      <c r="AN3113" s="16"/>
      <c r="AO3113" s="16"/>
      <c r="AP3113" s="16"/>
      <c r="AQ3113" s="16"/>
      <c r="AR3113" s="16"/>
      <c r="AS3113" s="16"/>
    </row>
    <row r="3114" spans="18:45" x14ac:dyDescent="0.35">
      <c r="R3114" s="191"/>
      <c r="S3114" s="191"/>
      <c r="T3114" s="193"/>
      <c r="U3114" s="191"/>
      <c r="V3114" s="194"/>
      <c r="W3114" s="191"/>
      <c r="Y3114" s="191"/>
      <c r="Z3114" s="191"/>
      <c r="AA3114" s="191"/>
      <c r="AB3114" s="191"/>
      <c r="AC3114" s="191"/>
      <c r="AD3114" s="16"/>
      <c r="AE3114" s="16"/>
      <c r="AF3114" s="16"/>
      <c r="AG3114" s="16"/>
      <c r="AH3114" s="16"/>
      <c r="AI3114" s="16"/>
      <c r="AJ3114" s="16"/>
      <c r="AK3114" s="16"/>
      <c r="AL3114" s="16"/>
      <c r="AM3114" s="16"/>
      <c r="AN3114" s="16"/>
      <c r="AO3114" s="16"/>
      <c r="AP3114" s="16"/>
      <c r="AQ3114" s="16"/>
      <c r="AR3114" s="16"/>
      <c r="AS3114" s="16"/>
    </row>
    <row r="3115" spans="18:45" x14ac:dyDescent="0.35">
      <c r="R3115" s="191"/>
      <c r="S3115" s="191"/>
      <c r="T3115" s="193"/>
      <c r="U3115" s="191"/>
      <c r="V3115" s="194"/>
      <c r="W3115" s="191"/>
      <c r="Y3115" s="191"/>
      <c r="Z3115" s="191"/>
      <c r="AA3115" s="191"/>
      <c r="AB3115" s="191"/>
      <c r="AC3115" s="191"/>
      <c r="AD3115" s="16"/>
      <c r="AE3115" s="16"/>
      <c r="AF3115" s="16"/>
      <c r="AG3115" s="16"/>
      <c r="AH3115" s="16"/>
      <c r="AI3115" s="16"/>
      <c r="AJ3115" s="16"/>
      <c r="AK3115" s="16"/>
      <c r="AL3115" s="16"/>
      <c r="AM3115" s="16"/>
      <c r="AN3115" s="16"/>
      <c r="AO3115" s="16"/>
      <c r="AP3115" s="16"/>
      <c r="AQ3115" s="16"/>
      <c r="AR3115" s="16"/>
      <c r="AS3115" s="16"/>
    </row>
    <row r="3116" spans="18:45" x14ac:dyDescent="0.35">
      <c r="R3116" s="191"/>
      <c r="S3116" s="191"/>
      <c r="T3116" s="193"/>
      <c r="U3116" s="191"/>
      <c r="V3116" s="194"/>
      <c r="W3116" s="191"/>
      <c r="Y3116" s="191"/>
      <c r="Z3116" s="191"/>
      <c r="AA3116" s="191"/>
      <c r="AB3116" s="191"/>
      <c r="AC3116" s="191"/>
      <c r="AD3116" s="16"/>
      <c r="AE3116" s="16"/>
      <c r="AF3116" s="16"/>
      <c r="AG3116" s="16"/>
      <c r="AH3116" s="16"/>
      <c r="AI3116" s="16"/>
      <c r="AJ3116" s="16"/>
      <c r="AK3116" s="16"/>
      <c r="AL3116" s="16"/>
      <c r="AM3116" s="16"/>
      <c r="AN3116" s="16"/>
      <c r="AO3116" s="16"/>
      <c r="AP3116" s="16"/>
      <c r="AQ3116" s="16"/>
      <c r="AR3116" s="16"/>
      <c r="AS3116" s="16"/>
    </row>
    <row r="3117" spans="18:45" x14ac:dyDescent="0.35">
      <c r="R3117" s="191"/>
      <c r="S3117" s="191"/>
      <c r="T3117" s="193"/>
      <c r="U3117" s="191"/>
      <c r="V3117" s="194"/>
      <c r="W3117" s="191"/>
      <c r="Y3117" s="191"/>
      <c r="Z3117" s="191"/>
      <c r="AA3117" s="191"/>
      <c r="AB3117" s="191"/>
      <c r="AC3117" s="191"/>
      <c r="AD3117" s="16"/>
      <c r="AE3117" s="16"/>
      <c r="AF3117" s="16"/>
      <c r="AG3117" s="16"/>
      <c r="AH3117" s="16"/>
      <c r="AI3117" s="16"/>
      <c r="AJ3117" s="16"/>
      <c r="AK3117" s="16"/>
      <c r="AL3117" s="16"/>
      <c r="AM3117" s="16"/>
      <c r="AN3117" s="16"/>
      <c r="AO3117" s="16"/>
      <c r="AP3117" s="16"/>
      <c r="AQ3117" s="16"/>
      <c r="AR3117" s="16"/>
      <c r="AS3117" s="16"/>
    </row>
    <row r="3118" spans="18:45" x14ac:dyDescent="0.35">
      <c r="R3118" s="191"/>
      <c r="S3118" s="191"/>
      <c r="T3118" s="193"/>
      <c r="U3118" s="191"/>
      <c r="V3118" s="194"/>
      <c r="W3118" s="191"/>
      <c r="Y3118" s="191"/>
      <c r="Z3118" s="191"/>
      <c r="AA3118" s="191"/>
      <c r="AB3118" s="191"/>
      <c r="AC3118" s="191"/>
      <c r="AD3118" s="16"/>
      <c r="AE3118" s="16"/>
      <c r="AF3118" s="16"/>
      <c r="AG3118" s="16"/>
      <c r="AH3118" s="16"/>
      <c r="AI3118" s="16"/>
      <c r="AJ3118" s="16"/>
      <c r="AK3118" s="16"/>
      <c r="AL3118" s="16"/>
      <c r="AM3118" s="16"/>
      <c r="AN3118" s="16"/>
      <c r="AO3118" s="16"/>
      <c r="AP3118" s="16"/>
      <c r="AQ3118" s="16"/>
      <c r="AR3118" s="16"/>
      <c r="AS3118" s="16"/>
    </row>
    <row r="3119" spans="18:45" x14ac:dyDescent="0.35">
      <c r="R3119" s="191"/>
      <c r="S3119" s="191"/>
      <c r="T3119" s="193"/>
      <c r="U3119" s="191"/>
      <c r="V3119" s="194"/>
      <c r="W3119" s="191"/>
      <c r="Y3119" s="191"/>
      <c r="Z3119" s="191"/>
      <c r="AA3119" s="191"/>
      <c r="AB3119" s="191"/>
      <c r="AC3119" s="191"/>
      <c r="AD3119" s="16"/>
      <c r="AE3119" s="16"/>
      <c r="AF3119" s="16"/>
      <c r="AG3119" s="16"/>
      <c r="AH3119" s="16"/>
      <c r="AI3119" s="16"/>
      <c r="AJ3119" s="16"/>
      <c r="AK3119" s="16"/>
      <c r="AL3119" s="16"/>
      <c r="AM3119" s="16"/>
      <c r="AN3119" s="16"/>
      <c r="AO3119" s="16"/>
      <c r="AP3119" s="16"/>
      <c r="AQ3119" s="16"/>
      <c r="AR3119" s="16"/>
      <c r="AS3119" s="16"/>
    </row>
    <row r="3120" spans="18:45" x14ac:dyDescent="0.35">
      <c r="R3120" s="191"/>
      <c r="S3120" s="191"/>
      <c r="T3120" s="193"/>
      <c r="U3120" s="191"/>
      <c r="V3120" s="194"/>
      <c r="W3120" s="191"/>
      <c r="Y3120" s="191"/>
      <c r="Z3120" s="191"/>
      <c r="AA3120" s="191"/>
      <c r="AB3120" s="191"/>
      <c r="AC3120" s="191"/>
      <c r="AD3120" s="16"/>
      <c r="AE3120" s="16"/>
      <c r="AF3120" s="16"/>
      <c r="AG3120" s="16"/>
      <c r="AH3120" s="16"/>
      <c r="AI3120" s="16"/>
      <c r="AJ3120" s="16"/>
      <c r="AK3120" s="16"/>
      <c r="AL3120" s="16"/>
      <c r="AM3120" s="16"/>
      <c r="AN3120" s="16"/>
      <c r="AO3120" s="16"/>
      <c r="AP3120" s="16"/>
      <c r="AQ3120" s="16"/>
      <c r="AR3120" s="16"/>
      <c r="AS3120" s="16"/>
    </row>
    <row r="3121" spans="18:45" x14ac:dyDescent="0.35">
      <c r="R3121" s="191"/>
      <c r="S3121" s="191"/>
      <c r="T3121" s="193"/>
      <c r="U3121" s="191"/>
      <c r="V3121" s="194"/>
      <c r="W3121" s="191"/>
      <c r="Y3121" s="191"/>
      <c r="Z3121" s="191"/>
      <c r="AA3121" s="191"/>
      <c r="AB3121" s="191"/>
      <c r="AC3121" s="191"/>
      <c r="AD3121" s="16"/>
      <c r="AE3121" s="16"/>
      <c r="AF3121" s="16"/>
      <c r="AG3121" s="16"/>
      <c r="AH3121" s="16"/>
      <c r="AI3121" s="16"/>
      <c r="AJ3121" s="16"/>
      <c r="AK3121" s="16"/>
      <c r="AL3121" s="16"/>
      <c r="AM3121" s="16"/>
      <c r="AN3121" s="16"/>
      <c r="AO3121" s="16"/>
      <c r="AP3121" s="16"/>
      <c r="AQ3121" s="16"/>
      <c r="AR3121" s="16"/>
      <c r="AS3121" s="16"/>
    </row>
    <row r="3122" spans="18:45" x14ac:dyDescent="0.35">
      <c r="R3122" s="191"/>
      <c r="S3122" s="191"/>
      <c r="T3122" s="193"/>
      <c r="U3122" s="191"/>
      <c r="V3122" s="194"/>
      <c r="W3122" s="191"/>
      <c r="Y3122" s="191"/>
      <c r="Z3122" s="191"/>
      <c r="AA3122" s="191"/>
      <c r="AB3122" s="191"/>
      <c r="AC3122" s="191"/>
      <c r="AD3122" s="16"/>
      <c r="AE3122" s="16"/>
      <c r="AF3122" s="16"/>
      <c r="AG3122" s="16"/>
      <c r="AH3122" s="16"/>
      <c r="AI3122" s="16"/>
      <c r="AJ3122" s="16"/>
      <c r="AK3122" s="16"/>
      <c r="AL3122" s="16"/>
      <c r="AM3122" s="16"/>
      <c r="AN3122" s="16"/>
      <c r="AO3122" s="16"/>
      <c r="AP3122" s="16"/>
      <c r="AQ3122" s="16"/>
      <c r="AR3122" s="16"/>
      <c r="AS3122" s="16"/>
    </row>
    <row r="3123" spans="18:45" x14ac:dyDescent="0.35">
      <c r="R3123" s="191"/>
      <c r="S3123" s="191"/>
      <c r="T3123" s="193"/>
      <c r="U3123" s="191"/>
      <c r="V3123" s="194"/>
      <c r="W3123" s="191"/>
      <c r="Y3123" s="191"/>
      <c r="Z3123" s="191"/>
      <c r="AA3123" s="191"/>
      <c r="AB3123" s="191"/>
      <c r="AC3123" s="191"/>
      <c r="AD3123" s="16"/>
      <c r="AE3123" s="16"/>
      <c r="AF3123" s="16"/>
      <c r="AG3123" s="16"/>
      <c r="AH3123" s="16"/>
      <c r="AI3123" s="16"/>
      <c r="AJ3123" s="16"/>
      <c r="AK3123" s="16"/>
      <c r="AL3123" s="16"/>
      <c r="AM3123" s="16"/>
      <c r="AN3123" s="16"/>
      <c r="AO3123" s="16"/>
      <c r="AP3123" s="16"/>
      <c r="AQ3123" s="16"/>
      <c r="AR3123" s="16"/>
      <c r="AS3123" s="16"/>
    </row>
    <row r="3124" spans="18:45" x14ac:dyDescent="0.35">
      <c r="R3124" s="191"/>
      <c r="S3124" s="191"/>
      <c r="T3124" s="193"/>
      <c r="U3124" s="191"/>
      <c r="V3124" s="194"/>
      <c r="W3124" s="191"/>
      <c r="Y3124" s="191"/>
      <c r="Z3124" s="191"/>
      <c r="AA3124" s="191"/>
      <c r="AB3124" s="191"/>
      <c r="AC3124" s="191"/>
      <c r="AD3124" s="16"/>
      <c r="AE3124" s="16"/>
      <c r="AF3124" s="16"/>
      <c r="AG3124" s="16"/>
      <c r="AH3124" s="16"/>
      <c r="AI3124" s="16"/>
      <c r="AJ3124" s="16"/>
      <c r="AK3124" s="16"/>
      <c r="AL3124" s="16"/>
      <c r="AM3124" s="16"/>
      <c r="AN3124" s="16"/>
      <c r="AO3124" s="16"/>
      <c r="AP3124" s="16"/>
      <c r="AQ3124" s="16"/>
      <c r="AR3124" s="16"/>
      <c r="AS3124" s="16"/>
    </row>
    <row r="3125" spans="18:45" x14ac:dyDescent="0.35">
      <c r="R3125" s="191"/>
      <c r="S3125" s="191"/>
      <c r="T3125" s="193"/>
      <c r="U3125" s="191"/>
      <c r="V3125" s="194"/>
      <c r="W3125" s="191"/>
      <c r="Y3125" s="191"/>
      <c r="Z3125" s="191"/>
      <c r="AA3125" s="191"/>
      <c r="AB3125" s="191"/>
      <c r="AC3125" s="191"/>
      <c r="AD3125" s="16"/>
      <c r="AE3125" s="16"/>
      <c r="AF3125" s="16"/>
      <c r="AG3125" s="16"/>
      <c r="AH3125" s="16"/>
      <c r="AI3125" s="16"/>
      <c r="AJ3125" s="16"/>
      <c r="AK3125" s="16"/>
      <c r="AL3125" s="16"/>
      <c r="AM3125" s="16"/>
      <c r="AN3125" s="16"/>
      <c r="AO3125" s="16"/>
      <c r="AP3125" s="16"/>
      <c r="AQ3125" s="16"/>
      <c r="AR3125" s="16"/>
      <c r="AS3125" s="16"/>
    </row>
    <row r="3126" spans="18:45" x14ac:dyDescent="0.35">
      <c r="R3126" s="191"/>
      <c r="S3126" s="191"/>
      <c r="T3126" s="193"/>
      <c r="U3126" s="191"/>
      <c r="V3126" s="194"/>
      <c r="W3126" s="191"/>
      <c r="Y3126" s="191"/>
      <c r="Z3126" s="191"/>
      <c r="AA3126" s="191"/>
      <c r="AB3126" s="191"/>
      <c r="AC3126" s="191"/>
      <c r="AD3126" s="16"/>
      <c r="AE3126" s="16"/>
      <c r="AF3126" s="16"/>
      <c r="AG3126" s="16"/>
      <c r="AH3126" s="16"/>
      <c r="AI3126" s="16"/>
      <c r="AJ3126" s="16"/>
      <c r="AK3126" s="16"/>
      <c r="AL3126" s="16"/>
      <c r="AM3126" s="16"/>
      <c r="AN3126" s="16"/>
      <c r="AO3126" s="16"/>
      <c r="AP3126" s="16"/>
      <c r="AQ3126" s="16"/>
      <c r="AR3126" s="16"/>
      <c r="AS3126" s="16"/>
    </row>
    <row r="3127" spans="18:45" x14ac:dyDescent="0.35">
      <c r="R3127" s="191"/>
      <c r="S3127" s="191"/>
      <c r="T3127" s="193"/>
      <c r="U3127" s="191"/>
      <c r="V3127" s="194"/>
      <c r="W3127" s="191"/>
      <c r="Y3127" s="191"/>
      <c r="Z3127" s="191"/>
      <c r="AA3127" s="191"/>
      <c r="AB3127" s="191"/>
      <c r="AC3127" s="191"/>
      <c r="AD3127" s="16"/>
      <c r="AE3127" s="16"/>
      <c r="AF3127" s="16"/>
      <c r="AG3127" s="16"/>
      <c r="AH3127" s="16"/>
      <c r="AI3127" s="16"/>
      <c r="AJ3127" s="16"/>
      <c r="AK3127" s="16"/>
      <c r="AL3127" s="16"/>
      <c r="AM3127" s="16"/>
      <c r="AN3127" s="16"/>
      <c r="AO3127" s="16"/>
      <c r="AP3127" s="16"/>
      <c r="AQ3127" s="16"/>
      <c r="AR3127" s="16"/>
      <c r="AS3127" s="16"/>
    </row>
    <row r="3128" spans="18:45" x14ac:dyDescent="0.35">
      <c r="R3128" s="191"/>
      <c r="S3128" s="191"/>
      <c r="T3128" s="193"/>
      <c r="U3128" s="191"/>
      <c r="V3128" s="194"/>
      <c r="W3128" s="191"/>
      <c r="Y3128" s="191"/>
      <c r="Z3128" s="191"/>
      <c r="AA3128" s="191"/>
      <c r="AB3128" s="191"/>
      <c r="AC3128" s="191"/>
      <c r="AD3128" s="16"/>
      <c r="AE3128" s="16"/>
      <c r="AF3128" s="16"/>
      <c r="AG3128" s="16"/>
      <c r="AH3128" s="16"/>
      <c r="AI3128" s="16"/>
      <c r="AJ3128" s="16"/>
      <c r="AK3128" s="16"/>
      <c r="AL3128" s="16"/>
      <c r="AM3128" s="16"/>
      <c r="AN3128" s="16"/>
      <c r="AO3128" s="16"/>
      <c r="AP3128" s="16"/>
      <c r="AQ3128" s="16"/>
      <c r="AR3128" s="16"/>
      <c r="AS3128" s="16"/>
    </row>
    <row r="3129" spans="18:45" x14ac:dyDescent="0.35">
      <c r="R3129" s="191"/>
      <c r="S3129" s="191"/>
      <c r="T3129" s="193"/>
      <c r="U3129" s="191"/>
      <c r="V3129" s="194"/>
      <c r="W3129" s="191"/>
      <c r="Y3129" s="191"/>
      <c r="Z3129" s="191"/>
      <c r="AA3129" s="191"/>
      <c r="AB3129" s="191"/>
      <c r="AC3129" s="191"/>
      <c r="AD3129" s="16"/>
      <c r="AE3129" s="16"/>
      <c r="AF3129" s="16"/>
      <c r="AG3129" s="16"/>
      <c r="AH3129" s="16"/>
      <c r="AI3129" s="16"/>
      <c r="AJ3129" s="16"/>
      <c r="AK3129" s="16"/>
      <c r="AL3129" s="16"/>
      <c r="AM3129" s="16"/>
      <c r="AN3129" s="16"/>
      <c r="AO3129" s="16"/>
      <c r="AP3129" s="16"/>
      <c r="AQ3129" s="16"/>
      <c r="AR3129" s="16"/>
      <c r="AS3129" s="16"/>
    </row>
    <row r="3130" spans="18:45" x14ac:dyDescent="0.35">
      <c r="R3130" s="191"/>
      <c r="S3130" s="191"/>
      <c r="T3130" s="193"/>
      <c r="U3130" s="191"/>
      <c r="V3130" s="194"/>
      <c r="W3130" s="191"/>
      <c r="Y3130" s="191"/>
      <c r="Z3130" s="191"/>
      <c r="AA3130" s="191"/>
      <c r="AB3130" s="191"/>
      <c r="AC3130" s="191"/>
      <c r="AD3130" s="16"/>
      <c r="AE3130" s="16"/>
      <c r="AF3130" s="16"/>
      <c r="AG3130" s="16"/>
      <c r="AH3130" s="16"/>
      <c r="AI3130" s="16"/>
      <c r="AJ3130" s="16"/>
      <c r="AK3130" s="16"/>
      <c r="AL3130" s="16"/>
      <c r="AM3130" s="16"/>
      <c r="AN3130" s="16"/>
      <c r="AO3130" s="16"/>
      <c r="AP3130" s="16"/>
      <c r="AQ3130" s="16"/>
      <c r="AR3130" s="16"/>
      <c r="AS3130" s="16"/>
    </row>
    <row r="3131" spans="18:45" x14ac:dyDescent="0.35">
      <c r="R3131" s="191"/>
      <c r="S3131" s="191"/>
      <c r="T3131" s="193"/>
      <c r="U3131" s="191"/>
      <c r="V3131" s="194"/>
      <c r="W3131" s="191"/>
      <c r="Y3131" s="191"/>
      <c r="Z3131" s="191"/>
      <c r="AA3131" s="191"/>
      <c r="AB3131" s="191"/>
      <c r="AC3131" s="191"/>
      <c r="AD3131" s="16"/>
      <c r="AE3131" s="16"/>
      <c r="AF3131" s="16"/>
      <c r="AG3131" s="16"/>
      <c r="AH3131" s="16"/>
      <c r="AI3131" s="16"/>
      <c r="AJ3131" s="16"/>
      <c r="AK3131" s="16"/>
      <c r="AL3131" s="16"/>
      <c r="AM3131" s="16"/>
      <c r="AN3131" s="16"/>
      <c r="AO3131" s="16"/>
      <c r="AP3131" s="16"/>
      <c r="AQ3131" s="16"/>
      <c r="AR3131" s="16"/>
      <c r="AS3131" s="16"/>
    </row>
    <row r="3132" spans="18:45" x14ac:dyDescent="0.35">
      <c r="R3132" s="191"/>
      <c r="S3132" s="191"/>
      <c r="T3132" s="193"/>
      <c r="U3132" s="191"/>
      <c r="V3132" s="194"/>
      <c r="W3132" s="191"/>
      <c r="Y3132" s="191"/>
      <c r="Z3132" s="191"/>
      <c r="AA3132" s="191"/>
      <c r="AB3132" s="191"/>
      <c r="AC3132" s="191"/>
      <c r="AD3132" s="16"/>
      <c r="AE3132" s="16"/>
      <c r="AF3132" s="16"/>
      <c r="AG3132" s="16"/>
      <c r="AH3132" s="16"/>
      <c r="AI3132" s="16"/>
      <c r="AJ3132" s="16"/>
      <c r="AK3132" s="16"/>
      <c r="AL3132" s="16"/>
      <c r="AM3132" s="16"/>
      <c r="AN3132" s="16"/>
      <c r="AO3132" s="16"/>
      <c r="AP3132" s="16"/>
      <c r="AQ3132" s="16"/>
      <c r="AR3132" s="16"/>
      <c r="AS3132" s="16"/>
    </row>
    <row r="3133" spans="18:45" x14ac:dyDescent="0.35">
      <c r="R3133" s="191"/>
      <c r="S3133" s="191"/>
      <c r="T3133" s="193"/>
      <c r="U3133" s="191"/>
      <c r="V3133" s="194"/>
      <c r="W3133" s="191"/>
      <c r="Y3133" s="191"/>
      <c r="Z3133" s="191"/>
      <c r="AA3133" s="191"/>
      <c r="AB3133" s="191"/>
      <c r="AC3133" s="191"/>
      <c r="AD3133" s="16"/>
      <c r="AE3133" s="16"/>
      <c r="AF3133" s="16"/>
      <c r="AG3133" s="16"/>
      <c r="AH3133" s="16"/>
      <c r="AI3133" s="16"/>
      <c r="AJ3133" s="16"/>
      <c r="AK3133" s="16"/>
      <c r="AL3133" s="16"/>
      <c r="AM3133" s="16"/>
      <c r="AN3133" s="16"/>
      <c r="AO3133" s="16"/>
      <c r="AP3133" s="16"/>
      <c r="AQ3133" s="16"/>
      <c r="AR3133" s="16"/>
      <c r="AS3133" s="16"/>
    </row>
    <row r="3134" spans="18:45" x14ac:dyDescent="0.35">
      <c r="R3134" s="191"/>
      <c r="S3134" s="191"/>
      <c r="T3134" s="193"/>
      <c r="U3134" s="191"/>
      <c r="V3134" s="194"/>
      <c r="W3134" s="191"/>
      <c r="Y3134" s="191"/>
      <c r="Z3134" s="191"/>
      <c r="AA3134" s="191"/>
      <c r="AB3134" s="191"/>
      <c r="AC3134" s="191"/>
      <c r="AD3134" s="16"/>
      <c r="AE3134" s="16"/>
      <c r="AF3134" s="16"/>
      <c r="AG3134" s="16"/>
      <c r="AH3134" s="16"/>
      <c r="AI3134" s="16"/>
      <c r="AJ3134" s="16"/>
      <c r="AK3134" s="16"/>
      <c r="AL3134" s="16"/>
      <c r="AM3134" s="16"/>
      <c r="AN3134" s="16"/>
      <c r="AO3134" s="16"/>
      <c r="AP3134" s="16"/>
      <c r="AQ3134" s="16"/>
      <c r="AR3134" s="16"/>
      <c r="AS3134" s="16"/>
    </row>
    <row r="3135" spans="18:45" x14ac:dyDescent="0.35">
      <c r="R3135" s="191"/>
      <c r="S3135" s="191"/>
      <c r="T3135" s="193"/>
      <c r="U3135" s="191"/>
      <c r="V3135" s="194"/>
      <c r="W3135" s="191"/>
      <c r="Y3135" s="191"/>
      <c r="Z3135" s="191"/>
      <c r="AA3135" s="191"/>
      <c r="AB3135" s="191"/>
      <c r="AC3135" s="191"/>
      <c r="AD3135" s="16"/>
      <c r="AE3135" s="16"/>
      <c r="AF3135" s="16"/>
      <c r="AG3135" s="16"/>
      <c r="AH3135" s="16"/>
      <c r="AI3135" s="16"/>
      <c r="AJ3135" s="16"/>
      <c r="AK3135" s="16"/>
      <c r="AL3135" s="16"/>
      <c r="AM3135" s="16"/>
      <c r="AN3135" s="16"/>
      <c r="AO3135" s="16"/>
      <c r="AP3135" s="16"/>
      <c r="AQ3135" s="16"/>
      <c r="AR3135" s="16"/>
      <c r="AS3135" s="16"/>
    </row>
    <row r="3136" spans="18:45" x14ac:dyDescent="0.35">
      <c r="R3136" s="191"/>
      <c r="S3136" s="191"/>
      <c r="T3136" s="193"/>
      <c r="U3136" s="191"/>
      <c r="V3136" s="194"/>
      <c r="W3136" s="191"/>
      <c r="Y3136" s="191"/>
      <c r="Z3136" s="191"/>
      <c r="AA3136" s="191"/>
      <c r="AB3136" s="191"/>
      <c r="AC3136" s="191"/>
      <c r="AD3136" s="16"/>
      <c r="AE3136" s="16"/>
      <c r="AF3136" s="16"/>
      <c r="AG3136" s="16"/>
      <c r="AH3136" s="16"/>
      <c r="AI3136" s="16"/>
      <c r="AJ3136" s="16"/>
      <c r="AK3136" s="16"/>
      <c r="AL3136" s="16"/>
      <c r="AM3136" s="16"/>
      <c r="AN3136" s="16"/>
      <c r="AO3136" s="16"/>
      <c r="AP3136" s="16"/>
      <c r="AQ3136" s="16"/>
      <c r="AR3136" s="16"/>
      <c r="AS3136" s="16"/>
    </row>
    <row r="3137" spans="18:45" x14ac:dyDescent="0.35">
      <c r="R3137" s="191"/>
      <c r="S3137" s="191"/>
      <c r="T3137" s="193"/>
      <c r="U3137" s="191"/>
      <c r="V3137" s="194"/>
      <c r="W3137" s="191"/>
      <c r="Y3137" s="191"/>
      <c r="Z3137" s="191"/>
      <c r="AA3137" s="191"/>
      <c r="AB3137" s="191"/>
      <c r="AC3137" s="191"/>
      <c r="AD3137" s="16"/>
      <c r="AE3137" s="16"/>
      <c r="AF3137" s="16"/>
      <c r="AG3137" s="16"/>
      <c r="AH3137" s="16"/>
      <c r="AI3137" s="16"/>
      <c r="AJ3137" s="16"/>
      <c r="AK3137" s="16"/>
      <c r="AL3137" s="16"/>
      <c r="AM3137" s="16"/>
      <c r="AN3137" s="16"/>
      <c r="AO3137" s="16"/>
      <c r="AP3137" s="16"/>
      <c r="AQ3137" s="16"/>
      <c r="AR3137" s="16"/>
      <c r="AS3137" s="16"/>
    </row>
    <row r="3138" spans="18:45" x14ac:dyDescent="0.35">
      <c r="R3138" s="191"/>
      <c r="S3138" s="191"/>
      <c r="T3138" s="193"/>
      <c r="U3138" s="191"/>
      <c r="V3138" s="194"/>
      <c r="W3138" s="191"/>
      <c r="Y3138" s="191"/>
      <c r="Z3138" s="191"/>
      <c r="AA3138" s="191"/>
      <c r="AB3138" s="191"/>
      <c r="AC3138" s="191"/>
      <c r="AD3138" s="16"/>
      <c r="AE3138" s="16"/>
      <c r="AF3138" s="16"/>
      <c r="AG3138" s="16"/>
      <c r="AH3138" s="16"/>
      <c r="AI3138" s="16"/>
      <c r="AJ3138" s="16"/>
      <c r="AK3138" s="16"/>
      <c r="AL3138" s="16"/>
      <c r="AM3138" s="16"/>
      <c r="AN3138" s="16"/>
      <c r="AO3138" s="16"/>
      <c r="AP3138" s="16"/>
      <c r="AQ3138" s="16"/>
      <c r="AR3138" s="16"/>
      <c r="AS3138" s="16"/>
    </row>
    <row r="3139" spans="18:45" x14ac:dyDescent="0.35">
      <c r="R3139" s="191"/>
      <c r="S3139" s="191"/>
      <c r="T3139" s="193"/>
      <c r="U3139" s="191"/>
      <c r="V3139" s="194"/>
      <c r="W3139" s="191"/>
      <c r="Y3139" s="191"/>
      <c r="Z3139" s="191"/>
      <c r="AA3139" s="191"/>
      <c r="AB3139" s="191"/>
      <c r="AC3139" s="191"/>
      <c r="AD3139" s="16"/>
      <c r="AE3139" s="16"/>
      <c r="AF3139" s="16"/>
      <c r="AG3139" s="16"/>
      <c r="AH3139" s="16"/>
      <c r="AI3139" s="16"/>
      <c r="AJ3139" s="16"/>
      <c r="AK3139" s="16"/>
      <c r="AL3139" s="16"/>
      <c r="AM3139" s="16"/>
      <c r="AN3139" s="16"/>
      <c r="AO3139" s="16"/>
      <c r="AP3139" s="16"/>
      <c r="AQ3139" s="16"/>
      <c r="AR3139" s="16"/>
      <c r="AS3139" s="16"/>
    </row>
    <row r="3140" spans="18:45" x14ac:dyDescent="0.35">
      <c r="R3140" s="191"/>
      <c r="S3140" s="191"/>
      <c r="T3140" s="193"/>
      <c r="U3140" s="191"/>
      <c r="V3140" s="194"/>
      <c r="W3140" s="191"/>
      <c r="Y3140" s="191"/>
      <c r="Z3140" s="191"/>
      <c r="AA3140" s="191"/>
      <c r="AB3140" s="191"/>
      <c r="AC3140" s="191"/>
      <c r="AD3140" s="16"/>
      <c r="AE3140" s="16"/>
      <c r="AF3140" s="16"/>
      <c r="AG3140" s="16"/>
      <c r="AH3140" s="16"/>
      <c r="AI3140" s="16"/>
      <c r="AJ3140" s="16"/>
      <c r="AK3140" s="16"/>
      <c r="AL3140" s="16"/>
      <c r="AM3140" s="16"/>
      <c r="AN3140" s="16"/>
      <c r="AO3140" s="16"/>
      <c r="AP3140" s="16"/>
      <c r="AQ3140" s="16"/>
      <c r="AR3140" s="16"/>
      <c r="AS3140" s="16"/>
    </row>
    <row r="3141" spans="18:45" x14ac:dyDescent="0.35">
      <c r="R3141" s="191"/>
      <c r="S3141" s="191"/>
      <c r="T3141" s="193"/>
      <c r="U3141" s="191"/>
      <c r="V3141" s="194"/>
      <c r="W3141" s="191"/>
      <c r="Y3141" s="191"/>
      <c r="Z3141" s="191"/>
      <c r="AA3141" s="191"/>
      <c r="AB3141" s="191"/>
      <c r="AC3141" s="191"/>
      <c r="AD3141" s="16"/>
      <c r="AE3141" s="16"/>
      <c r="AF3141" s="16"/>
      <c r="AG3141" s="16"/>
      <c r="AH3141" s="16"/>
      <c r="AI3141" s="16"/>
      <c r="AJ3141" s="16"/>
      <c r="AK3141" s="16"/>
      <c r="AL3141" s="16"/>
      <c r="AM3141" s="16"/>
      <c r="AN3141" s="16"/>
      <c r="AO3141" s="16"/>
      <c r="AP3141" s="16"/>
      <c r="AQ3141" s="16"/>
      <c r="AR3141" s="16"/>
      <c r="AS3141" s="16"/>
    </row>
    <row r="3142" spans="18:45" x14ac:dyDescent="0.35">
      <c r="R3142" s="191"/>
      <c r="S3142" s="191"/>
      <c r="T3142" s="193"/>
      <c r="U3142" s="191"/>
      <c r="V3142" s="194"/>
      <c r="W3142" s="191"/>
      <c r="Y3142" s="191"/>
      <c r="Z3142" s="191"/>
      <c r="AA3142" s="191"/>
      <c r="AB3142" s="191"/>
      <c r="AC3142" s="191"/>
      <c r="AD3142" s="16"/>
      <c r="AE3142" s="16"/>
      <c r="AF3142" s="16"/>
      <c r="AG3142" s="16"/>
      <c r="AH3142" s="16"/>
      <c r="AI3142" s="16"/>
      <c r="AJ3142" s="16"/>
      <c r="AK3142" s="16"/>
      <c r="AL3142" s="16"/>
      <c r="AM3142" s="16"/>
      <c r="AN3142" s="16"/>
      <c r="AO3142" s="16"/>
      <c r="AP3142" s="16"/>
      <c r="AQ3142" s="16"/>
      <c r="AR3142" s="16"/>
      <c r="AS3142" s="16"/>
    </row>
    <row r="3143" spans="18:45" x14ac:dyDescent="0.35">
      <c r="R3143" s="191"/>
      <c r="S3143" s="191"/>
      <c r="T3143" s="193"/>
      <c r="U3143" s="191"/>
      <c r="V3143" s="194"/>
      <c r="W3143" s="191"/>
      <c r="Y3143" s="191"/>
      <c r="Z3143" s="191"/>
      <c r="AA3143" s="191"/>
      <c r="AB3143" s="191"/>
      <c r="AC3143" s="191"/>
      <c r="AD3143" s="16"/>
      <c r="AE3143" s="16"/>
      <c r="AF3143" s="16"/>
      <c r="AG3143" s="16"/>
      <c r="AH3143" s="16"/>
      <c r="AI3143" s="16"/>
      <c r="AJ3143" s="16"/>
      <c r="AK3143" s="16"/>
      <c r="AL3143" s="16"/>
      <c r="AM3143" s="16"/>
      <c r="AN3143" s="16"/>
      <c r="AO3143" s="16"/>
      <c r="AP3143" s="16"/>
      <c r="AQ3143" s="16"/>
      <c r="AR3143" s="16"/>
      <c r="AS3143" s="16"/>
    </row>
    <row r="3144" spans="18:45" x14ac:dyDescent="0.35">
      <c r="R3144" s="191"/>
      <c r="S3144" s="191"/>
      <c r="T3144" s="193"/>
      <c r="U3144" s="191"/>
      <c r="V3144" s="194"/>
      <c r="W3144" s="191"/>
      <c r="Y3144" s="191"/>
      <c r="Z3144" s="191"/>
      <c r="AA3144" s="191"/>
      <c r="AB3144" s="191"/>
      <c r="AC3144" s="191"/>
      <c r="AD3144" s="16"/>
      <c r="AE3144" s="16"/>
      <c r="AF3144" s="16"/>
      <c r="AG3144" s="16"/>
      <c r="AH3144" s="16"/>
      <c r="AI3144" s="16"/>
      <c r="AJ3144" s="16"/>
      <c r="AK3144" s="16"/>
      <c r="AL3144" s="16"/>
      <c r="AM3144" s="16"/>
      <c r="AN3144" s="16"/>
      <c r="AO3144" s="16"/>
      <c r="AP3144" s="16"/>
      <c r="AQ3144" s="16"/>
      <c r="AR3144" s="16"/>
      <c r="AS3144" s="16"/>
    </row>
    <row r="3145" spans="18:45" x14ac:dyDescent="0.35">
      <c r="R3145" s="191"/>
      <c r="S3145" s="191"/>
      <c r="T3145" s="193"/>
      <c r="U3145" s="191"/>
      <c r="V3145" s="194"/>
      <c r="W3145" s="191"/>
      <c r="Y3145" s="191"/>
      <c r="Z3145" s="191"/>
      <c r="AA3145" s="191"/>
      <c r="AB3145" s="191"/>
      <c r="AC3145" s="191"/>
      <c r="AD3145" s="16"/>
      <c r="AE3145" s="16"/>
      <c r="AF3145" s="16"/>
      <c r="AG3145" s="16"/>
      <c r="AH3145" s="16"/>
      <c r="AI3145" s="16"/>
      <c r="AJ3145" s="16"/>
      <c r="AK3145" s="16"/>
      <c r="AL3145" s="16"/>
      <c r="AM3145" s="16"/>
      <c r="AN3145" s="16"/>
      <c r="AO3145" s="16"/>
      <c r="AP3145" s="16"/>
      <c r="AQ3145" s="16"/>
      <c r="AR3145" s="16"/>
      <c r="AS3145" s="16"/>
    </row>
    <row r="3146" spans="18:45" x14ac:dyDescent="0.35">
      <c r="R3146" s="191"/>
      <c r="S3146" s="191"/>
      <c r="T3146" s="193"/>
      <c r="U3146" s="191"/>
      <c r="V3146" s="194"/>
      <c r="W3146" s="191"/>
      <c r="Y3146" s="191"/>
      <c r="Z3146" s="191"/>
      <c r="AA3146" s="191"/>
      <c r="AB3146" s="191"/>
      <c r="AC3146" s="191"/>
      <c r="AD3146" s="16"/>
      <c r="AE3146" s="16"/>
      <c r="AF3146" s="16"/>
      <c r="AG3146" s="16"/>
      <c r="AH3146" s="16"/>
      <c r="AI3146" s="16"/>
      <c r="AJ3146" s="16"/>
      <c r="AK3146" s="16"/>
      <c r="AL3146" s="16"/>
      <c r="AM3146" s="16"/>
      <c r="AN3146" s="16"/>
      <c r="AO3146" s="16"/>
      <c r="AP3146" s="16"/>
      <c r="AQ3146" s="16"/>
      <c r="AR3146" s="16"/>
      <c r="AS3146" s="16"/>
    </row>
    <row r="3147" spans="18:45" x14ac:dyDescent="0.35">
      <c r="R3147" s="191"/>
      <c r="S3147" s="191"/>
      <c r="T3147" s="193"/>
      <c r="U3147" s="191"/>
      <c r="V3147" s="194"/>
      <c r="W3147" s="191"/>
      <c r="Y3147" s="191"/>
      <c r="Z3147" s="191"/>
      <c r="AA3147" s="191"/>
      <c r="AB3147" s="191"/>
      <c r="AC3147" s="191"/>
      <c r="AD3147" s="16"/>
      <c r="AE3147" s="16"/>
      <c r="AF3147" s="16"/>
      <c r="AG3147" s="16"/>
      <c r="AH3147" s="16"/>
      <c r="AI3147" s="16"/>
      <c r="AJ3147" s="16"/>
      <c r="AK3147" s="16"/>
      <c r="AL3147" s="16"/>
      <c r="AM3147" s="16"/>
      <c r="AN3147" s="16"/>
      <c r="AO3147" s="16"/>
      <c r="AP3147" s="16"/>
      <c r="AQ3147" s="16"/>
      <c r="AR3147" s="16"/>
      <c r="AS3147" s="16"/>
    </row>
    <row r="3148" spans="18:45" x14ac:dyDescent="0.35">
      <c r="R3148" s="191"/>
      <c r="S3148" s="191"/>
      <c r="T3148" s="193"/>
      <c r="U3148" s="191"/>
      <c r="V3148" s="194"/>
      <c r="W3148" s="191"/>
      <c r="Y3148" s="191"/>
      <c r="Z3148" s="191"/>
      <c r="AA3148" s="191"/>
      <c r="AB3148" s="191"/>
      <c r="AC3148" s="191"/>
      <c r="AD3148" s="16"/>
      <c r="AE3148" s="16"/>
      <c r="AF3148" s="16"/>
      <c r="AG3148" s="16"/>
      <c r="AH3148" s="16"/>
      <c r="AI3148" s="16"/>
      <c r="AJ3148" s="16"/>
      <c r="AK3148" s="16"/>
      <c r="AL3148" s="16"/>
      <c r="AM3148" s="16"/>
      <c r="AN3148" s="16"/>
      <c r="AO3148" s="16"/>
      <c r="AP3148" s="16"/>
      <c r="AQ3148" s="16"/>
      <c r="AR3148" s="16"/>
      <c r="AS3148" s="16"/>
    </row>
    <row r="3149" spans="18:45" x14ac:dyDescent="0.35">
      <c r="R3149" s="191"/>
      <c r="S3149" s="191"/>
      <c r="T3149" s="193"/>
      <c r="U3149" s="191"/>
      <c r="V3149" s="194"/>
      <c r="W3149" s="191"/>
      <c r="Y3149" s="191"/>
      <c r="Z3149" s="191"/>
      <c r="AA3149" s="191"/>
      <c r="AB3149" s="191"/>
      <c r="AC3149" s="191"/>
      <c r="AD3149" s="16"/>
      <c r="AE3149" s="16"/>
      <c r="AF3149" s="16"/>
      <c r="AG3149" s="16"/>
      <c r="AH3149" s="16"/>
      <c r="AI3149" s="16"/>
      <c r="AJ3149" s="16"/>
      <c r="AK3149" s="16"/>
      <c r="AL3149" s="16"/>
      <c r="AM3149" s="16"/>
      <c r="AN3149" s="16"/>
      <c r="AO3149" s="16"/>
      <c r="AP3149" s="16"/>
      <c r="AQ3149" s="16"/>
      <c r="AR3149" s="16"/>
      <c r="AS3149" s="16"/>
    </row>
    <row r="3150" spans="18:45" x14ac:dyDescent="0.35">
      <c r="R3150" s="191"/>
      <c r="S3150" s="191"/>
      <c r="T3150" s="193"/>
      <c r="U3150" s="191"/>
      <c r="V3150" s="194"/>
      <c r="W3150" s="191"/>
      <c r="Y3150" s="191"/>
      <c r="Z3150" s="191"/>
      <c r="AA3150" s="191"/>
      <c r="AB3150" s="191"/>
      <c r="AC3150" s="191"/>
      <c r="AD3150" s="16"/>
      <c r="AE3150" s="16"/>
      <c r="AF3150" s="16"/>
      <c r="AG3150" s="16"/>
      <c r="AH3150" s="16"/>
      <c r="AI3150" s="16"/>
      <c r="AJ3150" s="16"/>
      <c r="AK3150" s="16"/>
      <c r="AL3150" s="16"/>
      <c r="AM3150" s="16"/>
      <c r="AN3150" s="16"/>
      <c r="AO3150" s="16"/>
      <c r="AP3150" s="16"/>
      <c r="AQ3150" s="16"/>
      <c r="AR3150" s="16"/>
      <c r="AS3150" s="16"/>
    </row>
    <row r="3151" spans="18:45" x14ac:dyDescent="0.35">
      <c r="R3151" s="191"/>
      <c r="S3151" s="191"/>
      <c r="T3151" s="193"/>
      <c r="U3151" s="191"/>
      <c r="V3151" s="194"/>
      <c r="W3151" s="191"/>
      <c r="Y3151" s="191"/>
      <c r="Z3151" s="191"/>
      <c r="AA3151" s="191"/>
      <c r="AB3151" s="191"/>
      <c r="AC3151" s="191"/>
      <c r="AD3151" s="16"/>
      <c r="AE3151" s="16"/>
      <c r="AF3151" s="16"/>
      <c r="AG3151" s="16"/>
      <c r="AH3151" s="16"/>
      <c r="AI3151" s="16"/>
      <c r="AJ3151" s="16"/>
      <c r="AK3151" s="16"/>
      <c r="AL3151" s="16"/>
      <c r="AM3151" s="16"/>
      <c r="AN3151" s="16"/>
      <c r="AO3151" s="16"/>
      <c r="AP3151" s="16"/>
      <c r="AQ3151" s="16"/>
      <c r="AR3151" s="16"/>
      <c r="AS3151" s="16"/>
    </row>
    <row r="3152" spans="18:45" x14ac:dyDescent="0.35">
      <c r="R3152" s="191"/>
      <c r="S3152" s="191"/>
      <c r="T3152" s="193"/>
      <c r="U3152" s="191"/>
      <c r="V3152" s="194"/>
      <c r="W3152" s="191"/>
      <c r="Y3152" s="191"/>
      <c r="Z3152" s="191"/>
      <c r="AA3152" s="191"/>
      <c r="AB3152" s="191"/>
      <c r="AC3152" s="191"/>
      <c r="AD3152" s="16"/>
      <c r="AE3152" s="16"/>
      <c r="AF3152" s="16"/>
      <c r="AG3152" s="16"/>
      <c r="AH3152" s="16"/>
      <c r="AI3152" s="16"/>
      <c r="AJ3152" s="16"/>
      <c r="AK3152" s="16"/>
      <c r="AL3152" s="16"/>
      <c r="AM3152" s="16"/>
      <c r="AN3152" s="16"/>
      <c r="AO3152" s="16"/>
      <c r="AP3152" s="16"/>
      <c r="AQ3152" s="16"/>
      <c r="AR3152" s="16"/>
      <c r="AS3152" s="16"/>
    </row>
    <row r="3153" spans="18:45" x14ac:dyDescent="0.35">
      <c r="R3153" s="191"/>
      <c r="S3153" s="191"/>
      <c r="T3153" s="193"/>
      <c r="U3153" s="191"/>
      <c r="V3153" s="194"/>
      <c r="W3153" s="191"/>
      <c r="Y3153" s="191"/>
      <c r="Z3153" s="191"/>
      <c r="AA3153" s="191"/>
      <c r="AB3153" s="191"/>
      <c r="AC3153" s="191"/>
      <c r="AD3153" s="16"/>
      <c r="AE3153" s="16"/>
      <c r="AF3153" s="16"/>
      <c r="AG3153" s="16"/>
      <c r="AH3153" s="16"/>
      <c r="AI3153" s="16"/>
      <c r="AJ3153" s="16"/>
      <c r="AK3153" s="16"/>
      <c r="AL3153" s="16"/>
      <c r="AM3153" s="16"/>
      <c r="AN3153" s="16"/>
      <c r="AO3153" s="16"/>
      <c r="AP3153" s="16"/>
      <c r="AQ3153" s="16"/>
      <c r="AR3153" s="16"/>
      <c r="AS3153" s="16"/>
    </row>
    <row r="3154" spans="18:45" x14ac:dyDescent="0.35">
      <c r="R3154" s="191"/>
      <c r="S3154" s="191"/>
      <c r="T3154" s="193"/>
      <c r="U3154" s="191"/>
      <c r="V3154" s="194"/>
      <c r="W3154" s="191"/>
      <c r="Y3154" s="191"/>
      <c r="Z3154" s="191"/>
      <c r="AA3154" s="191"/>
      <c r="AB3154" s="191"/>
      <c r="AC3154" s="191"/>
      <c r="AD3154" s="16"/>
      <c r="AE3154" s="16"/>
      <c r="AF3154" s="16"/>
      <c r="AG3154" s="16"/>
      <c r="AH3154" s="16"/>
      <c r="AI3154" s="16"/>
      <c r="AJ3154" s="16"/>
      <c r="AK3154" s="16"/>
      <c r="AL3154" s="16"/>
      <c r="AM3154" s="16"/>
      <c r="AN3154" s="16"/>
      <c r="AO3154" s="16"/>
      <c r="AP3154" s="16"/>
      <c r="AQ3154" s="16"/>
      <c r="AR3154" s="16"/>
      <c r="AS3154" s="16"/>
    </row>
    <row r="3155" spans="18:45" x14ac:dyDescent="0.35">
      <c r="R3155" s="191"/>
      <c r="S3155" s="191"/>
      <c r="T3155" s="193"/>
      <c r="U3155" s="191"/>
      <c r="V3155" s="194"/>
      <c r="W3155" s="191"/>
      <c r="Y3155" s="191"/>
      <c r="Z3155" s="191"/>
      <c r="AA3155" s="191"/>
      <c r="AB3155" s="191"/>
      <c r="AC3155" s="191"/>
      <c r="AD3155" s="16"/>
      <c r="AE3155" s="16"/>
      <c r="AF3155" s="16"/>
      <c r="AG3155" s="16"/>
      <c r="AH3155" s="16"/>
      <c r="AI3155" s="16"/>
      <c r="AJ3155" s="16"/>
      <c r="AK3155" s="16"/>
      <c r="AL3155" s="16"/>
      <c r="AM3155" s="16"/>
      <c r="AN3155" s="16"/>
      <c r="AO3155" s="16"/>
      <c r="AP3155" s="16"/>
      <c r="AQ3155" s="16"/>
      <c r="AR3155" s="16"/>
      <c r="AS3155" s="16"/>
    </row>
    <row r="3156" spans="18:45" x14ac:dyDescent="0.35">
      <c r="R3156" s="191"/>
      <c r="S3156" s="191"/>
      <c r="T3156" s="193"/>
      <c r="U3156" s="191"/>
      <c r="V3156" s="194"/>
      <c r="W3156" s="191"/>
      <c r="Y3156" s="191"/>
      <c r="Z3156" s="191"/>
      <c r="AA3156" s="191"/>
      <c r="AB3156" s="191"/>
      <c r="AC3156" s="191"/>
      <c r="AD3156" s="16"/>
      <c r="AE3156" s="16"/>
      <c r="AF3156" s="16"/>
      <c r="AG3156" s="16"/>
      <c r="AH3156" s="16"/>
      <c r="AI3156" s="16"/>
      <c r="AJ3156" s="16"/>
      <c r="AK3156" s="16"/>
      <c r="AL3156" s="16"/>
      <c r="AM3156" s="16"/>
      <c r="AN3156" s="16"/>
      <c r="AO3156" s="16"/>
      <c r="AP3156" s="16"/>
      <c r="AQ3156" s="16"/>
      <c r="AR3156" s="16"/>
      <c r="AS3156" s="16"/>
    </row>
    <row r="3157" spans="18:45" x14ac:dyDescent="0.35">
      <c r="R3157" s="191"/>
      <c r="S3157" s="191"/>
      <c r="T3157" s="193"/>
      <c r="U3157" s="191"/>
      <c r="V3157" s="194"/>
      <c r="W3157" s="191"/>
      <c r="Y3157" s="191"/>
      <c r="Z3157" s="191"/>
      <c r="AA3157" s="191"/>
      <c r="AB3157" s="191"/>
      <c r="AC3157" s="191"/>
      <c r="AD3157" s="16"/>
      <c r="AE3157" s="16"/>
      <c r="AF3157" s="16"/>
      <c r="AG3157" s="16"/>
      <c r="AH3157" s="16"/>
      <c r="AI3157" s="16"/>
      <c r="AJ3157" s="16"/>
      <c r="AK3157" s="16"/>
      <c r="AL3157" s="16"/>
      <c r="AM3157" s="16"/>
      <c r="AN3157" s="16"/>
      <c r="AO3157" s="16"/>
      <c r="AP3157" s="16"/>
      <c r="AQ3157" s="16"/>
      <c r="AR3157" s="16"/>
      <c r="AS3157" s="16"/>
    </row>
    <row r="3158" spans="18:45" x14ac:dyDescent="0.35">
      <c r="R3158" s="191"/>
      <c r="S3158" s="191"/>
      <c r="T3158" s="193"/>
      <c r="U3158" s="191"/>
      <c r="V3158" s="194"/>
      <c r="W3158" s="191"/>
      <c r="Y3158" s="191"/>
      <c r="Z3158" s="191"/>
      <c r="AA3158" s="191"/>
      <c r="AB3158" s="191"/>
      <c r="AC3158" s="191"/>
      <c r="AD3158" s="16"/>
      <c r="AE3158" s="16"/>
      <c r="AF3158" s="16"/>
      <c r="AG3158" s="16"/>
      <c r="AH3158" s="16"/>
      <c r="AI3158" s="16"/>
      <c r="AJ3158" s="16"/>
      <c r="AK3158" s="16"/>
      <c r="AL3158" s="16"/>
      <c r="AM3158" s="16"/>
      <c r="AN3158" s="16"/>
      <c r="AO3158" s="16"/>
      <c r="AP3158" s="16"/>
      <c r="AQ3158" s="16"/>
      <c r="AR3158" s="16"/>
      <c r="AS3158" s="16"/>
    </row>
    <row r="3159" spans="18:45" x14ac:dyDescent="0.35">
      <c r="R3159" s="191"/>
      <c r="S3159" s="191"/>
      <c r="T3159" s="193"/>
      <c r="U3159" s="191"/>
      <c r="V3159" s="194"/>
      <c r="W3159" s="191"/>
      <c r="Y3159" s="191"/>
      <c r="Z3159" s="191"/>
      <c r="AA3159" s="191"/>
      <c r="AB3159" s="191"/>
      <c r="AC3159" s="191"/>
      <c r="AD3159" s="16"/>
      <c r="AE3159" s="16"/>
      <c r="AF3159" s="16"/>
      <c r="AG3159" s="16"/>
      <c r="AH3159" s="16"/>
      <c r="AI3159" s="16"/>
      <c r="AJ3159" s="16"/>
      <c r="AK3159" s="16"/>
      <c r="AL3159" s="16"/>
      <c r="AM3159" s="16"/>
      <c r="AN3159" s="16"/>
      <c r="AO3159" s="16"/>
      <c r="AP3159" s="16"/>
      <c r="AQ3159" s="16"/>
      <c r="AR3159" s="16"/>
      <c r="AS3159" s="16"/>
    </row>
    <row r="3160" spans="18:45" x14ac:dyDescent="0.35">
      <c r="R3160" s="191"/>
      <c r="S3160" s="191"/>
      <c r="T3160" s="193"/>
      <c r="U3160" s="191"/>
      <c r="V3160" s="194"/>
      <c r="W3160" s="191"/>
      <c r="Y3160" s="191"/>
      <c r="Z3160" s="191"/>
      <c r="AA3160" s="191"/>
      <c r="AB3160" s="191"/>
      <c r="AC3160" s="191"/>
      <c r="AD3160" s="16"/>
      <c r="AE3160" s="16"/>
      <c r="AF3160" s="16"/>
      <c r="AG3160" s="16"/>
      <c r="AH3160" s="16"/>
      <c r="AI3160" s="16"/>
      <c r="AJ3160" s="16"/>
      <c r="AK3160" s="16"/>
      <c r="AL3160" s="16"/>
      <c r="AM3160" s="16"/>
      <c r="AN3160" s="16"/>
      <c r="AO3160" s="16"/>
      <c r="AP3160" s="16"/>
      <c r="AQ3160" s="16"/>
      <c r="AR3160" s="16"/>
      <c r="AS3160" s="16"/>
    </row>
    <row r="3161" spans="18:45" x14ac:dyDescent="0.35">
      <c r="R3161" s="191"/>
      <c r="S3161" s="191"/>
      <c r="T3161" s="193"/>
      <c r="U3161" s="191"/>
      <c r="V3161" s="194"/>
      <c r="W3161" s="191"/>
      <c r="Y3161" s="191"/>
      <c r="Z3161" s="191"/>
      <c r="AA3161" s="191"/>
      <c r="AB3161" s="191"/>
      <c r="AC3161" s="191"/>
      <c r="AD3161" s="16"/>
      <c r="AE3161" s="16"/>
      <c r="AF3161" s="16"/>
      <c r="AG3161" s="16"/>
      <c r="AH3161" s="16"/>
      <c r="AI3161" s="16"/>
      <c r="AJ3161" s="16"/>
      <c r="AK3161" s="16"/>
      <c r="AL3161" s="16"/>
      <c r="AM3161" s="16"/>
      <c r="AN3161" s="16"/>
      <c r="AO3161" s="16"/>
      <c r="AP3161" s="16"/>
      <c r="AQ3161" s="16"/>
      <c r="AR3161" s="16"/>
      <c r="AS3161" s="16"/>
    </row>
    <row r="3162" spans="18:45" x14ac:dyDescent="0.35">
      <c r="R3162" s="191"/>
      <c r="S3162" s="191"/>
      <c r="T3162" s="193"/>
      <c r="U3162" s="191"/>
      <c r="V3162" s="194"/>
      <c r="W3162" s="191"/>
      <c r="Y3162" s="191"/>
      <c r="Z3162" s="191"/>
      <c r="AA3162" s="191"/>
      <c r="AB3162" s="191"/>
      <c r="AC3162" s="191"/>
      <c r="AD3162" s="16"/>
      <c r="AE3162" s="16"/>
      <c r="AF3162" s="16"/>
      <c r="AG3162" s="16"/>
      <c r="AH3162" s="16"/>
      <c r="AI3162" s="16"/>
      <c r="AJ3162" s="16"/>
      <c r="AK3162" s="16"/>
      <c r="AL3162" s="16"/>
      <c r="AM3162" s="16"/>
      <c r="AN3162" s="16"/>
      <c r="AO3162" s="16"/>
      <c r="AP3162" s="16"/>
      <c r="AQ3162" s="16"/>
      <c r="AR3162" s="16"/>
      <c r="AS3162" s="16"/>
    </row>
    <row r="3163" spans="18:45" x14ac:dyDescent="0.35">
      <c r="R3163" s="191"/>
      <c r="S3163" s="191"/>
      <c r="T3163" s="193"/>
      <c r="U3163" s="191"/>
      <c r="V3163" s="194"/>
      <c r="W3163" s="191"/>
      <c r="Y3163" s="191"/>
      <c r="Z3163" s="191"/>
      <c r="AA3163" s="191"/>
      <c r="AB3163" s="191"/>
      <c r="AC3163" s="191"/>
      <c r="AD3163" s="16"/>
      <c r="AE3163" s="16"/>
      <c r="AF3163" s="16"/>
      <c r="AG3163" s="16"/>
      <c r="AH3163" s="16"/>
      <c r="AI3163" s="16"/>
      <c r="AJ3163" s="16"/>
      <c r="AK3163" s="16"/>
      <c r="AL3163" s="16"/>
      <c r="AM3163" s="16"/>
      <c r="AN3163" s="16"/>
      <c r="AO3163" s="16"/>
      <c r="AP3163" s="16"/>
      <c r="AQ3163" s="16"/>
      <c r="AR3163" s="16"/>
      <c r="AS3163" s="16"/>
    </row>
    <row r="3164" spans="18:45" x14ac:dyDescent="0.35">
      <c r="R3164" s="191"/>
      <c r="S3164" s="191"/>
      <c r="T3164" s="193"/>
      <c r="U3164" s="191"/>
      <c r="V3164" s="194"/>
      <c r="W3164" s="191"/>
      <c r="Y3164" s="191"/>
      <c r="Z3164" s="191"/>
      <c r="AA3164" s="191"/>
      <c r="AB3164" s="191"/>
      <c r="AC3164" s="191"/>
      <c r="AD3164" s="16"/>
      <c r="AE3164" s="16"/>
      <c r="AF3164" s="16"/>
      <c r="AG3164" s="16"/>
      <c r="AH3164" s="16"/>
      <c r="AI3164" s="16"/>
      <c r="AJ3164" s="16"/>
      <c r="AK3164" s="16"/>
      <c r="AL3164" s="16"/>
      <c r="AM3164" s="16"/>
      <c r="AN3164" s="16"/>
      <c r="AO3164" s="16"/>
      <c r="AP3164" s="16"/>
      <c r="AQ3164" s="16"/>
      <c r="AR3164" s="16"/>
      <c r="AS3164" s="16"/>
    </row>
    <row r="3165" spans="18:45" x14ac:dyDescent="0.35">
      <c r="R3165" s="191"/>
      <c r="S3165" s="191"/>
      <c r="T3165" s="193"/>
      <c r="U3165" s="191"/>
      <c r="V3165" s="194"/>
      <c r="W3165" s="191"/>
      <c r="Y3165" s="191"/>
      <c r="Z3165" s="191"/>
      <c r="AA3165" s="191"/>
      <c r="AB3165" s="191"/>
      <c r="AC3165" s="191"/>
      <c r="AD3165" s="16"/>
      <c r="AE3165" s="16"/>
      <c r="AF3165" s="16"/>
      <c r="AG3165" s="16"/>
      <c r="AH3165" s="16"/>
      <c r="AI3165" s="16"/>
      <c r="AJ3165" s="16"/>
      <c r="AK3165" s="16"/>
      <c r="AL3165" s="16"/>
      <c r="AM3165" s="16"/>
      <c r="AN3165" s="16"/>
      <c r="AO3165" s="16"/>
      <c r="AP3165" s="16"/>
      <c r="AQ3165" s="16"/>
      <c r="AR3165" s="16"/>
      <c r="AS3165" s="16"/>
    </row>
    <row r="3166" spans="18:45" x14ac:dyDescent="0.35">
      <c r="R3166" s="191"/>
      <c r="S3166" s="191"/>
      <c r="T3166" s="193"/>
      <c r="U3166" s="191"/>
      <c r="V3166" s="194"/>
      <c r="W3166" s="191"/>
      <c r="Y3166" s="191"/>
      <c r="Z3166" s="191"/>
      <c r="AA3166" s="191"/>
      <c r="AB3166" s="191"/>
      <c r="AC3166" s="191"/>
      <c r="AD3166" s="16"/>
      <c r="AE3166" s="16"/>
      <c r="AF3166" s="16"/>
      <c r="AG3166" s="16"/>
      <c r="AH3166" s="16"/>
      <c r="AI3166" s="16"/>
      <c r="AJ3166" s="16"/>
      <c r="AK3166" s="16"/>
      <c r="AL3166" s="16"/>
      <c r="AM3166" s="16"/>
      <c r="AN3166" s="16"/>
      <c r="AO3166" s="16"/>
      <c r="AP3166" s="16"/>
      <c r="AQ3166" s="16"/>
      <c r="AR3166" s="16"/>
      <c r="AS3166" s="16"/>
    </row>
    <row r="3167" spans="18:45" x14ac:dyDescent="0.35">
      <c r="R3167" s="191"/>
      <c r="S3167" s="191"/>
      <c r="T3167" s="193"/>
      <c r="U3167" s="191"/>
      <c r="V3167" s="194"/>
      <c r="W3167" s="191"/>
      <c r="Y3167" s="191"/>
      <c r="Z3167" s="191"/>
      <c r="AA3167" s="191"/>
      <c r="AB3167" s="191"/>
      <c r="AC3167" s="191"/>
      <c r="AD3167" s="16"/>
      <c r="AE3167" s="16"/>
      <c r="AF3167" s="16"/>
      <c r="AG3167" s="16"/>
      <c r="AH3167" s="16"/>
      <c r="AI3167" s="16"/>
      <c r="AJ3167" s="16"/>
      <c r="AK3167" s="16"/>
      <c r="AL3167" s="16"/>
      <c r="AM3167" s="16"/>
      <c r="AN3167" s="16"/>
      <c r="AO3167" s="16"/>
      <c r="AP3167" s="16"/>
      <c r="AQ3167" s="16"/>
      <c r="AR3167" s="16"/>
      <c r="AS3167" s="16"/>
    </row>
    <row r="3168" spans="18:45" x14ac:dyDescent="0.35">
      <c r="R3168" s="191"/>
      <c r="S3168" s="191"/>
      <c r="T3168" s="193"/>
      <c r="U3168" s="191"/>
      <c r="V3168" s="194"/>
      <c r="W3168" s="191"/>
      <c r="Y3168" s="191"/>
      <c r="Z3168" s="191"/>
      <c r="AA3168" s="191"/>
      <c r="AB3168" s="191"/>
      <c r="AC3168" s="191"/>
      <c r="AD3168" s="16"/>
      <c r="AE3168" s="16"/>
      <c r="AF3168" s="16"/>
      <c r="AG3168" s="16"/>
      <c r="AH3168" s="16"/>
      <c r="AI3168" s="16"/>
      <c r="AJ3168" s="16"/>
      <c r="AK3168" s="16"/>
      <c r="AL3168" s="16"/>
      <c r="AM3168" s="16"/>
      <c r="AN3168" s="16"/>
      <c r="AO3168" s="16"/>
      <c r="AP3168" s="16"/>
      <c r="AQ3168" s="16"/>
      <c r="AR3168" s="16"/>
      <c r="AS3168" s="16"/>
    </row>
    <row r="3169" spans="18:45" x14ac:dyDescent="0.35">
      <c r="R3169" s="191"/>
      <c r="S3169" s="191"/>
      <c r="T3169" s="193"/>
      <c r="U3169" s="191"/>
      <c r="V3169" s="194"/>
      <c r="W3169" s="191"/>
      <c r="Y3169" s="191"/>
      <c r="Z3169" s="191"/>
      <c r="AA3169" s="191"/>
      <c r="AB3169" s="191"/>
      <c r="AC3169" s="191"/>
      <c r="AD3169" s="16"/>
      <c r="AE3169" s="16"/>
      <c r="AF3169" s="16"/>
      <c r="AG3169" s="16"/>
      <c r="AH3169" s="16"/>
      <c r="AI3169" s="16"/>
      <c r="AJ3169" s="16"/>
      <c r="AK3169" s="16"/>
      <c r="AL3169" s="16"/>
      <c r="AM3169" s="16"/>
      <c r="AN3169" s="16"/>
      <c r="AO3169" s="16"/>
      <c r="AP3169" s="16"/>
      <c r="AQ3169" s="16"/>
      <c r="AR3169" s="16"/>
      <c r="AS3169" s="16"/>
    </row>
    <row r="3170" spans="18:45" x14ac:dyDescent="0.35">
      <c r="R3170" s="191"/>
      <c r="S3170" s="191"/>
      <c r="T3170" s="193"/>
      <c r="U3170" s="191"/>
      <c r="V3170" s="194"/>
      <c r="W3170" s="191"/>
      <c r="Y3170" s="191"/>
      <c r="Z3170" s="191"/>
      <c r="AA3170" s="191"/>
      <c r="AB3170" s="191"/>
      <c r="AC3170" s="191"/>
      <c r="AD3170" s="16"/>
      <c r="AE3170" s="16"/>
      <c r="AF3170" s="16"/>
      <c r="AG3170" s="16"/>
      <c r="AH3170" s="16"/>
      <c r="AI3170" s="16"/>
      <c r="AJ3170" s="16"/>
      <c r="AK3170" s="16"/>
      <c r="AL3170" s="16"/>
      <c r="AM3170" s="16"/>
      <c r="AN3170" s="16"/>
      <c r="AO3170" s="16"/>
      <c r="AP3170" s="16"/>
      <c r="AQ3170" s="16"/>
      <c r="AR3170" s="16"/>
      <c r="AS3170" s="16"/>
    </row>
    <row r="3171" spans="18:45" x14ac:dyDescent="0.35">
      <c r="R3171" s="191"/>
      <c r="S3171" s="191"/>
      <c r="T3171" s="193"/>
      <c r="U3171" s="191"/>
      <c r="V3171" s="194"/>
      <c r="W3171" s="191"/>
      <c r="Y3171" s="191"/>
      <c r="Z3171" s="191"/>
      <c r="AA3171" s="191"/>
      <c r="AB3171" s="191"/>
      <c r="AC3171" s="191"/>
      <c r="AD3171" s="16"/>
      <c r="AE3171" s="16"/>
      <c r="AF3171" s="16"/>
      <c r="AG3171" s="16"/>
      <c r="AH3171" s="16"/>
      <c r="AI3171" s="16"/>
      <c r="AJ3171" s="16"/>
      <c r="AK3171" s="16"/>
      <c r="AL3171" s="16"/>
      <c r="AM3171" s="16"/>
      <c r="AN3171" s="16"/>
      <c r="AO3171" s="16"/>
      <c r="AP3171" s="16"/>
      <c r="AQ3171" s="16"/>
      <c r="AR3171" s="16"/>
      <c r="AS3171" s="16"/>
    </row>
    <row r="3172" spans="18:45" x14ac:dyDescent="0.35">
      <c r="R3172" s="191"/>
      <c r="S3172" s="191"/>
      <c r="T3172" s="193"/>
      <c r="U3172" s="191"/>
      <c r="V3172" s="194"/>
      <c r="W3172" s="191"/>
      <c r="Y3172" s="191"/>
      <c r="Z3172" s="191"/>
      <c r="AA3172" s="191"/>
      <c r="AB3172" s="191"/>
      <c r="AC3172" s="191"/>
      <c r="AD3172" s="16"/>
      <c r="AE3172" s="16"/>
      <c r="AF3172" s="16"/>
      <c r="AG3172" s="16"/>
      <c r="AH3172" s="16"/>
      <c r="AI3172" s="16"/>
      <c r="AJ3172" s="16"/>
      <c r="AK3172" s="16"/>
      <c r="AL3172" s="16"/>
      <c r="AM3172" s="16"/>
      <c r="AN3172" s="16"/>
      <c r="AO3172" s="16"/>
      <c r="AP3172" s="16"/>
      <c r="AQ3172" s="16"/>
      <c r="AR3172" s="16"/>
      <c r="AS3172" s="16"/>
    </row>
    <row r="3173" spans="18:45" x14ac:dyDescent="0.35">
      <c r="R3173" s="191"/>
      <c r="S3173" s="191"/>
      <c r="T3173" s="193"/>
      <c r="U3173" s="191"/>
      <c r="V3173" s="194"/>
      <c r="W3173" s="191"/>
      <c r="Y3173" s="191"/>
      <c r="Z3173" s="191"/>
      <c r="AA3173" s="191"/>
      <c r="AB3173" s="191"/>
      <c r="AC3173" s="191"/>
      <c r="AD3173" s="16"/>
      <c r="AE3173" s="16"/>
      <c r="AF3173" s="16"/>
      <c r="AG3173" s="16"/>
      <c r="AH3173" s="16"/>
      <c r="AI3173" s="16"/>
      <c r="AJ3173" s="16"/>
      <c r="AK3173" s="16"/>
      <c r="AL3173" s="16"/>
      <c r="AM3173" s="16"/>
      <c r="AN3173" s="16"/>
      <c r="AO3173" s="16"/>
      <c r="AP3173" s="16"/>
      <c r="AQ3173" s="16"/>
      <c r="AR3173" s="16"/>
      <c r="AS3173" s="16"/>
    </row>
    <row r="3174" spans="18:45" x14ac:dyDescent="0.35">
      <c r="R3174" s="191"/>
      <c r="S3174" s="191"/>
      <c r="T3174" s="193"/>
      <c r="U3174" s="191"/>
      <c r="V3174" s="194"/>
      <c r="W3174" s="191"/>
      <c r="Y3174" s="191"/>
      <c r="Z3174" s="191"/>
      <c r="AA3174" s="191"/>
      <c r="AB3174" s="191"/>
      <c r="AC3174" s="191"/>
      <c r="AD3174" s="16"/>
      <c r="AE3174" s="16"/>
      <c r="AF3174" s="16"/>
      <c r="AG3174" s="16"/>
      <c r="AH3174" s="16"/>
      <c r="AI3174" s="16"/>
      <c r="AJ3174" s="16"/>
      <c r="AK3174" s="16"/>
      <c r="AL3174" s="16"/>
      <c r="AM3174" s="16"/>
      <c r="AN3174" s="16"/>
      <c r="AO3174" s="16"/>
      <c r="AP3174" s="16"/>
      <c r="AQ3174" s="16"/>
      <c r="AR3174" s="16"/>
      <c r="AS3174" s="16"/>
    </row>
    <row r="3175" spans="18:45" x14ac:dyDescent="0.35">
      <c r="R3175" s="191"/>
      <c r="S3175" s="191"/>
      <c r="T3175" s="193"/>
      <c r="U3175" s="191"/>
      <c r="V3175" s="194"/>
      <c r="W3175" s="191"/>
      <c r="Y3175" s="191"/>
      <c r="Z3175" s="191"/>
      <c r="AA3175" s="191"/>
      <c r="AB3175" s="191"/>
      <c r="AC3175" s="191"/>
      <c r="AD3175" s="16"/>
      <c r="AE3175" s="16"/>
      <c r="AF3175" s="16"/>
      <c r="AG3175" s="16"/>
      <c r="AH3175" s="16"/>
      <c r="AI3175" s="16"/>
      <c r="AJ3175" s="16"/>
      <c r="AK3175" s="16"/>
      <c r="AL3175" s="16"/>
      <c r="AM3175" s="16"/>
      <c r="AN3175" s="16"/>
      <c r="AO3175" s="16"/>
      <c r="AP3175" s="16"/>
      <c r="AQ3175" s="16"/>
      <c r="AR3175" s="16"/>
      <c r="AS3175" s="16"/>
    </row>
    <row r="3176" spans="18:45" x14ac:dyDescent="0.35">
      <c r="R3176" s="191"/>
      <c r="S3176" s="191"/>
      <c r="T3176" s="193"/>
      <c r="U3176" s="191"/>
      <c r="V3176" s="194"/>
      <c r="W3176" s="191"/>
      <c r="Y3176" s="191"/>
      <c r="Z3176" s="191"/>
      <c r="AA3176" s="191"/>
      <c r="AB3176" s="191"/>
      <c r="AC3176" s="191"/>
      <c r="AD3176" s="16"/>
      <c r="AE3176" s="16"/>
      <c r="AF3176" s="16"/>
      <c r="AG3176" s="16"/>
      <c r="AH3176" s="16"/>
      <c r="AI3176" s="16"/>
      <c r="AJ3176" s="16"/>
      <c r="AK3176" s="16"/>
      <c r="AL3176" s="16"/>
      <c r="AM3176" s="16"/>
      <c r="AN3176" s="16"/>
      <c r="AO3176" s="16"/>
      <c r="AP3176" s="16"/>
      <c r="AQ3176" s="16"/>
      <c r="AR3176" s="16"/>
      <c r="AS3176" s="16"/>
    </row>
    <row r="3177" spans="18:45" x14ac:dyDescent="0.35">
      <c r="R3177" s="191"/>
      <c r="S3177" s="191"/>
      <c r="T3177" s="193"/>
      <c r="U3177" s="191"/>
      <c r="V3177" s="194"/>
      <c r="W3177" s="191"/>
      <c r="Y3177" s="191"/>
      <c r="Z3177" s="191"/>
      <c r="AA3177" s="191"/>
      <c r="AB3177" s="191"/>
      <c r="AC3177" s="191"/>
      <c r="AD3177" s="16"/>
      <c r="AE3177" s="16"/>
      <c r="AF3177" s="16"/>
      <c r="AG3177" s="16"/>
      <c r="AH3177" s="16"/>
      <c r="AI3177" s="16"/>
      <c r="AJ3177" s="16"/>
      <c r="AK3177" s="16"/>
      <c r="AL3177" s="16"/>
      <c r="AM3177" s="16"/>
      <c r="AN3177" s="16"/>
      <c r="AO3177" s="16"/>
      <c r="AP3177" s="16"/>
      <c r="AQ3177" s="16"/>
      <c r="AR3177" s="16"/>
      <c r="AS3177" s="16"/>
    </row>
    <row r="3178" spans="18:45" x14ac:dyDescent="0.35">
      <c r="R3178" s="191"/>
      <c r="S3178" s="191"/>
      <c r="T3178" s="193"/>
      <c r="U3178" s="191"/>
      <c r="V3178" s="194"/>
      <c r="W3178" s="191"/>
      <c r="Y3178" s="191"/>
      <c r="Z3178" s="191"/>
      <c r="AA3178" s="191"/>
      <c r="AB3178" s="191"/>
      <c r="AC3178" s="191"/>
      <c r="AD3178" s="16"/>
      <c r="AE3178" s="16"/>
      <c r="AF3178" s="16"/>
      <c r="AG3178" s="16"/>
      <c r="AH3178" s="16"/>
      <c r="AI3178" s="16"/>
      <c r="AJ3178" s="16"/>
      <c r="AK3178" s="16"/>
      <c r="AL3178" s="16"/>
      <c r="AM3178" s="16"/>
      <c r="AN3178" s="16"/>
      <c r="AO3178" s="16"/>
      <c r="AP3178" s="16"/>
      <c r="AQ3178" s="16"/>
      <c r="AR3178" s="16"/>
      <c r="AS3178" s="16"/>
    </row>
    <row r="3179" spans="18:45" x14ac:dyDescent="0.35">
      <c r="R3179" s="191"/>
      <c r="S3179" s="191"/>
      <c r="T3179" s="193"/>
      <c r="U3179" s="191"/>
      <c r="V3179" s="194"/>
      <c r="W3179" s="191"/>
      <c r="Y3179" s="191"/>
      <c r="Z3179" s="191"/>
      <c r="AA3179" s="191"/>
      <c r="AB3179" s="191"/>
      <c r="AC3179" s="191"/>
      <c r="AD3179" s="16"/>
      <c r="AE3179" s="16"/>
      <c r="AF3179" s="16"/>
      <c r="AG3179" s="16"/>
      <c r="AH3179" s="16"/>
      <c r="AI3179" s="16"/>
      <c r="AJ3179" s="16"/>
      <c r="AK3179" s="16"/>
      <c r="AL3179" s="16"/>
      <c r="AM3179" s="16"/>
      <c r="AN3179" s="16"/>
      <c r="AO3179" s="16"/>
      <c r="AP3179" s="16"/>
      <c r="AQ3179" s="16"/>
      <c r="AR3179" s="16"/>
      <c r="AS3179" s="16"/>
    </row>
    <row r="3180" spans="18:45" x14ac:dyDescent="0.35">
      <c r="R3180" s="191"/>
      <c r="S3180" s="191"/>
      <c r="T3180" s="193"/>
      <c r="U3180" s="191"/>
      <c r="V3180" s="194"/>
      <c r="W3180" s="191"/>
      <c r="Y3180" s="191"/>
      <c r="Z3180" s="191"/>
      <c r="AA3180" s="191"/>
      <c r="AB3180" s="191"/>
      <c r="AC3180" s="191"/>
      <c r="AD3180" s="16"/>
      <c r="AE3180" s="16"/>
      <c r="AF3180" s="16"/>
      <c r="AG3180" s="16"/>
      <c r="AH3180" s="16"/>
      <c r="AI3180" s="16"/>
      <c r="AJ3180" s="16"/>
      <c r="AK3180" s="16"/>
      <c r="AL3180" s="16"/>
      <c r="AM3180" s="16"/>
      <c r="AN3180" s="16"/>
      <c r="AO3180" s="16"/>
      <c r="AP3180" s="16"/>
      <c r="AQ3180" s="16"/>
      <c r="AR3180" s="16"/>
      <c r="AS3180" s="16"/>
    </row>
    <row r="3181" spans="18:45" x14ac:dyDescent="0.35">
      <c r="R3181" s="191"/>
      <c r="S3181" s="191"/>
      <c r="T3181" s="193"/>
      <c r="U3181" s="191"/>
      <c r="V3181" s="194"/>
      <c r="W3181" s="191"/>
      <c r="Y3181" s="191"/>
      <c r="Z3181" s="191"/>
      <c r="AA3181" s="191"/>
      <c r="AB3181" s="191"/>
      <c r="AC3181" s="191"/>
      <c r="AD3181" s="16"/>
      <c r="AE3181" s="16"/>
      <c r="AF3181" s="16"/>
      <c r="AG3181" s="16"/>
      <c r="AH3181" s="16"/>
      <c r="AI3181" s="16"/>
      <c r="AJ3181" s="16"/>
      <c r="AK3181" s="16"/>
      <c r="AL3181" s="16"/>
      <c r="AM3181" s="16"/>
      <c r="AN3181" s="16"/>
      <c r="AO3181" s="16"/>
      <c r="AP3181" s="16"/>
      <c r="AQ3181" s="16"/>
      <c r="AR3181" s="16"/>
      <c r="AS3181" s="16"/>
    </row>
    <row r="3182" spans="18:45" x14ac:dyDescent="0.35">
      <c r="R3182" s="191"/>
      <c r="S3182" s="191"/>
      <c r="T3182" s="193"/>
      <c r="U3182" s="191"/>
      <c r="V3182" s="194"/>
      <c r="W3182" s="191"/>
      <c r="Y3182" s="191"/>
      <c r="Z3182" s="191"/>
      <c r="AA3182" s="191"/>
      <c r="AB3182" s="191"/>
      <c r="AC3182" s="191"/>
      <c r="AD3182" s="16"/>
      <c r="AE3182" s="16"/>
      <c r="AF3182" s="16"/>
      <c r="AG3182" s="16"/>
      <c r="AH3182" s="16"/>
      <c r="AI3182" s="16"/>
      <c r="AJ3182" s="16"/>
      <c r="AK3182" s="16"/>
      <c r="AL3182" s="16"/>
      <c r="AM3182" s="16"/>
      <c r="AN3182" s="16"/>
      <c r="AO3182" s="16"/>
      <c r="AP3182" s="16"/>
      <c r="AQ3182" s="16"/>
      <c r="AR3182" s="16"/>
      <c r="AS3182" s="16"/>
    </row>
    <row r="3183" spans="18:45" x14ac:dyDescent="0.35">
      <c r="R3183" s="191"/>
      <c r="S3183" s="191"/>
      <c r="T3183" s="193"/>
      <c r="U3183" s="191"/>
      <c r="V3183" s="194"/>
      <c r="W3183" s="191"/>
      <c r="Y3183" s="191"/>
      <c r="Z3183" s="191"/>
      <c r="AA3183" s="191"/>
      <c r="AB3183" s="191"/>
      <c r="AC3183" s="191"/>
      <c r="AD3183" s="16"/>
      <c r="AE3183" s="16"/>
      <c r="AF3183" s="16"/>
      <c r="AG3183" s="16"/>
      <c r="AH3183" s="16"/>
      <c r="AI3183" s="16"/>
      <c r="AJ3183" s="16"/>
      <c r="AK3183" s="16"/>
      <c r="AL3183" s="16"/>
      <c r="AM3183" s="16"/>
      <c r="AN3183" s="16"/>
      <c r="AO3183" s="16"/>
      <c r="AP3183" s="16"/>
      <c r="AQ3183" s="16"/>
      <c r="AR3183" s="16"/>
      <c r="AS3183" s="16"/>
    </row>
    <row r="3184" spans="18:45" x14ac:dyDescent="0.35">
      <c r="R3184" s="191"/>
      <c r="S3184" s="191"/>
      <c r="T3184" s="193"/>
      <c r="U3184" s="191"/>
      <c r="V3184" s="194"/>
      <c r="W3184" s="191"/>
      <c r="Y3184" s="191"/>
      <c r="Z3184" s="191"/>
      <c r="AA3184" s="191"/>
      <c r="AB3184" s="191"/>
      <c r="AC3184" s="191"/>
      <c r="AD3184" s="16"/>
      <c r="AE3184" s="16"/>
      <c r="AF3184" s="16"/>
      <c r="AG3184" s="16"/>
      <c r="AH3184" s="16"/>
      <c r="AI3184" s="16"/>
      <c r="AJ3184" s="16"/>
      <c r="AK3184" s="16"/>
      <c r="AL3184" s="16"/>
      <c r="AM3184" s="16"/>
      <c r="AN3184" s="16"/>
      <c r="AO3184" s="16"/>
      <c r="AP3184" s="16"/>
      <c r="AQ3184" s="16"/>
      <c r="AR3184" s="16"/>
      <c r="AS3184" s="16"/>
    </row>
    <row r="3185" spans="18:45" x14ac:dyDescent="0.35">
      <c r="R3185" s="191"/>
      <c r="S3185" s="191"/>
      <c r="T3185" s="193"/>
      <c r="U3185" s="191"/>
      <c r="V3185" s="194"/>
      <c r="W3185" s="191"/>
      <c r="Y3185" s="191"/>
      <c r="Z3185" s="191"/>
      <c r="AA3185" s="191"/>
      <c r="AB3185" s="191"/>
      <c r="AC3185" s="191"/>
      <c r="AD3185" s="16"/>
      <c r="AE3185" s="16"/>
      <c r="AF3185" s="16"/>
      <c r="AG3185" s="16"/>
      <c r="AH3185" s="16"/>
      <c r="AI3185" s="16"/>
      <c r="AJ3185" s="16"/>
      <c r="AK3185" s="16"/>
      <c r="AL3185" s="16"/>
      <c r="AM3185" s="16"/>
      <c r="AN3185" s="16"/>
      <c r="AO3185" s="16"/>
      <c r="AP3185" s="16"/>
      <c r="AQ3185" s="16"/>
      <c r="AR3185" s="16"/>
      <c r="AS3185" s="16"/>
    </row>
    <row r="3186" spans="18:45" x14ac:dyDescent="0.35">
      <c r="R3186" s="191"/>
      <c r="S3186" s="191"/>
      <c r="T3186" s="193"/>
      <c r="U3186" s="191"/>
      <c r="V3186" s="194"/>
      <c r="W3186" s="191"/>
      <c r="Y3186" s="191"/>
      <c r="Z3186" s="191"/>
      <c r="AA3186" s="191"/>
      <c r="AB3186" s="191"/>
      <c r="AC3186" s="191"/>
      <c r="AD3186" s="16"/>
      <c r="AE3186" s="16"/>
      <c r="AF3186" s="16"/>
      <c r="AG3186" s="16"/>
      <c r="AH3186" s="16"/>
      <c r="AI3186" s="16"/>
      <c r="AJ3186" s="16"/>
      <c r="AK3186" s="16"/>
      <c r="AL3186" s="16"/>
      <c r="AM3186" s="16"/>
      <c r="AN3186" s="16"/>
      <c r="AO3186" s="16"/>
      <c r="AP3186" s="16"/>
      <c r="AQ3186" s="16"/>
      <c r="AR3186" s="16"/>
      <c r="AS3186" s="16"/>
    </row>
    <row r="3187" spans="18:45" x14ac:dyDescent="0.35">
      <c r="R3187" s="191"/>
      <c r="S3187" s="191"/>
      <c r="T3187" s="193"/>
      <c r="U3187" s="191"/>
      <c r="V3187" s="194"/>
      <c r="W3187" s="191"/>
      <c r="Y3187" s="191"/>
      <c r="Z3187" s="191"/>
      <c r="AA3187" s="191"/>
      <c r="AB3187" s="191"/>
      <c r="AC3187" s="191"/>
      <c r="AD3187" s="16"/>
      <c r="AE3187" s="16"/>
      <c r="AF3187" s="16"/>
      <c r="AG3187" s="16"/>
      <c r="AH3187" s="16"/>
      <c r="AI3187" s="16"/>
      <c r="AJ3187" s="16"/>
      <c r="AK3187" s="16"/>
      <c r="AL3187" s="16"/>
      <c r="AM3187" s="16"/>
      <c r="AN3187" s="16"/>
      <c r="AO3187" s="16"/>
      <c r="AP3187" s="16"/>
      <c r="AQ3187" s="16"/>
      <c r="AR3187" s="16"/>
      <c r="AS3187" s="16"/>
    </row>
    <row r="3188" spans="18:45" x14ac:dyDescent="0.35">
      <c r="R3188" s="191"/>
      <c r="S3188" s="191"/>
      <c r="T3188" s="193"/>
      <c r="U3188" s="191"/>
      <c r="V3188" s="194"/>
      <c r="W3188" s="191"/>
      <c r="Y3188" s="191"/>
      <c r="Z3188" s="191"/>
      <c r="AA3188" s="191"/>
      <c r="AB3188" s="191"/>
      <c r="AC3188" s="191"/>
      <c r="AD3188" s="16"/>
      <c r="AE3188" s="16"/>
      <c r="AF3188" s="16"/>
      <c r="AG3188" s="16"/>
      <c r="AH3188" s="16"/>
      <c r="AI3188" s="16"/>
      <c r="AJ3188" s="16"/>
      <c r="AK3188" s="16"/>
      <c r="AL3188" s="16"/>
      <c r="AM3188" s="16"/>
      <c r="AN3188" s="16"/>
      <c r="AO3188" s="16"/>
      <c r="AP3188" s="16"/>
      <c r="AQ3188" s="16"/>
      <c r="AR3188" s="16"/>
      <c r="AS3188" s="16"/>
    </row>
    <row r="3189" spans="18:45" x14ac:dyDescent="0.35">
      <c r="R3189" s="191"/>
      <c r="S3189" s="191"/>
      <c r="T3189" s="193"/>
      <c r="U3189" s="191"/>
      <c r="V3189" s="194"/>
      <c r="W3189" s="191"/>
      <c r="Y3189" s="191"/>
      <c r="Z3189" s="191"/>
      <c r="AA3189" s="191"/>
      <c r="AB3189" s="191"/>
      <c r="AC3189" s="191"/>
      <c r="AD3189" s="16"/>
      <c r="AE3189" s="16"/>
      <c r="AF3189" s="16"/>
      <c r="AG3189" s="16"/>
      <c r="AH3189" s="16"/>
      <c r="AI3189" s="16"/>
      <c r="AJ3189" s="16"/>
      <c r="AK3189" s="16"/>
      <c r="AL3189" s="16"/>
      <c r="AM3189" s="16"/>
      <c r="AN3189" s="16"/>
      <c r="AO3189" s="16"/>
      <c r="AP3189" s="16"/>
      <c r="AQ3189" s="16"/>
      <c r="AR3189" s="16"/>
      <c r="AS3189" s="16"/>
    </row>
    <row r="3190" spans="18:45" x14ac:dyDescent="0.35">
      <c r="R3190" s="191"/>
      <c r="S3190" s="191"/>
      <c r="T3190" s="193"/>
      <c r="U3190" s="191"/>
      <c r="V3190" s="194"/>
      <c r="W3190" s="191"/>
      <c r="Y3190" s="191"/>
      <c r="Z3190" s="191"/>
      <c r="AA3190" s="191"/>
      <c r="AB3190" s="191"/>
      <c r="AC3190" s="191"/>
      <c r="AD3190" s="16"/>
      <c r="AE3190" s="16"/>
      <c r="AF3190" s="16"/>
      <c r="AG3190" s="16"/>
      <c r="AH3190" s="16"/>
      <c r="AI3190" s="16"/>
      <c r="AJ3190" s="16"/>
      <c r="AK3190" s="16"/>
      <c r="AL3190" s="16"/>
      <c r="AM3190" s="16"/>
      <c r="AN3190" s="16"/>
      <c r="AO3190" s="16"/>
      <c r="AP3190" s="16"/>
      <c r="AQ3190" s="16"/>
      <c r="AR3190" s="16"/>
      <c r="AS3190" s="16"/>
    </row>
    <row r="3191" spans="18:45" x14ac:dyDescent="0.35">
      <c r="R3191" s="191"/>
      <c r="S3191" s="191"/>
      <c r="T3191" s="193"/>
      <c r="U3191" s="191"/>
      <c r="V3191" s="194"/>
      <c r="W3191" s="191"/>
      <c r="Y3191" s="191"/>
      <c r="Z3191" s="191"/>
      <c r="AA3191" s="191"/>
      <c r="AB3191" s="191"/>
      <c r="AC3191" s="191"/>
      <c r="AD3191" s="16"/>
      <c r="AE3191" s="16"/>
      <c r="AF3191" s="16"/>
      <c r="AG3191" s="16"/>
      <c r="AH3191" s="16"/>
      <c r="AI3191" s="16"/>
      <c r="AJ3191" s="16"/>
      <c r="AK3191" s="16"/>
      <c r="AL3191" s="16"/>
      <c r="AM3191" s="16"/>
      <c r="AN3191" s="16"/>
      <c r="AO3191" s="16"/>
      <c r="AP3191" s="16"/>
      <c r="AQ3191" s="16"/>
      <c r="AR3191" s="16"/>
      <c r="AS3191" s="16"/>
    </row>
    <row r="3192" spans="18:45" x14ac:dyDescent="0.35">
      <c r="R3192" s="191"/>
      <c r="S3192" s="191"/>
      <c r="T3192" s="193"/>
      <c r="U3192" s="191"/>
      <c r="V3192" s="194"/>
      <c r="W3192" s="191"/>
      <c r="Y3192" s="191"/>
      <c r="Z3192" s="191"/>
      <c r="AA3192" s="191"/>
      <c r="AB3192" s="191"/>
      <c r="AC3192" s="191"/>
      <c r="AD3192" s="16"/>
      <c r="AE3192" s="16"/>
      <c r="AF3192" s="16"/>
      <c r="AG3192" s="16"/>
      <c r="AH3192" s="16"/>
      <c r="AI3192" s="16"/>
      <c r="AJ3192" s="16"/>
      <c r="AK3192" s="16"/>
      <c r="AL3192" s="16"/>
      <c r="AM3192" s="16"/>
      <c r="AN3192" s="16"/>
      <c r="AO3192" s="16"/>
      <c r="AP3192" s="16"/>
      <c r="AQ3192" s="16"/>
      <c r="AR3192" s="16"/>
      <c r="AS3192" s="16"/>
    </row>
    <row r="3193" spans="18:45" x14ac:dyDescent="0.35">
      <c r="R3193" s="191"/>
      <c r="S3193" s="191"/>
      <c r="T3193" s="193"/>
      <c r="U3193" s="191"/>
      <c r="V3193" s="194"/>
      <c r="W3193" s="191"/>
      <c r="Y3193" s="191"/>
      <c r="Z3193" s="191"/>
      <c r="AA3193" s="191"/>
      <c r="AB3193" s="191"/>
      <c r="AC3193" s="191"/>
      <c r="AD3193" s="16"/>
      <c r="AE3193" s="16"/>
      <c r="AF3193" s="16"/>
      <c r="AG3193" s="16"/>
      <c r="AH3193" s="16"/>
      <c r="AI3193" s="16"/>
      <c r="AJ3193" s="16"/>
      <c r="AK3193" s="16"/>
      <c r="AL3193" s="16"/>
      <c r="AM3193" s="16"/>
      <c r="AN3193" s="16"/>
      <c r="AO3193" s="16"/>
      <c r="AP3193" s="16"/>
      <c r="AQ3193" s="16"/>
      <c r="AR3193" s="16"/>
      <c r="AS3193" s="16"/>
    </row>
    <row r="3194" spans="18:45" x14ac:dyDescent="0.35">
      <c r="R3194" s="191"/>
      <c r="S3194" s="191"/>
      <c r="T3194" s="193"/>
      <c r="U3194" s="191"/>
      <c r="V3194" s="194"/>
      <c r="W3194" s="191"/>
      <c r="Y3194" s="191"/>
      <c r="Z3194" s="191"/>
      <c r="AA3194" s="191"/>
      <c r="AB3194" s="191"/>
      <c r="AC3194" s="191"/>
      <c r="AD3194" s="16"/>
      <c r="AE3194" s="16"/>
      <c r="AF3194" s="16"/>
      <c r="AG3194" s="16"/>
      <c r="AH3194" s="16"/>
      <c r="AI3194" s="16"/>
      <c r="AJ3194" s="16"/>
      <c r="AK3194" s="16"/>
      <c r="AL3194" s="16"/>
      <c r="AM3194" s="16"/>
      <c r="AN3194" s="16"/>
      <c r="AO3194" s="16"/>
      <c r="AP3194" s="16"/>
      <c r="AQ3194" s="16"/>
      <c r="AR3194" s="16"/>
      <c r="AS3194" s="16"/>
    </row>
    <row r="3195" spans="18:45" x14ac:dyDescent="0.35">
      <c r="R3195" s="191"/>
      <c r="S3195" s="191"/>
      <c r="T3195" s="193"/>
      <c r="U3195" s="191"/>
      <c r="V3195" s="194"/>
      <c r="W3195" s="191"/>
      <c r="Y3195" s="191"/>
      <c r="Z3195" s="191"/>
      <c r="AA3195" s="191"/>
      <c r="AB3195" s="191"/>
      <c r="AC3195" s="191"/>
      <c r="AD3195" s="16"/>
      <c r="AE3195" s="16"/>
      <c r="AF3195" s="16"/>
      <c r="AG3195" s="16"/>
      <c r="AH3195" s="16"/>
      <c r="AI3195" s="16"/>
      <c r="AJ3195" s="16"/>
      <c r="AK3195" s="16"/>
      <c r="AL3195" s="16"/>
      <c r="AM3195" s="16"/>
      <c r="AN3195" s="16"/>
      <c r="AO3195" s="16"/>
      <c r="AP3195" s="16"/>
      <c r="AQ3195" s="16"/>
      <c r="AR3195" s="16"/>
      <c r="AS3195" s="16"/>
    </row>
    <row r="3196" spans="18:45" x14ac:dyDescent="0.35">
      <c r="R3196" s="191"/>
      <c r="S3196" s="191"/>
      <c r="T3196" s="193"/>
      <c r="U3196" s="191"/>
      <c r="V3196" s="194"/>
      <c r="W3196" s="191"/>
      <c r="Y3196" s="191"/>
      <c r="Z3196" s="191"/>
      <c r="AA3196" s="191"/>
      <c r="AB3196" s="191"/>
      <c r="AC3196" s="191"/>
      <c r="AD3196" s="16"/>
      <c r="AE3196" s="16"/>
      <c r="AF3196" s="16"/>
      <c r="AG3196" s="16"/>
      <c r="AH3196" s="16"/>
      <c r="AI3196" s="16"/>
      <c r="AJ3196" s="16"/>
      <c r="AK3196" s="16"/>
      <c r="AL3196" s="16"/>
      <c r="AM3196" s="16"/>
      <c r="AN3196" s="16"/>
      <c r="AO3196" s="16"/>
      <c r="AP3196" s="16"/>
      <c r="AQ3196" s="16"/>
      <c r="AR3196" s="16"/>
      <c r="AS3196" s="16"/>
    </row>
    <row r="3197" spans="18:45" x14ac:dyDescent="0.35">
      <c r="R3197" s="191"/>
      <c r="S3197" s="191"/>
      <c r="T3197" s="193"/>
      <c r="U3197" s="191"/>
      <c r="V3197" s="194"/>
      <c r="W3197" s="191"/>
      <c r="Y3197" s="191"/>
      <c r="Z3197" s="191"/>
      <c r="AA3197" s="191"/>
      <c r="AB3197" s="191"/>
      <c r="AC3197" s="191"/>
      <c r="AD3197" s="16"/>
      <c r="AE3197" s="16"/>
      <c r="AF3197" s="16"/>
      <c r="AG3197" s="16"/>
      <c r="AH3197" s="16"/>
      <c r="AI3197" s="16"/>
      <c r="AJ3197" s="16"/>
      <c r="AK3197" s="16"/>
      <c r="AL3197" s="16"/>
      <c r="AM3197" s="16"/>
      <c r="AN3197" s="16"/>
      <c r="AO3197" s="16"/>
      <c r="AP3197" s="16"/>
      <c r="AQ3197" s="16"/>
      <c r="AR3197" s="16"/>
      <c r="AS3197" s="16"/>
    </row>
    <row r="3198" spans="18:45" x14ac:dyDescent="0.35">
      <c r="R3198" s="191"/>
      <c r="S3198" s="191"/>
      <c r="T3198" s="193"/>
      <c r="U3198" s="191"/>
      <c r="V3198" s="194"/>
      <c r="W3198" s="191"/>
      <c r="Y3198" s="191"/>
      <c r="Z3198" s="191"/>
      <c r="AA3198" s="191"/>
      <c r="AB3198" s="191"/>
      <c r="AC3198" s="191"/>
      <c r="AD3198" s="16"/>
      <c r="AE3198" s="16"/>
      <c r="AF3198" s="16"/>
      <c r="AG3198" s="16"/>
      <c r="AH3198" s="16"/>
      <c r="AI3198" s="16"/>
      <c r="AJ3198" s="16"/>
      <c r="AK3198" s="16"/>
      <c r="AL3198" s="16"/>
      <c r="AM3198" s="16"/>
      <c r="AN3198" s="16"/>
      <c r="AO3198" s="16"/>
      <c r="AP3198" s="16"/>
      <c r="AQ3198" s="16"/>
      <c r="AR3198" s="16"/>
      <c r="AS3198" s="16"/>
    </row>
    <row r="3199" spans="18:45" x14ac:dyDescent="0.35">
      <c r="R3199" s="191"/>
      <c r="S3199" s="191"/>
      <c r="T3199" s="193"/>
      <c r="U3199" s="191"/>
      <c r="V3199" s="194"/>
      <c r="W3199" s="191"/>
      <c r="Y3199" s="191"/>
      <c r="Z3199" s="191"/>
      <c r="AA3199" s="191"/>
      <c r="AB3199" s="191"/>
      <c r="AC3199" s="191"/>
      <c r="AD3199" s="16"/>
      <c r="AE3199" s="16"/>
      <c r="AF3199" s="16"/>
      <c r="AG3199" s="16"/>
      <c r="AH3199" s="16"/>
      <c r="AI3199" s="16"/>
      <c r="AJ3199" s="16"/>
      <c r="AK3199" s="16"/>
      <c r="AL3199" s="16"/>
      <c r="AM3199" s="16"/>
      <c r="AN3199" s="16"/>
      <c r="AO3199" s="16"/>
      <c r="AP3199" s="16"/>
      <c r="AQ3199" s="16"/>
      <c r="AR3199" s="16"/>
      <c r="AS3199" s="16"/>
    </row>
    <row r="3200" spans="18:45" x14ac:dyDescent="0.35">
      <c r="R3200" s="191"/>
      <c r="S3200" s="191"/>
      <c r="T3200" s="193"/>
      <c r="U3200" s="191"/>
      <c r="V3200" s="194"/>
      <c r="W3200" s="191"/>
      <c r="Y3200" s="191"/>
      <c r="Z3200" s="191"/>
      <c r="AA3200" s="191"/>
      <c r="AB3200" s="191"/>
      <c r="AC3200" s="191"/>
      <c r="AD3200" s="16"/>
      <c r="AE3200" s="16"/>
      <c r="AF3200" s="16"/>
      <c r="AG3200" s="16"/>
      <c r="AH3200" s="16"/>
      <c r="AI3200" s="16"/>
      <c r="AJ3200" s="16"/>
      <c r="AK3200" s="16"/>
      <c r="AL3200" s="16"/>
      <c r="AM3200" s="16"/>
      <c r="AN3200" s="16"/>
      <c r="AO3200" s="16"/>
      <c r="AP3200" s="16"/>
      <c r="AQ3200" s="16"/>
      <c r="AR3200" s="16"/>
      <c r="AS3200" s="16"/>
    </row>
    <row r="3201" spans="18:45" x14ac:dyDescent="0.35">
      <c r="R3201" s="191"/>
      <c r="S3201" s="191"/>
      <c r="T3201" s="193"/>
      <c r="U3201" s="191"/>
      <c r="V3201" s="194"/>
      <c r="W3201" s="191"/>
      <c r="Y3201" s="191"/>
      <c r="Z3201" s="191"/>
      <c r="AA3201" s="191"/>
      <c r="AB3201" s="191"/>
      <c r="AC3201" s="191"/>
      <c r="AD3201" s="16"/>
      <c r="AE3201" s="16"/>
      <c r="AF3201" s="16"/>
      <c r="AG3201" s="16"/>
      <c r="AH3201" s="16"/>
      <c r="AI3201" s="16"/>
      <c r="AJ3201" s="16"/>
      <c r="AK3201" s="16"/>
      <c r="AL3201" s="16"/>
      <c r="AM3201" s="16"/>
      <c r="AN3201" s="16"/>
      <c r="AO3201" s="16"/>
      <c r="AP3201" s="16"/>
      <c r="AQ3201" s="16"/>
      <c r="AR3201" s="16"/>
      <c r="AS3201" s="16"/>
    </row>
    <row r="3202" spans="18:45" x14ac:dyDescent="0.35">
      <c r="R3202" s="191"/>
      <c r="S3202" s="191"/>
      <c r="T3202" s="193"/>
      <c r="U3202" s="191"/>
      <c r="V3202" s="194"/>
      <c r="W3202" s="191"/>
      <c r="Y3202" s="191"/>
      <c r="Z3202" s="191"/>
      <c r="AA3202" s="191"/>
      <c r="AB3202" s="191"/>
      <c r="AC3202" s="191"/>
      <c r="AD3202" s="16"/>
      <c r="AE3202" s="16"/>
      <c r="AF3202" s="16"/>
      <c r="AG3202" s="16"/>
      <c r="AH3202" s="16"/>
      <c r="AI3202" s="16"/>
      <c r="AJ3202" s="16"/>
      <c r="AK3202" s="16"/>
      <c r="AL3202" s="16"/>
      <c r="AM3202" s="16"/>
      <c r="AN3202" s="16"/>
      <c r="AO3202" s="16"/>
      <c r="AP3202" s="16"/>
      <c r="AQ3202" s="16"/>
      <c r="AR3202" s="16"/>
      <c r="AS3202" s="16"/>
    </row>
    <row r="3203" spans="18:45" x14ac:dyDescent="0.35">
      <c r="R3203" s="191"/>
      <c r="S3203" s="191"/>
      <c r="T3203" s="193"/>
      <c r="U3203" s="191"/>
      <c r="V3203" s="194"/>
      <c r="W3203" s="191"/>
      <c r="Y3203" s="191"/>
      <c r="Z3203" s="191"/>
      <c r="AA3203" s="191"/>
      <c r="AB3203" s="191"/>
      <c r="AC3203" s="191"/>
      <c r="AD3203" s="16"/>
      <c r="AE3203" s="16"/>
      <c r="AF3203" s="16"/>
      <c r="AG3203" s="16"/>
      <c r="AH3203" s="16"/>
      <c r="AI3203" s="16"/>
      <c r="AJ3203" s="16"/>
      <c r="AK3203" s="16"/>
      <c r="AL3203" s="16"/>
      <c r="AM3203" s="16"/>
      <c r="AN3203" s="16"/>
      <c r="AO3203" s="16"/>
      <c r="AP3203" s="16"/>
      <c r="AQ3203" s="16"/>
      <c r="AR3203" s="16"/>
      <c r="AS3203" s="16"/>
    </row>
    <row r="3204" spans="18:45" x14ac:dyDescent="0.35">
      <c r="R3204" s="191"/>
      <c r="S3204" s="191"/>
      <c r="T3204" s="193"/>
      <c r="U3204" s="191"/>
      <c r="V3204" s="194"/>
      <c r="W3204" s="191"/>
      <c r="Y3204" s="191"/>
      <c r="Z3204" s="191"/>
      <c r="AA3204" s="191"/>
      <c r="AB3204" s="191"/>
      <c r="AC3204" s="191"/>
      <c r="AD3204" s="16"/>
      <c r="AE3204" s="16"/>
      <c r="AF3204" s="16"/>
      <c r="AG3204" s="16"/>
      <c r="AH3204" s="16"/>
      <c r="AI3204" s="16"/>
      <c r="AJ3204" s="16"/>
      <c r="AK3204" s="16"/>
      <c r="AL3204" s="16"/>
      <c r="AM3204" s="16"/>
      <c r="AN3204" s="16"/>
      <c r="AO3204" s="16"/>
      <c r="AP3204" s="16"/>
      <c r="AQ3204" s="16"/>
      <c r="AR3204" s="16"/>
      <c r="AS3204" s="16"/>
    </row>
    <row r="3205" spans="18:45" x14ac:dyDescent="0.35">
      <c r="R3205" s="191"/>
      <c r="S3205" s="191"/>
      <c r="T3205" s="193"/>
      <c r="U3205" s="191"/>
      <c r="V3205" s="194"/>
      <c r="W3205" s="191"/>
      <c r="Y3205" s="191"/>
      <c r="Z3205" s="191"/>
      <c r="AA3205" s="191"/>
      <c r="AB3205" s="191"/>
      <c r="AC3205" s="191"/>
      <c r="AD3205" s="16"/>
      <c r="AE3205" s="16"/>
      <c r="AF3205" s="16"/>
      <c r="AG3205" s="16"/>
      <c r="AH3205" s="16"/>
      <c r="AI3205" s="16"/>
      <c r="AJ3205" s="16"/>
      <c r="AK3205" s="16"/>
      <c r="AL3205" s="16"/>
      <c r="AM3205" s="16"/>
      <c r="AN3205" s="16"/>
      <c r="AO3205" s="16"/>
      <c r="AP3205" s="16"/>
      <c r="AQ3205" s="16"/>
      <c r="AR3205" s="16"/>
      <c r="AS3205" s="16"/>
    </row>
    <row r="3206" spans="18:45" x14ac:dyDescent="0.35">
      <c r="R3206" s="191"/>
      <c r="S3206" s="191"/>
      <c r="T3206" s="193"/>
      <c r="U3206" s="191"/>
      <c r="V3206" s="194"/>
      <c r="W3206" s="191"/>
      <c r="Y3206" s="191"/>
      <c r="Z3206" s="191"/>
      <c r="AA3206" s="191"/>
      <c r="AB3206" s="191"/>
      <c r="AC3206" s="191"/>
      <c r="AD3206" s="16"/>
      <c r="AE3206" s="16"/>
      <c r="AF3206" s="16"/>
      <c r="AG3206" s="16"/>
      <c r="AH3206" s="16"/>
      <c r="AI3206" s="16"/>
      <c r="AJ3206" s="16"/>
      <c r="AK3206" s="16"/>
      <c r="AL3206" s="16"/>
      <c r="AM3206" s="16"/>
      <c r="AN3206" s="16"/>
      <c r="AO3206" s="16"/>
      <c r="AP3206" s="16"/>
      <c r="AQ3206" s="16"/>
      <c r="AR3206" s="16"/>
      <c r="AS3206" s="16"/>
    </row>
    <row r="3207" spans="18:45" x14ac:dyDescent="0.35">
      <c r="R3207" s="191"/>
      <c r="S3207" s="191"/>
      <c r="T3207" s="193"/>
      <c r="U3207" s="191"/>
      <c r="V3207" s="194"/>
      <c r="W3207" s="191"/>
      <c r="Y3207" s="191"/>
      <c r="Z3207" s="191"/>
      <c r="AA3207" s="191"/>
      <c r="AB3207" s="191"/>
      <c r="AC3207" s="191"/>
      <c r="AD3207" s="16"/>
      <c r="AE3207" s="16"/>
      <c r="AF3207" s="16"/>
      <c r="AG3207" s="16"/>
      <c r="AH3207" s="16"/>
      <c r="AI3207" s="16"/>
      <c r="AJ3207" s="16"/>
      <c r="AK3207" s="16"/>
      <c r="AL3207" s="16"/>
      <c r="AM3207" s="16"/>
      <c r="AN3207" s="16"/>
      <c r="AO3207" s="16"/>
      <c r="AP3207" s="16"/>
      <c r="AQ3207" s="16"/>
      <c r="AR3207" s="16"/>
      <c r="AS3207" s="16"/>
    </row>
    <row r="3208" spans="18:45" x14ac:dyDescent="0.35">
      <c r="R3208" s="191"/>
      <c r="S3208" s="191"/>
      <c r="T3208" s="193"/>
      <c r="U3208" s="191"/>
      <c r="V3208" s="194"/>
      <c r="W3208" s="191"/>
      <c r="Y3208" s="191"/>
      <c r="Z3208" s="191"/>
      <c r="AA3208" s="191"/>
      <c r="AB3208" s="191"/>
      <c r="AC3208" s="191"/>
      <c r="AD3208" s="16"/>
      <c r="AE3208" s="16"/>
      <c r="AF3208" s="16"/>
      <c r="AG3208" s="16"/>
      <c r="AH3208" s="16"/>
      <c r="AI3208" s="16"/>
      <c r="AJ3208" s="16"/>
      <c r="AK3208" s="16"/>
      <c r="AL3208" s="16"/>
      <c r="AM3208" s="16"/>
      <c r="AN3208" s="16"/>
      <c r="AO3208" s="16"/>
      <c r="AP3208" s="16"/>
      <c r="AQ3208" s="16"/>
      <c r="AR3208" s="16"/>
      <c r="AS3208" s="16"/>
    </row>
    <row r="3209" spans="18:45" x14ac:dyDescent="0.35">
      <c r="R3209" s="191"/>
      <c r="S3209" s="191"/>
      <c r="T3209" s="193"/>
      <c r="U3209" s="191"/>
      <c r="V3209" s="194"/>
      <c r="W3209" s="191"/>
      <c r="Y3209" s="191"/>
      <c r="Z3209" s="191"/>
      <c r="AA3209" s="191"/>
      <c r="AB3209" s="191"/>
      <c r="AC3209" s="191"/>
      <c r="AD3209" s="16"/>
      <c r="AE3209" s="16"/>
      <c r="AF3209" s="16"/>
      <c r="AG3209" s="16"/>
      <c r="AH3209" s="16"/>
      <c r="AI3209" s="16"/>
      <c r="AJ3209" s="16"/>
      <c r="AK3209" s="16"/>
      <c r="AL3209" s="16"/>
      <c r="AM3209" s="16"/>
      <c r="AN3209" s="16"/>
      <c r="AO3209" s="16"/>
      <c r="AP3209" s="16"/>
      <c r="AQ3209" s="16"/>
      <c r="AR3209" s="16"/>
      <c r="AS3209" s="16"/>
    </row>
    <row r="3210" spans="18:45" x14ac:dyDescent="0.35">
      <c r="R3210" s="191"/>
      <c r="S3210" s="191"/>
      <c r="T3210" s="193"/>
      <c r="U3210" s="191"/>
      <c r="V3210" s="194"/>
      <c r="W3210" s="191"/>
      <c r="Y3210" s="191"/>
      <c r="Z3210" s="191"/>
      <c r="AA3210" s="191"/>
      <c r="AB3210" s="191"/>
      <c r="AC3210" s="191"/>
      <c r="AD3210" s="16"/>
      <c r="AE3210" s="16"/>
      <c r="AF3210" s="16"/>
      <c r="AG3210" s="16"/>
      <c r="AH3210" s="16"/>
      <c r="AI3210" s="16"/>
      <c r="AJ3210" s="16"/>
      <c r="AK3210" s="16"/>
      <c r="AL3210" s="16"/>
      <c r="AM3210" s="16"/>
      <c r="AN3210" s="16"/>
      <c r="AO3210" s="16"/>
      <c r="AP3210" s="16"/>
      <c r="AQ3210" s="16"/>
      <c r="AR3210" s="16"/>
      <c r="AS3210" s="16"/>
    </row>
    <row r="3211" spans="18:45" x14ac:dyDescent="0.35">
      <c r="R3211" s="191"/>
      <c r="S3211" s="191"/>
      <c r="T3211" s="193"/>
      <c r="U3211" s="191"/>
      <c r="V3211" s="194"/>
      <c r="W3211" s="191"/>
      <c r="Y3211" s="191"/>
      <c r="Z3211" s="191"/>
      <c r="AA3211" s="191"/>
      <c r="AB3211" s="191"/>
      <c r="AC3211" s="191"/>
      <c r="AD3211" s="16"/>
      <c r="AE3211" s="16"/>
      <c r="AF3211" s="16"/>
      <c r="AG3211" s="16"/>
      <c r="AH3211" s="16"/>
      <c r="AI3211" s="16"/>
      <c r="AJ3211" s="16"/>
      <c r="AK3211" s="16"/>
      <c r="AL3211" s="16"/>
      <c r="AM3211" s="16"/>
      <c r="AN3211" s="16"/>
      <c r="AO3211" s="16"/>
      <c r="AP3211" s="16"/>
      <c r="AQ3211" s="16"/>
      <c r="AR3211" s="16"/>
      <c r="AS3211" s="16"/>
    </row>
    <row r="3212" spans="18:45" x14ac:dyDescent="0.35">
      <c r="R3212" s="191"/>
      <c r="S3212" s="191"/>
      <c r="T3212" s="193"/>
      <c r="U3212" s="191"/>
      <c r="V3212" s="194"/>
      <c r="W3212" s="191"/>
      <c r="Y3212" s="191"/>
      <c r="Z3212" s="191"/>
      <c r="AA3212" s="191"/>
      <c r="AB3212" s="191"/>
      <c r="AC3212" s="191"/>
      <c r="AD3212" s="16"/>
      <c r="AE3212" s="16"/>
      <c r="AF3212" s="16"/>
      <c r="AG3212" s="16"/>
      <c r="AH3212" s="16"/>
      <c r="AI3212" s="16"/>
      <c r="AJ3212" s="16"/>
      <c r="AK3212" s="16"/>
      <c r="AL3212" s="16"/>
      <c r="AM3212" s="16"/>
      <c r="AN3212" s="16"/>
      <c r="AO3212" s="16"/>
      <c r="AP3212" s="16"/>
      <c r="AQ3212" s="16"/>
      <c r="AR3212" s="16"/>
      <c r="AS3212" s="16"/>
    </row>
    <row r="3213" spans="18:45" x14ac:dyDescent="0.35">
      <c r="R3213" s="191"/>
      <c r="S3213" s="191"/>
      <c r="T3213" s="193"/>
      <c r="U3213" s="191"/>
      <c r="V3213" s="194"/>
      <c r="W3213" s="191"/>
      <c r="Y3213" s="191"/>
      <c r="Z3213" s="191"/>
      <c r="AA3213" s="191"/>
      <c r="AB3213" s="191"/>
      <c r="AC3213" s="191"/>
      <c r="AD3213" s="16"/>
      <c r="AE3213" s="16"/>
      <c r="AF3213" s="16"/>
      <c r="AG3213" s="16"/>
      <c r="AH3213" s="16"/>
      <c r="AI3213" s="16"/>
      <c r="AJ3213" s="16"/>
      <c r="AK3213" s="16"/>
      <c r="AL3213" s="16"/>
      <c r="AM3213" s="16"/>
      <c r="AN3213" s="16"/>
      <c r="AO3213" s="16"/>
      <c r="AP3213" s="16"/>
      <c r="AQ3213" s="16"/>
      <c r="AR3213" s="16"/>
      <c r="AS3213" s="16"/>
    </row>
    <row r="3214" spans="18:45" x14ac:dyDescent="0.35">
      <c r="R3214" s="191"/>
      <c r="S3214" s="191"/>
      <c r="T3214" s="193"/>
      <c r="U3214" s="191"/>
      <c r="V3214" s="194"/>
      <c r="W3214" s="191"/>
      <c r="Y3214" s="191"/>
      <c r="Z3214" s="191"/>
      <c r="AA3214" s="191"/>
      <c r="AB3214" s="191"/>
      <c r="AC3214" s="191"/>
      <c r="AD3214" s="16"/>
      <c r="AE3214" s="16"/>
      <c r="AF3214" s="16"/>
      <c r="AG3214" s="16"/>
      <c r="AH3214" s="16"/>
      <c r="AI3214" s="16"/>
      <c r="AJ3214" s="16"/>
      <c r="AK3214" s="16"/>
      <c r="AL3214" s="16"/>
      <c r="AM3214" s="16"/>
      <c r="AN3214" s="16"/>
      <c r="AO3214" s="16"/>
      <c r="AP3214" s="16"/>
      <c r="AQ3214" s="16"/>
      <c r="AR3214" s="16"/>
      <c r="AS3214" s="16"/>
    </row>
    <row r="3215" spans="18:45" x14ac:dyDescent="0.35">
      <c r="R3215" s="191"/>
      <c r="S3215" s="191"/>
      <c r="T3215" s="193"/>
      <c r="U3215" s="191"/>
      <c r="V3215" s="194"/>
      <c r="W3215" s="191"/>
      <c r="Y3215" s="191"/>
      <c r="Z3215" s="191"/>
      <c r="AA3215" s="191"/>
      <c r="AB3215" s="191"/>
      <c r="AC3215" s="191"/>
      <c r="AD3215" s="16"/>
      <c r="AE3215" s="16"/>
      <c r="AF3215" s="16"/>
      <c r="AG3215" s="16"/>
      <c r="AH3215" s="16"/>
      <c r="AI3215" s="16"/>
      <c r="AJ3215" s="16"/>
      <c r="AK3215" s="16"/>
      <c r="AL3215" s="16"/>
      <c r="AM3215" s="16"/>
      <c r="AN3215" s="16"/>
      <c r="AO3215" s="16"/>
      <c r="AP3215" s="16"/>
      <c r="AQ3215" s="16"/>
      <c r="AR3215" s="16"/>
      <c r="AS3215" s="16"/>
    </row>
    <row r="3216" spans="18:45" x14ac:dyDescent="0.35">
      <c r="R3216" s="191"/>
      <c r="S3216" s="191"/>
      <c r="T3216" s="193"/>
      <c r="U3216" s="191"/>
      <c r="V3216" s="194"/>
      <c r="W3216" s="191"/>
      <c r="Y3216" s="191"/>
      <c r="Z3216" s="191"/>
      <c r="AA3216" s="191"/>
      <c r="AB3216" s="191"/>
      <c r="AC3216" s="191"/>
      <c r="AD3216" s="16"/>
      <c r="AE3216" s="16"/>
      <c r="AF3216" s="16"/>
      <c r="AG3216" s="16"/>
      <c r="AH3216" s="16"/>
      <c r="AI3216" s="16"/>
      <c r="AJ3216" s="16"/>
      <c r="AK3216" s="16"/>
      <c r="AL3216" s="16"/>
      <c r="AM3216" s="16"/>
      <c r="AN3216" s="16"/>
      <c r="AO3216" s="16"/>
      <c r="AP3216" s="16"/>
      <c r="AQ3216" s="16"/>
      <c r="AR3216" s="16"/>
      <c r="AS3216" s="16"/>
    </row>
    <row r="3217" spans="18:45" x14ac:dyDescent="0.35">
      <c r="R3217" s="191"/>
      <c r="S3217" s="191"/>
      <c r="T3217" s="193"/>
      <c r="U3217" s="191"/>
      <c r="V3217" s="194"/>
      <c r="W3217" s="191"/>
      <c r="Y3217" s="191"/>
      <c r="Z3217" s="191"/>
      <c r="AA3217" s="191"/>
      <c r="AB3217" s="191"/>
      <c r="AC3217" s="191"/>
      <c r="AD3217" s="16"/>
      <c r="AE3217" s="16"/>
      <c r="AF3217" s="16"/>
      <c r="AG3217" s="16"/>
      <c r="AH3217" s="16"/>
      <c r="AI3217" s="16"/>
      <c r="AJ3217" s="16"/>
      <c r="AK3217" s="16"/>
      <c r="AL3217" s="16"/>
      <c r="AM3217" s="16"/>
      <c r="AN3217" s="16"/>
      <c r="AO3217" s="16"/>
      <c r="AP3217" s="16"/>
      <c r="AQ3217" s="16"/>
      <c r="AR3217" s="16"/>
      <c r="AS3217" s="16"/>
    </row>
    <row r="3218" spans="18:45" x14ac:dyDescent="0.35">
      <c r="R3218" s="191"/>
      <c r="S3218" s="191"/>
      <c r="T3218" s="193"/>
      <c r="U3218" s="191"/>
      <c r="V3218" s="194"/>
      <c r="W3218" s="191"/>
      <c r="Y3218" s="191"/>
      <c r="Z3218" s="191"/>
      <c r="AA3218" s="191"/>
      <c r="AB3218" s="191"/>
      <c r="AC3218" s="191"/>
      <c r="AD3218" s="16"/>
      <c r="AE3218" s="16"/>
      <c r="AF3218" s="16"/>
      <c r="AG3218" s="16"/>
      <c r="AH3218" s="16"/>
      <c r="AI3218" s="16"/>
      <c r="AJ3218" s="16"/>
      <c r="AK3218" s="16"/>
      <c r="AL3218" s="16"/>
      <c r="AM3218" s="16"/>
      <c r="AN3218" s="16"/>
      <c r="AO3218" s="16"/>
      <c r="AP3218" s="16"/>
      <c r="AQ3218" s="16"/>
      <c r="AR3218" s="16"/>
      <c r="AS3218" s="16"/>
    </row>
    <row r="3219" spans="18:45" x14ac:dyDescent="0.35">
      <c r="R3219" s="191"/>
      <c r="S3219" s="191"/>
      <c r="T3219" s="193"/>
      <c r="U3219" s="191"/>
      <c r="V3219" s="194"/>
      <c r="W3219" s="191"/>
      <c r="Y3219" s="191"/>
      <c r="Z3219" s="191"/>
      <c r="AA3219" s="191"/>
      <c r="AB3219" s="191"/>
      <c r="AC3219" s="191"/>
      <c r="AD3219" s="16"/>
      <c r="AE3219" s="16"/>
      <c r="AF3219" s="16"/>
      <c r="AG3219" s="16"/>
      <c r="AH3219" s="16"/>
      <c r="AI3219" s="16"/>
      <c r="AJ3219" s="16"/>
      <c r="AK3219" s="16"/>
      <c r="AL3219" s="16"/>
      <c r="AM3219" s="16"/>
      <c r="AN3219" s="16"/>
      <c r="AO3219" s="16"/>
      <c r="AP3219" s="16"/>
      <c r="AQ3219" s="16"/>
      <c r="AR3219" s="16"/>
      <c r="AS3219" s="16"/>
    </row>
    <row r="3220" spans="18:45" x14ac:dyDescent="0.35">
      <c r="R3220" s="191"/>
      <c r="S3220" s="191"/>
      <c r="T3220" s="193"/>
      <c r="U3220" s="191"/>
      <c r="V3220" s="194"/>
      <c r="W3220" s="191"/>
      <c r="Y3220" s="191"/>
      <c r="Z3220" s="191"/>
      <c r="AA3220" s="191"/>
      <c r="AB3220" s="191"/>
      <c r="AC3220" s="191"/>
      <c r="AD3220" s="16"/>
      <c r="AE3220" s="16"/>
      <c r="AF3220" s="16"/>
      <c r="AG3220" s="16"/>
      <c r="AH3220" s="16"/>
      <c r="AI3220" s="16"/>
      <c r="AJ3220" s="16"/>
      <c r="AK3220" s="16"/>
      <c r="AL3220" s="16"/>
      <c r="AM3220" s="16"/>
      <c r="AN3220" s="16"/>
      <c r="AO3220" s="16"/>
      <c r="AP3220" s="16"/>
      <c r="AQ3220" s="16"/>
      <c r="AR3220" s="16"/>
      <c r="AS3220" s="16"/>
    </row>
    <row r="3221" spans="18:45" x14ac:dyDescent="0.35">
      <c r="R3221" s="191"/>
      <c r="S3221" s="191"/>
      <c r="T3221" s="193"/>
      <c r="U3221" s="191"/>
      <c r="V3221" s="194"/>
      <c r="W3221" s="191"/>
      <c r="Y3221" s="191"/>
      <c r="Z3221" s="191"/>
      <c r="AA3221" s="191"/>
      <c r="AB3221" s="191"/>
      <c r="AC3221" s="191"/>
      <c r="AD3221" s="16"/>
      <c r="AE3221" s="16"/>
      <c r="AF3221" s="16"/>
      <c r="AG3221" s="16"/>
      <c r="AH3221" s="16"/>
      <c r="AI3221" s="16"/>
      <c r="AJ3221" s="16"/>
      <c r="AK3221" s="16"/>
      <c r="AL3221" s="16"/>
      <c r="AM3221" s="16"/>
      <c r="AN3221" s="16"/>
      <c r="AO3221" s="16"/>
      <c r="AP3221" s="16"/>
      <c r="AQ3221" s="16"/>
      <c r="AR3221" s="16"/>
      <c r="AS3221" s="16"/>
    </row>
    <row r="3222" spans="18:45" x14ac:dyDescent="0.35">
      <c r="R3222" s="191"/>
      <c r="S3222" s="191"/>
      <c r="T3222" s="193"/>
      <c r="U3222" s="191"/>
      <c r="V3222" s="194"/>
      <c r="W3222" s="191"/>
      <c r="Y3222" s="191"/>
      <c r="Z3222" s="191"/>
      <c r="AA3222" s="191"/>
      <c r="AB3222" s="191"/>
      <c r="AC3222" s="191"/>
      <c r="AD3222" s="16"/>
      <c r="AE3222" s="16"/>
      <c r="AF3222" s="16"/>
      <c r="AG3222" s="16"/>
      <c r="AH3222" s="16"/>
      <c r="AI3222" s="16"/>
      <c r="AJ3222" s="16"/>
      <c r="AK3222" s="16"/>
      <c r="AL3222" s="16"/>
      <c r="AM3222" s="16"/>
      <c r="AN3222" s="16"/>
      <c r="AO3222" s="16"/>
      <c r="AP3222" s="16"/>
      <c r="AQ3222" s="16"/>
      <c r="AR3222" s="16"/>
      <c r="AS3222" s="16"/>
    </row>
    <row r="3223" spans="18:45" x14ac:dyDescent="0.35">
      <c r="R3223" s="191"/>
      <c r="S3223" s="191"/>
      <c r="T3223" s="193"/>
      <c r="U3223" s="191"/>
      <c r="V3223" s="194"/>
      <c r="W3223" s="191"/>
      <c r="Y3223" s="191"/>
      <c r="Z3223" s="191"/>
      <c r="AA3223" s="191"/>
      <c r="AB3223" s="191"/>
      <c r="AC3223" s="191"/>
      <c r="AD3223" s="16"/>
      <c r="AE3223" s="16"/>
      <c r="AF3223" s="16"/>
      <c r="AG3223" s="16"/>
      <c r="AH3223" s="16"/>
      <c r="AI3223" s="16"/>
      <c r="AJ3223" s="16"/>
      <c r="AK3223" s="16"/>
      <c r="AL3223" s="16"/>
      <c r="AM3223" s="16"/>
      <c r="AN3223" s="16"/>
      <c r="AO3223" s="16"/>
      <c r="AP3223" s="16"/>
      <c r="AQ3223" s="16"/>
      <c r="AR3223" s="16"/>
      <c r="AS3223" s="16"/>
    </row>
    <row r="3224" spans="18:45" x14ac:dyDescent="0.35">
      <c r="R3224" s="191"/>
      <c r="S3224" s="191"/>
      <c r="T3224" s="193"/>
      <c r="U3224" s="191"/>
      <c r="V3224" s="194"/>
      <c r="W3224" s="191"/>
      <c r="Y3224" s="191"/>
      <c r="Z3224" s="191"/>
      <c r="AA3224" s="191"/>
      <c r="AB3224" s="191"/>
      <c r="AC3224" s="191"/>
      <c r="AD3224" s="16"/>
      <c r="AE3224" s="16"/>
      <c r="AF3224" s="16"/>
      <c r="AG3224" s="16"/>
      <c r="AH3224" s="16"/>
      <c r="AI3224" s="16"/>
      <c r="AJ3224" s="16"/>
      <c r="AK3224" s="16"/>
      <c r="AL3224" s="16"/>
      <c r="AM3224" s="16"/>
      <c r="AN3224" s="16"/>
      <c r="AO3224" s="16"/>
      <c r="AP3224" s="16"/>
      <c r="AQ3224" s="16"/>
      <c r="AR3224" s="16"/>
      <c r="AS3224" s="16"/>
    </row>
    <row r="3225" spans="18:45" x14ac:dyDescent="0.35">
      <c r="R3225" s="191"/>
      <c r="S3225" s="191"/>
      <c r="T3225" s="193"/>
      <c r="U3225" s="191"/>
      <c r="V3225" s="194"/>
      <c r="W3225" s="191"/>
      <c r="Y3225" s="191"/>
      <c r="Z3225" s="191"/>
      <c r="AA3225" s="191"/>
      <c r="AB3225" s="191"/>
      <c r="AC3225" s="191"/>
      <c r="AD3225" s="16"/>
      <c r="AE3225" s="16"/>
      <c r="AF3225" s="16"/>
      <c r="AG3225" s="16"/>
      <c r="AH3225" s="16"/>
      <c r="AI3225" s="16"/>
      <c r="AJ3225" s="16"/>
      <c r="AK3225" s="16"/>
      <c r="AL3225" s="16"/>
      <c r="AM3225" s="16"/>
      <c r="AN3225" s="16"/>
      <c r="AO3225" s="16"/>
      <c r="AP3225" s="16"/>
      <c r="AQ3225" s="16"/>
      <c r="AR3225" s="16"/>
      <c r="AS3225" s="16"/>
    </row>
    <row r="3226" spans="18:45" x14ac:dyDescent="0.35">
      <c r="R3226" s="191"/>
      <c r="S3226" s="191"/>
      <c r="T3226" s="193"/>
      <c r="U3226" s="191"/>
      <c r="V3226" s="194"/>
      <c r="W3226" s="191"/>
      <c r="Y3226" s="191"/>
      <c r="Z3226" s="191"/>
      <c r="AA3226" s="191"/>
      <c r="AB3226" s="191"/>
      <c r="AC3226" s="191"/>
      <c r="AD3226" s="16"/>
      <c r="AE3226" s="16"/>
      <c r="AF3226" s="16"/>
      <c r="AG3226" s="16"/>
      <c r="AH3226" s="16"/>
      <c r="AI3226" s="16"/>
      <c r="AJ3226" s="16"/>
      <c r="AK3226" s="16"/>
      <c r="AL3226" s="16"/>
      <c r="AM3226" s="16"/>
      <c r="AN3226" s="16"/>
      <c r="AO3226" s="16"/>
      <c r="AP3226" s="16"/>
      <c r="AQ3226" s="16"/>
      <c r="AR3226" s="16"/>
      <c r="AS3226" s="16"/>
    </row>
    <row r="3227" spans="18:45" x14ac:dyDescent="0.35">
      <c r="R3227" s="191"/>
      <c r="S3227" s="191"/>
      <c r="T3227" s="193"/>
      <c r="U3227" s="191"/>
      <c r="V3227" s="194"/>
      <c r="W3227" s="191"/>
      <c r="Y3227" s="191"/>
      <c r="Z3227" s="191"/>
      <c r="AA3227" s="191"/>
      <c r="AB3227" s="191"/>
      <c r="AC3227" s="191"/>
      <c r="AD3227" s="16"/>
      <c r="AE3227" s="16"/>
      <c r="AF3227" s="16"/>
      <c r="AG3227" s="16"/>
      <c r="AH3227" s="16"/>
      <c r="AI3227" s="16"/>
      <c r="AJ3227" s="16"/>
      <c r="AK3227" s="16"/>
      <c r="AL3227" s="16"/>
      <c r="AM3227" s="16"/>
      <c r="AN3227" s="16"/>
      <c r="AO3227" s="16"/>
      <c r="AP3227" s="16"/>
      <c r="AQ3227" s="16"/>
      <c r="AR3227" s="16"/>
      <c r="AS3227" s="16"/>
    </row>
    <row r="3228" spans="18:45" x14ac:dyDescent="0.35">
      <c r="R3228" s="191"/>
      <c r="S3228" s="191"/>
      <c r="T3228" s="193"/>
      <c r="U3228" s="191"/>
      <c r="V3228" s="194"/>
      <c r="W3228" s="191"/>
      <c r="Y3228" s="191"/>
      <c r="Z3228" s="191"/>
      <c r="AA3228" s="191"/>
      <c r="AB3228" s="191"/>
      <c r="AC3228" s="191"/>
      <c r="AD3228" s="16"/>
      <c r="AE3228" s="16"/>
      <c r="AF3228" s="16"/>
      <c r="AG3228" s="16"/>
      <c r="AH3228" s="16"/>
      <c r="AI3228" s="16"/>
      <c r="AJ3228" s="16"/>
      <c r="AK3228" s="16"/>
      <c r="AL3228" s="16"/>
      <c r="AM3228" s="16"/>
      <c r="AN3228" s="16"/>
      <c r="AO3228" s="16"/>
      <c r="AP3228" s="16"/>
      <c r="AQ3228" s="16"/>
      <c r="AR3228" s="16"/>
      <c r="AS3228" s="16"/>
    </row>
    <row r="3229" spans="18:45" x14ac:dyDescent="0.35">
      <c r="R3229" s="191"/>
      <c r="S3229" s="191"/>
      <c r="T3229" s="193"/>
      <c r="U3229" s="191"/>
      <c r="V3229" s="194"/>
      <c r="W3229" s="191"/>
      <c r="Y3229" s="191"/>
      <c r="Z3229" s="191"/>
      <c r="AA3229" s="191"/>
      <c r="AB3229" s="191"/>
      <c r="AC3229" s="191"/>
      <c r="AD3229" s="16"/>
      <c r="AE3229" s="16"/>
      <c r="AF3229" s="16"/>
      <c r="AG3229" s="16"/>
      <c r="AH3229" s="16"/>
      <c r="AI3229" s="16"/>
      <c r="AJ3229" s="16"/>
      <c r="AK3229" s="16"/>
      <c r="AL3229" s="16"/>
      <c r="AM3229" s="16"/>
      <c r="AN3229" s="16"/>
      <c r="AO3229" s="16"/>
      <c r="AP3229" s="16"/>
      <c r="AQ3229" s="16"/>
      <c r="AR3229" s="16"/>
      <c r="AS3229" s="16"/>
    </row>
    <row r="3230" spans="18:45" x14ac:dyDescent="0.35">
      <c r="R3230" s="191"/>
      <c r="S3230" s="191"/>
      <c r="T3230" s="193"/>
      <c r="U3230" s="191"/>
      <c r="V3230" s="194"/>
      <c r="W3230" s="191"/>
      <c r="Y3230" s="191"/>
      <c r="Z3230" s="191"/>
      <c r="AA3230" s="191"/>
      <c r="AB3230" s="191"/>
      <c r="AC3230" s="191"/>
      <c r="AD3230" s="16"/>
      <c r="AE3230" s="16"/>
      <c r="AF3230" s="16"/>
      <c r="AG3230" s="16"/>
      <c r="AH3230" s="16"/>
      <c r="AI3230" s="16"/>
      <c r="AJ3230" s="16"/>
      <c r="AK3230" s="16"/>
      <c r="AL3230" s="16"/>
      <c r="AM3230" s="16"/>
      <c r="AN3230" s="16"/>
      <c r="AO3230" s="16"/>
      <c r="AP3230" s="16"/>
      <c r="AQ3230" s="16"/>
      <c r="AR3230" s="16"/>
      <c r="AS3230" s="16"/>
    </row>
    <row r="3231" spans="18:45" x14ac:dyDescent="0.35">
      <c r="R3231" s="191"/>
      <c r="S3231" s="191"/>
      <c r="T3231" s="193"/>
      <c r="U3231" s="191"/>
      <c r="V3231" s="194"/>
      <c r="W3231" s="191"/>
      <c r="Y3231" s="191"/>
      <c r="Z3231" s="191"/>
      <c r="AA3231" s="191"/>
      <c r="AB3231" s="191"/>
      <c r="AC3231" s="191"/>
      <c r="AD3231" s="16"/>
      <c r="AE3231" s="16"/>
      <c r="AF3231" s="16"/>
      <c r="AG3231" s="16"/>
      <c r="AH3231" s="16"/>
      <c r="AI3231" s="16"/>
      <c r="AJ3231" s="16"/>
      <c r="AK3231" s="16"/>
      <c r="AL3231" s="16"/>
      <c r="AM3231" s="16"/>
      <c r="AN3231" s="16"/>
      <c r="AO3231" s="16"/>
      <c r="AP3231" s="16"/>
      <c r="AQ3231" s="16"/>
      <c r="AR3231" s="16"/>
      <c r="AS3231" s="16"/>
    </row>
    <row r="3232" spans="18:45" x14ac:dyDescent="0.35">
      <c r="R3232" s="191"/>
      <c r="S3232" s="191"/>
      <c r="T3232" s="193"/>
      <c r="U3232" s="191"/>
      <c r="V3232" s="194"/>
      <c r="W3232" s="191"/>
      <c r="Y3232" s="191"/>
      <c r="Z3232" s="191"/>
      <c r="AA3232" s="191"/>
      <c r="AB3232" s="191"/>
      <c r="AC3232" s="191"/>
      <c r="AD3232" s="16"/>
      <c r="AE3232" s="16"/>
      <c r="AF3232" s="16"/>
      <c r="AG3232" s="16"/>
      <c r="AH3232" s="16"/>
      <c r="AI3232" s="16"/>
      <c r="AJ3232" s="16"/>
      <c r="AK3232" s="16"/>
      <c r="AL3232" s="16"/>
      <c r="AM3232" s="16"/>
      <c r="AN3232" s="16"/>
      <c r="AO3232" s="16"/>
      <c r="AP3232" s="16"/>
      <c r="AQ3232" s="16"/>
      <c r="AR3232" s="16"/>
      <c r="AS3232" s="16"/>
    </row>
    <row r="3233" spans="18:45" x14ac:dyDescent="0.35">
      <c r="R3233" s="191"/>
      <c r="S3233" s="191"/>
      <c r="T3233" s="193"/>
      <c r="U3233" s="191"/>
      <c r="V3233" s="194"/>
      <c r="W3233" s="191"/>
      <c r="Y3233" s="191"/>
      <c r="Z3233" s="191"/>
      <c r="AA3233" s="191"/>
      <c r="AB3233" s="191"/>
      <c r="AC3233" s="191"/>
      <c r="AD3233" s="16"/>
      <c r="AE3233" s="16"/>
      <c r="AF3233" s="16"/>
      <c r="AG3233" s="16"/>
      <c r="AH3233" s="16"/>
      <c r="AI3233" s="16"/>
      <c r="AJ3233" s="16"/>
      <c r="AK3233" s="16"/>
      <c r="AL3233" s="16"/>
      <c r="AM3233" s="16"/>
      <c r="AN3233" s="16"/>
      <c r="AO3233" s="16"/>
      <c r="AP3233" s="16"/>
      <c r="AQ3233" s="16"/>
      <c r="AR3233" s="16"/>
      <c r="AS3233" s="16"/>
    </row>
    <row r="3234" spans="18:45" x14ac:dyDescent="0.35">
      <c r="R3234" s="191"/>
      <c r="S3234" s="191"/>
      <c r="T3234" s="193"/>
      <c r="U3234" s="191"/>
      <c r="V3234" s="194"/>
      <c r="W3234" s="191"/>
      <c r="Y3234" s="191"/>
      <c r="Z3234" s="191"/>
      <c r="AA3234" s="191"/>
      <c r="AB3234" s="191"/>
      <c r="AC3234" s="191"/>
      <c r="AD3234" s="16"/>
      <c r="AE3234" s="16"/>
      <c r="AF3234" s="16"/>
      <c r="AG3234" s="16"/>
      <c r="AH3234" s="16"/>
      <c r="AI3234" s="16"/>
      <c r="AJ3234" s="16"/>
      <c r="AK3234" s="16"/>
      <c r="AL3234" s="16"/>
      <c r="AM3234" s="16"/>
      <c r="AN3234" s="16"/>
      <c r="AO3234" s="16"/>
      <c r="AP3234" s="16"/>
      <c r="AQ3234" s="16"/>
      <c r="AR3234" s="16"/>
      <c r="AS3234" s="16"/>
    </row>
    <row r="3235" spans="18:45" x14ac:dyDescent="0.35">
      <c r="R3235" s="191"/>
      <c r="S3235" s="191"/>
      <c r="T3235" s="193"/>
      <c r="U3235" s="191"/>
      <c r="V3235" s="194"/>
      <c r="W3235" s="191"/>
      <c r="Y3235" s="191"/>
      <c r="Z3235" s="191"/>
      <c r="AA3235" s="191"/>
      <c r="AB3235" s="191"/>
      <c r="AC3235" s="191"/>
      <c r="AD3235" s="16"/>
      <c r="AE3235" s="16"/>
      <c r="AF3235" s="16"/>
      <c r="AG3235" s="16"/>
      <c r="AH3235" s="16"/>
      <c r="AI3235" s="16"/>
      <c r="AJ3235" s="16"/>
      <c r="AK3235" s="16"/>
      <c r="AL3235" s="16"/>
      <c r="AM3235" s="16"/>
      <c r="AN3235" s="16"/>
      <c r="AO3235" s="16"/>
      <c r="AP3235" s="16"/>
      <c r="AQ3235" s="16"/>
      <c r="AR3235" s="16"/>
      <c r="AS3235" s="16"/>
    </row>
    <row r="3236" spans="18:45" x14ac:dyDescent="0.35">
      <c r="R3236" s="191"/>
      <c r="S3236" s="191"/>
      <c r="T3236" s="193"/>
      <c r="U3236" s="191"/>
      <c r="V3236" s="194"/>
      <c r="W3236" s="191"/>
      <c r="Y3236" s="191"/>
      <c r="Z3236" s="191"/>
      <c r="AA3236" s="191"/>
      <c r="AB3236" s="191"/>
      <c r="AC3236" s="191"/>
      <c r="AD3236" s="16"/>
      <c r="AE3236" s="16"/>
      <c r="AF3236" s="16"/>
      <c r="AG3236" s="16"/>
      <c r="AH3236" s="16"/>
      <c r="AI3236" s="16"/>
      <c r="AJ3236" s="16"/>
      <c r="AK3236" s="16"/>
      <c r="AL3236" s="16"/>
      <c r="AM3236" s="16"/>
      <c r="AN3236" s="16"/>
      <c r="AO3236" s="16"/>
      <c r="AP3236" s="16"/>
      <c r="AQ3236" s="16"/>
      <c r="AR3236" s="16"/>
      <c r="AS3236" s="16"/>
    </row>
    <row r="3237" spans="18:45" x14ac:dyDescent="0.35">
      <c r="R3237" s="191"/>
      <c r="S3237" s="191"/>
      <c r="T3237" s="193"/>
      <c r="U3237" s="191"/>
      <c r="V3237" s="194"/>
      <c r="W3237" s="191"/>
      <c r="Y3237" s="191"/>
      <c r="Z3237" s="191"/>
      <c r="AA3237" s="191"/>
      <c r="AB3237" s="191"/>
      <c r="AC3237" s="191"/>
      <c r="AD3237" s="16"/>
      <c r="AE3237" s="16"/>
      <c r="AF3237" s="16"/>
      <c r="AG3237" s="16"/>
      <c r="AH3237" s="16"/>
      <c r="AI3237" s="16"/>
      <c r="AJ3237" s="16"/>
      <c r="AK3237" s="16"/>
      <c r="AL3237" s="16"/>
      <c r="AM3237" s="16"/>
      <c r="AN3237" s="16"/>
      <c r="AO3237" s="16"/>
      <c r="AP3237" s="16"/>
      <c r="AQ3237" s="16"/>
      <c r="AR3237" s="16"/>
      <c r="AS3237" s="16"/>
    </row>
    <row r="3238" spans="18:45" x14ac:dyDescent="0.35">
      <c r="R3238" s="191"/>
      <c r="S3238" s="191"/>
      <c r="T3238" s="193"/>
      <c r="U3238" s="191"/>
      <c r="V3238" s="194"/>
      <c r="W3238" s="191"/>
      <c r="Y3238" s="191"/>
      <c r="Z3238" s="191"/>
      <c r="AA3238" s="191"/>
      <c r="AB3238" s="191"/>
      <c r="AC3238" s="191"/>
      <c r="AD3238" s="16"/>
      <c r="AE3238" s="16"/>
      <c r="AF3238" s="16"/>
      <c r="AG3238" s="16"/>
      <c r="AH3238" s="16"/>
      <c r="AI3238" s="16"/>
      <c r="AJ3238" s="16"/>
      <c r="AK3238" s="16"/>
      <c r="AL3238" s="16"/>
      <c r="AM3238" s="16"/>
      <c r="AN3238" s="16"/>
      <c r="AO3238" s="16"/>
      <c r="AP3238" s="16"/>
      <c r="AQ3238" s="16"/>
      <c r="AR3238" s="16"/>
      <c r="AS3238" s="16"/>
    </row>
    <row r="3239" spans="18:45" x14ac:dyDescent="0.35">
      <c r="R3239" s="191"/>
      <c r="S3239" s="191"/>
      <c r="T3239" s="193"/>
      <c r="U3239" s="191"/>
      <c r="V3239" s="194"/>
      <c r="W3239" s="191"/>
      <c r="Y3239" s="191"/>
      <c r="Z3239" s="191"/>
      <c r="AA3239" s="191"/>
      <c r="AB3239" s="191"/>
      <c r="AC3239" s="191"/>
      <c r="AD3239" s="16"/>
      <c r="AE3239" s="16"/>
      <c r="AF3239" s="16"/>
      <c r="AG3239" s="16"/>
      <c r="AH3239" s="16"/>
      <c r="AI3239" s="16"/>
      <c r="AJ3239" s="16"/>
      <c r="AK3239" s="16"/>
      <c r="AL3239" s="16"/>
      <c r="AM3239" s="16"/>
      <c r="AN3239" s="16"/>
      <c r="AO3239" s="16"/>
      <c r="AP3239" s="16"/>
      <c r="AQ3239" s="16"/>
      <c r="AR3239" s="16"/>
      <c r="AS3239" s="16"/>
    </row>
    <row r="3240" spans="18:45" x14ac:dyDescent="0.35">
      <c r="R3240" s="191"/>
      <c r="S3240" s="191"/>
      <c r="T3240" s="193"/>
      <c r="U3240" s="191"/>
      <c r="V3240" s="194"/>
      <c r="W3240" s="191"/>
      <c r="Y3240" s="191"/>
      <c r="Z3240" s="191"/>
      <c r="AA3240" s="191"/>
      <c r="AB3240" s="191"/>
      <c r="AC3240" s="191"/>
      <c r="AD3240" s="16"/>
      <c r="AE3240" s="16"/>
      <c r="AF3240" s="16"/>
      <c r="AG3240" s="16"/>
      <c r="AH3240" s="16"/>
      <c r="AI3240" s="16"/>
      <c r="AJ3240" s="16"/>
      <c r="AK3240" s="16"/>
      <c r="AL3240" s="16"/>
      <c r="AM3240" s="16"/>
      <c r="AN3240" s="16"/>
      <c r="AO3240" s="16"/>
      <c r="AP3240" s="16"/>
      <c r="AQ3240" s="16"/>
      <c r="AR3240" s="16"/>
      <c r="AS3240" s="16"/>
    </row>
    <row r="3241" spans="18:45" x14ac:dyDescent="0.35">
      <c r="R3241" s="191"/>
      <c r="S3241" s="191"/>
      <c r="T3241" s="193"/>
      <c r="U3241" s="191"/>
      <c r="V3241" s="194"/>
      <c r="W3241" s="191"/>
      <c r="Y3241" s="191"/>
      <c r="Z3241" s="191"/>
      <c r="AA3241" s="191"/>
      <c r="AB3241" s="191"/>
      <c r="AC3241" s="191"/>
      <c r="AD3241" s="16"/>
      <c r="AE3241" s="16"/>
      <c r="AF3241" s="16"/>
      <c r="AG3241" s="16"/>
      <c r="AH3241" s="16"/>
      <c r="AI3241" s="16"/>
      <c r="AJ3241" s="16"/>
      <c r="AK3241" s="16"/>
      <c r="AL3241" s="16"/>
      <c r="AM3241" s="16"/>
      <c r="AN3241" s="16"/>
      <c r="AO3241" s="16"/>
      <c r="AP3241" s="16"/>
      <c r="AQ3241" s="16"/>
      <c r="AR3241" s="16"/>
      <c r="AS3241" s="16"/>
    </row>
    <row r="3242" spans="18:45" x14ac:dyDescent="0.35">
      <c r="R3242" s="191"/>
      <c r="S3242" s="191"/>
      <c r="T3242" s="193"/>
      <c r="U3242" s="191"/>
      <c r="V3242" s="194"/>
      <c r="W3242" s="191"/>
      <c r="Y3242" s="191"/>
      <c r="Z3242" s="191"/>
      <c r="AA3242" s="191"/>
      <c r="AB3242" s="191"/>
      <c r="AC3242" s="191"/>
      <c r="AD3242" s="16"/>
      <c r="AE3242" s="16"/>
      <c r="AF3242" s="16"/>
      <c r="AG3242" s="16"/>
      <c r="AH3242" s="16"/>
      <c r="AI3242" s="16"/>
      <c r="AJ3242" s="16"/>
      <c r="AK3242" s="16"/>
      <c r="AL3242" s="16"/>
      <c r="AM3242" s="16"/>
      <c r="AN3242" s="16"/>
      <c r="AO3242" s="16"/>
      <c r="AP3242" s="16"/>
      <c r="AQ3242" s="16"/>
      <c r="AR3242" s="16"/>
      <c r="AS3242" s="16"/>
    </row>
    <row r="3243" spans="18:45" x14ac:dyDescent="0.35">
      <c r="R3243" s="191"/>
      <c r="S3243" s="191"/>
      <c r="T3243" s="193"/>
      <c r="U3243" s="191"/>
      <c r="V3243" s="194"/>
      <c r="W3243" s="191"/>
      <c r="Y3243" s="191"/>
      <c r="Z3243" s="191"/>
      <c r="AA3243" s="191"/>
      <c r="AB3243" s="191"/>
      <c r="AC3243" s="191"/>
      <c r="AD3243" s="16"/>
      <c r="AE3243" s="16"/>
      <c r="AF3243" s="16"/>
      <c r="AG3243" s="16"/>
      <c r="AH3243" s="16"/>
      <c r="AI3243" s="16"/>
      <c r="AJ3243" s="16"/>
      <c r="AK3243" s="16"/>
      <c r="AL3243" s="16"/>
      <c r="AM3243" s="16"/>
      <c r="AN3243" s="16"/>
      <c r="AO3243" s="16"/>
      <c r="AP3243" s="16"/>
      <c r="AQ3243" s="16"/>
      <c r="AR3243" s="16"/>
      <c r="AS3243" s="16"/>
    </row>
    <row r="3244" spans="18:45" x14ac:dyDescent="0.35">
      <c r="R3244" s="191"/>
      <c r="S3244" s="191"/>
      <c r="T3244" s="193"/>
      <c r="U3244" s="191"/>
      <c r="V3244" s="194"/>
      <c r="W3244" s="191"/>
      <c r="Y3244" s="191"/>
      <c r="Z3244" s="191"/>
      <c r="AA3244" s="191"/>
      <c r="AB3244" s="191"/>
      <c r="AC3244" s="191"/>
      <c r="AD3244" s="16"/>
      <c r="AE3244" s="16"/>
      <c r="AF3244" s="16"/>
      <c r="AG3244" s="16"/>
      <c r="AH3244" s="16"/>
      <c r="AI3244" s="16"/>
      <c r="AJ3244" s="16"/>
      <c r="AK3244" s="16"/>
      <c r="AL3244" s="16"/>
      <c r="AM3244" s="16"/>
      <c r="AN3244" s="16"/>
      <c r="AO3244" s="16"/>
      <c r="AP3244" s="16"/>
      <c r="AQ3244" s="16"/>
      <c r="AR3244" s="16"/>
      <c r="AS3244" s="16"/>
    </row>
    <row r="3245" spans="18:45" x14ac:dyDescent="0.35">
      <c r="R3245" s="191"/>
      <c r="S3245" s="191"/>
      <c r="T3245" s="193"/>
      <c r="U3245" s="191"/>
      <c r="V3245" s="194"/>
      <c r="W3245" s="191"/>
      <c r="Y3245" s="191"/>
      <c r="Z3245" s="191"/>
      <c r="AA3245" s="191"/>
      <c r="AB3245" s="191"/>
      <c r="AC3245" s="191"/>
      <c r="AD3245" s="16"/>
      <c r="AE3245" s="16"/>
      <c r="AF3245" s="16"/>
      <c r="AG3245" s="16"/>
      <c r="AH3245" s="16"/>
      <c r="AI3245" s="16"/>
      <c r="AJ3245" s="16"/>
      <c r="AK3245" s="16"/>
      <c r="AL3245" s="16"/>
      <c r="AM3245" s="16"/>
      <c r="AN3245" s="16"/>
      <c r="AO3245" s="16"/>
      <c r="AP3245" s="16"/>
      <c r="AQ3245" s="16"/>
      <c r="AR3245" s="16"/>
      <c r="AS3245" s="16"/>
    </row>
    <row r="3246" spans="18:45" x14ac:dyDescent="0.35">
      <c r="R3246" s="191"/>
      <c r="S3246" s="191"/>
      <c r="T3246" s="193"/>
      <c r="U3246" s="191"/>
      <c r="V3246" s="194"/>
      <c r="W3246" s="191"/>
      <c r="Y3246" s="191"/>
      <c r="Z3246" s="191"/>
      <c r="AA3246" s="191"/>
      <c r="AB3246" s="191"/>
      <c r="AC3246" s="191"/>
      <c r="AD3246" s="16"/>
      <c r="AE3246" s="16"/>
      <c r="AF3246" s="16"/>
      <c r="AG3246" s="16"/>
      <c r="AH3246" s="16"/>
      <c r="AI3246" s="16"/>
      <c r="AJ3246" s="16"/>
      <c r="AK3246" s="16"/>
      <c r="AL3246" s="16"/>
      <c r="AM3246" s="16"/>
      <c r="AN3246" s="16"/>
      <c r="AO3246" s="16"/>
      <c r="AP3246" s="16"/>
      <c r="AQ3246" s="16"/>
      <c r="AR3246" s="16"/>
      <c r="AS3246" s="16"/>
    </row>
    <row r="3247" spans="18:45" x14ac:dyDescent="0.35">
      <c r="R3247" s="191"/>
      <c r="S3247" s="191"/>
      <c r="T3247" s="193"/>
      <c r="U3247" s="191"/>
      <c r="V3247" s="194"/>
      <c r="W3247" s="191"/>
      <c r="Y3247" s="191"/>
      <c r="Z3247" s="191"/>
      <c r="AA3247" s="191"/>
      <c r="AB3247" s="191"/>
      <c r="AC3247" s="191"/>
      <c r="AD3247" s="16"/>
      <c r="AE3247" s="16"/>
      <c r="AF3247" s="16"/>
      <c r="AG3247" s="16"/>
      <c r="AH3247" s="16"/>
      <c r="AI3247" s="16"/>
      <c r="AJ3247" s="16"/>
      <c r="AK3247" s="16"/>
      <c r="AL3247" s="16"/>
      <c r="AM3247" s="16"/>
      <c r="AN3247" s="16"/>
      <c r="AO3247" s="16"/>
      <c r="AP3247" s="16"/>
      <c r="AQ3247" s="16"/>
      <c r="AR3247" s="16"/>
      <c r="AS3247" s="16"/>
    </row>
    <row r="3248" spans="18:45" x14ac:dyDescent="0.35">
      <c r="R3248" s="191"/>
      <c r="S3248" s="191"/>
      <c r="T3248" s="193"/>
      <c r="U3248" s="191"/>
      <c r="V3248" s="194"/>
      <c r="W3248" s="191"/>
      <c r="Y3248" s="191"/>
      <c r="Z3248" s="191"/>
      <c r="AA3248" s="191"/>
      <c r="AB3248" s="191"/>
      <c r="AC3248" s="191"/>
      <c r="AD3248" s="16"/>
      <c r="AE3248" s="16"/>
      <c r="AF3248" s="16"/>
      <c r="AG3248" s="16"/>
      <c r="AH3248" s="16"/>
      <c r="AI3248" s="16"/>
      <c r="AJ3248" s="16"/>
      <c r="AK3248" s="16"/>
      <c r="AL3248" s="16"/>
      <c r="AM3248" s="16"/>
      <c r="AN3248" s="16"/>
      <c r="AO3248" s="16"/>
      <c r="AP3248" s="16"/>
      <c r="AQ3248" s="16"/>
      <c r="AR3248" s="16"/>
      <c r="AS3248" s="16"/>
    </row>
    <row r="3249" spans="18:45" x14ac:dyDescent="0.35">
      <c r="R3249" s="191"/>
      <c r="S3249" s="191"/>
      <c r="T3249" s="193"/>
      <c r="U3249" s="191"/>
      <c r="V3249" s="194"/>
      <c r="W3249" s="191"/>
      <c r="Y3249" s="191"/>
      <c r="Z3249" s="191"/>
      <c r="AA3249" s="191"/>
      <c r="AB3249" s="191"/>
      <c r="AC3249" s="191"/>
      <c r="AD3249" s="16"/>
      <c r="AE3249" s="16"/>
      <c r="AF3249" s="16"/>
      <c r="AG3249" s="16"/>
      <c r="AH3249" s="16"/>
      <c r="AI3249" s="16"/>
      <c r="AJ3249" s="16"/>
      <c r="AK3249" s="16"/>
      <c r="AL3249" s="16"/>
      <c r="AM3249" s="16"/>
      <c r="AN3249" s="16"/>
      <c r="AO3249" s="16"/>
      <c r="AP3249" s="16"/>
      <c r="AQ3249" s="16"/>
      <c r="AR3249" s="16"/>
      <c r="AS3249" s="16"/>
    </row>
    <row r="3250" spans="18:45" x14ac:dyDescent="0.35">
      <c r="R3250" s="191"/>
      <c r="S3250" s="191"/>
      <c r="T3250" s="193"/>
      <c r="U3250" s="191"/>
      <c r="V3250" s="194"/>
      <c r="W3250" s="191"/>
      <c r="Y3250" s="191"/>
      <c r="Z3250" s="191"/>
      <c r="AA3250" s="191"/>
      <c r="AB3250" s="191"/>
      <c r="AC3250" s="191"/>
      <c r="AD3250" s="16"/>
      <c r="AE3250" s="16"/>
      <c r="AF3250" s="16"/>
      <c r="AG3250" s="16"/>
      <c r="AH3250" s="16"/>
      <c r="AI3250" s="16"/>
      <c r="AJ3250" s="16"/>
      <c r="AK3250" s="16"/>
      <c r="AL3250" s="16"/>
      <c r="AM3250" s="16"/>
      <c r="AN3250" s="16"/>
      <c r="AO3250" s="16"/>
      <c r="AP3250" s="16"/>
      <c r="AQ3250" s="16"/>
      <c r="AR3250" s="16"/>
      <c r="AS3250" s="16"/>
    </row>
    <row r="3251" spans="18:45" x14ac:dyDescent="0.35">
      <c r="R3251" s="191"/>
      <c r="S3251" s="191"/>
      <c r="T3251" s="193"/>
      <c r="U3251" s="191"/>
      <c r="V3251" s="194"/>
      <c r="W3251" s="191"/>
      <c r="Y3251" s="191"/>
      <c r="Z3251" s="191"/>
      <c r="AA3251" s="191"/>
      <c r="AB3251" s="191"/>
      <c r="AC3251" s="191"/>
      <c r="AD3251" s="16"/>
      <c r="AE3251" s="16"/>
      <c r="AF3251" s="16"/>
      <c r="AG3251" s="16"/>
      <c r="AH3251" s="16"/>
      <c r="AI3251" s="16"/>
      <c r="AJ3251" s="16"/>
      <c r="AK3251" s="16"/>
      <c r="AL3251" s="16"/>
      <c r="AM3251" s="16"/>
      <c r="AN3251" s="16"/>
      <c r="AO3251" s="16"/>
      <c r="AP3251" s="16"/>
      <c r="AQ3251" s="16"/>
      <c r="AR3251" s="16"/>
      <c r="AS3251" s="16"/>
    </row>
    <row r="3252" spans="18:45" x14ac:dyDescent="0.35">
      <c r="R3252" s="191"/>
      <c r="S3252" s="191"/>
      <c r="T3252" s="193"/>
      <c r="U3252" s="191"/>
      <c r="V3252" s="194"/>
      <c r="W3252" s="191"/>
      <c r="Y3252" s="191"/>
      <c r="Z3252" s="191"/>
      <c r="AA3252" s="191"/>
      <c r="AB3252" s="191"/>
      <c r="AC3252" s="191"/>
      <c r="AD3252" s="16"/>
      <c r="AE3252" s="16"/>
      <c r="AF3252" s="16"/>
      <c r="AG3252" s="16"/>
      <c r="AH3252" s="16"/>
      <c r="AI3252" s="16"/>
      <c r="AJ3252" s="16"/>
      <c r="AK3252" s="16"/>
      <c r="AL3252" s="16"/>
      <c r="AM3252" s="16"/>
      <c r="AN3252" s="16"/>
      <c r="AO3252" s="16"/>
      <c r="AP3252" s="16"/>
      <c r="AQ3252" s="16"/>
      <c r="AR3252" s="16"/>
      <c r="AS3252" s="16"/>
    </row>
    <row r="3253" spans="18:45" x14ac:dyDescent="0.35">
      <c r="R3253" s="191"/>
      <c r="S3253" s="191"/>
      <c r="T3253" s="193"/>
      <c r="U3253" s="191"/>
      <c r="V3253" s="194"/>
      <c r="W3253" s="191"/>
      <c r="Y3253" s="191"/>
      <c r="Z3253" s="191"/>
      <c r="AA3253" s="191"/>
      <c r="AB3253" s="191"/>
      <c r="AC3253" s="191"/>
      <c r="AD3253" s="16"/>
      <c r="AE3253" s="16"/>
      <c r="AF3253" s="16"/>
      <c r="AG3253" s="16"/>
      <c r="AH3253" s="16"/>
      <c r="AI3253" s="16"/>
      <c r="AJ3253" s="16"/>
      <c r="AK3253" s="16"/>
      <c r="AL3253" s="16"/>
      <c r="AM3253" s="16"/>
      <c r="AN3253" s="16"/>
      <c r="AO3253" s="16"/>
      <c r="AP3253" s="16"/>
      <c r="AQ3253" s="16"/>
      <c r="AR3253" s="16"/>
      <c r="AS3253" s="16"/>
    </row>
    <row r="3254" spans="18:45" x14ac:dyDescent="0.35">
      <c r="R3254" s="191"/>
      <c r="S3254" s="191"/>
      <c r="T3254" s="193"/>
      <c r="U3254" s="191"/>
      <c r="V3254" s="194"/>
      <c r="W3254" s="191"/>
      <c r="Y3254" s="191"/>
      <c r="Z3254" s="191"/>
      <c r="AA3254" s="191"/>
      <c r="AB3254" s="191"/>
      <c r="AC3254" s="191"/>
      <c r="AD3254" s="16"/>
      <c r="AE3254" s="16"/>
      <c r="AF3254" s="16"/>
      <c r="AG3254" s="16"/>
      <c r="AH3254" s="16"/>
      <c r="AI3254" s="16"/>
      <c r="AJ3254" s="16"/>
      <c r="AK3254" s="16"/>
      <c r="AL3254" s="16"/>
      <c r="AM3254" s="16"/>
      <c r="AN3254" s="16"/>
      <c r="AO3254" s="16"/>
      <c r="AP3254" s="16"/>
      <c r="AQ3254" s="16"/>
      <c r="AR3254" s="16"/>
      <c r="AS3254" s="16"/>
    </row>
    <row r="3255" spans="18:45" x14ac:dyDescent="0.35">
      <c r="R3255" s="191"/>
      <c r="S3255" s="191"/>
      <c r="T3255" s="193"/>
      <c r="U3255" s="191"/>
      <c r="V3255" s="194"/>
      <c r="W3255" s="191"/>
      <c r="Y3255" s="191"/>
      <c r="Z3255" s="191"/>
      <c r="AA3255" s="191"/>
      <c r="AB3255" s="191"/>
      <c r="AC3255" s="191"/>
      <c r="AD3255" s="16"/>
      <c r="AE3255" s="16"/>
      <c r="AF3255" s="16"/>
      <c r="AG3255" s="16"/>
      <c r="AH3255" s="16"/>
      <c r="AI3255" s="16"/>
      <c r="AJ3255" s="16"/>
      <c r="AK3255" s="16"/>
      <c r="AL3255" s="16"/>
      <c r="AM3255" s="16"/>
      <c r="AN3255" s="16"/>
      <c r="AO3255" s="16"/>
      <c r="AP3255" s="16"/>
      <c r="AQ3255" s="16"/>
      <c r="AR3255" s="16"/>
      <c r="AS3255" s="16"/>
    </row>
    <row r="3256" spans="18:45" x14ac:dyDescent="0.35">
      <c r="R3256" s="191"/>
      <c r="S3256" s="191"/>
      <c r="T3256" s="193"/>
      <c r="U3256" s="191"/>
      <c r="V3256" s="194"/>
      <c r="W3256" s="191"/>
      <c r="Y3256" s="191"/>
      <c r="Z3256" s="191"/>
      <c r="AA3256" s="191"/>
      <c r="AB3256" s="191"/>
      <c r="AC3256" s="191"/>
      <c r="AD3256" s="16"/>
      <c r="AE3256" s="16"/>
      <c r="AF3256" s="16"/>
      <c r="AG3256" s="16"/>
      <c r="AH3256" s="16"/>
      <c r="AI3256" s="16"/>
      <c r="AJ3256" s="16"/>
      <c r="AK3256" s="16"/>
      <c r="AL3256" s="16"/>
      <c r="AM3256" s="16"/>
      <c r="AN3256" s="16"/>
      <c r="AO3256" s="16"/>
      <c r="AP3256" s="16"/>
      <c r="AQ3256" s="16"/>
      <c r="AR3256" s="16"/>
      <c r="AS3256" s="16"/>
    </row>
    <row r="3257" spans="18:45" x14ac:dyDescent="0.35">
      <c r="R3257" s="191"/>
      <c r="S3257" s="191"/>
      <c r="T3257" s="193"/>
      <c r="U3257" s="191"/>
      <c r="V3257" s="194"/>
      <c r="W3257" s="191"/>
      <c r="Y3257" s="191"/>
      <c r="Z3257" s="191"/>
      <c r="AA3257" s="191"/>
      <c r="AB3257" s="191"/>
      <c r="AC3257" s="191"/>
      <c r="AD3257" s="16"/>
      <c r="AE3257" s="16"/>
      <c r="AF3257" s="16"/>
      <c r="AG3257" s="16"/>
      <c r="AH3257" s="16"/>
      <c r="AI3257" s="16"/>
      <c r="AJ3257" s="16"/>
      <c r="AK3257" s="16"/>
      <c r="AL3257" s="16"/>
      <c r="AM3257" s="16"/>
      <c r="AN3257" s="16"/>
      <c r="AO3257" s="16"/>
      <c r="AP3257" s="16"/>
      <c r="AQ3257" s="16"/>
      <c r="AR3257" s="16"/>
      <c r="AS3257" s="16"/>
    </row>
    <row r="3258" spans="18:45" x14ac:dyDescent="0.35">
      <c r="R3258" s="191"/>
      <c r="S3258" s="191"/>
      <c r="T3258" s="193"/>
      <c r="U3258" s="191"/>
      <c r="V3258" s="194"/>
      <c r="W3258" s="191"/>
      <c r="Y3258" s="191"/>
      <c r="Z3258" s="191"/>
      <c r="AA3258" s="191"/>
      <c r="AB3258" s="191"/>
      <c r="AC3258" s="191"/>
      <c r="AD3258" s="16"/>
      <c r="AE3258" s="16"/>
      <c r="AF3258" s="16"/>
      <c r="AG3258" s="16"/>
      <c r="AH3258" s="16"/>
      <c r="AI3258" s="16"/>
      <c r="AJ3258" s="16"/>
      <c r="AK3258" s="16"/>
      <c r="AL3258" s="16"/>
      <c r="AM3258" s="16"/>
      <c r="AN3258" s="16"/>
      <c r="AO3258" s="16"/>
      <c r="AP3258" s="16"/>
      <c r="AQ3258" s="16"/>
      <c r="AR3258" s="16"/>
      <c r="AS3258" s="16"/>
    </row>
    <row r="3259" spans="18:45" x14ac:dyDescent="0.35">
      <c r="R3259" s="191"/>
      <c r="S3259" s="191"/>
      <c r="T3259" s="193"/>
      <c r="U3259" s="191"/>
      <c r="V3259" s="194"/>
      <c r="W3259" s="191"/>
      <c r="Y3259" s="191"/>
      <c r="Z3259" s="191"/>
      <c r="AA3259" s="191"/>
      <c r="AB3259" s="191"/>
      <c r="AC3259" s="191"/>
      <c r="AD3259" s="16"/>
      <c r="AE3259" s="16"/>
      <c r="AF3259" s="16"/>
      <c r="AG3259" s="16"/>
      <c r="AH3259" s="16"/>
      <c r="AI3259" s="16"/>
      <c r="AJ3259" s="16"/>
      <c r="AK3259" s="16"/>
      <c r="AL3259" s="16"/>
      <c r="AM3259" s="16"/>
      <c r="AN3259" s="16"/>
      <c r="AO3259" s="16"/>
      <c r="AP3259" s="16"/>
      <c r="AQ3259" s="16"/>
      <c r="AR3259" s="16"/>
      <c r="AS3259" s="16"/>
    </row>
    <row r="3260" spans="18:45" x14ac:dyDescent="0.35">
      <c r="R3260" s="191"/>
      <c r="S3260" s="191"/>
      <c r="T3260" s="193"/>
      <c r="U3260" s="191"/>
      <c r="V3260" s="194"/>
      <c r="W3260" s="191"/>
      <c r="Y3260" s="191"/>
      <c r="Z3260" s="191"/>
      <c r="AA3260" s="191"/>
      <c r="AB3260" s="191"/>
      <c r="AC3260" s="191"/>
      <c r="AD3260" s="16"/>
      <c r="AE3260" s="16"/>
      <c r="AF3260" s="16"/>
      <c r="AG3260" s="16"/>
      <c r="AH3260" s="16"/>
      <c r="AI3260" s="16"/>
      <c r="AJ3260" s="16"/>
      <c r="AK3260" s="16"/>
      <c r="AL3260" s="16"/>
      <c r="AM3260" s="16"/>
      <c r="AN3260" s="16"/>
      <c r="AO3260" s="16"/>
      <c r="AP3260" s="16"/>
      <c r="AQ3260" s="16"/>
      <c r="AR3260" s="16"/>
      <c r="AS3260" s="16"/>
    </row>
    <row r="3261" spans="18:45" x14ac:dyDescent="0.35">
      <c r="R3261" s="191"/>
      <c r="S3261" s="191"/>
      <c r="T3261" s="193"/>
      <c r="U3261" s="191"/>
      <c r="V3261" s="194"/>
      <c r="W3261" s="191"/>
      <c r="Y3261" s="191"/>
      <c r="Z3261" s="191"/>
      <c r="AA3261" s="191"/>
      <c r="AB3261" s="191"/>
      <c r="AC3261" s="191"/>
      <c r="AD3261" s="16"/>
      <c r="AE3261" s="16"/>
      <c r="AF3261" s="16"/>
      <c r="AG3261" s="16"/>
      <c r="AH3261" s="16"/>
      <c r="AI3261" s="16"/>
      <c r="AJ3261" s="16"/>
      <c r="AK3261" s="16"/>
      <c r="AL3261" s="16"/>
      <c r="AM3261" s="16"/>
      <c r="AN3261" s="16"/>
      <c r="AO3261" s="16"/>
      <c r="AP3261" s="16"/>
      <c r="AQ3261" s="16"/>
      <c r="AR3261" s="16"/>
      <c r="AS3261" s="16"/>
    </row>
    <row r="3262" spans="18:45" x14ac:dyDescent="0.35">
      <c r="R3262" s="191"/>
      <c r="S3262" s="191"/>
      <c r="T3262" s="193"/>
      <c r="U3262" s="191"/>
      <c r="V3262" s="194"/>
      <c r="W3262" s="191"/>
      <c r="Y3262" s="191"/>
      <c r="Z3262" s="191"/>
      <c r="AA3262" s="191"/>
      <c r="AB3262" s="191"/>
      <c r="AC3262" s="191"/>
      <c r="AD3262" s="16"/>
      <c r="AE3262" s="16"/>
      <c r="AF3262" s="16"/>
      <c r="AG3262" s="16"/>
      <c r="AH3262" s="16"/>
      <c r="AI3262" s="16"/>
      <c r="AJ3262" s="16"/>
      <c r="AK3262" s="16"/>
      <c r="AL3262" s="16"/>
      <c r="AM3262" s="16"/>
      <c r="AN3262" s="16"/>
      <c r="AO3262" s="16"/>
      <c r="AP3262" s="16"/>
      <c r="AQ3262" s="16"/>
      <c r="AR3262" s="16"/>
      <c r="AS3262" s="16"/>
    </row>
    <row r="3263" spans="18:45" x14ac:dyDescent="0.35">
      <c r="R3263" s="191"/>
      <c r="S3263" s="191"/>
      <c r="T3263" s="193"/>
      <c r="U3263" s="191"/>
      <c r="V3263" s="194"/>
      <c r="W3263" s="191"/>
      <c r="Y3263" s="191"/>
      <c r="Z3263" s="191"/>
      <c r="AA3263" s="191"/>
      <c r="AB3263" s="191"/>
      <c r="AC3263" s="191"/>
      <c r="AD3263" s="16"/>
      <c r="AE3263" s="16"/>
      <c r="AF3263" s="16"/>
      <c r="AG3263" s="16"/>
      <c r="AH3263" s="16"/>
      <c r="AI3263" s="16"/>
      <c r="AJ3263" s="16"/>
      <c r="AK3263" s="16"/>
      <c r="AL3263" s="16"/>
      <c r="AM3263" s="16"/>
      <c r="AN3263" s="16"/>
      <c r="AO3263" s="16"/>
      <c r="AP3263" s="16"/>
      <c r="AQ3263" s="16"/>
      <c r="AR3263" s="16"/>
      <c r="AS3263" s="16"/>
    </row>
    <row r="3264" spans="18:45" x14ac:dyDescent="0.35">
      <c r="R3264" s="191"/>
      <c r="S3264" s="191"/>
      <c r="T3264" s="193"/>
      <c r="U3264" s="191"/>
      <c r="V3264" s="194"/>
      <c r="W3264" s="191"/>
      <c r="Y3264" s="191"/>
      <c r="Z3264" s="191"/>
      <c r="AA3264" s="191"/>
      <c r="AB3264" s="191"/>
      <c r="AC3264" s="191"/>
      <c r="AD3264" s="16"/>
      <c r="AE3264" s="16"/>
      <c r="AF3264" s="16"/>
      <c r="AG3264" s="16"/>
      <c r="AH3264" s="16"/>
      <c r="AI3264" s="16"/>
      <c r="AJ3264" s="16"/>
      <c r="AK3264" s="16"/>
      <c r="AL3264" s="16"/>
      <c r="AM3264" s="16"/>
      <c r="AN3264" s="16"/>
      <c r="AO3264" s="16"/>
      <c r="AP3264" s="16"/>
      <c r="AQ3264" s="16"/>
      <c r="AR3264" s="16"/>
      <c r="AS3264" s="16"/>
    </row>
    <row r="3265" spans="18:45" x14ac:dyDescent="0.35">
      <c r="R3265" s="191"/>
      <c r="S3265" s="191"/>
      <c r="T3265" s="193"/>
      <c r="U3265" s="191"/>
      <c r="V3265" s="194"/>
      <c r="W3265" s="191"/>
      <c r="Y3265" s="191"/>
      <c r="Z3265" s="191"/>
      <c r="AA3265" s="191"/>
      <c r="AB3265" s="191"/>
      <c r="AC3265" s="191"/>
      <c r="AD3265" s="16"/>
      <c r="AE3265" s="16"/>
      <c r="AF3265" s="16"/>
      <c r="AG3265" s="16"/>
      <c r="AH3265" s="16"/>
      <c r="AI3265" s="16"/>
      <c r="AJ3265" s="16"/>
      <c r="AK3265" s="16"/>
      <c r="AL3265" s="16"/>
      <c r="AM3265" s="16"/>
      <c r="AN3265" s="16"/>
      <c r="AO3265" s="16"/>
      <c r="AP3265" s="16"/>
      <c r="AQ3265" s="16"/>
      <c r="AR3265" s="16"/>
      <c r="AS3265" s="16"/>
    </row>
    <row r="3266" spans="18:45" x14ac:dyDescent="0.35">
      <c r="R3266" s="191"/>
      <c r="S3266" s="191"/>
      <c r="T3266" s="193"/>
      <c r="U3266" s="191"/>
      <c r="V3266" s="194"/>
      <c r="W3266" s="191"/>
      <c r="Y3266" s="191"/>
      <c r="Z3266" s="191"/>
      <c r="AA3266" s="191"/>
      <c r="AB3266" s="191"/>
      <c r="AC3266" s="191"/>
      <c r="AD3266" s="16"/>
      <c r="AE3266" s="16"/>
      <c r="AF3266" s="16"/>
      <c r="AG3266" s="16"/>
      <c r="AH3266" s="16"/>
      <c r="AI3266" s="16"/>
      <c r="AJ3266" s="16"/>
      <c r="AK3266" s="16"/>
      <c r="AL3266" s="16"/>
      <c r="AM3266" s="16"/>
      <c r="AN3266" s="16"/>
      <c r="AO3266" s="16"/>
      <c r="AP3266" s="16"/>
      <c r="AQ3266" s="16"/>
      <c r="AR3266" s="16"/>
      <c r="AS3266" s="16"/>
    </row>
    <row r="3267" spans="18:45" x14ac:dyDescent="0.35">
      <c r="R3267" s="191"/>
      <c r="S3267" s="191"/>
      <c r="T3267" s="193"/>
      <c r="U3267" s="191"/>
      <c r="V3267" s="194"/>
      <c r="W3267" s="191"/>
      <c r="Y3267" s="191"/>
      <c r="Z3267" s="191"/>
      <c r="AA3267" s="191"/>
      <c r="AB3267" s="191"/>
      <c r="AC3267" s="191"/>
      <c r="AD3267" s="16"/>
      <c r="AE3267" s="16"/>
      <c r="AF3267" s="16"/>
      <c r="AG3267" s="16"/>
      <c r="AH3267" s="16"/>
      <c r="AI3267" s="16"/>
      <c r="AJ3267" s="16"/>
      <c r="AK3267" s="16"/>
      <c r="AL3267" s="16"/>
      <c r="AM3267" s="16"/>
      <c r="AN3267" s="16"/>
      <c r="AO3267" s="16"/>
      <c r="AP3267" s="16"/>
      <c r="AQ3267" s="16"/>
      <c r="AR3267" s="16"/>
      <c r="AS3267" s="16"/>
    </row>
    <row r="3268" spans="18:45" x14ac:dyDescent="0.35">
      <c r="R3268" s="191"/>
      <c r="S3268" s="191"/>
      <c r="T3268" s="193"/>
      <c r="U3268" s="191"/>
      <c r="V3268" s="194"/>
      <c r="W3268" s="191"/>
      <c r="Y3268" s="191"/>
      <c r="Z3268" s="191"/>
      <c r="AA3268" s="191"/>
      <c r="AB3268" s="191"/>
      <c r="AC3268" s="191"/>
      <c r="AD3268" s="16"/>
      <c r="AE3268" s="16"/>
      <c r="AF3268" s="16"/>
      <c r="AG3268" s="16"/>
      <c r="AH3268" s="16"/>
      <c r="AI3268" s="16"/>
      <c r="AJ3268" s="16"/>
      <c r="AK3268" s="16"/>
      <c r="AL3268" s="16"/>
      <c r="AM3268" s="16"/>
      <c r="AN3268" s="16"/>
      <c r="AO3268" s="16"/>
      <c r="AP3268" s="16"/>
      <c r="AQ3268" s="16"/>
      <c r="AR3268" s="16"/>
      <c r="AS3268" s="16"/>
    </row>
    <row r="3269" spans="18:45" x14ac:dyDescent="0.35">
      <c r="R3269" s="191"/>
      <c r="S3269" s="191"/>
      <c r="T3269" s="193"/>
      <c r="U3269" s="191"/>
      <c r="V3269" s="194"/>
      <c r="W3269" s="191"/>
      <c r="Y3269" s="191"/>
      <c r="Z3269" s="191"/>
      <c r="AA3269" s="191"/>
      <c r="AB3269" s="191"/>
      <c r="AC3269" s="191"/>
      <c r="AD3269" s="16"/>
      <c r="AE3269" s="16"/>
      <c r="AF3269" s="16"/>
      <c r="AG3269" s="16"/>
      <c r="AH3269" s="16"/>
      <c r="AI3269" s="16"/>
      <c r="AJ3269" s="16"/>
      <c r="AK3269" s="16"/>
      <c r="AL3269" s="16"/>
      <c r="AM3269" s="16"/>
      <c r="AN3269" s="16"/>
      <c r="AO3269" s="16"/>
      <c r="AP3269" s="16"/>
      <c r="AQ3269" s="16"/>
      <c r="AR3269" s="16"/>
      <c r="AS3269" s="16"/>
    </row>
    <row r="3270" spans="18:45" x14ac:dyDescent="0.35">
      <c r="R3270" s="191"/>
      <c r="S3270" s="191"/>
      <c r="T3270" s="193"/>
      <c r="U3270" s="191"/>
      <c r="V3270" s="194"/>
      <c r="W3270" s="191"/>
      <c r="Y3270" s="191"/>
      <c r="Z3270" s="191"/>
      <c r="AA3270" s="191"/>
      <c r="AB3270" s="191"/>
      <c r="AC3270" s="191"/>
      <c r="AD3270" s="16"/>
      <c r="AE3270" s="16"/>
      <c r="AF3270" s="16"/>
      <c r="AG3270" s="16"/>
      <c r="AH3270" s="16"/>
      <c r="AI3270" s="16"/>
      <c r="AJ3270" s="16"/>
      <c r="AK3270" s="16"/>
      <c r="AL3270" s="16"/>
      <c r="AM3270" s="16"/>
      <c r="AN3270" s="16"/>
      <c r="AO3270" s="16"/>
      <c r="AP3270" s="16"/>
      <c r="AQ3270" s="16"/>
      <c r="AR3270" s="16"/>
      <c r="AS3270" s="16"/>
    </row>
    <row r="3271" spans="18:45" x14ac:dyDescent="0.35">
      <c r="R3271" s="191"/>
      <c r="S3271" s="191"/>
      <c r="T3271" s="193"/>
      <c r="U3271" s="191"/>
      <c r="V3271" s="194"/>
      <c r="W3271" s="191"/>
      <c r="Y3271" s="191"/>
      <c r="Z3271" s="191"/>
      <c r="AA3271" s="191"/>
      <c r="AB3271" s="191"/>
      <c r="AC3271" s="191"/>
      <c r="AD3271" s="16"/>
      <c r="AE3271" s="16"/>
      <c r="AF3271" s="16"/>
      <c r="AG3271" s="16"/>
      <c r="AH3271" s="16"/>
      <c r="AI3271" s="16"/>
      <c r="AJ3271" s="16"/>
      <c r="AK3271" s="16"/>
      <c r="AL3271" s="16"/>
      <c r="AM3271" s="16"/>
      <c r="AN3271" s="16"/>
      <c r="AO3271" s="16"/>
      <c r="AP3271" s="16"/>
      <c r="AQ3271" s="16"/>
      <c r="AR3271" s="16"/>
      <c r="AS3271" s="16"/>
    </row>
    <row r="3272" spans="18:45" x14ac:dyDescent="0.35">
      <c r="R3272" s="191"/>
      <c r="S3272" s="191"/>
      <c r="T3272" s="193"/>
      <c r="U3272" s="191"/>
      <c r="V3272" s="194"/>
      <c r="W3272" s="191"/>
      <c r="Y3272" s="191"/>
      <c r="Z3272" s="191"/>
      <c r="AA3272" s="191"/>
      <c r="AB3272" s="191"/>
      <c r="AC3272" s="191"/>
      <c r="AD3272" s="16"/>
      <c r="AE3272" s="16"/>
      <c r="AF3272" s="16"/>
      <c r="AG3272" s="16"/>
      <c r="AH3272" s="16"/>
      <c r="AI3272" s="16"/>
      <c r="AJ3272" s="16"/>
      <c r="AK3272" s="16"/>
      <c r="AL3272" s="16"/>
      <c r="AM3272" s="16"/>
      <c r="AN3272" s="16"/>
      <c r="AO3272" s="16"/>
      <c r="AP3272" s="16"/>
      <c r="AQ3272" s="16"/>
      <c r="AR3272" s="16"/>
      <c r="AS3272" s="16"/>
    </row>
    <row r="3273" spans="18:45" x14ac:dyDescent="0.35">
      <c r="R3273" s="191"/>
      <c r="S3273" s="191"/>
      <c r="T3273" s="193"/>
      <c r="U3273" s="191"/>
      <c r="V3273" s="194"/>
      <c r="W3273" s="191"/>
      <c r="Y3273" s="191"/>
      <c r="Z3273" s="191"/>
      <c r="AA3273" s="191"/>
      <c r="AB3273" s="191"/>
      <c r="AC3273" s="191"/>
      <c r="AD3273" s="16"/>
      <c r="AE3273" s="16"/>
      <c r="AF3273" s="16"/>
      <c r="AG3273" s="16"/>
      <c r="AH3273" s="16"/>
      <c r="AI3273" s="16"/>
      <c r="AJ3273" s="16"/>
      <c r="AK3273" s="16"/>
      <c r="AL3273" s="16"/>
      <c r="AM3273" s="16"/>
      <c r="AN3273" s="16"/>
      <c r="AO3273" s="16"/>
      <c r="AP3273" s="16"/>
      <c r="AQ3273" s="16"/>
      <c r="AR3273" s="16"/>
      <c r="AS3273" s="16"/>
    </row>
    <row r="3274" spans="18:45" x14ac:dyDescent="0.35">
      <c r="R3274" s="191"/>
      <c r="S3274" s="191"/>
      <c r="T3274" s="193"/>
      <c r="U3274" s="191"/>
      <c r="V3274" s="194"/>
      <c r="W3274" s="191"/>
      <c r="Y3274" s="191"/>
      <c r="Z3274" s="191"/>
      <c r="AA3274" s="191"/>
      <c r="AB3274" s="191"/>
      <c r="AC3274" s="191"/>
      <c r="AD3274" s="16"/>
      <c r="AE3274" s="16"/>
      <c r="AF3274" s="16"/>
      <c r="AG3274" s="16"/>
      <c r="AH3274" s="16"/>
      <c r="AI3274" s="16"/>
      <c r="AJ3274" s="16"/>
      <c r="AK3274" s="16"/>
      <c r="AL3274" s="16"/>
      <c r="AM3274" s="16"/>
      <c r="AN3274" s="16"/>
      <c r="AO3274" s="16"/>
      <c r="AP3274" s="16"/>
      <c r="AQ3274" s="16"/>
      <c r="AR3274" s="16"/>
      <c r="AS3274" s="16"/>
    </row>
    <row r="3275" spans="18:45" x14ac:dyDescent="0.35">
      <c r="R3275" s="191"/>
      <c r="S3275" s="191"/>
      <c r="T3275" s="193"/>
      <c r="U3275" s="191"/>
      <c r="V3275" s="194"/>
      <c r="W3275" s="191"/>
      <c r="Y3275" s="191"/>
      <c r="Z3275" s="191"/>
      <c r="AA3275" s="191"/>
      <c r="AB3275" s="191"/>
      <c r="AC3275" s="191"/>
      <c r="AD3275" s="16"/>
      <c r="AE3275" s="16"/>
      <c r="AF3275" s="16"/>
      <c r="AG3275" s="16"/>
      <c r="AH3275" s="16"/>
      <c r="AI3275" s="16"/>
      <c r="AJ3275" s="16"/>
      <c r="AK3275" s="16"/>
      <c r="AL3275" s="16"/>
      <c r="AM3275" s="16"/>
      <c r="AN3275" s="16"/>
      <c r="AO3275" s="16"/>
      <c r="AP3275" s="16"/>
      <c r="AQ3275" s="16"/>
      <c r="AR3275" s="16"/>
      <c r="AS3275" s="16"/>
    </row>
    <row r="3276" spans="18:45" x14ac:dyDescent="0.35">
      <c r="R3276" s="191"/>
      <c r="S3276" s="191"/>
      <c r="T3276" s="193"/>
      <c r="U3276" s="191"/>
      <c r="V3276" s="194"/>
      <c r="W3276" s="191"/>
      <c r="Y3276" s="191"/>
      <c r="Z3276" s="191"/>
      <c r="AA3276" s="191"/>
      <c r="AB3276" s="191"/>
      <c r="AC3276" s="191"/>
      <c r="AD3276" s="16"/>
      <c r="AE3276" s="16"/>
      <c r="AF3276" s="16"/>
      <c r="AG3276" s="16"/>
      <c r="AH3276" s="16"/>
      <c r="AI3276" s="16"/>
      <c r="AJ3276" s="16"/>
      <c r="AK3276" s="16"/>
      <c r="AL3276" s="16"/>
      <c r="AM3276" s="16"/>
      <c r="AN3276" s="16"/>
      <c r="AO3276" s="16"/>
      <c r="AP3276" s="16"/>
      <c r="AQ3276" s="16"/>
      <c r="AR3276" s="16"/>
      <c r="AS3276" s="16"/>
    </row>
    <row r="3277" spans="18:45" x14ac:dyDescent="0.35">
      <c r="R3277" s="191"/>
      <c r="S3277" s="191"/>
      <c r="T3277" s="193"/>
      <c r="U3277" s="191"/>
      <c r="V3277" s="194"/>
      <c r="W3277" s="191"/>
      <c r="Y3277" s="191"/>
      <c r="Z3277" s="191"/>
      <c r="AA3277" s="191"/>
      <c r="AB3277" s="191"/>
      <c r="AC3277" s="191"/>
      <c r="AD3277" s="16"/>
      <c r="AE3277" s="16"/>
      <c r="AF3277" s="16"/>
      <c r="AG3277" s="16"/>
      <c r="AH3277" s="16"/>
      <c r="AI3277" s="16"/>
      <c r="AJ3277" s="16"/>
      <c r="AK3277" s="16"/>
      <c r="AL3277" s="16"/>
      <c r="AM3277" s="16"/>
      <c r="AN3277" s="16"/>
      <c r="AO3277" s="16"/>
      <c r="AP3277" s="16"/>
      <c r="AQ3277" s="16"/>
      <c r="AR3277" s="16"/>
      <c r="AS3277" s="16"/>
    </row>
    <row r="3278" spans="18:45" x14ac:dyDescent="0.35">
      <c r="R3278" s="191"/>
      <c r="S3278" s="191"/>
      <c r="T3278" s="193"/>
      <c r="U3278" s="191"/>
      <c r="V3278" s="194"/>
      <c r="W3278" s="191"/>
      <c r="Y3278" s="191"/>
      <c r="Z3278" s="191"/>
      <c r="AA3278" s="191"/>
      <c r="AB3278" s="191"/>
      <c r="AC3278" s="191"/>
      <c r="AD3278" s="16"/>
      <c r="AE3278" s="16"/>
      <c r="AF3278" s="16"/>
      <c r="AG3278" s="16"/>
      <c r="AH3278" s="16"/>
      <c r="AI3278" s="16"/>
      <c r="AJ3278" s="16"/>
      <c r="AK3278" s="16"/>
      <c r="AL3278" s="16"/>
      <c r="AM3278" s="16"/>
      <c r="AN3278" s="16"/>
      <c r="AO3278" s="16"/>
      <c r="AP3278" s="16"/>
      <c r="AQ3278" s="16"/>
      <c r="AR3278" s="16"/>
      <c r="AS3278" s="16"/>
    </row>
    <row r="3279" spans="18:45" x14ac:dyDescent="0.35">
      <c r="R3279" s="191"/>
      <c r="S3279" s="191"/>
      <c r="T3279" s="193"/>
      <c r="U3279" s="191"/>
      <c r="V3279" s="194"/>
      <c r="W3279" s="191"/>
      <c r="Y3279" s="191"/>
      <c r="Z3279" s="191"/>
      <c r="AA3279" s="191"/>
      <c r="AB3279" s="191"/>
      <c r="AC3279" s="191"/>
      <c r="AD3279" s="16"/>
      <c r="AE3279" s="16"/>
      <c r="AF3279" s="16"/>
      <c r="AG3279" s="16"/>
      <c r="AH3279" s="16"/>
      <c r="AI3279" s="16"/>
      <c r="AJ3279" s="16"/>
      <c r="AK3279" s="16"/>
      <c r="AL3279" s="16"/>
      <c r="AM3279" s="16"/>
      <c r="AN3279" s="16"/>
      <c r="AO3279" s="16"/>
      <c r="AP3279" s="16"/>
      <c r="AQ3279" s="16"/>
      <c r="AR3279" s="16"/>
      <c r="AS3279" s="16"/>
    </row>
    <row r="3280" spans="18:45" x14ac:dyDescent="0.35">
      <c r="R3280" s="191"/>
      <c r="S3280" s="191"/>
      <c r="T3280" s="193"/>
      <c r="U3280" s="191"/>
      <c r="V3280" s="194"/>
      <c r="W3280" s="191"/>
      <c r="Y3280" s="191"/>
      <c r="Z3280" s="191"/>
      <c r="AA3280" s="191"/>
      <c r="AB3280" s="191"/>
      <c r="AC3280" s="191"/>
      <c r="AD3280" s="16"/>
      <c r="AE3280" s="16"/>
      <c r="AF3280" s="16"/>
      <c r="AG3280" s="16"/>
      <c r="AH3280" s="16"/>
      <c r="AI3280" s="16"/>
      <c r="AJ3280" s="16"/>
      <c r="AK3280" s="16"/>
      <c r="AL3280" s="16"/>
      <c r="AM3280" s="16"/>
      <c r="AN3280" s="16"/>
      <c r="AO3280" s="16"/>
      <c r="AP3280" s="16"/>
      <c r="AQ3280" s="16"/>
      <c r="AR3280" s="16"/>
      <c r="AS3280" s="16"/>
    </row>
    <row r="3281" spans="18:45" x14ac:dyDescent="0.35">
      <c r="R3281" s="191"/>
      <c r="S3281" s="191"/>
      <c r="T3281" s="193"/>
      <c r="U3281" s="191"/>
      <c r="V3281" s="194"/>
      <c r="W3281" s="191"/>
      <c r="Y3281" s="191"/>
      <c r="Z3281" s="191"/>
      <c r="AA3281" s="191"/>
      <c r="AB3281" s="191"/>
      <c r="AC3281" s="191"/>
      <c r="AD3281" s="16"/>
      <c r="AE3281" s="16"/>
      <c r="AF3281" s="16"/>
      <c r="AG3281" s="16"/>
      <c r="AH3281" s="16"/>
      <c r="AI3281" s="16"/>
      <c r="AJ3281" s="16"/>
      <c r="AK3281" s="16"/>
      <c r="AL3281" s="16"/>
      <c r="AM3281" s="16"/>
      <c r="AN3281" s="16"/>
      <c r="AO3281" s="16"/>
      <c r="AP3281" s="16"/>
      <c r="AQ3281" s="16"/>
      <c r="AR3281" s="16"/>
      <c r="AS3281" s="16"/>
    </row>
    <row r="3282" spans="18:45" x14ac:dyDescent="0.35">
      <c r="R3282" s="191"/>
      <c r="S3282" s="191"/>
      <c r="T3282" s="193"/>
      <c r="U3282" s="191"/>
      <c r="V3282" s="194"/>
      <c r="W3282" s="191"/>
      <c r="Y3282" s="191"/>
      <c r="Z3282" s="191"/>
      <c r="AA3282" s="191"/>
      <c r="AB3282" s="191"/>
      <c r="AC3282" s="191"/>
      <c r="AD3282" s="16"/>
      <c r="AE3282" s="16"/>
      <c r="AF3282" s="16"/>
      <c r="AG3282" s="16"/>
      <c r="AH3282" s="16"/>
      <c r="AI3282" s="16"/>
      <c r="AJ3282" s="16"/>
      <c r="AK3282" s="16"/>
      <c r="AL3282" s="16"/>
      <c r="AM3282" s="16"/>
      <c r="AN3282" s="16"/>
      <c r="AO3282" s="16"/>
      <c r="AP3282" s="16"/>
      <c r="AQ3282" s="16"/>
      <c r="AR3282" s="16"/>
      <c r="AS3282" s="16"/>
    </row>
    <row r="3283" spans="18:45" x14ac:dyDescent="0.35">
      <c r="R3283" s="191"/>
      <c r="S3283" s="191"/>
      <c r="T3283" s="193"/>
      <c r="U3283" s="191"/>
      <c r="V3283" s="194"/>
      <c r="W3283" s="191"/>
      <c r="Y3283" s="191"/>
      <c r="Z3283" s="191"/>
      <c r="AA3283" s="191"/>
      <c r="AB3283" s="191"/>
      <c r="AC3283" s="191"/>
      <c r="AD3283" s="16"/>
      <c r="AE3283" s="16"/>
      <c r="AF3283" s="16"/>
      <c r="AG3283" s="16"/>
      <c r="AH3283" s="16"/>
      <c r="AI3283" s="16"/>
      <c r="AJ3283" s="16"/>
      <c r="AK3283" s="16"/>
      <c r="AL3283" s="16"/>
      <c r="AM3283" s="16"/>
      <c r="AN3283" s="16"/>
      <c r="AO3283" s="16"/>
      <c r="AP3283" s="16"/>
      <c r="AQ3283" s="16"/>
      <c r="AR3283" s="16"/>
      <c r="AS3283" s="16"/>
    </row>
    <row r="3284" spans="18:45" x14ac:dyDescent="0.35">
      <c r="R3284" s="191"/>
      <c r="S3284" s="191"/>
      <c r="T3284" s="193"/>
      <c r="U3284" s="191"/>
      <c r="V3284" s="194"/>
      <c r="W3284" s="191"/>
      <c r="Y3284" s="191"/>
      <c r="Z3284" s="191"/>
      <c r="AA3284" s="191"/>
      <c r="AB3284" s="191"/>
      <c r="AC3284" s="191"/>
      <c r="AD3284" s="16"/>
      <c r="AE3284" s="16"/>
      <c r="AF3284" s="16"/>
      <c r="AG3284" s="16"/>
      <c r="AH3284" s="16"/>
      <c r="AI3284" s="16"/>
      <c r="AJ3284" s="16"/>
      <c r="AK3284" s="16"/>
      <c r="AL3284" s="16"/>
      <c r="AM3284" s="16"/>
      <c r="AN3284" s="16"/>
      <c r="AO3284" s="16"/>
      <c r="AP3284" s="16"/>
      <c r="AQ3284" s="16"/>
      <c r="AR3284" s="16"/>
      <c r="AS3284" s="16"/>
    </row>
    <row r="3285" spans="18:45" x14ac:dyDescent="0.35">
      <c r="R3285" s="191"/>
      <c r="S3285" s="191"/>
      <c r="T3285" s="193"/>
      <c r="U3285" s="191"/>
      <c r="V3285" s="194"/>
      <c r="W3285" s="191"/>
      <c r="Y3285" s="191"/>
      <c r="Z3285" s="191"/>
      <c r="AA3285" s="191"/>
      <c r="AB3285" s="191"/>
      <c r="AC3285" s="191"/>
      <c r="AD3285" s="16"/>
      <c r="AE3285" s="16"/>
      <c r="AF3285" s="16"/>
      <c r="AG3285" s="16"/>
      <c r="AH3285" s="16"/>
      <c r="AI3285" s="16"/>
      <c r="AJ3285" s="16"/>
      <c r="AK3285" s="16"/>
      <c r="AL3285" s="16"/>
      <c r="AM3285" s="16"/>
      <c r="AN3285" s="16"/>
      <c r="AO3285" s="16"/>
      <c r="AP3285" s="16"/>
      <c r="AQ3285" s="16"/>
      <c r="AR3285" s="16"/>
      <c r="AS3285" s="16"/>
    </row>
    <row r="3286" spans="18:45" x14ac:dyDescent="0.35">
      <c r="R3286" s="191"/>
      <c r="S3286" s="191"/>
      <c r="T3286" s="193"/>
      <c r="U3286" s="191"/>
      <c r="V3286" s="194"/>
      <c r="W3286" s="191"/>
      <c r="Y3286" s="191"/>
      <c r="Z3286" s="191"/>
      <c r="AA3286" s="191"/>
      <c r="AB3286" s="191"/>
      <c r="AC3286" s="191"/>
      <c r="AD3286" s="16"/>
      <c r="AE3286" s="16"/>
      <c r="AF3286" s="16"/>
      <c r="AG3286" s="16"/>
      <c r="AH3286" s="16"/>
      <c r="AI3286" s="16"/>
      <c r="AJ3286" s="16"/>
      <c r="AK3286" s="16"/>
      <c r="AL3286" s="16"/>
      <c r="AM3286" s="16"/>
      <c r="AN3286" s="16"/>
      <c r="AO3286" s="16"/>
      <c r="AP3286" s="16"/>
      <c r="AQ3286" s="16"/>
      <c r="AR3286" s="16"/>
      <c r="AS3286" s="16"/>
    </row>
    <row r="3287" spans="18:45" x14ac:dyDescent="0.35">
      <c r="R3287" s="191"/>
      <c r="S3287" s="191"/>
      <c r="T3287" s="193"/>
      <c r="U3287" s="191"/>
      <c r="V3287" s="194"/>
      <c r="W3287" s="191"/>
      <c r="Y3287" s="191"/>
      <c r="Z3287" s="191"/>
      <c r="AA3287" s="191"/>
      <c r="AB3287" s="191"/>
      <c r="AC3287" s="191"/>
      <c r="AD3287" s="16"/>
      <c r="AE3287" s="16"/>
      <c r="AF3287" s="16"/>
      <c r="AG3287" s="16"/>
      <c r="AH3287" s="16"/>
      <c r="AI3287" s="16"/>
      <c r="AJ3287" s="16"/>
      <c r="AK3287" s="16"/>
      <c r="AL3287" s="16"/>
      <c r="AM3287" s="16"/>
      <c r="AN3287" s="16"/>
      <c r="AO3287" s="16"/>
      <c r="AP3287" s="16"/>
      <c r="AQ3287" s="16"/>
      <c r="AR3287" s="16"/>
      <c r="AS3287" s="16"/>
    </row>
    <row r="3288" spans="18:45" x14ac:dyDescent="0.35">
      <c r="R3288" s="191"/>
      <c r="S3288" s="191"/>
      <c r="T3288" s="193"/>
      <c r="U3288" s="191"/>
      <c r="V3288" s="194"/>
      <c r="W3288" s="191"/>
      <c r="Y3288" s="191"/>
      <c r="Z3288" s="191"/>
      <c r="AA3288" s="191"/>
      <c r="AB3288" s="191"/>
      <c r="AC3288" s="191"/>
      <c r="AD3288" s="16"/>
      <c r="AE3288" s="16"/>
      <c r="AF3288" s="16"/>
      <c r="AG3288" s="16"/>
      <c r="AH3288" s="16"/>
      <c r="AI3288" s="16"/>
      <c r="AJ3288" s="16"/>
      <c r="AK3288" s="16"/>
      <c r="AL3288" s="16"/>
      <c r="AM3288" s="16"/>
      <c r="AN3288" s="16"/>
      <c r="AO3288" s="16"/>
      <c r="AP3288" s="16"/>
      <c r="AQ3288" s="16"/>
      <c r="AR3288" s="16"/>
      <c r="AS3288" s="16"/>
    </row>
    <row r="3289" spans="18:45" x14ac:dyDescent="0.35">
      <c r="R3289" s="191"/>
      <c r="S3289" s="191"/>
      <c r="T3289" s="193"/>
      <c r="U3289" s="191"/>
      <c r="V3289" s="194"/>
      <c r="W3289" s="191"/>
      <c r="Y3289" s="191"/>
      <c r="Z3289" s="191"/>
      <c r="AA3289" s="191"/>
      <c r="AB3289" s="191"/>
      <c r="AC3289" s="191"/>
      <c r="AD3289" s="16"/>
      <c r="AE3289" s="16"/>
      <c r="AF3289" s="16"/>
      <c r="AG3289" s="16"/>
      <c r="AH3289" s="16"/>
      <c r="AI3289" s="16"/>
      <c r="AJ3289" s="16"/>
      <c r="AK3289" s="16"/>
      <c r="AL3289" s="16"/>
      <c r="AM3289" s="16"/>
      <c r="AN3289" s="16"/>
      <c r="AO3289" s="16"/>
      <c r="AP3289" s="16"/>
      <c r="AQ3289" s="16"/>
      <c r="AR3289" s="16"/>
      <c r="AS3289" s="16"/>
    </row>
    <row r="3290" spans="18:45" x14ac:dyDescent="0.35">
      <c r="R3290" s="191"/>
      <c r="S3290" s="191"/>
      <c r="T3290" s="193"/>
      <c r="U3290" s="191"/>
      <c r="V3290" s="194"/>
      <c r="W3290" s="191"/>
      <c r="Y3290" s="191"/>
      <c r="Z3290" s="191"/>
      <c r="AA3290" s="191"/>
      <c r="AB3290" s="191"/>
      <c r="AC3290" s="191"/>
      <c r="AD3290" s="16"/>
      <c r="AE3290" s="16"/>
      <c r="AF3290" s="16"/>
      <c r="AG3290" s="16"/>
      <c r="AH3290" s="16"/>
      <c r="AI3290" s="16"/>
      <c r="AJ3290" s="16"/>
      <c r="AK3290" s="16"/>
      <c r="AL3290" s="16"/>
      <c r="AM3290" s="16"/>
      <c r="AN3290" s="16"/>
      <c r="AO3290" s="16"/>
      <c r="AP3290" s="16"/>
      <c r="AQ3290" s="16"/>
      <c r="AR3290" s="16"/>
      <c r="AS3290" s="16"/>
    </row>
    <row r="3291" spans="18:45" x14ac:dyDescent="0.35">
      <c r="R3291" s="191"/>
      <c r="S3291" s="191"/>
      <c r="T3291" s="193"/>
      <c r="U3291" s="191"/>
      <c r="V3291" s="194"/>
      <c r="W3291" s="191"/>
      <c r="Y3291" s="191"/>
      <c r="Z3291" s="191"/>
      <c r="AA3291" s="191"/>
      <c r="AB3291" s="191"/>
      <c r="AC3291" s="191"/>
      <c r="AD3291" s="16"/>
      <c r="AE3291" s="16"/>
      <c r="AF3291" s="16"/>
      <c r="AG3291" s="16"/>
      <c r="AH3291" s="16"/>
      <c r="AI3291" s="16"/>
      <c r="AJ3291" s="16"/>
      <c r="AK3291" s="16"/>
      <c r="AL3291" s="16"/>
      <c r="AM3291" s="16"/>
      <c r="AN3291" s="16"/>
      <c r="AO3291" s="16"/>
      <c r="AP3291" s="16"/>
      <c r="AQ3291" s="16"/>
      <c r="AR3291" s="16"/>
      <c r="AS3291" s="16"/>
    </row>
    <row r="3292" spans="18:45" x14ac:dyDescent="0.35">
      <c r="R3292" s="191"/>
      <c r="S3292" s="191"/>
      <c r="T3292" s="193"/>
      <c r="U3292" s="191"/>
      <c r="V3292" s="194"/>
      <c r="W3292" s="191"/>
      <c r="Y3292" s="191"/>
      <c r="Z3292" s="191"/>
      <c r="AA3292" s="191"/>
      <c r="AB3292" s="191"/>
      <c r="AC3292" s="191"/>
      <c r="AD3292" s="16"/>
      <c r="AE3292" s="16"/>
      <c r="AF3292" s="16"/>
      <c r="AG3292" s="16"/>
      <c r="AH3292" s="16"/>
      <c r="AI3292" s="16"/>
      <c r="AJ3292" s="16"/>
      <c r="AK3292" s="16"/>
      <c r="AL3292" s="16"/>
      <c r="AM3292" s="16"/>
      <c r="AN3292" s="16"/>
      <c r="AO3292" s="16"/>
      <c r="AP3292" s="16"/>
      <c r="AQ3292" s="16"/>
      <c r="AR3292" s="16"/>
      <c r="AS3292" s="16"/>
    </row>
    <row r="3293" spans="18:45" x14ac:dyDescent="0.35">
      <c r="R3293" s="191"/>
      <c r="S3293" s="191"/>
      <c r="T3293" s="193"/>
      <c r="U3293" s="191"/>
      <c r="V3293" s="194"/>
      <c r="W3293" s="191"/>
      <c r="Y3293" s="191"/>
      <c r="Z3293" s="191"/>
      <c r="AA3293" s="191"/>
      <c r="AB3293" s="191"/>
      <c r="AC3293" s="191"/>
      <c r="AD3293" s="16"/>
      <c r="AE3293" s="16"/>
      <c r="AF3293" s="16"/>
      <c r="AG3293" s="16"/>
      <c r="AH3293" s="16"/>
      <c r="AI3293" s="16"/>
      <c r="AJ3293" s="16"/>
      <c r="AK3293" s="16"/>
      <c r="AL3293" s="16"/>
      <c r="AM3293" s="16"/>
      <c r="AN3293" s="16"/>
      <c r="AO3293" s="16"/>
      <c r="AP3293" s="16"/>
      <c r="AQ3293" s="16"/>
      <c r="AR3293" s="16"/>
      <c r="AS3293" s="16"/>
    </row>
    <row r="3294" spans="18:45" x14ac:dyDescent="0.35">
      <c r="R3294" s="191"/>
      <c r="S3294" s="191"/>
      <c r="T3294" s="193"/>
      <c r="U3294" s="191"/>
      <c r="V3294" s="194"/>
      <c r="W3294" s="191"/>
      <c r="Y3294" s="191"/>
      <c r="Z3294" s="191"/>
      <c r="AA3294" s="191"/>
      <c r="AB3294" s="191"/>
      <c r="AC3294" s="191"/>
      <c r="AD3294" s="16"/>
      <c r="AE3294" s="16"/>
      <c r="AF3294" s="16"/>
      <c r="AG3294" s="16"/>
      <c r="AH3294" s="16"/>
      <c r="AI3294" s="16"/>
      <c r="AJ3294" s="16"/>
      <c r="AK3294" s="16"/>
      <c r="AL3294" s="16"/>
      <c r="AM3294" s="16"/>
      <c r="AN3294" s="16"/>
      <c r="AO3294" s="16"/>
      <c r="AP3294" s="16"/>
      <c r="AQ3294" s="16"/>
      <c r="AR3294" s="16"/>
      <c r="AS3294" s="16"/>
    </row>
    <row r="3295" spans="18:45" x14ac:dyDescent="0.35">
      <c r="R3295" s="191"/>
      <c r="S3295" s="191"/>
      <c r="T3295" s="193"/>
      <c r="U3295" s="191"/>
      <c r="V3295" s="194"/>
      <c r="W3295" s="191"/>
      <c r="Y3295" s="191"/>
      <c r="Z3295" s="191"/>
      <c r="AA3295" s="191"/>
      <c r="AB3295" s="191"/>
      <c r="AC3295" s="191"/>
      <c r="AD3295" s="16"/>
      <c r="AE3295" s="16"/>
      <c r="AF3295" s="16"/>
      <c r="AG3295" s="16"/>
      <c r="AH3295" s="16"/>
      <c r="AI3295" s="16"/>
      <c r="AJ3295" s="16"/>
      <c r="AK3295" s="16"/>
      <c r="AL3295" s="16"/>
      <c r="AM3295" s="16"/>
      <c r="AN3295" s="16"/>
      <c r="AO3295" s="16"/>
      <c r="AP3295" s="16"/>
      <c r="AQ3295" s="16"/>
      <c r="AR3295" s="16"/>
      <c r="AS3295" s="16"/>
    </row>
    <row r="3296" spans="18:45" x14ac:dyDescent="0.35">
      <c r="R3296" s="191"/>
      <c r="S3296" s="191"/>
      <c r="T3296" s="193"/>
      <c r="U3296" s="191"/>
      <c r="V3296" s="194"/>
      <c r="W3296" s="191"/>
      <c r="Y3296" s="191"/>
      <c r="Z3296" s="191"/>
      <c r="AA3296" s="191"/>
      <c r="AB3296" s="191"/>
      <c r="AC3296" s="191"/>
      <c r="AD3296" s="16"/>
      <c r="AE3296" s="16"/>
      <c r="AF3296" s="16"/>
      <c r="AG3296" s="16"/>
      <c r="AH3296" s="16"/>
      <c r="AI3296" s="16"/>
      <c r="AJ3296" s="16"/>
      <c r="AK3296" s="16"/>
      <c r="AL3296" s="16"/>
      <c r="AM3296" s="16"/>
      <c r="AN3296" s="16"/>
      <c r="AO3296" s="16"/>
      <c r="AP3296" s="16"/>
      <c r="AQ3296" s="16"/>
      <c r="AR3296" s="16"/>
      <c r="AS3296" s="16"/>
    </row>
    <row r="3297" spans="18:45" x14ac:dyDescent="0.35">
      <c r="R3297" s="191"/>
      <c r="S3297" s="191"/>
      <c r="T3297" s="193"/>
      <c r="U3297" s="191"/>
      <c r="V3297" s="194"/>
      <c r="W3297" s="191"/>
      <c r="Y3297" s="191"/>
      <c r="Z3297" s="191"/>
      <c r="AA3297" s="191"/>
      <c r="AB3297" s="191"/>
      <c r="AC3297" s="191"/>
      <c r="AD3297" s="16"/>
      <c r="AE3297" s="16"/>
      <c r="AF3297" s="16"/>
      <c r="AG3297" s="16"/>
      <c r="AH3297" s="16"/>
      <c r="AI3297" s="16"/>
      <c r="AJ3297" s="16"/>
      <c r="AK3297" s="16"/>
      <c r="AL3297" s="16"/>
      <c r="AM3297" s="16"/>
      <c r="AN3297" s="16"/>
      <c r="AO3297" s="16"/>
      <c r="AP3297" s="16"/>
      <c r="AQ3297" s="16"/>
      <c r="AR3297" s="16"/>
      <c r="AS3297" s="16"/>
    </row>
    <row r="3298" spans="18:45" x14ac:dyDescent="0.35">
      <c r="R3298" s="191"/>
      <c r="S3298" s="191"/>
      <c r="T3298" s="193"/>
      <c r="U3298" s="191"/>
      <c r="V3298" s="194"/>
      <c r="W3298" s="191"/>
      <c r="Y3298" s="191"/>
      <c r="Z3298" s="191"/>
      <c r="AA3298" s="191"/>
      <c r="AB3298" s="191"/>
      <c r="AC3298" s="191"/>
      <c r="AD3298" s="16"/>
      <c r="AE3298" s="16"/>
      <c r="AF3298" s="16"/>
      <c r="AG3298" s="16"/>
      <c r="AH3298" s="16"/>
      <c r="AI3298" s="16"/>
      <c r="AJ3298" s="16"/>
      <c r="AK3298" s="16"/>
      <c r="AL3298" s="16"/>
      <c r="AM3298" s="16"/>
      <c r="AN3298" s="16"/>
      <c r="AO3298" s="16"/>
      <c r="AP3298" s="16"/>
      <c r="AQ3298" s="16"/>
      <c r="AR3298" s="16"/>
      <c r="AS3298" s="16"/>
    </row>
    <row r="3299" spans="18:45" x14ac:dyDescent="0.35">
      <c r="R3299" s="191"/>
      <c r="S3299" s="191"/>
      <c r="T3299" s="193"/>
      <c r="U3299" s="191"/>
      <c r="V3299" s="194"/>
      <c r="W3299" s="191"/>
      <c r="Y3299" s="191"/>
      <c r="Z3299" s="191"/>
      <c r="AA3299" s="191"/>
      <c r="AB3299" s="191"/>
      <c r="AC3299" s="191"/>
      <c r="AD3299" s="16"/>
      <c r="AE3299" s="16"/>
      <c r="AF3299" s="16"/>
      <c r="AG3299" s="16"/>
      <c r="AH3299" s="16"/>
      <c r="AI3299" s="16"/>
      <c r="AJ3299" s="16"/>
      <c r="AK3299" s="16"/>
      <c r="AL3299" s="16"/>
      <c r="AM3299" s="16"/>
      <c r="AN3299" s="16"/>
      <c r="AO3299" s="16"/>
      <c r="AP3299" s="16"/>
      <c r="AQ3299" s="16"/>
      <c r="AR3299" s="16"/>
      <c r="AS3299" s="16"/>
    </row>
    <row r="3300" spans="18:45" x14ac:dyDescent="0.35">
      <c r="R3300" s="191"/>
      <c r="S3300" s="191"/>
      <c r="T3300" s="193"/>
      <c r="U3300" s="191"/>
      <c r="V3300" s="194"/>
      <c r="W3300" s="191"/>
      <c r="Y3300" s="191"/>
      <c r="Z3300" s="191"/>
      <c r="AA3300" s="191"/>
      <c r="AB3300" s="191"/>
      <c r="AC3300" s="191"/>
      <c r="AD3300" s="16"/>
      <c r="AE3300" s="16"/>
      <c r="AF3300" s="16"/>
      <c r="AG3300" s="16"/>
      <c r="AH3300" s="16"/>
      <c r="AI3300" s="16"/>
      <c r="AJ3300" s="16"/>
      <c r="AK3300" s="16"/>
      <c r="AL3300" s="16"/>
      <c r="AM3300" s="16"/>
      <c r="AN3300" s="16"/>
      <c r="AO3300" s="16"/>
      <c r="AP3300" s="16"/>
      <c r="AQ3300" s="16"/>
      <c r="AR3300" s="16"/>
      <c r="AS3300" s="16"/>
    </row>
    <row r="3301" spans="18:45" x14ac:dyDescent="0.35">
      <c r="R3301" s="191"/>
      <c r="S3301" s="191"/>
      <c r="T3301" s="193"/>
      <c r="U3301" s="191"/>
      <c r="V3301" s="194"/>
      <c r="W3301" s="191"/>
      <c r="Y3301" s="191"/>
      <c r="Z3301" s="191"/>
      <c r="AA3301" s="191"/>
      <c r="AB3301" s="191"/>
      <c r="AC3301" s="191"/>
      <c r="AD3301" s="16"/>
      <c r="AE3301" s="16"/>
      <c r="AF3301" s="16"/>
      <c r="AG3301" s="16"/>
      <c r="AH3301" s="16"/>
      <c r="AI3301" s="16"/>
      <c r="AJ3301" s="16"/>
      <c r="AK3301" s="16"/>
      <c r="AL3301" s="16"/>
      <c r="AM3301" s="16"/>
      <c r="AN3301" s="16"/>
      <c r="AO3301" s="16"/>
      <c r="AP3301" s="16"/>
      <c r="AQ3301" s="16"/>
      <c r="AR3301" s="16"/>
      <c r="AS3301" s="16"/>
    </row>
    <row r="3302" spans="18:45" x14ac:dyDescent="0.35">
      <c r="R3302" s="191"/>
      <c r="S3302" s="191"/>
      <c r="T3302" s="193"/>
      <c r="U3302" s="191"/>
      <c r="V3302" s="194"/>
      <c r="W3302" s="191"/>
      <c r="Y3302" s="191"/>
      <c r="Z3302" s="191"/>
      <c r="AA3302" s="191"/>
      <c r="AB3302" s="191"/>
      <c r="AC3302" s="191"/>
      <c r="AD3302" s="16"/>
      <c r="AE3302" s="16"/>
      <c r="AF3302" s="16"/>
      <c r="AG3302" s="16"/>
      <c r="AH3302" s="16"/>
      <c r="AI3302" s="16"/>
      <c r="AJ3302" s="16"/>
      <c r="AK3302" s="16"/>
      <c r="AL3302" s="16"/>
      <c r="AM3302" s="16"/>
      <c r="AN3302" s="16"/>
      <c r="AO3302" s="16"/>
      <c r="AP3302" s="16"/>
      <c r="AQ3302" s="16"/>
      <c r="AR3302" s="16"/>
      <c r="AS3302" s="16"/>
    </row>
    <row r="3303" spans="18:45" x14ac:dyDescent="0.35">
      <c r="R3303" s="191"/>
      <c r="S3303" s="191"/>
      <c r="T3303" s="193"/>
      <c r="U3303" s="191"/>
      <c r="V3303" s="194"/>
      <c r="W3303" s="191"/>
      <c r="Y3303" s="191"/>
      <c r="Z3303" s="191"/>
      <c r="AA3303" s="191"/>
      <c r="AB3303" s="191"/>
      <c r="AC3303" s="191"/>
      <c r="AD3303" s="16"/>
      <c r="AE3303" s="16"/>
      <c r="AF3303" s="16"/>
      <c r="AG3303" s="16"/>
      <c r="AH3303" s="16"/>
      <c r="AI3303" s="16"/>
      <c r="AJ3303" s="16"/>
      <c r="AK3303" s="16"/>
      <c r="AL3303" s="16"/>
      <c r="AM3303" s="16"/>
      <c r="AN3303" s="16"/>
      <c r="AO3303" s="16"/>
      <c r="AP3303" s="16"/>
      <c r="AQ3303" s="16"/>
      <c r="AR3303" s="16"/>
      <c r="AS3303" s="16"/>
    </row>
    <row r="3304" spans="18:45" x14ac:dyDescent="0.35">
      <c r="R3304" s="191"/>
      <c r="S3304" s="191"/>
      <c r="T3304" s="193"/>
      <c r="U3304" s="191"/>
      <c r="V3304" s="194"/>
      <c r="W3304" s="191"/>
      <c r="Y3304" s="191"/>
      <c r="Z3304" s="191"/>
      <c r="AA3304" s="191"/>
      <c r="AB3304" s="191"/>
      <c r="AC3304" s="191"/>
      <c r="AD3304" s="16"/>
      <c r="AE3304" s="16"/>
      <c r="AF3304" s="16"/>
      <c r="AG3304" s="16"/>
      <c r="AH3304" s="16"/>
      <c r="AI3304" s="16"/>
      <c r="AJ3304" s="16"/>
      <c r="AK3304" s="16"/>
      <c r="AL3304" s="16"/>
      <c r="AM3304" s="16"/>
      <c r="AN3304" s="16"/>
      <c r="AO3304" s="16"/>
      <c r="AP3304" s="16"/>
      <c r="AQ3304" s="16"/>
      <c r="AR3304" s="16"/>
      <c r="AS3304" s="16"/>
    </row>
    <row r="3305" spans="18:45" x14ac:dyDescent="0.35">
      <c r="R3305" s="191"/>
      <c r="S3305" s="191"/>
      <c r="T3305" s="193"/>
      <c r="U3305" s="191"/>
      <c r="V3305" s="194"/>
      <c r="W3305" s="191"/>
      <c r="Y3305" s="191"/>
      <c r="Z3305" s="191"/>
      <c r="AA3305" s="191"/>
      <c r="AB3305" s="191"/>
      <c r="AC3305" s="191"/>
      <c r="AD3305" s="16"/>
      <c r="AE3305" s="16"/>
      <c r="AF3305" s="16"/>
      <c r="AG3305" s="16"/>
      <c r="AH3305" s="16"/>
      <c r="AI3305" s="16"/>
      <c r="AJ3305" s="16"/>
      <c r="AK3305" s="16"/>
      <c r="AL3305" s="16"/>
      <c r="AM3305" s="16"/>
      <c r="AN3305" s="16"/>
      <c r="AO3305" s="16"/>
      <c r="AP3305" s="16"/>
      <c r="AQ3305" s="16"/>
      <c r="AR3305" s="16"/>
      <c r="AS3305" s="16"/>
    </row>
    <row r="3306" spans="18:45" x14ac:dyDescent="0.35">
      <c r="R3306" s="191"/>
      <c r="S3306" s="191"/>
      <c r="T3306" s="193"/>
      <c r="U3306" s="191"/>
      <c r="V3306" s="194"/>
      <c r="W3306" s="191"/>
      <c r="Y3306" s="191"/>
      <c r="Z3306" s="191"/>
      <c r="AA3306" s="191"/>
      <c r="AB3306" s="191"/>
      <c r="AC3306" s="191"/>
      <c r="AD3306" s="16"/>
      <c r="AE3306" s="16"/>
      <c r="AF3306" s="16"/>
      <c r="AG3306" s="16"/>
      <c r="AH3306" s="16"/>
      <c r="AI3306" s="16"/>
      <c r="AJ3306" s="16"/>
      <c r="AK3306" s="16"/>
      <c r="AL3306" s="16"/>
      <c r="AM3306" s="16"/>
      <c r="AN3306" s="16"/>
      <c r="AO3306" s="16"/>
      <c r="AP3306" s="16"/>
      <c r="AQ3306" s="16"/>
      <c r="AR3306" s="16"/>
      <c r="AS3306" s="16"/>
    </row>
    <row r="3307" spans="18:45" x14ac:dyDescent="0.35">
      <c r="R3307" s="191"/>
      <c r="S3307" s="191"/>
      <c r="T3307" s="193"/>
      <c r="U3307" s="191"/>
      <c r="V3307" s="194"/>
      <c r="W3307" s="191"/>
      <c r="Y3307" s="191"/>
      <c r="Z3307" s="191"/>
      <c r="AA3307" s="191"/>
      <c r="AB3307" s="191"/>
      <c r="AC3307" s="191"/>
      <c r="AD3307" s="16"/>
      <c r="AE3307" s="16"/>
      <c r="AF3307" s="16"/>
      <c r="AG3307" s="16"/>
      <c r="AH3307" s="16"/>
      <c r="AI3307" s="16"/>
      <c r="AJ3307" s="16"/>
      <c r="AK3307" s="16"/>
      <c r="AL3307" s="16"/>
      <c r="AM3307" s="16"/>
      <c r="AN3307" s="16"/>
      <c r="AO3307" s="16"/>
      <c r="AP3307" s="16"/>
      <c r="AQ3307" s="16"/>
      <c r="AR3307" s="16"/>
      <c r="AS3307" s="16"/>
    </row>
    <row r="3308" spans="18:45" x14ac:dyDescent="0.35">
      <c r="R3308" s="191"/>
      <c r="S3308" s="191"/>
      <c r="T3308" s="193"/>
      <c r="U3308" s="191"/>
      <c r="V3308" s="194"/>
      <c r="W3308" s="191"/>
      <c r="Y3308" s="191"/>
      <c r="Z3308" s="191"/>
      <c r="AA3308" s="191"/>
      <c r="AB3308" s="191"/>
      <c r="AC3308" s="191"/>
      <c r="AD3308" s="16"/>
      <c r="AE3308" s="16"/>
      <c r="AF3308" s="16"/>
      <c r="AG3308" s="16"/>
      <c r="AH3308" s="16"/>
      <c r="AI3308" s="16"/>
      <c r="AJ3308" s="16"/>
      <c r="AK3308" s="16"/>
      <c r="AL3308" s="16"/>
      <c r="AM3308" s="16"/>
      <c r="AN3308" s="16"/>
      <c r="AO3308" s="16"/>
      <c r="AP3308" s="16"/>
      <c r="AQ3308" s="16"/>
      <c r="AR3308" s="16"/>
      <c r="AS3308" s="16"/>
    </row>
    <row r="3309" spans="18:45" x14ac:dyDescent="0.35">
      <c r="R3309" s="191"/>
      <c r="S3309" s="191"/>
      <c r="T3309" s="193"/>
      <c r="U3309" s="191"/>
      <c r="V3309" s="194"/>
      <c r="W3309" s="191"/>
      <c r="Y3309" s="191"/>
      <c r="Z3309" s="191"/>
      <c r="AA3309" s="191"/>
      <c r="AB3309" s="191"/>
      <c r="AC3309" s="191"/>
      <c r="AD3309" s="16"/>
      <c r="AE3309" s="16"/>
      <c r="AF3309" s="16"/>
      <c r="AG3309" s="16"/>
      <c r="AH3309" s="16"/>
      <c r="AI3309" s="16"/>
      <c r="AJ3309" s="16"/>
      <c r="AK3309" s="16"/>
      <c r="AL3309" s="16"/>
      <c r="AM3309" s="16"/>
      <c r="AN3309" s="16"/>
      <c r="AO3309" s="16"/>
      <c r="AP3309" s="16"/>
      <c r="AQ3309" s="16"/>
      <c r="AR3309" s="16"/>
      <c r="AS3309" s="16"/>
    </row>
    <row r="3310" spans="18:45" x14ac:dyDescent="0.35">
      <c r="R3310" s="191"/>
      <c r="S3310" s="191"/>
      <c r="T3310" s="193"/>
      <c r="U3310" s="191"/>
      <c r="V3310" s="194"/>
      <c r="W3310" s="191"/>
      <c r="Y3310" s="191"/>
      <c r="Z3310" s="191"/>
      <c r="AA3310" s="191"/>
      <c r="AB3310" s="191"/>
      <c r="AC3310" s="191"/>
      <c r="AD3310" s="16"/>
      <c r="AE3310" s="16"/>
      <c r="AF3310" s="16"/>
      <c r="AG3310" s="16"/>
      <c r="AH3310" s="16"/>
      <c r="AI3310" s="16"/>
      <c r="AJ3310" s="16"/>
      <c r="AK3310" s="16"/>
      <c r="AL3310" s="16"/>
      <c r="AM3310" s="16"/>
      <c r="AN3310" s="16"/>
      <c r="AO3310" s="16"/>
      <c r="AP3310" s="16"/>
      <c r="AQ3310" s="16"/>
      <c r="AR3310" s="16"/>
      <c r="AS3310" s="16"/>
    </row>
    <row r="3311" spans="18:45" x14ac:dyDescent="0.35">
      <c r="R3311" s="191"/>
      <c r="S3311" s="191"/>
      <c r="T3311" s="193"/>
      <c r="U3311" s="191"/>
      <c r="V3311" s="194"/>
      <c r="W3311" s="191"/>
      <c r="Y3311" s="191"/>
      <c r="Z3311" s="191"/>
      <c r="AA3311" s="191"/>
      <c r="AB3311" s="191"/>
      <c r="AC3311" s="191"/>
      <c r="AD3311" s="16"/>
      <c r="AE3311" s="16"/>
      <c r="AF3311" s="16"/>
      <c r="AG3311" s="16"/>
      <c r="AH3311" s="16"/>
      <c r="AI3311" s="16"/>
      <c r="AJ3311" s="16"/>
      <c r="AK3311" s="16"/>
      <c r="AL3311" s="16"/>
      <c r="AM3311" s="16"/>
      <c r="AN3311" s="16"/>
      <c r="AO3311" s="16"/>
      <c r="AP3311" s="16"/>
      <c r="AQ3311" s="16"/>
      <c r="AR3311" s="16"/>
      <c r="AS3311" s="16"/>
    </row>
    <row r="3312" spans="18:45" x14ac:dyDescent="0.35">
      <c r="R3312" s="191"/>
      <c r="S3312" s="191"/>
      <c r="T3312" s="193"/>
      <c r="U3312" s="191"/>
      <c r="V3312" s="194"/>
      <c r="W3312" s="191"/>
      <c r="Y3312" s="191"/>
      <c r="Z3312" s="191"/>
      <c r="AA3312" s="191"/>
      <c r="AB3312" s="191"/>
      <c r="AC3312" s="191"/>
      <c r="AD3312" s="16"/>
      <c r="AE3312" s="16"/>
      <c r="AF3312" s="16"/>
      <c r="AG3312" s="16"/>
      <c r="AH3312" s="16"/>
      <c r="AI3312" s="16"/>
      <c r="AJ3312" s="16"/>
      <c r="AK3312" s="16"/>
      <c r="AL3312" s="16"/>
      <c r="AM3312" s="16"/>
      <c r="AN3312" s="16"/>
      <c r="AO3312" s="16"/>
      <c r="AP3312" s="16"/>
      <c r="AQ3312" s="16"/>
      <c r="AR3312" s="16"/>
      <c r="AS3312" s="16"/>
    </row>
    <row r="3313" spans="18:45" x14ac:dyDescent="0.35">
      <c r="R3313" s="191"/>
      <c r="S3313" s="191"/>
      <c r="T3313" s="193"/>
      <c r="U3313" s="191"/>
      <c r="V3313" s="194"/>
      <c r="W3313" s="191"/>
      <c r="Y3313" s="191"/>
      <c r="Z3313" s="191"/>
      <c r="AA3313" s="191"/>
      <c r="AB3313" s="191"/>
      <c r="AC3313" s="191"/>
      <c r="AD3313" s="16"/>
      <c r="AE3313" s="16"/>
      <c r="AF3313" s="16"/>
      <c r="AG3313" s="16"/>
      <c r="AH3313" s="16"/>
      <c r="AI3313" s="16"/>
      <c r="AJ3313" s="16"/>
      <c r="AK3313" s="16"/>
      <c r="AL3313" s="16"/>
      <c r="AM3313" s="16"/>
      <c r="AN3313" s="16"/>
      <c r="AO3313" s="16"/>
      <c r="AP3313" s="16"/>
      <c r="AQ3313" s="16"/>
      <c r="AR3313" s="16"/>
      <c r="AS3313" s="16"/>
    </row>
    <row r="3314" spans="18:45" x14ac:dyDescent="0.35">
      <c r="R3314" s="191"/>
      <c r="S3314" s="191"/>
      <c r="T3314" s="193"/>
      <c r="U3314" s="191"/>
      <c r="V3314" s="194"/>
      <c r="W3314" s="191"/>
      <c r="Y3314" s="191"/>
      <c r="Z3314" s="191"/>
      <c r="AA3314" s="191"/>
      <c r="AB3314" s="191"/>
      <c r="AC3314" s="191"/>
      <c r="AD3314" s="16"/>
      <c r="AE3314" s="16"/>
      <c r="AF3314" s="16"/>
      <c r="AG3314" s="16"/>
      <c r="AH3314" s="16"/>
      <c r="AI3314" s="16"/>
      <c r="AJ3314" s="16"/>
      <c r="AK3314" s="16"/>
      <c r="AL3314" s="16"/>
      <c r="AM3314" s="16"/>
      <c r="AN3314" s="16"/>
      <c r="AO3314" s="16"/>
      <c r="AP3314" s="16"/>
      <c r="AQ3314" s="16"/>
      <c r="AR3314" s="16"/>
      <c r="AS3314" s="16"/>
    </row>
    <row r="3315" spans="18:45" x14ac:dyDescent="0.35">
      <c r="R3315" s="191"/>
      <c r="S3315" s="191"/>
      <c r="T3315" s="193"/>
      <c r="U3315" s="191"/>
      <c r="V3315" s="194"/>
      <c r="W3315" s="191"/>
      <c r="Y3315" s="191"/>
      <c r="Z3315" s="191"/>
      <c r="AA3315" s="191"/>
      <c r="AB3315" s="191"/>
      <c r="AC3315" s="191"/>
      <c r="AD3315" s="16"/>
      <c r="AE3315" s="16"/>
      <c r="AF3315" s="16"/>
      <c r="AG3315" s="16"/>
      <c r="AH3315" s="16"/>
      <c r="AI3315" s="16"/>
      <c r="AJ3315" s="16"/>
      <c r="AK3315" s="16"/>
      <c r="AL3315" s="16"/>
      <c r="AM3315" s="16"/>
      <c r="AN3315" s="16"/>
      <c r="AO3315" s="16"/>
      <c r="AP3315" s="16"/>
      <c r="AQ3315" s="16"/>
      <c r="AR3315" s="16"/>
      <c r="AS3315" s="16"/>
    </row>
    <row r="3316" spans="18:45" x14ac:dyDescent="0.35">
      <c r="R3316" s="191"/>
      <c r="S3316" s="191"/>
      <c r="T3316" s="193"/>
      <c r="U3316" s="191"/>
      <c r="V3316" s="194"/>
      <c r="W3316" s="191"/>
      <c r="Y3316" s="191"/>
      <c r="Z3316" s="191"/>
      <c r="AA3316" s="191"/>
      <c r="AB3316" s="191"/>
      <c r="AC3316" s="191"/>
      <c r="AD3316" s="16"/>
      <c r="AE3316" s="16"/>
      <c r="AF3316" s="16"/>
      <c r="AG3316" s="16"/>
      <c r="AH3316" s="16"/>
      <c r="AI3316" s="16"/>
      <c r="AJ3316" s="16"/>
      <c r="AK3316" s="16"/>
      <c r="AL3316" s="16"/>
      <c r="AM3316" s="16"/>
      <c r="AN3316" s="16"/>
      <c r="AO3316" s="16"/>
      <c r="AP3316" s="16"/>
      <c r="AQ3316" s="16"/>
      <c r="AR3316" s="16"/>
      <c r="AS3316" s="16"/>
    </row>
    <row r="3317" spans="18:45" x14ac:dyDescent="0.35">
      <c r="R3317" s="191"/>
      <c r="S3317" s="191"/>
      <c r="T3317" s="193"/>
      <c r="U3317" s="191"/>
      <c r="V3317" s="194"/>
      <c r="W3317" s="191"/>
      <c r="Y3317" s="191"/>
      <c r="Z3317" s="191"/>
      <c r="AA3317" s="191"/>
      <c r="AB3317" s="191"/>
      <c r="AC3317" s="191"/>
      <c r="AD3317" s="16"/>
      <c r="AE3317" s="16"/>
      <c r="AF3317" s="16"/>
      <c r="AG3317" s="16"/>
      <c r="AH3317" s="16"/>
      <c r="AI3317" s="16"/>
      <c r="AJ3317" s="16"/>
      <c r="AK3317" s="16"/>
      <c r="AL3317" s="16"/>
      <c r="AM3317" s="16"/>
      <c r="AN3317" s="16"/>
      <c r="AO3317" s="16"/>
      <c r="AP3317" s="16"/>
      <c r="AQ3317" s="16"/>
      <c r="AR3317" s="16"/>
      <c r="AS3317" s="16"/>
    </row>
    <row r="3318" spans="18:45" x14ac:dyDescent="0.35">
      <c r="R3318" s="191"/>
      <c r="S3318" s="191"/>
      <c r="T3318" s="193"/>
      <c r="U3318" s="191"/>
      <c r="V3318" s="194"/>
      <c r="W3318" s="191"/>
      <c r="Y3318" s="191"/>
      <c r="Z3318" s="191"/>
      <c r="AA3318" s="191"/>
      <c r="AB3318" s="191"/>
      <c r="AC3318" s="191"/>
      <c r="AD3318" s="16"/>
      <c r="AE3318" s="16"/>
      <c r="AF3318" s="16"/>
      <c r="AG3318" s="16"/>
      <c r="AH3318" s="16"/>
      <c r="AI3318" s="16"/>
      <c r="AJ3318" s="16"/>
      <c r="AK3318" s="16"/>
      <c r="AL3318" s="16"/>
      <c r="AM3318" s="16"/>
      <c r="AN3318" s="16"/>
      <c r="AO3318" s="16"/>
      <c r="AP3318" s="16"/>
      <c r="AQ3318" s="16"/>
      <c r="AR3318" s="16"/>
      <c r="AS3318" s="16"/>
    </row>
    <row r="3319" spans="18:45" x14ac:dyDescent="0.35">
      <c r="R3319" s="191"/>
      <c r="S3319" s="191"/>
      <c r="T3319" s="193"/>
      <c r="U3319" s="191"/>
      <c r="V3319" s="194"/>
      <c r="W3319" s="191"/>
      <c r="Y3319" s="191"/>
      <c r="Z3319" s="191"/>
      <c r="AA3319" s="191"/>
      <c r="AB3319" s="191"/>
      <c r="AC3319" s="191"/>
      <c r="AD3319" s="16"/>
      <c r="AE3319" s="16"/>
      <c r="AF3319" s="16"/>
      <c r="AG3319" s="16"/>
      <c r="AH3319" s="16"/>
      <c r="AI3319" s="16"/>
      <c r="AJ3319" s="16"/>
      <c r="AK3319" s="16"/>
      <c r="AL3319" s="16"/>
      <c r="AM3319" s="16"/>
      <c r="AN3319" s="16"/>
      <c r="AO3319" s="16"/>
      <c r="AP3319" s="16"/>
      <c r="AQ3319" s="16"/>
      <c r="AR3319" s="16"/>
      <c r="AS3319" s="16"/>
    </row>
    <row r="3320" spans="18:45" x14ac:dyDescent="0.35">
      <c r="R3320" s="191"/>
      <c r="S3320" s="191"/>
      <c r="T3320" s="193"/>
      <c r="U3320" s="191"/>
      <c r="V3320" s="194"/>
      <c r="W3320" s="191"/>
      <c r="Y3320" s="191"/>
      <c r="Z3320" s="191"/>
      <c r="AA3320" s="191"/>
      <c r="AB3320" s="191"/>
      <c r="AC3320" s="191"/>
      <c r="AD3320" s="16"/>
      <c r="AE3320" s="16"/>
      <c r="AF3320" s="16"/>
      <c r="AG3320" s="16"/>
      <c r="AH3320" s="16"/>
      <c r="AI3320" s="16"/>
      <c r="AJ3320" s="16"/>
      <c r="AK3320" s="16"/>
      <c r="AL3320" s="16"/>
      <c r="AM3320" s="16"/>
      <c r="AN3320" s="16"/>
      <c r="AO3320" s="16"/>
      <c r="AP3320" s="16"/>
      <c r="AQ3320" s="16"/>
      <c r="AR3320" s="16"/>
      <c r="AS3320" s="16"/>
    </row>
    <row r="3321" spans="18:45" x14ac:dyDescent="0.35">
      <c r="R3321" s="191"/>
      <c r="S3321" s="191"/>
      <c r="T3321" s="193"/>
      <c r="U3321" s="191"/>
      <c r="V3321" s="194"/>
      <c r="W3321" s="191"/>
      <c r="Y3321" s="191"/>
      <c r="Z3321" s="191"/>
      <c r="AA3321" s="191"/>
      <c r="AB3321" s="191"/>
      <c r="AC3321" s="191"/>
      <c r="AD3321" s="16"/>
      <c r="AE3321" s="16"/>
      <c r="AF3321" s="16"/>
      <c r="AG3321" s="16"/>
      <c r="AH3321" s="16"/>
      <c r="AI3321" s="16"/>
      <c r="AJ3321" s="16"/>
      <c r="AK3321" s="16"/>
      <c r="AL3321" s="16"/>
      <c r="AM3321" s="16"/>
      <c r="AN3321" s="16"/>
      <c r="AO3321" s="16"/>
      <c r="AP3321" s="16"/>
      <c r="AQ3321" s="16"/>
      <c r="AR3321" s="16"/>
      <c r="AS3321" s="16"/>
    </row>
    <row r="3322" spans="18:45" x14ac:dyDescent="0.35">
      <c r="R3322" s="191"/>
      <c r="S3322" s="191"/>
      <c r="T3322" s="193"/>
      <c r="U3322" s="191"/>
      <c r="V3322" s="194"/>
      <c r="W3322" s="191"/>
      <c r="Y3322" s="191"/>
      <c r="Z3322" s="191"/>
      <c r="AA3322" s="191"/>
      <c r="AB3322" s="191"/>
      <c r="AC3322" s="191"/>
      <c r="AD3322" s="16"/>
      <c r="AE3322" s="16"/>
      <c r="AF3322" s="16"/>
      <c r="AG3322" s="16"/>
      <c r="AH3322" s="16"/>
      <c r="AI3322" s="16"/>
      <c r="AJ3322" s="16"/>
      <c r="AK3322" s="16"/>
      <c r="AL3322" s="16"/>
      <c r="AM3322" s="16"/>
      <c r="AN3322" s="16"/>
      <c r="AO3322" s="16"/>
      <c r="AP3322" s="16"/>
      <c r="AQ3322" s="16"/>
      <c r="AR3322" s="16"/>
      <c r="AS3322" s="16"/>
    </row>
    <row r="3323" spans="18:45" x14ac:dyDescent="0.35">
      <c r="R3323" s="191"/>
      <c r="S3323" s="191"/>
      <c r="T3323" s="193"/>
      <c r="U3323" s="191"/>
      <c r="V3323" s="194"/>
      <c r="W3323" s="191"/>
      <c r="Y3323" s="191"/>
      <c r="Z3323" s="191"/>
      <c r="AA3323" s="191"/>
      <c r="AB3323" s="191"/>
      <c r="AC3323" s="191"/>
      <c r="AD3323" s="16"/>
      <c r="AE3323" s="16"/>
      <c r="AF3323" s="16"/>
      <c r="AG3323" s="16"/>
      <c r="AH3323" s="16"/>
      <c r="AI3323" s="16"/>
      <c r="AJ3323" s="16"/>
      <c r="AK3323" s="16"/>
      <c r="AL3323" s="16"/>
      <c r="AM3323" s="16"/>
      <c r="AN3323" s="16"/>
      <c r="AO3323" s="16"/>
      <c r="AP3323" s="16"/>
      <c r="AQ3323" s="16"/>
      <c r="AR3323" s="16"/>
      <c r="AS3323" s="16"/>
    </row>
    <row r="3324" spans="18:45" x14ac:dyDescent="0.35">
      <c r="R3324" s="191"/>
      <c r="S3324" s="191"/>
      <c r="T3324" s="193"/>
      <c r="U3324" s="191"/>
      <c r="V3324" s="194"/>
      <c r="W3324" s="191"/>
      <c r="Y3324" s="191"/>
      <c r="Z3324" s="191"/>
      <c r="AA3324" s="191"/>
      <c r="AB3324" s="191"/>
      <c r="AC3324" s="191"/>
      <c r="AD3324" s="16"/>
      <c r="AE3324" s="16"/>
      <c r="AF3324" s="16"/>
      <c r="AG3324" s="16"/>
      <c r="AH3324" s="16"/>
      <c r="AI3324" s="16"/>
      <c r="AJ3324" s="16"/>
      <c r="AK3324" s="16"/>
      <c r="AL3324" s="16"/>
      <c r="AM3324" s="16"/>
      <c r="AN3324" s="16"/>
      <c r="AO3324" s="16"/>
      <c r="AP3324" s="16"/>
      <c r="AQ3324" s="16"/>
      <c r="AR3324" s="16"/>
      <c r="AS3324" s="16"/>
    </row>
    <row r="3325" spans="18:45" x14ac:dyDescent="0.35">
      <c r="R3325" s="191"/>
      <c r="S3325" s="191"/>
      <c r="T3325" s="193"/>
      <c r="U3325" s="191"/>
      <c r="V3325" s="194"/>
      <c r="W3325" s="191"/>
      <c r="Y3325" s="191"/>
      <c r="Z3325" s="191"/>
      <c r="AA3325" s="191"/>
      <c r="AB3325" s="191"/>
      <c r="AC3325" s="191"/>
      <c r="AD3325" s="16"/>
      <c r="AE3325" s="16"/>
      <c r="AF3325" s="16"/>
      <c r="AG3325" s="16"/>
      <c r="AH3325" s="16"/>
      <c r="AI3325" s="16"/>
      <c r="AJ3325" s="16"/>
      <c r="AK3325" s="16"/>
      <c r="AL3325" s="16"/>
      <c r="AM3325" s="16"/>
      <c r="AN3325" s="16"/>
      <c r="AO3325" s="16"/>
      <c r="AP3325" s="16"/>
      <c r="AQ3325" s="16"/>
      <c r="AR3325" s="16"/>
      <c r="AS3325" s="16"/>
    </row>
    <row r="3326" spans="18:45" x14ac:dyDescent="0.35">
      <c r="R3326" s="191"/>
      <c r="S3326" s="191"/>
      <c r="T3326" s="193"/>
      <c r="U3326" s="191"/>
      <c r="V3326" s="194"/>
      <c r="W3326" s="191"/>
      <c r="Y3326" s="191"/>
      <c r="Z3326" s="191"/>
      <c r="AA3326" s="191"/>
      <c r="AB3326" s="191"/>
      <c r="AC3326" s="191"/>
      <c r="AD3326" s="16"/>
      <c r="AE3326" s="16"/>
      <c r="AF3326" s="16"/>
      <c r="AG3326" s="16"/>
      <c r="AH3326" s="16"/>
      <c r="AI3326" s="16"/>
      <c r="AJ3326" s="16"/>
      <c r="AK3326" s="16"/>
      <c r="AL3326" s="16"/>
      <c r="AM3326" s="16"/>
      <c r="AN3326" s="16"/>
      <c r="AO3326" s="16"/>
      <c r="AP3326" s="16"/>
      <c r="AQ3326" s="16"/>
      <c r="AR3326" s="16"/>
      <c r="AS3326" s="16"/>
    </row>
    <row r="3327" spans="18:45" x14ac:dyDescent="0.35">
      <c r="R3327" s="191"/>
      <c r="S3327" s="191"/>
      <c r="T3327" s="193"/>
      <c r="U3327" s="191"/>
      <c r="V3327" s="194"/>
      <c r="W3327" s="191"/>
      <c r="Y3327" s="191"/>
      <c r="Z3327" s="191"/>
      <c r="AA3327" s="191"/>
      <c r="AB3327" s="191"/>
      <c r="AC3327" s="191"/>
      <c r="AD3327" s="16"/>
      <c r="AE3327" s="16"/>
      <c r="AF3327" s="16"/>
      <c r="AG3327" s="16"/>
      <c r="AH3327" s="16"/>
      <c r="AI3327" s="16"/>
      <c r="AJ3327" s="16"/>
      <c r="AK3327" s="16"/>
      <c r="AL3327" s="16"/>
      <c r="AM3327" s="16"/>
      <c r="AN3327" s="16"/>
      <c r="AO3327" s="16"/>
      <c r="AP3327" s="16"/>
      <c r="AQ3327" s="16"/>
      <c r="AR3327" s="16"/>
      <c r="AS3327" s="16"/>
    </row>
    <row r="3328" spans="18:45" x14ac:dyDescent="0.35">
      <c r="R3328" s="191"/>
      <c r="S3328" s="191"/>
      <c r="T3328" s="193"/>
      <c r="U3328" s="191"/>
      <c r="V3328" s="194"/>
      <c r="W3328" s="191"/>
      <c r="Y3328" s="191"/>
      <c r="Z3328" s="191"/>
      <c r="AA3328" s="191"/>
      <c r="AB3328" s="191"/>
      <c r="AC3328" s="191"/>
      <c r="AD3328" s="16"/>
      <c r="AE3328" s="16"/>
      <c r="AF3328" s="16"/>
      <c r="AG3328" s="16"/>
      <c r="AH3328" s="16"/>
      <c r="AI3328" s="16"/>
      <c r="AJ3328" s="16"/>
      <c r="AK3328" s="16"/>
      <c r="AL3328" s="16"/>
      <c r="AM3328" s="16"/>
      <c r="AN3328" s="16"/>
      <c r="AO3328" s="16"/>
      <c r="AP3328" s="16"/>
      <c r="AQ3328" s="16"/>
      <c r="AR3328" s="16"/>
      <c r="AS3328" s="16"/>
    </row>
    <row r="3329" spans="18:45" x14ac:dyDescent="0.35">
      <c r="R3329" s="191"/>
      <c r="S3329" s="191"/>
      <c r="T3329" s="193"/>
      <c r="U3329" s="191"/>
      <c r="V3329" s="194"/>
      <c r="W3329" s="191"/>
      <c r="Y3329" s="191"/>
      <c r="Z3329" s="191"/>
      <c r="AA3329" s="191"/>
      <c r="AB3329" s="191"/>
      <c r="AC3329" s="191"/>
      <c r="AD3329" s="16"/>
      <c r="AE3329" s="16"/>
      <c r="AF3329" s="16"/>
      <c r="AG3329" s="16"/>
      <c r="AH3329" s="16"/>
      <c r="AI3329" s="16"/>
      <c r="AJ3329" s="16"/>
      <c r="AK3329" s="16"/>
      <c r="AL3329" s="16"/>
      <c r="AM3329" s="16"/>
      <c r="AN3329" s="16"/>
      <c r="AO3329" s="16"/>
      <c r="AP3329" s="16"/>
      <c r="AQ3329" s="16"/>
      <c r="AR3329" s="16"/>
      <c r="AS3329" s="16"/>
    </row>
    <row r="3330" spans="18:45" x14ac:dyDescent="0.35">
      <c r="R3330" s="191"/>
      <c r="S3330" s="191"/>
      <c r="T3330" s="193"/>
      <c r="U3330" s="191"/>
      <c r="V3330" s="194"/>
      <c r="W3330" s="191"/>
      <c r="Y3330" s="191"/>
      <c r="Z3330" s="191"/>
      <c r="AA3330" s="191"/>
      <c r="AB3330" s="191"/>
      <c r="AC3330" s="191"/>
      <c r="AD3330" s="16"/>
      <c r="AE3330" s="16"/>
      <c r="AF3330" s="16"/>
      <c r="AG3330" s="16"/>
      <c r="AH3330" s="16"/>
      <c r="AI3330" s="16"/>
      <c r="AJ3330" s="16"/>
      <c r="AK3330" s="16"/>
      <c r="AL3330" s="16"/>
      <c r="AM3330" s="16"/>
      <c r="AN3330" s="16"/>
      <c r="AO3330" s="16"/>
      <c r="AP3330" s="16"/>
      <c r="AQ3330" s="16"/>
      <c r="AR3330" s="16"/>
      <c r="AS3330" s="16"/>
    </row>
    <row r="3331" spans="18:45" x14ac:dyDescent="0.35">
      <c r="R3331" s="191"/>
      <c r="S3331" s="191"/>
      <c r="T3331" s="193"/>
      <c r="U3331" s="191"/>
      <c r="V3331" s="194"/>
      <c r="W3331" s="191"/>
      <c r="Y3331" s="191"/>
      <c r="Z3331" s="191"/>
      <c r="AA3331" s="191"/>
      <c r="AB3331" s="191"/>
      <c r="AC3331" s="191"/>
      <c r="AD3331" s="16"/>
      <c r="AE3331" s="16"/>
      <c r="AF3331" s="16"/>
      <c r="AG3331" s="16"/>
      <c r="AH3331" s="16"/>
      <c r="AI3331" s="16"/>
      <c r="AJ3331" s="16"/>
      <c r="AK3331" s="16"/>
      <c r="AL3331" s="16"/>
      <c r="AM3331" s="16"/>
      <c r="AN3331" s="16"/>
      <c r="AO3331" s="16"/>
      <c r="AP3331" s="16"/>
      <c r="AQ3331" s="16"/>
      <c r="AR3331" s="16"/>
      <c r="AS3331" s="16"/>
    </row>
    <row r="3332" spans="18:45" x14ac:dyDescent="0.35">
      <c r="R3332" s="191"/>
      <c r="S3332" s="191"/>
      <c r="T3332" s="193"/>
      <c r="U3332" s="191"/>
      <c r="V3332" s="194"/>
      <c r="W3332" s="191"/>
      <c r="Y3332" s="191"/>
      <c r="Z3332" s="191"/>
      <c r="AA3332" s="191"/>
      <c r="AB3332" s="191"/>
      <c r="AC3332" s="191"/>
      <c r="AD3332" s="16"/>
      <c r="AE3332" s="16"/>
      <c r="AF3332" s="16"/>
      <c r="AG3332" s="16"/>
      <c r="AH3332" s="16"/>
      <c r="AI3332" s="16"/>
      <c r="AJ3332" s="16"/>
      <c r="AK3332" s="16"/>
      <c r="AL3332" s="16"/>
      <c r="AM3332" s="16"/>
      <c r="AN3332" s="16"/>
      <c r="AO3332" s="16"/>
      <c r="AP3332" s="16"/>
      <c r="AQ3332" s="16"/>
      <c r="AR3332" s="16"/>
      <c r="AS3332" s="16"/>
    </row>
  </sheetData>
  <conditionalFormatting sqref="D5:F5 H6:H351 F6:F350 D21:F21 D37:F37 F105:H351 D53:F53 D85:F85 D69:F69 G5:H350 D5:D525 J5:O525 Y5:Y525 BB5:BB364">
    <cfRule type="expression" dxfId="44" priority="77">
      <formula>#REF!=""</formula>
    </cfRule>
  </conditionalFormatting>
  <conditionalFormatting sqref="D70:H70 D86:H86 D54:H54 D6:H6 D22:H22 D38:H38 J6:O6 BB6">
    <cfRule type="expression" dxfId="43" priority="76">
      <formula>#REF!=""</formula>
    </cfRule>
  </conditionalFormatting>
  <conditionalFormatting sqref="G5:H525 J5:O525 Y5:Y525 BB5:BB364">
    <cfRule type="expression" dxfId="42" priority="39">
      <formula>#REF!=""</formula>
    </cfRule>
  </conditionalFormatting>
  <conditionalFormatting sqref="BC5:BC364">
    <cfRule type="expression" dxfId="41" priority="3">
      <formula>#REF!=""</formula>
    </cfRule>
  </conditionalFormatting>
  <conditionalFormatting sqref="BC6">
    <cfRule type="expression" dxfId="40" priority="2">
      <formula>#REF!=""</formula>
    </cfRule>
  </conditionalFormatting>
  <conditionalFormatting sqref="BC5:BC364">
    <cfRule type="expression" dxfId="39" priority="1">
      <formula>#REF!=""</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CB380"/>
  <sheetViews>
    <sheetView showGridLines="0" zoomScale="90" zoomScaleNormal="90" workbookViewId="0">
      <selection activeCell="AC17" sqref="AC17:AK17"/>
    </sheetView>
  </sheetViews>
  <sheetFormatPr baseColWidth="10" defaultColWidth="9.1796875" defaultRowHeight="14.5" x14ac:dyDescent="0.35"/>
  <cols>
    <col min="2" max="2" width="16.54296875" bestFit="1" customWidth="1"/>
    <col min="3" max="3" width="17.26953125" bestFit="1" customWidth="1"/>
    <col min="4" max="4" width="12.81640625" bestFit="1" customWidth="1"/>
    <col min="5" max="5" width="11.26953125" bestFit="1" customWidth="1"/>
    <col min="6" max="6" width="10.1796875" bestFit="1" customWidth="1"/>
    <col min="7" max="7" width="20.1796875" bestFit="1" customWidth="1"/>
    <col min="8" max="8" width="13.1796875" bestFit="1" customWidth="1"/>
    <col min="9" max="9" width="12.453125" bestFit="1" customWidth="1"/>
    <col min="10" max="11" width="21.54296875" bestFit="1" customWidth="1"/>
    <col min="12" max="13" width="26.54296875" bestFit="1" customWidth="1"/>
    <col min="14" max="14" width="26.54296875" customWidth="1"/>
    <col min="15" max="15" width="12.81640625" bestFit="1" customWidth="1"/>
    <col min="16" max="16" width="34.54296875" style="1" bestFit="1" customWidth="1"/>
    <col min="17" max="17" width="10.7265625" bestFit="1" customWidth="1"/>
    <col min="18" max="18" width="23.54296875" bestFit="1" customWidth="1"/>
    <col min="19" max="19" width="25.26953125" style="9" bestFit="1" customWidth="1"/>
    <col min="20" max="24" width="25.26953125" style="9" customWidth="1"/>
    <col min="25" max="25" width="14.453125" style="9" bestFit="1" customWidth="1"/>
    <col min="26" max="26" width="12.81640625" bestFit="1" customWidth="1"/>
    <col min="27" max="27" width="33.453125" bestFit="1" customWidth="1"/>
    <col min="28" max="28" width="12" bestFit="1" customWidth="1"/>
    <col min="29" max="29" width="33.453125" bestFit="1" customWidth="1"/>
    <col min="30" max="30" width="24.1796875" bestFit="1" customWidth="1"/>
    <col min="31" max="31" width="22.54296875" bestFit="1" customWidth="1"/>
    <col min="32" max="32" width="24.26953125" bestFit="1" customWidth="1"/>
    <col min="33" max="33" width="33.453125" bestFit="1" customWidth="1"/>
    <col min="34" max="34" width="13.26953125" bestFit="1" customWidth="1"/>
    <col min="35" max="35" width="15.1796875" customWidth="1"/>
    <col min="36" max="36" width="22.453125" bestFit="1" customWidth="1"/>
    <col min="37" max="37" width="24.1796875" bestFit="1" customWidth="1"/>
    <col min="38" max="38" width="25.453125" bestFit="1" customWidth="1"/>
    <col min="39" max="39" width="33.453125" bestFit="1" customWidth="1"/>
    <col min="40" max="44" width="33.453125" customWidth="1"/>
    <col min="46" max="46" width="19.81640625" bestFit="1" customWidth="1"/>
    <col min="47" max="47" width="33.453125" bestFit="1" customWidth="1"/>
    <col min="48" max="48" width="13" bestFit="1" customWidth="1"/>
    <col min="49" max="49" width="22.453125" bestFit="1" customWidth="1"/>
    <col min="50" max="50" width="24.1796875" bestFit="1" customWidth="1"/>
    <col min="51" max="51" width="13.26953125" bestFit="1" customWidth="1"/>
    <col min="52" max="53" width="35.1796875" bestFit="1" customWidth="1"/>
    <col min="54" max="54" width="36.81640625" bestFit="1" customWidth="1"/>
    <col min="55" max="55" width="26.453125" bestFit="1" customWidth="1"/>
    <col min="56" max="56" width="38.1796875" bestFit="1" customWidth="1"/>
    <col min="57" max="57" width="24.453125" bestFit="1" customWidth="1"/>
    <col min="58" max="58" width="10.81640625" bestFit="1" customWidth="1"/>
    <col min="59" max="59" width="9.81640625" bestFit="1" customWidth="1"/>
    <col min="60" max="60" width="18.7265625" bestFit="1" customWidth="1"/>
    <col min="61" max="61" width="10.81640625" bestFit="1" customWidth="1"/>
    <col min="62" max="62" width="21.81640625" bestFit="1" customWidth="1"/>
    <col min="63" max="64" width="26.7265625" bestFit="1" customWidth="1"/>
    <col min="65" max="67" width="13.54296875" bestFit="1" customWidth="1"/>
    <col min="68" max="68" width="13" bestFit="1" customWidth="1"/>
    <col min="69" max="69" width="10.7265625" bestFit="1" customWidth="1"/>
  </cols>
  <sheetData>
    <row r="1" spans="2:80" x14ac:dyDescent="0.35">
      <c r="R1" s="1"/>
      <c r="S1"/>
      <c r="T1"/>
      <c r="Z1" s="9"/>
      <c r="AA1" s="9"/>
    </row>
    <row r="2" spans="2:80" x14ac:dyDescent="0.35">
      <c r="B2" t="s">
        <v>2</v>
      </c>
      <c r="C2" s="7">
        <v>1</v>
      </c>
      <c r="Q2" t="s">
        <v>16</v>
      </c>
      <c r="R2" s="1" t="b">
        <v>1</v>
      </c>
      <c r="S2"/>
      <c r="T2"/>
      <c r="Z2" s="9"/>
      <c r="AA2" s="9"/>
    </row>
    <row r="3" spans="2:80" x14ac:dyDescent="0.35">
      <c r="R3" s="1"/>
      <c r="S3"/>
      <c r="T3"/>
      <c r="Z3" s="9"/>
      <c r="AA3" s="9"/>
      <c r="BD3" s="2" t="s">
        <v>21</v>
      </c>
    </row>
    <row r="4" spans="2:80" x14ac:dyDescent="0.35">
      <c r="B4" s="2" t="s">
        <v>3</v>
      </c>
      <c r="D4" s="7">
        <v>4</v>
      </c>
      <c r="G4" s="3" t="s">
        <v>8</v>
      </c>
      <c r="H4" s="7" t="str">
        <f>CHOOSE(D4,D19,E19,F19,G19,H19,I19,J19,K19,L19,M19,N19,O19,P19)</f>
        <v>Quality</v>
      </c>
      <c r="I4" s="7"/>
      <c r="J4" s="7"/>
      <c r="K4" s="7"/>
      <c r="L4" s="7"/>
      <c r="M4" s="7"/>
      <c r="N4" s="7"/>
      <c r="R4" s="1"/>
      <c r="S4"/>
      <c r="T4"/>
      <c r="Z4" s="9"/>
      <c r="AA4" s="9"/>
      <c r="AC4" t="s">
        <v>14</v>
      </c>
      <c r="AP4" t="s">
        <v>15</v>
      </c>
      <c r="BB4" s="33" t="str">
        <f>AP5</f>
        <v>OEE</v>
      </c>
    </row>
    <row r="5" spans="2:80" x14ac:dyDescent="0.35">
      <c r="B5" s="10" t="s">
        <v>4</v>
      </c>
      <c r="C5" s="4" t="str">
        <f>Data!C4</f>
        <v>Products</v>
      </c>
      <c r="D5" s="4" t="str">
        <f>Data!D4</f>
        <v>OEE</v>
      </c>
      <c r="E5" s="4" t="str">
        <f>Data!E4</f>
        <v>Availability</v>
      </c>
      <c r="F5" s="4" t="str">
        <f>Data!F4</f>
        <v>Performance</v>
      </c>
      <c r="G5" s="4" t="str">
        <f>Data!G4</f>
        <v>Quality</v>
      </c>
      <c r="H5" s="4" t="str">
        <f>Data!H4</f>
        <v>Labour Productivity</v>
      </c>
      <c r="I5" s="4" t="str">
        <f>Data!I4</f>
        <v>Yield</v>
      </c>
      <c r="J5" s="4" t="str">
        <f>Data!J4</f>
        <v>Share Of Frozen Meat</v>
      </c>
      <c r="K5" s="4" t="str">
        <f>Data!K4</f>
        <v>Throughput in 10kg/ hour</v>
      </c>
      <c r="L5" s="4" t="str">
        <f>Data!L4</f>
        <v>No of Line Workers per Hour</v>
      </c>
      <c r="M5" s="4" t="str">
        <f>Data!M4</f>
        <v>Regrind</v>
      </c>
      <c r="N5" s="4" t="str">
        <f>Data!N4</f>
        <v>Carry Over</v>
      </c>
      <c r="O5" s="4" t="str">
        <f>Data!O4</f>
        <v>Fat Content</v>
      </c>
      <c r="P5" s="4" t="str">
        <f>Data!P4</f>
        <v>Production Start Date</v>
      </c>
      <c r="Q5" s="5" t="str">
        <f t="shared" ref="Q5:AB5" si="0">AL19</f>
        <v>t OEE</v>
      </c>
      <c r="R5" s="5" t="str">
        <f t="shared" si="0"/>
        <v>t Availability</v>
      </c>
      <c r="S5" s="5" t="str">
        <f t="shared" si="0"/>
        <v>t Performance</v>
      </c>
      <c r="T5" s="5" t="str">
        <f t="shared" si="0"/>
        <v>t Quality</v>
      </c>
      <c r="U5" s="5" t="str">
        <f t="shared" si="0"/>
        <v>t Labour Productivity</v>
      </c>
      <c r="V5" s="5" t="str">
        <f t="shared" si="0"/>
        <v>t Yield</v>
      </c>
      <c r="W5" s="5" t="str">
        <f t="shared" si="0"/>
        <v>t Share Of Frozen Meat</v>
      </c>
      <c r="X5" s="5" t="str">
        <f t="shared" si="0"/>
        <v>t Throughput in 10 kg/ hour</v>
      </c>
      <c r="Y5" s="5" t="str">
        <f t="shared" si="0"/>
        <v>t No of Line Workers per Hour</v>
      </c>
      <c r="Z5" s="5" t="str">
        <f t="shared" si="0"/>
        <v>t Regrind</v>
      </c>
      <c r="AA5" s="5" t="str">
        <f t="shared" si="0"/>
        <v>Carry Over12</v>
      </c>
      <c r="AB5" s="5" t="str">
        <f t="shared" si="0"/>
        <v>Fat Content13</v>
      </c>
      <c r="AC5" s="23" t="str">
        <f t="shared" ref="AC5:AO5" si="1">D5</f>
        <v>OEE</v>
      </c>
      <c r="AD5" s="23" t="str">
        <f t="shared" si="1"/>
        <v>Availability</v>
      </c>
      <c r="AE5" s="23" t="str">
        <f t="shared" si="1"/>
        <v>Performance</v>
      </c>
      <c r="AF5" s="23" t="str">
        <f t="shared" si="1"/>
        <v>Quality</v>
      </c>
      <c r="AG5" s="23" t="str">
        <f t="shared" si="1"/>
        <v>Labour Productivity</v>
      </c>
      <c r="AH5" s="23" t="str">
        <f t="shared" si="1"/>
        <v>Yield</v>
      </c>
      <c r="AI5" s="23" t="str">
        <f t="shared" si="1"/>
        <v>Share Of Frozen Meat</v>
      </c>
      <c r="AJ5" s="23" t="str">
        <f t="shared" si="1"/>
        <v>Throughput in 10kg/ hour</v>
      </c>
      <c r="AK5" s="23" t="str">
        <f t="shared" si="1"/>
        <v>No of Line Workers per Hour</v>
      </c>
      <c r="AL5" s="23" t="str">
        <f t="shared" si="1"/>
        <v>Regrind</v>
      </c>
      <c r="AM5" s="23" t="str">
        <f t="shared" si="1"/>
        <v>Carry Over</v>
      </c>
      <c r="AN5" s="23" t="str">
        <f t="shared" si="1"/>
        <v>Fat Content</v>
      </c>
      <c r="AO5" s="23" t="str">
        <f t="shared" si="1"/>
        <v>Production Start Date</v>
      </c>
      <c r="AP5" s="26" t="str">
        <f t="shared" ref="AP5:BA5" si="2">AC5</f>
        <v>OEE</v>
      </c>
      <c r="AQ5" s="26" t="str">
        <f t="shared" si="2"/>
        <v>Availability</v>
      </c>
      <c r="AR5" s="26" t="str">
        <f t="shared" si="2"/>
        <v>Performance</v>
      </c>
      <c r="AS5" s="26" t="str">
        <f t="shared" si="2"/>
        <v>Quality</v>
      </c>
      <c r="AT5" s="26" t="str">
        <f t="shared" si="2"/>
        <v>Labour Productivity</v>
      </c>
      <c r="AU5" s="26" t="str">
        <f t="shared" si="2"/>
        <v>Yield</v>
      </c>
      <c r="AV5" s="26" t="str">
        <f t="shared" si="2"/>
        <v>Share Of Frozen Meat</v>
      </c>
      <c r="AW5" s="26" t="str">
        <f t="shared" si="2"/>
        <v>Throughput in 10kg/ hour</v>
      </c>
      <c r="AX5" s="26" t="str">
        <f t="shared" si="2"/>
        <v>No of Line Workers per Hour</v>
      </c>
      <c r="AY5" s="26" t="str">
        <f t="shared" si="2"/>
        <v>Regrind</v>
      </c>
      <c r="AZ5" s="26" t="str">
        <f t="shared" si="2"/>
        <v>Carry Over</v>
      </c>
      <c r="BA5" s="26" t="str">
        <f t="shared" si="2"/>
        <v>Fat Content</v>
      </c>
      <c r="BB5" s="33" t="str">
        <f>AQ5</f>
        <v>Availability</v>
      </c>
      <c r="BD5" s="5" t="str">
        <f t="shared" ref="BD5:BO5" si="3">D5</f>
        <v>OEE</v>
      </c>
      <c r="BE5" s="5" t="str">
        <f t="shared" si="3"/>
        <v>Availability</v>
      </c>
      <c r="BF5" s="5" t="str">
        <f t="shared" si="3"/>
        <v>Performance</v>
      </c>
      <c r="BG5" s="5" t="str">
        <f t="shared" si="3"/>
        <v>Quality</v>
      </c>
      <c r="BH5" s="5" t="str">
        <f t="shared" si="3"/>
        <v>Labour Productivity</v>
      </c>
      <c r="BI5" s="5" t="str">
        <f t="shared" si="3"/>
        <v>Yield</v>
      </c>
      <c r="BJ5" s="5" t="str">
        <f t="shared" si="3"/>
        <v>Share Of Frozen Meat</v>
      </c>
      <c r="BK5" s="5" t="str">
        <f t="shared" si="3"/>
        <v>Throughput in 10kg/ hour</v>
      </c>
      <c r="BL5" s="5" t="str">
        <f t="shared" si="3"/>
        <v>No of Line Workers per Hour</v>
      </c>
      <c r="BM5" s="5" t="str">
        <f t="shared" si="3"/>
        <v>Regrind</v>
      </c>
      <c r="BN5" s="5" t="str">
        <f t="shared" si="3"/>
        <v>Carry Over</v>
      </c>
      <c r="BO5" s="5" t="str">
        <f t="shared" si="3"/>
        <v>Fat Content</v>
      </c>
      <c r="BP5" s="2" t="s">
        <v>1</v>
      </c>
    </row>
    <row r="6" spans="2:80" x14ac:dyDescent="0.35">
      <c r="B6" s="153">
        <f>$C$2+ROWS($A$6:A6)-1</f>
        <v>1</v>
      </c>
      <c r="C6" s="4" t="str">
        <f>INDEX(lstSortedKPIs,$B6,COLUMNS($B$5:C5))</f>
        <v>Product 9</v>
      </c>
      <c r="D6" s="94">
        <f>INDEX(lstSortedKPIs,$B6,COLUMNS($B$5:D5))</f>
        <v>38.290598290598297</v>
      </c>
      <c r="E6" s="94">
        <f>INDEX(lstSortedKPIs,$B6,COLUMNS($B$5:E5))</f>
        <v>53.846153846153854</v>
      </c>
      <c r="F6" s="94">
        <f>INDEX(lstSortedKPIs,$B6,COLUMNS($B$5:F5))</f>
        <v>71.111111111111114</v>
      </c>
      <c r="G6" s="94">
        <f>INDEX(lstSortedKPIs,$B6,COLUMNS($B$5:G5))</f>
        <v>100</v>
      </c>
      <c r="H6" s="94">
        <f>INDEX(lstSortedKPIs,$B6,COLUMNS($B$5:H5))</f>
        <v>103.38461538461539</v>
      </c>
      <c r="I6" s="94">
        <f>INDEX(lstSortedKPIs,$B6,COLUMNS($B$5:I5))</f>
        <v>149.41634241245137</v>
      </c>
      <c r="J6" s="94">
        <f>INDEX(lstSortedKPIs,$B6,COLUMNS($B$5:J5))</f>
        <v>0</v>
      </c>
      <c r="K6" s="94">
        <f>INDEX(lstSortedKPIs,$B6,COLUMNS($B$5:K5))</f>
        <v>124.06153846153848</v>
      </c>
      <c r="L6" s="94">
        <f>INDEX(lstSortedKPIs,$B6,COLUMNS($B$5:L5))</f>
        <v>12</v>
      </c>
      <c r="M6" s="94">
        <f>INDEX(lstSortedKPIs,$B6,COLUMNS($B$5:M5))</f>
        <v>0</v>
      </c>
      <c r="N6" s="94">
        <f>INDEX(lstSortedKPIs,$B6,COLUMNS($B$5:N5))</f>
        <v>0</v>
      </c>
      <c r="O6" s="94">
        <f>INDEX(lstSortedKPIs,$B6,COLUMNS($B$5:O5))</f>
        <v>18</v>
      </c>
      <c r="P6" s="139">
        <f>INDEX(lstSortedKPIs,$B6,COLUMNS($B$5:P5))</f>
        <v>41731</v>
      </c>
      <c r="Q6" s="160">
        <f>IF($R$2,INDEX(lstTargets,$B6,COLUMNS($Q$5:Q5)),NA())</f>
        <v>87.317999999999998</v>
      </c>
      <c r="R6" s="160">
        <f>IF($R$2,INDEX(lstTargets,$B6,COLUMNS($Q$5:R5)),NA())</f>
        <v>90</v>
      </c>
      <c r="S6" s="160">
        <f>IF($R$2,INDEX(lstTargets,$B6,COLUMNS($Q$5:S5)),NA())</f>
        <v>98</v>
      </c>
      <c r="T6" s="160">
        <f>IF($R$2,INDEX(lstTargets,$B6,COLUMNS($Q$5:T5)),NA())</f>
        <v>99</v>
      </c>
      <c r="U6" s="18">
        <f>IF($R$2,INDEX(lstTargets,$B6,COLUMNS($Q$5:U5)),NA())</f>
        <v>270</v>
      </c>
      <c r="V6" s="160">
        <f>IF($R$2,INDEX(lstTargets,$B6,COLUMNS($Q$5:V5)),NA())</f>
        <v>0</v>
      </c>
      <c r="W6" s="160">
        <f>IF($R$2,INDEX(lstTargets,$B6,COLUMNS($Q$5:W5)),NA())</f>
        <v>40</v>
      </c>
      <c r="X6" s="18">
        <f>IF($R$2,INDEX(lstTargets,$B6,COLUMNS($Q$5:X5)),NA())</f>
        <v>324</v>
      </c>
      <c r="Y6" s="18">
        <f>IF($R$2,INDEX(lstTargets,$B6,COLUMNS($Q$5:Y5)),NA())</f>
        <v>12</v>
      </c>
      <c r="Z6" s="18">
        <f>IF($R$2,INDEX(lstTargets,$B6,COLUMNS($Q$5:Z5)),NA())</f>
        <v>0</v>
      </c>
      <c r="AA6" s="18">
        <f>IF($R$2,INDEX(lstTargets,$B6,COLUMNS($Q$5:AA5)),NA())</f>
        <v>0</v>
      </c>
      <c r="AB6" s="18">
        <f>IF($R$2,INDEX(lstTargets,$B6,COLUMNS($Q$5:AB5)),NA())</f>
        <v>20</v>
      </c>
      <c r="AC6" s="24">
        <f t="shared" ref="AC6:AC15" si="4">PERCENTRANK(X$20:X$379,D6)</f>
        <v>0.311</v>
      </c>
      <c r="AD6" s="24">
        <f t="shared" ref="AD6:AD15" si="5">PERCENTRANK(Y$20:Y$379,E6)</f>
        <v>0.311</v>
      </c>
      <c r="AE6" s="24">
        <f t="shared" ref="AE6:AE15" si="6">PERCENTRANK(Z$20:Z$379,F6)</f>
        <v>0.32</v>
      </c>
      <c r="AF6" s="24">
        <f t="shared" ref="AF6:AF15" si="7">PERCENTRANK(AA$20:AA$379,G6)</f>
        <v>0.97699999999999998</v>
      </c>
      <c r="AG6" s="24">
        <f t="shared" ref="AG6:AG15" si="8">PERCENTRANK(AB$20:AB$379,H6)</f>
        <v>0.311</v>
      </c>
      <c r="AH6" s="24">
        <f t="shared" ref="AH6:AH15" si="9">PERCENTRANK(AC$20:AC$379,I6)</f>
        <v>0.77900000000000003</v>
      </c>
      <c r="AI6" s="24">
        <f t="shared" ref="AI6:AI15" si="10">PERCENTRANK(AD$20:AD$379,J6)</f>
        <v>0</v>
      </c>
      <c r="AJ6" s="24">
        <f t="shared" ref="AJ6:AJ15" si="11">PERCENTRANK(AE$20:AE$379,K6)</f>
        <v>0.30599999999999999</v>
      </c>
      <c r="AK6" s="24">
        <f t="shared" ref="AK6:AK15" si="12">PERCENTRANK(AF$20:AF$379,L6)</f>
        <v>0.3</v>
      </c>
      <c r="AL6" s="24">
        <f t="shared" ref="AL6:AL15" si="13">PERCENTRANK(AG$20:AG$379,M6)</f>
        <v>0</v>
      </c>
      <c r="AM6" s="24">
        <f t="shared" ref="AM6:AM15" si="14">PERCENTRANK(AH$20:AH$379,N6)</f>
        <v>0</v>
      </c>
      <c r="AN6" s="24">
        <f t="shared" ref="AN6:AN15" si="15">PERCENTRANK(AI$20:AI$379,O6)</f>
        <v>0.44800000000000001</v>
      </c>
      <c r="AP6" s="25" t="str">
        <f t="shared" ref="AP6:AP15" si="16">IF(AC6&gt;=$BD$15,2,IF(AC6&lt;=$AZ$16,0,""))</f>
        <v/>
      </c>
      <c r="AQ6" s="25" t="str">
        <f t="shared" ref="AQ6:AQ15" si="17">IF(AD6&gt;=$BD$15,2,IF(AD6&lt;=$AZ$16,0,""))</f>
        <v/>
      </c>
      <c r="AR6" s="25" t="str">
        <f t="shared" ref="AR6:AR15" si="18">IF(AE6&gt;=$BD$15,2,IF(AE6&lt;=$AZ$16,0,""))</f>
        <v/>
      </c>
      <c r="AS6" s="25">
        <f t="shared" ref="AS6:AS15" si="19">IF(AF6&gt;=$BD$15,2,IF(AF6&lt;=$AZ$16,0,""))</f>
        <v>2</v>
      </c>
      <c r="AT6" s="25" t="str">
        <f t="shared" ref="AT6:AT15" si="20">IF(AG6&gt;=$BD$15,2,IF(AG6&lt;=$AZ$16,0,""))</f>
        <v/>
      </c>
      <c r="AU6" s="25" t="str">
        <f t="shared" ref="AU6:AU15" si="21">IF(AH6&gt;=$BD$15,2,IF(AH6&lt;=$AZ$16,0,""))</f>
        <v/>
      </c>
      <c r="AV6" s="25">
        <f t="shared" ref="AV6:AV15" si="22">IF(AI6&gt;=$BD$15,2,IF(AI6&lt;=$AZ$16,0,""))</f>
        <v>0</v>
      </c>
      <c r="AW6" s="25" t="str">
        <f t="shared" ref="AW6:AW15" si="23">IF(AJ6&gt;=$BD$15,2,IF(AJ6&lt;=$AZ$16,0,""))</f>
        <v/>
      </c>
      <c r="AX6" s="25" t="str">
        <f t="shared" ref="AX6:AX15" si="24">IF(AK6&gt;=$BD$15,2,IF(AK6&lt;=$AZ$16,0,""))</f>
        <v/>
      </c>
      <c r="AY6" s="25">
        <f t="shared" ref="AY6:AY15" si="25">IF(AL6&gt;=$BD$15,2,IF(AL6&lt;=$AZ$16,0,""))</f>
        <v>0</v>
      </c>
      <c r="AZ6" s="25">
        <f t="shared" ref="AZ6:AZ15" si="26">IF(AM6&gt;=$BD$15,2,IF(AM6&lt;=$AZ$16,0,""))</f>
        <v>0</v>
      </c>
      <c r="BA6" s="25" t="str">
        <f t="shared" ref="BA6:BA15" si="27">IF(AN6&gt;=$BD$15,2,IF(AN6&lt;=$AZ$16,0,""))</f>
        <v/>
      </c>
      <c r="BB6" s="33" t="str">
        <f>AR5</f>
        <v>Performance</v>
      </c>
      <c r="BD6" s="5">
        <f>LARGE(INDEX(lstddkpis,,COLUMNS($BD$5:BD$5)),ROWS($BC$6:BC6))</f>
        <v>120.56451633603226</v>
      </c>
      <c r="BE6" s="5">
        <f>LARGE(INDEX(lstddkpis,,COLUMNS($BD$5:BE$5)),ROWS($BC$6:BD6))</f>
        <v>100.000000216</v>
      </c>
      <c r="BF6" s="5">
        <f>LARGE(INDEX(lstddkpis,,COLUMNS($BD$5:BF$5)),ROWS($BC$6:BE6))</f>
        <v>144.77765558733395</v>
      </c>
      <c r="BG6" s="5">
        <f>LARGE(INDEX(lstddkpis,,COLUMNS($BD$5:BG$5)),ROWS($BC$6:BF6))</f>
        <v>100.000000247</v>
      </c>
      <c r="BH6" s="5">
        <f>LARGE(INDEX(lstddkpis,,COLUMNS($BD$5:BH$5)),ROWS($BC$6:BG6))</f>
        <v>364.6342139505258</v>
      </c>
      <c r="BI6" s="5">
        <f>LARGE(INDEX(lstddkpis,,COLUMNS($BD$5:BI$5)),ROWS($BC$6:BH6))</f>
        <v>232.35294141847061</v>
      </c>
      <c r="BJ6" s="5">
        <f>LARGE(INDEX(lstddkpis,,COLUMNS($BD$5:BJ$5)),ROWS($BC$6:BI6))</f>
        <v>100.00000023699999</v>
      </c>
      <c r="BK6" s="5">
        <f>LARGE(INDEX(lstddkpis,,COLUMNS($BD$5:BK$5)),ROWS($BC$6:BJ6))</f>
        <v>437.56105673403096</v>
      </c>
      <c r="BL6" s="5">
        <f>LARGE(INDEX(lstddkpis,,COLUMNS($BD$5:BL$5)),ROWS($BC$6:BK6))</f>
        <v>12.000000252</v>
      </c>
      <c r="BM6" s="5">
        <f>LARGE(INDEX(lstddkpis,,COLUMNS($BD$5:BM$5)),ROWS($BC$6:BL6))</f>
        <v>1.1400091685648583</v>
      </c>
      <c r="BN6" s="5">
        <f>LARGE(INDEX(lstddkpis,,COLUMNS($BD$5:BN$5)),ROWS($BC$6:BM6))</f>
        <v>2.5200000000000003E-7</v>
      </c>
      <c r="BO6" s="5">
        <f>LARGE(INDEX(lstddkpis,,COLUMNS($BD$5:BO$5)),ROWS($BC$6:BN6))</f>
        <v>30.000000231000001</v>
      </c>
      <c r="BP6" s="4" t="str">
        <f>INDEX($C$20:$C$379,BD10)</f>
        <v>Product 22</v>
      </c>
      <c r="BQ6" s="4" t="str">
        <f t="shared" ref="BQ6:CA8" si="28">INDEX($C$20:$C$379,BE10)</f>
        <v>Product 6</v>
      </c>
      <c r="BR6" s="4" t="str">
        <f t="shared" si="28"/>
        <v>Product 22</v>
      </c>
      <c r="BS6" s="4" t="str">
        <f t="shared" si="28"/>
        <v>Product 9</v>
      </c>
      <c r="BT6" s="4" t="str">
        <f t="shared" si="28"/>
        <v>Product 3</v>
      </c>
      <c r="BU6" s="4" t="str">
        <f t="shared" si="28"/>
        <v>Product 27</v>
      </c>
      <c r="BV6" s="4" t="str">
        <f t="shared" si="28"/>
        <v>Product 5</v>
      </c>
      <c r="BW6" s="4" t="str">
        <f t="shared" si="28"/>
        <v>Product 3</v>
      </c>
      <c r="BX6" s="4" t="str">
        <f t="shared" si="28"/>
        <v>Product 17</v>
      </c>
      <c r="BY6" s="4" t="str">
        <f t="shared" si="28"/>
        <v>Product 3</v>
      </c>
      <c r="BZ6" s="4" t="str">
        <f t="shared" si="28"/>
        <v>Product 17</v>
      </c>
      <c r="CA6" s="4" t="str">
        <f t="shared" si="28"/>
        <v>Product 3</v>
      </c>
      <c r="CB6" s="4"/>
    </row>
    <row r="7" spans="2:80" x14ac:dyDescent="0.35">
      <c r="B7" s="153">
        <f>$C$2+ROWS($A$6:A7)-1</f>
        <v>2</v>
      </c>
      <c r="C7" s="4" t="str">
        <f>INDEX(lstSortedKPIs,$B7,COLUMNS($B$5:C6))</f>
        <v>Product 9</v>
      </c>
      <c r="D7" s="94">
        <f>INDEX(lstSortedKPIs,$B7,COLUMNS($B$5:D6))</f>
        <v>19.911111111111111</v>
      </c>
      <c r="E7" s="94">
        <f>INDEX(lstSortedKPIs,$B7,COLUMNS($B$5:E6))</f>
        <v>76.428571428571416</v>
      </c>
      <c r="F7" s="94">
        <f>INDEX(lstSortedKPIs,$B7,COLUMNS($B$5:F6))</f>
        <v>26.051921079958461</v>
      </c>
      <c r="G7" s="94">
        <f>INDEX(lstSortedKPIs,$B7,COLUMNS($B$5:G6))</f>
        <v>100</v>
      </c>
      <c r="H7" s="94">
        <f>INDEX(lstSortedKPIs,$B7,COLUMNS($B$5:H6))</f>
        <v>53.76</v>
      </c>
      <c r="I7" s="94">
        <f>INDEX(lstSortedKPIs,$B7,COLUMNS($B$5:I6))</f>
        <v>187.69077306733166</v>
      </c>
      <c r="J7" s="94">
        <f>INDEX(lstSortedKPIs,$B7,COLUMNS($B$5:J6))</f>
        <v>0</v>
      </c>
      <c r="K7" s="94">
        <f>INDEX(lstSortedKPIs,$B7,COLUMNS($B$5:K6))</f>
        <v>64.511999999999986</v>
      </c>
      <c r="L7" s="94">
        <f>INDEX(lstSortedKPIs,$B7,COLUMNS($B$5:L6))</f>
        <v>12</v>
      </c>
      <c r="M7" s="94">
        <f>INDEX(lstSortedKPIs,$B7,COLUMNS($B$5:M6))</f>
        <v>0</v>
      </c>
      <c r="N7" s="94">
        <f>INDEX(lstSortedKPIs,$B7,COLUMNS($B$5:N6))</f>
        <v>0</v>
      </c>
      <c r="O7" s="94">
        <f>INDEX(lstSortedKPIs,$B7,COLUMNS($B$5:O6))</f>
        <v>14</v>
      </c>
      <c r="P7" s="139">
        <f>INDEX(lstSortedKPIs,$B7,COLUMNS($B$5:P6))</f>
        <v>41710</v>
      </c>
      <c r="Q7" s="160">
        <f>IF($R$2,INDEX(lstTargets,$B7,COLUMNS($Q$5:Q6)),NA())</f>
        <v>87.317999999999998</v>
      </c>
      <c r="R7" s="160">
        <f>IF($R$2,INDEX(lstTargets,$B7,COLUMNS($Q$5:R6)),NA())</f>
        <v>90</v>
      </c>
      <c r="S7" s="160">
        <f>IF($R$2,INDEX(lstTargets,$B7,COLUMNS($Q$5:S6)),NA())</f>
        <v>98</v>
      </c>
      <c r="T7" s="160">
        <f>IF($R$2,INDEX(lstTargets,$B7,COLUMNS($Q$5:T6)),NA())</f>
        <v>99</v>
      </c>
      <c r="U7" s="18">
        <f>IF($R$2,INDEX(lstTargets,$B7,COLUMNS($Q$5:U6)),NA())</f>
        <v>270</v>
      </c>
      <c r="V7" s="160">
        <f>IF($R$2,INDEX(lstTargets,$B7,COLUMNS($Q$5:V6)),NA())</f>
        <v>0</v>
      </c>
      <c r="W7" s="160">
        <f>IF($R$2,INDEX(lstTargets,$B7,COLUMNS($Q$5:W6)),NA())</f>
        <v>40</v>
      </c>
      <c r="X7" s="18">
        <f>IF($R$2,INDEX(lstTargets,$B7,COLUMNS($Q$5:X6)),NA())</f>
        <v>324</v>
      </c>
      <c r="Y7" s="18">
        <f>IF($R$2,INDEX(lstTargets,$B7,COLUMNS($Q$5:Y6)),NA())</f>
        <v>12</v>
      </c>
      <c r="Z7" s="18">
        <f>IF($R$2,INDEX(lstTargets,$B7,COLUMNS($Q$5:Z6)),NA())</f>
        <v>0</v>
      </c>
      <c r="AA7" s="18">
        <f>IF($R$2,INDEX(lstTargets,$B7,COLUMNS($Q$5:AA6)),NA())</f>
        <v>0</v>
      </c>
      <c r="AB7" s="18">
        <f>IF($R$2,INDEX(lstTargets,$B7,COLUMNS($Q$5:AB6)),NA())</f>
        <v>20</v>
      </c>
      <c r="AC7" s="24">
        <f t="shared" si="4"/>
        <v>0.30299999999999999</v>
      </c>
      <c r="AD7" s="24">
        <f t="shared" si="5"/>
        <v>0.37</v>
      </c>
      <c r="AE7" s="24">
        <f t="shared" si="6"/>
        <v>0.3</v>
      </c>
      <c r="AF7" s="24">
        <f t="shared" si="7"/>
        <v>0.97699999999999998</v>
      </c>
      <c r="AG7" s="24">
        <f t="shared" si="8"/>
        <v>0.30599999999999999</v>
      </c>
      <c r="AH7" s="24">
        <f t="shared" si="9"/>
        <v>0.97699999999999998</v>
      </c>
      <c r="AI7" s="24">
        <f t="shared" si="10"/>
        <v>0</v>
      </c>
      <c r="AJ7" s="24">
        <f t="shared" si="11"/>
        <v>0.3</v>
      </c>
      <c r="AK7" s="24">
        <f t="shared" si="12"/>
        <v>0.3</v>
      </c>
      <c r="AL7" s="24">
        <f t="shared" si="13"/>
        <v>0</v>
      </c>
      <c r="AM7" s="24">
        <f t="shared" si="14"/>
        <v>0</v>
      </c>
      <c r="AN7" s="24">
        <f t="shared" si="15"/>
        <v>0.3</v>
      </c>
      <c r="AP7" s="25" t="str">
        <f t="shared" si="16"/>
        <v/>
      </c>
      <c r="AQ7" s="25" t="str">
        <f t="shared" si="17"/>
        <v/>
      </c>
      <c r="AR7" s="25" t="str">
        <f t="shared" si="18"/>
        <v/>
      </c>
      <c r="AS7" s="25">
        <f t="shared" si="19"/>
        <v>2</v>
      </c>
      <c r="AT7" s="25" t="str">
        <f t="shared" si="20"/>
        <v/>
      </c>
      <c r="AU7" s="25">
        <f t="shared" si="21"/>
        <v>2</v>
      </c>
      <c r="AV7" s="25">
        <f t="shared" si="22"/>
        <v>0</v>
      </c>
      <c r="AW7" s="25" t="str">
        <f t="shared" si="23"/>
        <v/>
      </c>
      <c r="AX7" s="25" t="str">
        <f t="shared" si="24"/>
        <v/>
      </c>
      <c r="AY7" s="25">
        <f t="shared" si="25"/>
        <v>0</v>
      </c>
      <c r="AZ7" s="25">
        <f t="shared" si="26"/>
        <v>0</v>
      </c>
      <c r="BA7" s="25" t="str">
        <f t="shared" si="27"/>
        <v/>
      </c>
      <c r="BB7" s="33" t="str">
        <f>AS5</f>
        <v>Quality</v>
      </c>
      <c r="BD7" s="5">
        <f>LARGE(INDEX(lstddkpis,,COLUMNS($BD$5:BD$5)),ROWS($BC$6:BC7))</f>
        <v>111.00628944017613</v>
      </c>
      <c r="BE7" s="5">
        <f>LARGE(INDEX(lstddkpis,,COLUMNS($BD$5:BE$5)),ROWS($BC$6:BD7))</f>
        <v>100.000000172</v>
      </c>
      <c r="BF7" s="5">
        <f>LARGE(INDEX(lstddkpis,,COLUMNS($BD$5:BF$5)),ROWS($BC$6:BE7))</f>
        <v>126.94501185577282</v>
      </c>
      <c r="BG7" s="5">
        <f>LARGE(INDEX(lstddkpis,,COLUMNS($BD$5:BG$5)),ROWS($BC$6:BF7))</f>
        <v>100.000000184</v>
      </c>
      <c r="BH7" s="5">
        <f>LARGE(INDEX(lstddkpis,,COLUMNS($BD$5:BH$5)),ROWS($BC$6:BG7))</f>
        <v>360.36182163533829</v>
      </c>
      <c r="BI7" s="5">
        <f>LARGE(INDEX(lstddkpis,,COLUMNS($BD$5:BI$5)),ROWS($BC$6:BH7))</f>
        <v>216.71764219731909</v>
      </c>
      <c r="BJ7" s="5">
        <f>LARGE(INDEX(lstddkpis,,COLUMNS($BD$5:BJ$5)),ROWS($BC$6:BI7))</f>
        <v>100.000000218</v>
      </c>
      <c r="BK7" s="5">
        <f>LARGE(INDEX(lstddkpis,,COLUMNS($BD$5:BK$5)),ROWS($BC$6:BJ7))</f>
        <v>432.43418594760595</v>
      </c>
      <c r="BL7" s="5">
        <f>LARGE(INDEX(lstddkpis,,COLUMNS($BD$5:BL$5)),ROWS($BC$6:BK7))</f>
        <v>12.000000250999999</v>
      </c>
      <c r="BM7" s="5">
        <f>LARGE(INDEX(lstddkpis,,COLUMNS($BD$5:BM$5)),ROWS($BC$6:BL7))</f>
        <v>2.5200000000000003E-7</v>
      </c>
      <c r="BN7" s="5">
        <f>LARGE(INDEX(lstddkpis,,COLUMNS($BD$5:BN$5)),ROWS($BC$6:BM7))</f>
        <v>2.5100000000000001E-7</v>
      </c>
      <c r="BO7" s="5">
        <f>LARGE(INDEX(lstddkpis,,COLUMNS($BD$5:BO$5)),ROWS($BC$6:BN7))</f>
        <v>30.000000230000001</v>
      </c>
      <c r="BP7" s="4" t="str">
        <f>INDEX($C$20:$C$379,BD11)</f>
        <v>Product 23</v>
      </c>
      <c r="BQ7" s="4" t="str">
        <f t="shared" si="28"/>
        <v>Product 6</v>
      </c>
      <c r="BR7" s="4" t="str">
        <f t="shared" si="28"/>
        <v>Product 23</v>
      </c>
      <c r="BS7" s="4" t="str">
        <f t="shared" si="28"/>
        <v>Product 9</v>
      </c>
      <c r="BT7" s="4" t="str">
        <f t="shared" si="28"/>
        <v>Product 3</v>
      </c>
      <c r="BU7" s="4" t="str">
        <f t="shared" si="28"/>
        <v>Product 26</v>
      </c>
      <c r="BV7" s="4" t="str">
        <f t="shared" si="28"/>
        <v>Product 5</v>
      </c>
      <c r="BW7" s="4" t="str">
        <f t="shared" si="28"/>
        <v>Product 3</v>
      </c>
      <c r="BX7" s="4" t="str">
        <f t="shared" si="28"/>
        <v>Product 3</v>
      </c>
      <c r="BY7" s="4" t="str">
        <f t="shared" si="28"/>
        <v>Product 17</v>
      </c>
      <c r="BZ7" s="4" t="str">
        <f t="shared" si="28"/>
        <v>Product 3</v>
      </c>
      <c r="CA7" s="4" t="str">
        <f t="shared" si="28"/>
        <v>Product 13</v>
      </c>
      <c r="CB7" s="4"/>
    </row>
    <row r="8" spans="2:80" x14ac:dyDescent="0.35">
      <c r="B8" s="153">
        <f>$C$2+ROWS($A$6:A8)-1</f>
        <v>3</v>
      </c>
      <c r="C8" s="4" t="str">
        <f>INDEX(lstSortedKPIs,$B8,COLUMNS($B$5:C7))</f>
        <v>Product 17</v>
      </c>
      <c r="D8" s="94">
        <f>INDEX(lstSortedKPIs,$B8,COLUMNS($B$5:D7))</f>
        <v>49.981671554252202</v>
      </c>
      <c r="E8" s="94">
        <f>INDEX(lstSortedKPIs,$B8,COLUMNS($B$5:E7))</f>
        <v>62.903225806451616</v>
      </c>
      <c r="F8" s="94">
        <f>INDEX(lstSortedKPIs,$B8,COLUMNS($B$5:F7))</f>
        <v>79.45804195804196</v>
      </c>
      <c r="G8" s="94">
        <f>INDEX(lstSortedKPIs,$B8,COLUMNS($B$5:G7))</f>
        <v>100</v>
      </c>
      <c r="H8" s="94">
        <f>INDEX(lstSortedKPIs,$B8,COLUMNS($B$5:H7))</f>
        <v>175.93548387096774</v>
      </c>
      <c r="I8" s="94">
        <f>INDEX(lstSortedKPIs,$B8,COLUMNS($B$5:I7))</f>
        <v>164.88051151049777</v>
      </c>
      <c r="J8" s="94">
        <f>INDEX(lstSortedKPIs,$B8,COLUMNS($B$5:J7))</f>
        <v>71.486617789947886</v>
      </c>
      <c r="K8" s="94">
        <f>INDEX(lstSortedKPIs,$B8,COLUMNS($B$5:K7))</f>
        <v>211.12258064516126</v>
      </c>
      <c r="L8" s="94">
        <f>INDEX(lstSortedKPIs,$B8,COLUMNS($B$5:L7))</f>
        <v>12</v>
      </c>
      <c r="M8" s="94">
        <f>INDEX(lstSortedKPIs,$B8,COLUMNS($B$5:M7))</f>
        <v>0</v>
      </c>
      <c r="N8" s="94">
        <f>INDEX(lstSortedKPIs,$B8,COLUMNS($B$5:N7))</f>
        <v>0</v>
      </c>
      <c r="O8" s="94">
        <f>INDEX(lstSortedKPIs,$B8,COLUMNS($B$5:O7))</f>
        <v>26</v>
      </c>
      <c r="P8" s="139">
        <f>INDEX(lstSortedKPIs,$B8,COLUMNS($B$5:P7))</f>
        <v>41704</v>
      </c>
      <c r="Q8" s="160">
        <f>IF($R$2,INDEX(lstTargets,$B8,COLUMNS($Q$5:Q7)),NA())</f>
        <v>87.494399999999999</v>
      </c>
      <c r="R8" s="160">
        <f>IF($R$2,INDEX(lstTargets,$B8,COLUMNS($Q$5:R7)),NA())</f>
        <v>90</v>
      </c>
      <c r="S8" s="160">
        <f>IF($R$2,INDEX(lstTargets,$B8,COLUMNS($Q$5:S7)),NA())</f>
        <v>98</v>
      </c>
      <c r="T8" s="160">
        <f>IF($R$2,INDEX(lstTargets,$B8,COLUMNS($Q$5:T7)),NA())</f>
        <v>99.2</v>
      </c>
      <c r="U8" s="18">
        <f>IF($R$2,INDEX(lstTargets,$B8,COLUMNS($Q$5:U7)),NA())</f>
        <v>352</v>
      </c>
      <c r="V8" s="160">
        <f>IF($R$2,INDEX(lstTargets,$B8,COLUMNS($Q$5:V7)),NA())</f>
        <v>0</v>
      </c>
      <c r="W8" s="160">
        <f>IF($R$2,INDEX(lstTargets,$B8,COLUMNS($Q$5:W7)),NA())</f>
        <v>40</v>
      </c>
      <c r="X8" s="18">
        <f>IF($R$2,INDEX(lstTargets,$B8,COLUMNS($Q$5:X7)),NA())</f>
        <v>422.4</v>
      </c>
      <c r="Y8" s="18">
        <f>IF($R$2,INDEX(lstTargets,$B8,COLUMNS($Q$5:Y7)),NA())</f>
        <v>12</v>
      </c>
      <c r="Z8" s="18">
        <f>IF($R$2,INDEX(lstTargets,$B8,COLUMNS($Q$5:Z7)),NA())</f>
        <v>0</v>
      </c>
      <c r="AA8" s="18">
        <f>IF($R$2,INDEX(lstTargets,$B8,COLUMNS($Q$5:AA7)),NA())</f>
        <v>0</v>
      </c>
      <c r="AB8" s="18">
        <f>IF($R$2,INDEX(lstTargets,$B8,COLUMNS($Q$5:AB7)),NA())</f>
        <v>20</v>
      </c>
      <c r="AC8" s="24">
        <f t="shared" si="4"/>
        <v>0.32800000000000001</v>
      </c>
      <c r="AD8" s="24">
        <f t="shared" si="5"/>
        <v>0.32800000000000001</v>
      </c>
      <c r="AE8" s="24">
        <f t="shared" si="6"/>
        <v>0.34799999999999998</v>
      </c>
      <c r="AF8" s="24">
        <f t="shared" si="7"/>
        <v>0.97699999999999998</v>
      </c>
      <c r="AG8" s="24">
        <f t="shared" si="8"/>
        <v>0.36399999999999999</v>
      </c>
      <c r="AH8" s="24">
        <f t="shared" si="9"/>
        <v>0.80200000000000005</v>
      </c>
      <c r="AI8" s="24">
        <f t="shared" si="10"/>
        <v>0.89600000000000002</v>
      </c>
      <c r="AJ8" s="24">
        <f t="shared" si="11"/>
        <v>0.36199999999999999</v>
      </c>
      <c r="AK8" s="24">
        <f t="shared" si="12"/>
        <v>0.3</v>
      </c>
      <c r="AL8" s="24">
        <f t="shared" si="13"/>
        <v>0</v>
      </c>
      <c r="AM8" s="24">
        <f t="shared" si="14"/>
        <v>0</v>
      </c>
      <c r="AN8" s="24">
        <f t="shared" si="15"/>
        <v>0.80700000000000005</v>
      </c>
      <c r="AP8" s="25" t="str">
        <f t="shared" si="16"/>
        <v/>
      </c>
      <c r="AQ8" s="25" t="str">
        <f t="shared" si="17"/>
        <v/>
      </c>
      <c r="AR8" s="25" t="str">
        <f t="shared" si="18"/>
        <v/>
      </c>
      <c r="AS8" s="25">
        <f t="shared" si="19"/>
        <v>2</v>
      </c>
      <c r="AT8" s="25" t="str">
        <f t="shared" si="20"/>
        <v/>
      </c>
      <c r="AU8" s="25" t="str">
        <f t="shared" si="21"/>
        <v/>
      </c>
      <c r="AV8" s="25" t="str">
        <f t="shared" si="22"/>
        <v/>
      </c>
      <c r="AW8" s="25" t="str">
        <f t="shared" si="23"/>
        <v/>
      </c>
      <c r="AX8" s="25" t="str">
        <f t="shared" si="24"/>
        <v/>
      </c>
      <c r="AY8" s="25">
        <f t="shared" si="25"/>
        <v>0</v>
      </c>
      <c r="AZ8" s="25">
        <f t="shared" si="26"/>
        <v>0</v>
      </c>
      <c r="BA8" s="25" t="str">
        <f t="shared" si="27"/>
        <v/>
      </c>
      <c r="BB8" s="33" t="str">
        <f>AT5</f>
        <v>Labour Productivity</v>
      </c>
      <c r="BD8" s="5">
        <f>LARGE(INDEX(lstddkpis,,COLUMNS($BD$5:BD$5)),ROWS($BC$6:BC8))</f>
        <v>108.33333335033333</v>
      </c>
      <c r="BE8" s="5">
        <f>LARGE(INDEX(lstddkpis,,COLUMNS($BD$5:BE$5)),ROWS($BC$6:BD8))</f>
        <v>100.000000171</v>
      </c>
      <c r="BF8" s="5">
        <f>LARGE(INDEX(lstddkpis,,COLUMNS($BD$5:BF$5)),ROWS($BC$6:BE8))</f>
        <v>118.81720431807526</v>
      </c>
      <c r="BG8" s="5">
        <f>LARGE(INDEX(lstddkpis,,COLUMNS($BD$5:BG$5)),ROWS($BC$6:BF8))</f>
        <v>100.00000017399999</v>
      </c>
      <c r="BH8" s="5">
        <f>LARGE(INDEX(lstddkpis,,COLUMNS($BD$5:BH$5)),ROWS($BC$6:BG8))</f>
        <v>357.9247313557957</v>
      </c>
      <c r="BI8" s="5">
        <f>LARGE(INDEX(lstddkpis,,COLUMNS($BD$5:BI$5)),ROWS($BC$6:BH8))</f>
        <v>210.64273540501841</v>
      </c>
      <c r="BJ8" s="5">
        <f>LARGE(INDEX(lstddkpis,,COLUMNS($BD$5:BJ$5)),ROWS($BC$6:BI8))</f>
        <v>100.000000202</v>
      </c>
      <c r="BK8" s="5">
        <f>LARGE(INDEX(lstddkpis,,COLUMNS($BD$5:BK$5)),ROWS($BC$6:BJ8))</f>
        <v>429.50967759235482</v>
      </c>
      <c r="BL8" s="5">
        <f>LARGE(INDEX(lstddkpis,,COLUMNS($BD$5:BL$5)),ROWS($BC$6:BK8))</f>
        <v>12.000000249999999</v>
      </c>
      <c r="BM8" s="5">
        <f>LARGE(INDEX(lstddkpis,,COLUMNS($BD$5:BM$5)),ROWS($BC$6:BL8))</f>
        <v>2.5100000000000001E-7</v>
      </c>
      <c r="BN8" s="5">
        <f>LARGE(INDEX(lstddkpis,,COLUMNS($BD$5:BN$5)),ROWS($BC$6:BM8))</f>
        <v>2.5000000000000004E-7</v>
      </c>
      <c r="BO8" s="5">
        <f>LARGE(INDEX(lstddkpis,,COLUMNS($BD$5:BO$5)),ROWS($BC$6:BN8))</f>
        <v>30.000000212</v>
      </c>
      <c r="BP8" s="4" t="str">
        <f>INDEX($C$20:$C$379,BD12)</f>
        <v>Product 7</v>
      </c>
      <c r="BQ8" s="4" t="str">
        <f t="shared" si="28"/>
        <v>Product 5</v>
      </c>
      <c r="BR8" s="4" t="str">
        <f t="shared" si="28"/>
        <v>Product 7</v>
      </c>
      <c r="BS8" s="4" t="str">
        <f t="shared" si="28"/>
        <v>Product 17</v>
      </c>
      <c r="BT8" s="4" t="str">
        <f t="shared" si="28"/>
        <v>Product 3</v>
      </c>
      <c r="BU8" s="4" t="str">
        <f t="shared" si="28"/>
        <v>Product 3</v>
      </c>
      <c r="BV8" s="4" t="str">
        <f t="shared" si="28"/>
        <v>Product 28</v>
      </c>
      <c r="BW8" s="4" t="str">
        <f t="shared" si="28"/>
        <v>Product 3</v>
      </c>
      <c r="BX8" s="4" t="str">
        <f t="shared" si="28"/>
        <v>Product 3</v>
      </c>
      <c r="BY8" s="4" t="str">
        <f t="shared" si="28"/>
        <v>Product 3</v>
      </c>
      <c r="BZ8" s="4" t="str">
        <f t="shared" si="28"/>
        <v>Product 3</v>
      </c>
      <c r="CA8" s="4" t="str">
        <f t="shared" si="28"/>
        <v>Product 3</v>
      </c>
      <c r="CB8" s="4"/>
    </row>
    <row r="9" spans="2:80" x14ac:dyDescent="0.35">
      <c r="B9" s="153">
        <f>$C$2+ROWS($A$6:A9)-1</f>
        <v>4</v>
      </c>
      <c r="C9" s="4" t="str">
        <f>INDEX(lstSortedKPIs,$B9,COLUMNS($B$5:C8))</f>
        <v>Product 17</v>
      </c>
      <c r="D9" s="94">
        <f>INDEX(lstSortedKPIs,$B9,COLUMNS($B$5:D8))</f>
        <v>77.758719268153243</v>
      </c>
      <c r="E9" s="94">
        <f>INDEX(lstSortedKPIs,$B9,COLUMNS($B$5:E8))</f>
        <v>81.132075471698116</v>
      </c>
      <c r="F9" s="94">
        <f>INDEX(lstSortedKPIs,$B9,COLUMNS($B$5:F8))</f>
        <v>95.842142353770271</v>
      </c>
      <c r="G9" s="94">
        <f>INDEX(lstSortedKPIs,$B9,COLUMNS($B$5:G8))</f>
        <v>100</v>
      </c>
      <c r="H9" s="94">
        <f>INDEX(lstSortedKPIs,$B9,COLUMNS($B$5:H8))</f>
        <v>256.6037735849057</v>
      </c>
      <c r="I9" s="94">
        <f>INDEX(lstSortedKPIs,$B9,COLUMNS($B$5:I8))</f>
        <v>64.786070994736136</v>
      </c>
      <c r="J9" s="94">
        <f>INDEX(lstSortedKPIs,$B9,COLUMNS($B$5:J8))</f>
        <v>50.934220629639107</v>
      </c>
      <c r="K9" s="94">
        <f>INDEX(lstSortedKPIs,$B9,COLUMNS($B$5:K8))</f>
        <v>307.92452830188682</v>
      </c>
      <c r="L9" s="94">
        <f>INDEX(lstSortedKPIs,$B9,COLUMNS($B$5:L8))</f>
        <v>12</v>
      </c>
      <c r="M9" s="94">
        <f>INDEX(lstSortedKPIs,$B9,COLUMNS($B$5:M8))</f>
        <v>0</v>
      </c>
      <c r="N9" s="94">
        <f>INDEX(lstSortedKPIs,$B9,COLUMNS($B$5:N8))</f>
        <v>0</v>
      </c>
      <c r="O9" s="94">
        <f>INDEX(lstSortedKPIs,$B9,COLUMNS($B$5:O8))</f>
        <v>19</v>
      </c>
      <c r="P9" s="139">
        <f>INDEX(lstSortedKPIs,$B9,COLUMNS($B$5:P8))</f>
        <v>41691</v>
      </c>
      <c r="Q9" s="160">
        <f>IF($R$2,INDEX(lstTargets,$B9,COLUMNS($Q$5:Q8)),NA())</f>
        <v>87.494399999999999</v>
      </c>
      <c r="R9" s="160">
        <f>IF($R$2,INDEX(lstTargets,$B9,COLUMNS($Q$5:R8)),NA())</f>
        <v>90</v>
      </c>
      <c r="S9" s="160">
        <f>IF($R$2,INDEX(lstTargets,$B9,COLUMNS($Q$5:S8)),NA())</f>
        <v>98</v>
      </c>
      <c r="T9" s="160">
        <f>IF($R$2,INDEX(lstTargets,$B9,COLUMNS($Q$5:T8)),NA())</f>
        <v>99.2</v>
      </c>
      <c r="U9" s="18">
        <f>IF($R$2,INDEX(lstTargets,$B9,COLUMNS($Q$5:U8)),NA())</f>
        <v>330</v>
      </c>
      <c r="V9" s="160">
        <f>IF($R$2,INDEX(lstTargets,$B9,COLUMNS($Q$5:V8)),NA())</f>
        <v>0</v>
      </c>
      <c r="W9" s="160">
        <f>IF($R$2,INDEX(lstTargets,$B9,COLUMNS($Q$5:W8)),NA())</f>
        <v>40</v>
      </c>
      <c r="X9" s="18">
        <f>IF($R$2,INDEX(lstTargets,$B9,COLUMNS($Q$5:X8)),NA())</f>
        <v>396</v>
      </c>
      <c r="Y9" s="18">
        <f>IF($R$2,INDEX(lstTargets,$B9,COLUMNS($Q$5:Y8)),NA())</f>
        <v>12</v>
      </c>
      <c r="Z9" s="18">
        <f>IF($R$2,INDEX(lstTargets,$B9,COLUMNS($Q$5:Z8)),NA())</f>
        <v>0</v>
      </c>
      <c r="AA9" s="18">
        <f>IF($R$2,INDEX(lstTargets,$B9,COLUMNS($Q$5:AA8)),NA())</f>
        <v>0</v>
      </c>
      <c r="AB9" s="18">
        <f>IF($R$2,INDEX(lstTargets,$B9,COLUMNS($Q$5:AB8)),NA())</f>
        <v>20</v>
      </c>
      <c r="AC9" s="24">
        <f t="shared" si="4"/>
        <v>0.48399999999999999</v>
      </c>
      <c r="AD9" s="24">
        <f t="shared" si="5"/>
        <v>0.437</v>
      </c>
      <c r="AE9" s="24">
        <f t="shared" si="6"/>
        <v>0.57099999999999995</v>
      </c>
      <c r="AF9" s="24">
        <f t="shared" si="7"/>
        <v>0.97699999999999998</v>
      </c>
      <c r="AG9" s="24">
        <f t="shared" si="8"/>
        <v>0.58699999999999997</v>
      </c>
      <c r="AH9" s="24">
        <f t="shared" si="9"/>
        <v>0.314</v>
      </c>
      <c r="AI9" s="24">
        <f t="shared" si="10"/>
        <v>0.86599999999999999</v>
      </c>
      <c r="AJ9" s="24">
        <f t="shared" si="11"/>
        <v>0.58699999999999997</v>
      </c>
      <c r="AK9" s="24">
        <f t="shared" si="12"/>
        <v>0.3</v>
      </c>
      <c r="AL9" s="24">
        <f t="shared" si="13"/>
        <v>0</v>
      </c>
      <c r="AM9" s="24">
        <f t="shared" si="14"/>
        <v>0</v>
      </c>
      <c r="AN9" s="24">
        <f t="shared" si="15"/>
        <v>0.48399999999999999</v>
      </c>
      <c r="AP9" s="25" t="str">
        <f t="shared" si="16"/>
        <v/>
      </c>
      <c r="AQ9" s="25" t="str">
        <f t="shared" si="17"/>
        <v/>
      </c>
      <c r="AR9" s="25" t="str">
        <f t="shared" si="18"/>
        <v/>
      </c>
      <c r="AS9" s="25">
        <f t="shared" si="19"/>
        <v>2</v>
      </c>
      <c r="AT9" s="25" t="str">
        <f t="shared" si="20"/>
        <v/>
      </c>
      <c r="AU9" s="25" t="str">
        <f t="shared" si="21"/>
        <v/>
      </c>
      <c r="AV9" s="25" t="str">
        <f t="shared" si="22"/>
        <v/>
      </c>
      <c r="AW9" s="25" t="str">
        <f t="shared" si="23"/>
        <v/>
      </c>
      <c r="AX9" s="25" t="str">
        <f t="shared" si="24"/>
        <v/>
      </c>
      <c r="AY9" s="25">
        <f t="shared" si="25"/>
        <v>0</v>
      </c>
      <c r="AZ9" s="25">
        <f t="shared" si="26"/>
        <v>0</v>
      </c>
      <c r="BA9" s="25" t="str">
        <f t="shared" si="27"/>
        <v/>
      </c>
      <c r="BB9" s="33" t="str">
        <f>AU5</f>
        <v>Yield</v>
      </c>
      <c r="BD9" s="2" t="s">
        <v>22</v>
      </c>
      <c r="BP9" s="2" t="s">
        <v>23</v>
      </c>
    </row>
    <row r="10" spans="2:80" x14ac:dyDescent="0.35">
      <c r="B10" s="153">
        <f>$C$2+ROWS($A$6:A10)-1</f>
        <v>5</v>
      </c>
      <c r="C10" s="4" t="str">
        <f>INDEX(lstSortedKPIs,$B10,COLUMNS($B$5:C9))</f>
        <v>Product 17</v>
      </c>
      <c r="D10" s="94">
        <f>INDEX(lstSortedKPIs,$B10,COLUMNS($B$5:D9))</f>
        <v>93.314685314685306</v>
      </c>
      <c r="E10" s="94">
        <f>INDEX(lstSortedKPIs,$B10,COLUMNS($B$5:E9))</f>
        <v>96.615384615384613</v>
      </c>
      <c r="F10" s="94">
        <f>INDEX(lstSortedKPIs,$B10,COLUMNS($B$5:F9))</f>
        <v>96.5836711059641</v>
      </c>
      <c r="G10" s="94">
        <f>INDEX(lstSortedKPIs,$B10,COLUMNS($B$5:G9))</f>
        <v>100</v>
      </c>
      <c r="H10" s="94">
        <f>INDEX(lstSortedKPIs,$B10,COLUMNS($B$5:H9))</f>
        <v>307.93846153846152</v>
      </c>
      <c r="I10" s="94">
        <f>INDEX(lstSortedKPIs,$B10,COLUMNS($B$5:I9))</f>
        <v>100.37107612075017</v>
      </c>
      <c r="J10" s="94">
        <f>INDEX(lstSortedKPIs,$B10,COLUMNS($B$5:J9))</f>
        <v>82.323206003439481</v>
      </c>
      <c r="K10" s="94">
        <f>INDEX(lstSortedKPIs,$B10,COLUMNS($B$5:K9))</f>
        <v>369.52615384615382</v>
      </c>
      <c r="L10" s="94">
        <f>INDEX(lstSortedKPIs,$B10,COLUMNS($B$5:L9))</f>
        <v>12</v>
      </c>
      <c r="M10" s="94">
        <f>INDEX(lstSortedKPIs,$B10,COLUMNS($B$5:M9))</f>
        <v>0</v>
      </c>
      <c r="N10" s="94">
        <f>INDEX(lstSortedKPIs,$B10,COLUMNS($B$5:N9))</f>
        <v>0</v>
      </c>
      <c r="O10" s="94">
        <f>INDEX(lstSortedKPIs,$B10,COLUMNS($B$5:O9))</f>
        <v>22</v>
      </c>
      <c r="P10" s="139">
        <f>INDEX(lstSortedKPIs,$B10,COLUMNS($B$5:P9))</f>
        <v>41661</v>
      </c>
      <c r="Q10" s="160">
        <f>IF($R$2,INDEX(lstTargets,$B10,COLUMNS($Q$5:Q9)),NA())</f>
        <v>87.494399999999999</v>
      </c>
      <c r="R10" s="160">
        <f>IF($R$2,INDEX(lstTargets,$B10,COLUMNS($Q$5:R9)),NA())</f>
        <v>90</v>
      </c>
      <c r="S10" s="160">
        <f>IF($R$2,INDEX(lstTargets,$B10,COLUMNS($Q$5:S9)),NA())</f>
        <v>98</v>
      </c>
      <c r="T10" s="160">
        <f>IF($R$2,INDEX(lstTargets,$B10,COLUMNS($Q$5:T9)),NA())</f>
        <v>99.2</v>
      </c>
      <c r="U10" s="18">
        <f>IF($R$2,INDEX(lstTargets,$B10,COLUMNS($Q$5:U9)),NA())</f>
        <v>330</v>
      </c>
      <c r="V10" s="160">
        <f>IF($R$2,INDEX(lstTargets,$B10,COLUMNS($Q$5:V9)),NA())</f>
        <v>0</v>
      </c>
      <c r="W10" s="160">
        <f>IF($R$2,INDEX(lstTargets,$B10,COLUMNS($Q$5:W9)),NA())</f>
        <v>40</v>
      </c>
      <c r="X10" s="18">
        <f>IF($R$2,INDEX(lstTargets,$B10,COLUMNS($Q$5:X9)),NA())</f>
        <v>396</v>
      </c>
      <c r="Y10" s="18">
        <f>IF($R$2,INDEX(lstTargets,$B10,COLUMNS($Q$5:Y9)),NA())</f>
        <v>12</v>
      </c>
      <c r="Z10" s="18">
        <f>IF($R$2,INDEX(lstTargets,$B10,COLUMNS($Q$5:Z9)),NA())</f>
        <v>0</v>
      </c>
      <c r="AA10" s="18">
        <f>IF($R$2,INDEX(lstTargets,$B10,COLUMNS($Q$5:AA9)),NA())</f>
        <v>0</v>
      </c>
      <c r="AB10" s="18">
        <f>IF($R$2,INDEX(lstTargets,$B10,COLUMNS($Q$5:AB9)),NA())</f>
        <v>20</v>
      </c>
      <c r="AC10" s="24">
        <f t="shared" si="4"/>
        <v>0.82099999999999995</v>
      </c>
      <c r="AD10" s="24">
        <f t="shared" si="5"/>
        <v>0.84099999999999997</v>
      </c>
      <c r="AE10" s="24">
        <f t="shared" si="6"/>
        <v>0.61499999999999999</v>
      </c>
      <c r="AF10" s="24">
        <f t="shared" si="7"/>
        <v>0.97699999999999998</v>
      </c>
      <c r="AG10" s="24">
        <f t="shared" si="8"/>
        <v>0.76600000000000001</v>
      </c>
      <c r="AH10" s="24">
        <f t="shared" si="9"/>
        <v>0.43099999999999999</v>
      </c>
      <c r="AI10" s="24">
        <f t="shared" si="10"/>
        <v>0.95199999999999996</v>
      </c>
      <c r="AJ10" s="24">
        <f t="shared" si="11"/>
        <v>0.76300000000000001</v>
      </c>
      <c r="AK10" s="24">
        <f t="shared" si="12"/>
        <v>0.3</v>
      </c>
      <c r="AL10" s="24">
        <f t="shared" si="13"/>
        <v>0</v>
      </c>
      <c r="AM10" s="24">
        <f t="shared" si="14"/>
        <v>0</v>
      </c>
      <c r="AN10" s="24">
        <f t="shared" si="15"/>
        <v>0.60399999999999998</v>
      </c>
      <c r="AP10" s="25" t="str">
        <f t="shared" si="16"/>
        <v/>
      </c>
      <c r="AQ10" s="25" t="str">
        <f t="shared" si="17"/>
        <v/>
      </c>
      <c r="AR10" s="25" t="str">
        <f t="shared" si="18"/>
        <v/>
      </c>
      <c r="AS10" s="25">
        <f t="shared" si="19"/>
        <v>2</v>
      </c>
      <c r="AT10" s="25" t="str">
        <f t="shared" si="20"/>
        <v/>
      </c>
      <c r="AU10" s="25" t="str">
        <f t="shared" si="21"/>
        <v/>
      </c>
      <c r="AV10" s="25">
        <f t="shared" si="22"/>
        <v>2</v>
      </c>
      <c r="AW10" s="25" t="str">
        <f t="shared" si="23"/>
        <v/>
      </c>
      <c r="AX10" s="25" t="str">
        <f t="shared" si="24"/>
        <v/>
      </c>
      <c r="AY10" s="25">
        <f t="shared" si="25"/>
        <v>0</v>
      </c>
      <c r="AZ10" s="25">
        <f t="shared" si="26"/>
        <v>0</v>
      </c>
      <c r="BA10" s="25" t="str">
        <f t="shared" si="27"/>
        <v/>
      </c>
      <c r="BB10" s="33" t="str">
        <f>AV5</f>
        <v>Share Of Frozen Meat</v>
      </c>
      <c r="BD10" s="4">
        <f>MATCH(BD6,INDEX(lstddkpis,,COLUMNS($BD$5:BD$5)),0)</f>
        <v>207</v>
      </c>
      <c r="BE10" s="4">
        <f>MATCH(BE6,INDEX(lstddkpis,,COLUMNS($BD$5:BE$5)),0)</f>
        <v>216</v>
      </c>
      <c r="BF10" s="4">
        <f>MATCH(BF6,INDEX(lstddkpis,,COLUMNS($BD$5:BF$5)),0)</f>
        <v>207</v>
      </c>
      <c r="BG10" s="4">
        <f>MATCH(BG6,INDEX(lstddkpis,,COLUMNS($BD$5:BG$5)),0)</f>
        <v>247</v>
      </c>
      <c r="BH10" s="4">
        <f>MATCH(BH6,INDEX(lstddkpis,,COLUMNS($BD$5:BH$5)),0)</f>
        <v>33</v>
      </c>
      <c r="BI10" s="4">
        <f>MATCH(BI6,INDEX(lstddkpis,,COLUMNS($BD$5:BI$5)),0)</f>
        <v>242</v>
      </c>
      <c r="BJ10" s="4">
        <f>MATCH(BJ6,INDEX(lstddkpis,,COLUMNS($BD$5:BJ$5)),0)</f>
        <v>237</v>
      </c>
      <c r="BK10" s="4">
        <f>MATCH(BK6,INDEX(lstddkpis,,COLUMNS($BD$5:BK$5)),0)</f>
        <v>33</v>
      </c>
      <c r="BL10" s="4">
        <f>MATCH(BL6,INDEX(lstddkpis,,COLUMNS($BD$5:BL$5)),0)</f>
        <v>252</v>
      </c>
      <c r="BM10" s="4">
        <f>MATCH(BM6,INDEX(lstddkpis,,COLUMNS($BD$5:BM$5)),0)</f>
        <v>238</v>
      </c>
      <c r="BN10" s="4">
        <f>MATCH(BN6,INDEX(lstddkpis,,COLUMNS($BD$5:BN$5)),0)</f>
        <v>252</v>
      </c>
      <c r="BO10" s="4">
        <f>MATCH(BO6,INDEX(lstddkpis,,COLUMNS($BD$5:BO$5)),0)</f>
        <v>231</v>
      </c>
      <c r="BP10" t="str">
        <f t="shared" ref="BP10:CA12" si="29">BP6&amp;" ["&amp;TEXT(BD6,"#,##")&amp;"]"</f>
        <v>Product 22 [120,56]</v>
      </c>
      <c r="BQ10" t="str">
        <f t="shared" si="29"/>
        <v>Product 6 [100,]</v>
      </c>
      <c r="BR10" t="str">
        <f t="shared" si="29"/>
        <v>Product 22 [144,78]</v>
      </c>
      <c r="BS10" t="str">
        <f t="shared" si="29"/>
        <v>Product 9 [100,]</v>
      </c>
      <c r="BT10" t="str">
        <f t="shared" si="29"/>
        <v>Product 3 [364,63]</v>
      </c>
      <c r="BU10" t="str">
        <f t="shared" si="29"/>
        <v>Product 27 [232,35]</v>
      </c>
      <c r="BV10" t="str">
        <f t="shared" si="29"/>
        <v>Product 5 [100,]</v>
      </c>
      <c r="BW10" t="str">
        <f t="shared" si="29"/>
        <v>Product 3 [437,56]</v>
      </c>
      <c r="BX10" t="str">
        <f t="shared" si="29"/>
        <v>Product 17 [12,]</v>
      </c>
      <c r="BY10" t="str">
        <f t="shared" si="29"/>
        <v>Product 3 [1,14]</v>
      </c>
      <c r="BZ10" t="str">
        <f t="shared" si="29"/>
        <v>Product 17 [,]</v>
      </c>
      <c r="CA10" t="str">
        <f t="shared" si="29"/>
        <v>Product 3 [30,]</v>
      </c>
    </row>
    <row r="11" spans="2:80" x14ac:dyDescent="0.35">
      <c r="B11" s="153">
        <f>$C$2+ROWS($A$6:A11)-1</f>
        <v>6</v>
      </c>
      <c r="C11" s="4" t="str">
        <f>INDEX(lstSortedKPIs,$B11,COLUMNS($B$5:C10))</f>
        <v>Product 10</v>
      </c>
      <c r="D11" s="94">
        <f>INDEX(lstSortedKPIs,$B11,COLUMNS($B$5:D10))</f>
        <v>74.963096347323571</v>
      </c>
      <c r="E11" s="94">
        <f>INDEX(lstSortedKPIs,$B11,COLUMNS($B$5:E10))</f>
        <v>73.913043478260875</v>
      </c>
      <c r="F11" s="94">
        <f>INDEX(lstSortedKPIs,$B11,COLUMNS($B$5:F10))</f>
        <v>101.42065976402601</v>
      </c>
      <c r="G11" s="94">
        <f>INDEX(lstSortedKPIs,$B11,COLUMNS($B$5:G10))</f>
        <v>100</v>
      </c>
      <c r="H11" s="94">
        <f>INDEX(lstSortedKPIs,$B11,COLUMNS($B$5:H10))</f>
        <v>259.43478260869563</v>
      </c>
      <c r="I11" s="94">
        <f>INDEX(lstSortedKPIs,$B11,COLUMNS($B$5:I10))</f>
        <v>113.16568047337279</v>
      </c>
      <c r="J11" s="94">
        <f>INDEX(lstSortedKPIs,$B11,COLUMNS($B$5:J10))</f>
        <v>0</v>
      </c>
      <c r="K11" s="94">
        <f>INDEX(lstSortedKPIs,$B11,COLUMNS($B$5:K10))</f>
        <v>311.32173913043482</v>
      </c>
      <c r="L11" s="94">
        <f>INDEX(lstSortedKPIs,$B11,COLUMNS($B$5:L10))</f>
        <v>12</v>
      </c>
      <c r="M11" s="94">
        <f>INDEX(lstSortedKPIs,$B11,COLUMNS($B$5:M10))</f>
        <v>0</v>
      </c>
      <c r="N11" s="94">
        <f>INDEX(lstSortedKPIs,$B11,COLUMNS($B$5:N10))</f>
        <v>0</v>
      </c>
      <c r="O11" s="94">
        <f>INDEX(lstSortedKPIs,$B11,COLUMNS($B$5:O10))</f>
        <v>24</v>
      </c>
      <c r="P11" s="139">
        <f>INDEX(lstSortedKPIs,$B11,COLUMNS($B$5:P10))</f>
        <v>41659</v>
      </c>
      <c r="Q11" s="160">
        <f>IF($R$2,INDEX(lstTargets,$B11,COLUMNS($Q$5:Q10)),NA())</f>
        <v>87.494399999999999</v>
      </c>
      <c r="R11" s="160">
        <f>IF($R$2,INDEX(lstTargets,$B11,COLUMNS($Q$5:R10)),NA())</f>
        <v>90</v>
      </c>
      <c r="S11" s="160">
        <f>IF($R$2,INDEX(lstTargets,$B11,COLUMNS($Q$5:S10)),NA())</f>
        <v>98</v>
      </c>
      <c r="T11" s="160">
        <f>IF($R$2,INDEX(lstTargets,$B11,COLUMNS($Q$5:T10)),NA())</f>
        <v>99.2</v>
      </c>
      <c r="U11" s="18">
        <f>IF($R$2,INDEX(lstTargets,$B11,COLUMNS($Q$5:U10)),NA())</f>
        <v>346.08333333333331</v>
      </c>
      <c r="V11" s="160">
        <f>IF($R$2,INDEX(lstTargets,$B11,COLUMNS($Q$5:V10)),NA())</f>
        <v>0</v>
      </c>
      <c r="W11" s="160">
        <f>IF($R$2,INDEX(lstTargets,$B11,COLUMNS($Q$5:W10)),NA())</f>
        <v>40</v>
      </c>
      <c r="X11" s="18">
        <f>IF($R$2,INDEX(lstTargets,$B11,COLUMNS($Q$5:X10)),NA())</f>
        <v>415.3</v>
      </c>
      <c r="Y11" s="18">
        <f>IF($R$2,INDEX(lstTargets,$B11,COLUMNS($Q$5:Y10)),NA())</f>
        <v>12</v>
      </c>
      <c r="Z11" s="18">
        <f>IF($R$2,INDEX(lstTargets,$B11,COLUMNS($Q$5:Z10)),NA())</f>
        <v>0</v>
      </c>
      <c r="AA11" s="18">
        <f>IF($R$2,INDEX(lstTargets,$B11,COLUMNS($Q$5:AA10)),NA())</f>
        <v>0</v>
      </c>
      <c r="AB11" s="18">
        <f>IF($R$2,INDEX(lstTargets,$B11,COLUMNS($Q$5:AB10)),NA())</f>
        <v>20</v>
      </c>
      <c r="AC11" s="24">
        <f t="shared" si="4"/>
        <v>0.45600000000000002</v>
      </c>
      <c r="AD11" s="24">
        <f t="shared" si="5"/>
        <v>0.36199999999999999</v>
      </c>
      <c r="AE11" s="24">
        <f t="shared" si="6"/>
        <v>0.83799999999999997</v>
      </c>
      <c r="AF11" s="24">
        <f t="shared" si="7"/>
        <v>0.97699999999999998</v>
      </c>
      <c r="AG11" s="24">
        <f t="shared" si="8"/>
        <v>0.59599999999999997</v>
      </c>
      <c r="AH11" s="24">
        <f t="shared" si="9"/>
        <v>0.54500000000000004</v>
      </c>
      <c r="AI11" s="24">
        <f t="shared" si="10"/>
        <v>0</v>
      </c>
      <c r="AJ11" s="24">
        <f t="shared" si="11"/>
        <v>0.59599999999999997</v>
      </c>
      <c r="AK11" s="24">
        <f t="shared" si="12"/>
        <v>0.3</v>
      </c>
      <c r="AL11" s="24">
        <f t="shared" si="13"/>
        <v>0</v>
      </c>
      <c r="AM11" s="24">
        <f t="shared" si="14"/>
        <v>0</v>
      </c>
      <c r="AN11" s="24">
        <f t="shared" si="15"/>
        <v>0.72099999999999997</v>
      </c>
      <c r="AP11" s="25" t="str">
        <f t="shared" si="16"/>
        <v/>
      </c>
      <c r="AQ11" s="25" t="str">
        <f t="shared" si="17"/>
        <v/>
      </c>
      <c r="AR11" s="25" t="str">
        <f t="shared" si="18"/>
        <v/>
      </c>
      <c r="AS11" s="25">
        <f t="shared" si="19"/>
        <v>2</v>
      </c>
      <c r="AT11" s="25" t="str">
        <f t="shared" si="20"/>
        <v/>
      </c>
      <c r="AU11" s="25" t="str">
        <f t="shared" si="21"/>
        <v/>
      </c>
      <c r="AV11" s="25">
        <f t="shared" si="22"/>
        <v>0</v>
      </c>
      <c r="AW11" s="25" t="str">
        <f t="shared" si="23"/>
        <v/>
      </c>
      <c r="AX11" s="25" t="str">
        <f t="shared" si="24"/>
        <v/>
      </c>
      <c r="AY11" s="25">
        <f t="shared" si="25"/>
        <v>0</v>
      </c>
      <c r="AZ11" s="25">
        <f t="shared" si="26"/>
        <v>0</v>
      </c>
      <c r="BA11" s="25" t="str">
        <f t="shared" si="27"/>
        <v/>
      </c>
      <c r="BB11" s="33" t="str">
        <f>AW5</f>
        <v>Throughput in 10kg/ hour</v>
      </c>
      <c r="BD11" s="4">
        <f>MATCH(BD7,INDEX(lstddkpis,,COLUMNS($BD$5:BD$5)),0)</f>
        <v>132</v>
      </c>
      <c r="BE11" s="4">
        <f>MATCH(BE7,INDEX(lstddkpis,,COLUMNS($BD$5:BE$5)),0)</f>
        <v>172</v>
      </c>
      <c r="BF11" s="4">
        <f>MATCH(BF7,INDEX(lstddkpis,,COLUMNS($BD$5:BF$5)),0)</f>
        <v>132</v>
      </c>
      <c r="BG11" s="4">
        <f>MATCH(BG7,INDEX(lstddkpis,,COLUMNS($BD$5:BG$5)),0)</f>
        <v>184</v>
      </c>
      <c r="BH11" s="4">
        <f>MATCH(BH7,INDEX(lstddkpis,,COLUMNS($BD$5:BH$5)),0)</f>
        <v>74</v>
      </c>
      <c r="BI11" s="4">
        <f>MATCH(BI7,INDEX(lstddkpis,,COLUMNS($BD$5:BI$5)),0)</f>
        <v>164</v>
      </c>
      <c r="BJ11" s="4">
        <f>MATCH(BJ7,INDEX(lstddkpis,,COLUMNS($BD$5:BJ$5)),0)</f>
        <v>218</v>
      </c>
      <c r="BK11" s="4">
        <f>MATCH(BK7,INDEX(lstddkpis,,COLUMNS($BD$5:BK$5)),0)</f>
        <v>74</v>
      </c>
      <c r="BL11" s="4">
        <f>MATCH(BL7,INDEX(lstddkpis,,COLUMNS($BD$5:BL$5)),0)</f>
        <v>251</v>
      </c>
      <c r="BM11" s="4">
        <f>MATCH(BM7,INDEX(lstddkpis,,COLUMNS($BD$5:BM$5)),0)</f>
        <v>252</v>
      </c>
      <c r="BN11" s="4">
        <f>MATCH(BN7,INDEX(lstddkpis,,COLUMNS($BD$5:BN$5)),0)</f>
        <v>251</v>
      </c>
      <c r="BO11" s="4">
        <f>MATCH(BO7,INDEX(lstddkpis,,COLUMNS($BD$5:BO$5)),0)</f>
        <v>230</v>
      </c>
      <c r="BP11" t="str">
        <f t="shared" si="29"/>
        <v>Product 23 [111,01]</v>
      </c>
      <c r="BQ11" t="str">
        <f t="shared" si="29"/>
        <v>Product 6 [100,]</v>
      </c>
      <c r="BR11" t="str">
        <f t="shared" si="29"/>
        <v>Product 23 [126,95]</v>
      </c>
      <c r="BS11" t="str">
        <f t="shared" si="29"/>
        <v>Product 9 [100,]</v>
      </c>
      <c r="BT11" t="str">
        <f t="shared" si="29"/>
        <v>Product 3 [360,36]</v>
      </c>
      <c r="BU11" t="str">
        <f t="shared" si="29"/>
        <v>Product 26 [216,72]</v>
      </c>
      <c r="BV11" t="str">
        <f t="shared" si="29"/>
        <v>Product 5 [100,]</v>
      </c>
      <c r="BW11" t="str">
        <f t="shared" si="29"/>
        <v>Product 3 [432,43]</v>
      </c>
      <c r="BX11" t="str">
        <f t="shared" si="29"/>
        <v>Product 3 [12,]</v>
      </c>
      <c r="BY11" t="str">
        <f t="shared" si="29"/>
        <v>Product 17 [,]</v>
      </c>
      <c r="BZ11" t="str">
        <f t="shared" si="29"/>
        <v>Product 3 [,]</v>
      </c>
      <c r="CA11" t="str">
        <f t="shared" si="29"/>
        <v>Product 13 [30,]</v>
      </c>
    </row>
    <row r="12" spans="2:80" x14ac:dyDescent="0.35">
      <c r="B12" s="153">
        <f>$C$2+ROWS($A$6:A12)-1</f>
        <v>7</v>
      </c>
      <c r="C12" s="4" t="str">
        <f>INDEX(lstSortedKPIs,$B12,COLUMNS($B$5:C11))</f>
        <v>Product 16</v>
      </c>
      <c r="D12" s="94">
        <f>INDEX(lstSortedKPIs,$B12,COLUMNS($B$5:D11))</f>
        <v>78.867508518741232</v>
      </c>
      <c r="E12" s="94">
        <f>INDEX(lstSortedKPIs,$B12,COLUMNS($B$5:E11))</f>
        <v>85</v>
      </c>
      <c r="F12" s="94">
        <f>INDEX(lstSortedKPIs,$B12,COLUMNS($B$5:F11))</f>
        <v>92.785304139695569</v>
      </c>
      <c r="G12" s="94">
        <f>INDEX(lstSortedKPIs,$B12,COLUMNS($B$5:G11))</f>
        <v>100</v>
      </c>
      <c r="H12" s="94">
        <f>INDEX(lstSortedKPIs,$B12,COLUMNS($B$5:H11))</f>
        <v>218.59444444444443</v>
      </c>
      <c r="I12" s="94">
        <f>INDEX(lstSortedKPIs,$B12,COLUMNS($B$5:I11))</f>
        <v>106.82105091693927</v>
      </c>
      <c r="J12" s="94">
        <f>INDEX(lstSortedKPIs,$B12,COLUMNS($B$5:J11))</f>
        <v>0</v>
      </c>
      <c r="K12" s="94">
        <f>INDEX(lstSortedKPIs,$B12,COLUMNS($B$5:K11))</f>
        <v>262.31333333333333</v>
      </c>
      <c r="L12" s="94">
        <f>INDEX(lstSortedKPIs,$B12,COLUMNS($B$5:L11))</f>
        <v>12</v>
      </c>
      <c r="M12" s="94">
        <f>INDEX(lstSortedKPIs,$B12,COLUMNS($B$5:M11))</f>
        <v>0</v>
      </c>
      <c r="N12" s="94">
        <f>INDEX(lstSortedKPIs,$B12,COLUMNS($B$5:N11))</f>
        <v>0</v>
      </c>
      <c r="O12" s="94">
        <f>INDEX(lstSortedKPIs,$B12,COLUMNS($B$5:O11))</f>
        <v>21</v>
      </c>
      <c r="P12" s="139">
        <f>INDEX(lstSortedKPIs,$B12,COLUMNS($B$5:P11))</f>
        <v>41652</v>
      </c>
      <c r="Q12" s="160">
        <f>IF($R$2,INDEX(lstTargets,$B12,COLUMNS($Q$5:Q11)),NA())</f>
        <v>86.87700000000001</v>
      </c>
      <c r="R12" s="160">
        <f>IF($R$2,INDEX(lstTargets,$B12,COLUMNS($Q$5:R11)),NA())</f>
        <v>90</v>
      </c>
      <c r="S12" s="160">
        <f>IF($R$2,INDEX(lstTargets,$B12,COLUMNS($Q$5:S11)),NA())</f>
        <v>98</v>
      </c>
      <c r="T12" s="160">
        <f>IF($R$2,INDEX(lstTargets,$B12,COLUMNS($Q$5:T11)),NA())</f>
        <v>98.5</v>
      </c>
      <c r="U12" s="18">
        <f>IF($R$2,INDEX(lstTargets,$B12,COLUMNS($Q$5:U11)),NA())</f>
        <v>277.16666666666669</v>
      </c>
      <c r="V12" s="160">
        <f>IF($R$2,INDEX(lstTargets,$B12,COLUMNS($Q$5:V11)),NA())</f>
        <v>0</v>
      </c>
      <c r="W12" s="160">
        <f>IF($R$2,INDEX(lstTargets,$B12,COLUMNS($Q$5:W11)),NA())</f>
        <v>40</v>
      </c>
      <c r="X12" s="18">
        <f>IF($R$2,INDEX(lstTargets,$B12,COLUMNS($Q$5:X11)),NA())</f>
        <v>332.6</v>
      </c>
      <c r="Y12" s="18">
        <f>IF($R$2,INDEX(lstTargets,$B12,COLUMNS($Q$5:Y11)),NA())</f>
        <v>12</v>
      </c>
      <c r="Z12" s="18">
        <f>IF($R$2,INDEX(lstTargets,$B12,COLUMNS($Q$5:Z11)),NA())</f>
        <v>0</v>
      </c>
      <c r="AA12" s="18">
        <f>IF($R$2,INDEX(lstTargets,$B12,COLUMNS($Q$5:AA11)),NA())</f>
        <v>0</v>
      </c>
      <c r="AB12" s="18">
        <f>IF($R$2,INDEX(lstTargets,$B12,COLUMNS($Q$5:AB11)),NA())</f>
        <v>20</v>
      </c>
      <c r="AC12" s="24">
        <f t="shared" si="4"/>
        <v>0.504</v>
      </c>
      <c r="AD12" s="24">
        <f t="shared" si="5"/>
        <v>0.504</v>
      </c>
      <c r="AE12" s="24">
        <f t="shared" si="6"/>
        <v>0.46200000000000002</v>
      </c>
      <c r="AF12" s="24">
        <f t="shared" si="7"/>
        <v>0.97699999999999998</v>
      </c>
      <c r="AG12" s="24">
        <f t="shared" si="8"/>
        <v>0.45100000000000001</v>
      </c>
      <c r="AH12" s="24">
        <f t="shared" si="9"/>
        <v>0.48099999999999998</v>
      </c>
      <c r="AI12" s="24">
        <f t="shared" si="10"/>
        <v>0</v>
      </c>
      <c r="AJ12" s="24">
        <f t="shared" si="11"/>
        <v>0.44800000000000001</v>
      </c>
      <c r="AK12" s="24">
        <f t="shared" si="12"/>
        <v>0.3</v>
      </c>
      <c r="AL12" s="24">
        <f t="shared" si="13"/>
        <v>0</v>
      </c>
      <c r="AM12" s="24">
        <f t="shared" si="14"/>
        <v>0</v>
      </c>
      <c r="AN12" s="24">
        <f t="shared" si="15"/>
        <v>0.55900000000000005</v>
      </c>
      <c r="AP12" s="25" t="str">
        <f t="shared" si="16"/>
        <v/>
      </c>
      <c r="AQ12" s="25" t="str">
        <f t="shared" si="17"/>
        <v/>
      </c>
      <c r="AR12" s="25" t="str">
        <f t="shared" si="18"/>
        <v/>
      </c>
      <c r="AS12" s="25">
        <f t="shared" si="19"/>
        <v>2</v>
      </c>
      <c r="AT12" s="25" t="str">
        <f t="shared" si="20"/>
        <v/>
      </c>
      <c r="AU12" s="25" t="str">
        <f t="shared" si="21"/>
        <v/>
      </c>
      <c r="AV12" s="25">
        <f t="shared" si="22"/>
        <v>0</v>
      </c>
      <c r="AW12" s="25" t="str">
        <f t="shared" si="23"/>
        <v/>
      </c>
      <c r="AX12" s="25" t="str">
        <f t="shared" si="24"/>
        <v/>
      </c>
      <c r="AY12" s="25">
        <f t="shared" si="25"/>
        <v>0</v>
      </c>
      <c r="AZ12" s="25">
        <f t="shared" si="26"/>
        <v>0</v>
      </c>
      <c r="BA12" s="25" t="str">
        <f t="shared" si="27"/>
        <v/>
      </c>
      <c r="BB12" s="33" t="str">
        <f>AX5</f>
        <v>No of Line Workers per Hour</v>
      </c>
      <c r="BD12" s="4">
        <f>MATCH(BD8,INDEX(lstddkpis,,COLUMNS($BD$5:BD$5)),0)</f>
        <v>17</v>
      </c>
      <c r="BE12" s="4">
        <f>MATCH(BE8,INDEX(lstddkpis,,COLUMNS($BD$5:BE$5)),0)</f>
        <v>171</v>
      </c>
      <c r="BF12" s="4">
        <f>MATCH(BF8,INDEX(lstddkpis,,COLUMNS($BD$5:BF$5)),0)</f>
        <v>17</v>
      </c>
      <c r="BG12" s="4">
        <f>MATCH(BG8,INDEX(lstddkpis,,COLUMNS($BD$5:BG$5)),0)</f>
        <v>174</v>
      </c>
      <c r="BH12" s="4">
        <f>MATCH(BH8,INDEX(lstddkpis,,COLUMNS($BD$5:BH$5)),0)</f>
        <v>173</v>
      </c>
      <c r="BI12" s="4">
        <f>MATCH(BI8,INDEX(lstddkpis,,COLUMNS($BD$5:BI$5)),0)</f>
        <v>250</v>
      </c>
      <c r="BJ12" s="4">
        <f>MATCH(BJ8,INDEX(lstddkpis,,COLUMNS($BD$5:BJ$5)),0)</f>
        <v>202</v>
      </c>
      <c r="BK12" s="4">
        <f>MATCH(BK8,INDEX(lstddkpis,,COLUMNS($BD$5:BK$5)),0)</f>
        <v>173</v>
      </c>
      <c r="BL12" s="4">
        <f>MATCH(BL8,INDEX(lstddkpis,,COLUMNS($BD$5:BL$5)),0)</f>
        <v>250</v>
      </c>
      <c r="BM12" s="4">
        <f>MATCH(BM8,INDEX(lstddkpis,,COLUMNS($BD$5:BM$5)),0)</f>
        <v>251</v>
      </c>
      <c r="BN12" s="4">
        <f>MATCH(BN8,INDEX(lstddkpis,,COLUMNS($BD$5:BN$5)),0)</f>
        <v>250</v>
      </c>
      <c r="BO12" s="4">
        <f>MATCH(BO8,INDEX(lstddkpis,,COLUMNS($BD$5:BO$5)),0)</f>
        <v>212</v>
      </c>
      <c r="BP12" t="str">
        <f t="shared" si="29"/>
        <v>Product 7 [108,33]</v>
      </c>
      <c r="BQ12" t="str">
        <f t="shared" si="29"/>
        <v>Product 5 [100,]</v>
      </c>
      <c r="BR12" t="str">
        <f t="shared" si="29"/>
        <v>Product 7 [118,82]</v>
      </c>
      <c r="BS12" t="str">
        <f t="shared" si="29"/>
        <v>Product 17 [100,]</v>
      </c>
      <c r="BT12" t="str">
        <f t="shared" si="29"/>
        <v>Product 3 [357,92]</v>
      </c>
      <c r="BU12" t="str">
        <f t="shared" si="29"/>
        <v>Product 3 [210,64]</v>
      </c>
      <c r="BV12" t="str">
        <f t="shared" si="29"/>
        <v>Product 28 [100,]</v>
      </c>
      <c r="BW12" t="str">
        <f t="shared" si="29"/>
        <v>Product 3 [429,51]</v>
      </c>
      <c r="BX12" t="str">
        <f t="shared" si="29"/>
        <v>Product 3 [12,]</v>
      </c>
      <c r="BY12" t="str">
        <f t="shared" si="29"/>
        <v>Product 3 [,]</v>
      </c>
      <c r="BZ12" t="str">
        <f t="shared" si="29"/>
        <v>Product 3 [,]</v>
      </c>
      <c r="CA12" t="str">
        <f t="shared" si="29"/>
        <v>Product 3 [30,]</v>
      </c>
    </row>
    <row r="13" spans="2:80" x14ac:dyDescent="0.35">
      <c r="B13" s="153">
        <f>$C$2+ROWS($A$6:A13)-1</f>
        <v>8</v>
      </c>
      <c r="C13" s="4" t="str">
        <f>INDEX(lstSortedKPIs,$B13,COLUMNS($B$5:C12))</f>
        <v>Product 7</v>
      </c>
      <c r="D13" s="94">
        <f>INDEX(lstSortedKPIs,$B13,COLUMNS($B$5:D12))</f>
        <v>108.33333333333333</v>
      </c>
      <c r="E13" s="94">
        <f>INDEX(lstSortedKPIs,$B13,COLUMNS($B$5:E12))</f>
        <v>91.17647058823529</v>
      </c>
      <c r="F13" s="94">
        <f>INDEX(lstSortedKPIs,$B13,COLUMNS($B$5:F12))</f>
        <v>118.81720430107525</v>
      </c>
      <c r="G13" s="94">
        <f>INDEX(lstSortedKPIs,$B13,COLUMNS($B$5:G12))</f>
        <v>100</v>
      </c>
      <c r="H13" s="94">
        <f>INDEX(lstSortedKPIs,$B13,COLUMNS($B$5:H12))</f>
        <v>253.5</v>
      </c>
      <c r="I13" s="94">
        <f>INDEX(lstSortedKPIs,$B13,COLUMNS($B$5:I12))</f>
        <v>105.71082527174329</v>
      </c>
      <c r="J13" s="94">
        <f>INDEX(lstSortedKPIs,$B13,COLUMNS($B$5:J12))</f>
        <v>0</v>
      </c>
      <c r="K13" s="94">
        <f>INDEX(lstSortedKPIs,$B13,COLUMNS($B$5:K12))</f>
        <v>304.2</v>
      </c>
      <c r="L13" s="94">
        <f>INDEX(lstSortedKPIs,$B13,COLUMNS($B$5:L12))</f>
        <v>12</v>
      </c>
      <c r="M13" s="94">
        <f>INDEX(lstSortedKPIs,$B13,COLUMNS($B$5:M12))</f>
        <v>0</v>
      </c>
      <c r="N13" s="94">
        <f>INDEX(lstSortedKPIs,$B13,COLUMNS($B$5:N12))</f>
        <v>0</v>
      </c>
      <c r="O13" s="94">
        <f>INDEX(lstSortedKPIs,$B13,COLUMNS($B$5:O12))</f>
        <v>24</v>
      </c>
      <c r="P13" s="139">
        <f>INDEX(lstSortedKPIs,$B13,COLUMNS($B$5:P12))</f>
        <v>41646</v>
      </c>
      <c r="Q13" s="160">
        <f>IF($R$2,INDEX(lstTargets,$B13,COLUMNS($Q$5:Q12)),NA())</f>
        <v>86.87700000000001</v>
      </c>
      <c r="R13" s="160">
        <f>IF($R$2,INDEX(lstTargets,$B13,COLUMNS($Q$5:R12)),NA())</f>
        <v>90</v>
      </c>
      <c r="S13" s="160">
        <f>IF($R$2,INDEX(lstTargets,$B13,COLUMNS($Q$5:S12)),NA())</f>
        <v>98</v>
      </c>
      <c r="T13" s="160">
        <f>IF($R$2,INDEX(lstTargets,$B13,COLUMNS($Q$5:T12)),NA())</f>
        <v>98.5</v>
      </c>
      <c r="U13" s="18">
        <f>IF($R$2,INDEX(lstTargets,$B13,COLUMNS($Q$5:U12)),NA())</f>
        <v>234</v>
      </c>
      <c r="V13" s="160">
        <f>IF($R$2,INDEX(lstTargets,$B13,COLUMNS($Q$5:V12)),NA())</f>
        <v>0</v>
      </c>
      <c r="W13" s="160">
        <f>IF($R$2,INDEX(lstTargets,$B13,COLUMNS($Q$5:W12)),NA())</f>
        <v>40</v>
      </c>
      <c r="X13" s="18">
        <f>IF($R$2,INDEX(lstTargets,$B13,COLUMNS($Q$5:X12)),NA())</f>
        <v>280.8</v>
      </c>
      <c r="Y13" s="18">
        <f>IF($R$2,INDEX(lstTargets,$B13,COLUMNS($Q$5:Y12)),NA())</f>
        <v>12</v>
      </c>
      <c r="Z13" s="18">
        <f>IF($R$2,INDEX(lstTargets,$B13,COLUMNS($Q$5:Z12)),NA())</f>
        <v>0</v>
      </c>
      <c r="AA13" s="18">
        <f>IF($R$2,INDEX(lstTargets,$B13,COLUMNS($Q$5:AA12)),NA())</f>
        <v>0</v>
      </c>
      <c r="AB13" s="18">
        <f>IF($R$2,INDEX(lstTargets,$B13,COLUMNS($Q$5:AB12)),NA())</f>
        <v>20</v>
      </c>
      <c r="AC13" s="24">
        <f t="shared" si="4"/>
        <v>0.99399999999999999</v>
      </c>
      <c r="AD13" s="24">
        <f t="shared" si="5"/>
        <v>0.64600000000000002</v>
      </c>
      <c r="AE13" s="24">
        <f t="shared" si="6"/>
        <v>0.99399999999999999</v>
      </c>
      <c r="AF13" s="24">
        <f t="shared" si="7"/>
        <v>0.97699999999999998</v>
      </c>
      <c r="AG13" s="24">
        <f t="shared" si="8"/>
        <v>0.57599999999999996</v>
      </c>
      <c r="AH13" s="24">
        <f t="shared" si="9"/>
        <v>0.47299999999999998</v>
      </c>
      <c r="AI13" s="24">
        <f t="shared" si="10"/>
        <v>0</v>
      </c>
      <c r="AJ13" s="24">
        <f t="shared" si="11"/>
        <v>0.57599999999999996</v>
      </c>
      <c r="AK13" s="24">
        <f t="shared" si="12"/>
        <v>0.3</v>
      </c>
      <c r="AL13" s="24">
        <f t="shared" si="13"/>
        <v>0</v>
      </c>
      <c r="AM13" s="24">
        <f t="shared" si="14"/>
        <v>0</v>
      </c>
      <c r="AN13" s="24">
        <f t="shared" si="15"/>
        <v>0.72099999999999997</v>
      </c>
      <c r="AP13" s="25">
        <f t="shared" si="16"/>
        <v>2</v>
      </c>
      <c r="AQ13" s="25" t="str">
        <f t="shared" si="17"/>
        <v/>
      </c>
      <c r="AR13" s="25">
        <f t="shared" si="18"/>
        <v>2</v>
      </c>
      <c r="AS13" s="25">
        <f t="shared" si="19"/>
        <v>2</v>
      </c>
      <c r="AT13" s="25" t="str">
        <f t="shared" si="20"/>
        <v/>
      </c>
      <c r="AU13" s="25" t="str">
        <f t="shared" si="21"/>
        <v/>
      </c>
      <c r="AV13" s="25">
        <f t="shared" si="22"/>
        <v>0</v>
      </c>
      <c r="AW13" s="25" t="str">
        <f t="shared" si="23"/>
        <v/>
      </c>
      <c r="AX13" s="25" t="str">
        <f t="shared" si="24"/>
        <v/>
      </c>
      <c r="AY13" s="25">
        <f t="shared" si="25"/>
        <v>0</v>
      </c>
      <c r="AZ13" s="25">
        <f t="shared" si="26"/>
        <v>0</v>
      </c>
      <c r="BA13" s="25" t="str">
        <f t="shared" si="27"/>
        <v/>
      </c>
      <c r="BB13" s="33" t="str">
        <f>AY5</f>
        <v>Regrind</v>
      </c>
    </row>
    <row r="14" spans="2:80" x14ac:dyDescent="0.35">
      <c r="B14" s="153">
        <f>$C$2+ROWS($A$6:A14)-1</f>
        <v>9</v>
      </c>
      <c r="C14" s="4" t="str">
        <f>INDEX(lstSortedKPIs,$B14,COLUMNS($B$5:C13))</f>
        <v>Product 10</v>
      </c>
      <c r="D14" s="94">
        <f>INDEX(lstSortedKPIs,$B14,COLUMNS($B$5:D13))</f>
        <v>71.15544700904681</v>
      </c>
      <c r="E14" s="94">
        <f>INDEX(lstSortedKPIs,$B14,COLUMNS($B$5:E13))</f>
        <v>77.142857142857153</v>
      </c>
      <c r="F14" s="94">
        <f>INDEX(lstSortedKPIs,$B14,COLUMNS($B$5:F13))</f>
        <v>92.238542419134745</v>
      </c>
      <c r="G14" s="94">
        <f>INDEX(lstSortedKPIs,$B14,COLUMNS($B$5:G13))</f>
        <v>100</v>
      </c>
      <c r="H14" s="94">
        <f>INDEX(lstSortedKPIs,$B14,COLUMNS($B$5:H13))</f>
        <v>24.625714285714285</v>
      </c>
      <c r="I14" s="94">
        <f>INDEX(lstSortedKPIs,$B14,COLUMNS($B$5:I13))</f>
        <v>97.503676609223561</v>
      </c>
      <c r="J14" s="94">
        <f>INDEX(lstSortedKPIs,$B14,COLUMNS($B$5:J13))</f>
        <v>0</v>
      </c>
      <c r="K14" s="94">
        <f>INDEX(lstSortedKPIs,$B14,COLUMNS($B$5:K13))</f>
        <v>295.50857142857137</v>
      </c>
      <c r="L14" s="94">
        <f>INDEX(lstSortedKPIs,$B14,COLUMNS($B$5:L13))</f>
        <v>12</v>
      </c>
      <c r="M14" s="94">
        <f>INDEX(lstSortedKPIs,$B14,COLUMNS($B$5:M13))</f>
        <v>0</v>
      </c>
      <c r="N14" s="94">
        <f>INDEX(lstSortedKPIs,$B14,COLUMNS($B$5:N13))</f>
        <v>0</v>
      </c>
      <c r="O14" s="94">
        <f>INDEX(lstSortedKPIs,$B14,COLUMNS($B$5:O13))</f>
        <v>16</v>
      </c>
      <c r="P14" s="139">
        <f>INDEX(lstSortedKPIs,$B14,COLUMNS($B$5:P13))</f>
        <v>41645</v>
      </c>
      <c r="Q14" s="160">
        <f>IF($R$2,INDEX(lstTargets,$B14,COLUMNS($Q$5:Q13)),NA())</f>
        <v>87.494399999999999</v>
      </c>
      <c r="R14" s="160">
        <f>IF($R$2,INDEX(lstTargets,$B14,COLUMNS($Q$5:R13)),NA())</f>
        <v>90</v>
      </c>
      <c r="S14" s="160">
        <f>IF($R$2,INDEX(lstTargets,$B14,COLUMNS($Q$5:S13)),NA())</f>
        <v>98</v>
      </c>
      <c r="T14" s="160">
        <f>IF($R$2,INDEX(lstTargets,$B14,COLUMNS($Q$5:T13)),NA())</f>
        <v>99.2</v>
      </c>
      <c r="U14" s="18">
        <f>IF($R$2,INDEX(lstTargets,$B14,COLUMNS($Q$5:U13)),NA())</f>
        <v>346.08333333333331</v>
      </c>
      <c r="V14" s="160">
        <f>IF($R$2,INDEX(lstTargets,$B14,COLUMNS($Q$5:V13)),NA())</f>
        <v>0</v>
      </c>
      <c r="W14" s="160">
        <f>IF($R$2,INDEX(lstTargets,$B14,COLUMNS($Q$5:W13)),NA())</f>
        <v>40</v>
      </c>
      <c r="X14" s="18">
        <f>IF($R$2,INDEX(lstTargets,$B14,COLUMNS($Q$5:X13)),NA())</f>
        <v>415.3</v>
      </c>
      <c r="Y14" s="18">
        <f>IF($R$2,INDEX(lstTargets,$B14,COLUMNS($Q$5:Y13)),NA())</f>
        <v>12</v>
      </c>
      <c r="Z14" s="18">
        <f>IF($R$2,INDEX(lstTargets,$B14,COLUMNS($Q$5:Z13)),NA())</f>
        <v>0</v>
      </c>
      <c r="AA14" s="18">
        <f>IF($R$2,INDEX(lstTargets,$B14,COLUMNS($Q$5:AA13)),NA())</f>
        <v>0</v>
      </c>
      <c r="AB14" s="18">
        <f>IF($R$2,INDEX(lstTargets,$B14,COLUMNS($Q$5:AB13)),NA())</f>
        <v>20</v>
      </c>
      <c r="AC14" s="24">
        <f t="shared" si="4"/>
        <v>0.41499999999999998</v>
      </c>
      <c r="AD14" s="24">
        <f t="shared" si="5"/>
        <v>0.38400000000000001</v>
      </c>
      <c r="AE14" s="24">
        <f t="shared" si="6"/>
        <v>0.437</v>
      </c>
      <c r="AF14" s="24">
        <f t="shared" si="7"/>
        <v>0.97699999999999998</v>
      </c>
      <c r="AG14" s="24">
        <f t="shared" si="8"/>
        <v>0.3</v>
      </c>
      <c r="AH14" s="24">
        <f t="shared" si="9"/>
        <v>0.39500000000000002</v>
      </c>
      <c r="AI14" s="24">
        <f t="shared" si="10"/>
        <v>0</v>
      </c>
      <c r="AJ14" s="24">
        <f t="shared" si="11"/>
        <v>0.54300000000000004</v>
      </c>
      <c r="AK14" s="24">
        <f t="shared" si="12"/>
        <v>0.3</v>
      </c>
      <c r="AL14" s="24">
        <f t="shared" si="13"/>
        <v>0</v>
      </c>
      <c r="AM14" s="24">
        <f t="shared" si="14"/>
        <v>0</v>
      </c>
      <c r="AN14" s="24">
        <f t="shared" si="15"/>
        <v>0.38700000000000001</v>
      </c>
      <c r="AP14" s="25" t="str">
        <f t="shared" si="16"/>
        <v/>
      </c>
      <c r="AQ14" s="25" t="str">
        <f t="shared" si="17"/>
        <v/>
      </c>
      <c r="AR14" s="25" t="str">
        <f t="shared" si="18"/>
        <v/>
      </c>
      <c r="AS14" s="25">
        <f t="shared" si="19"/>
        <v>2</v>
      </c>
      <c r="AT14" s="25" t="str">
        <f t="shared" si="20"/>
        <v/>
      </c>
      <c r="AU14" s="25" t="str">
        <f t="shared" si="21"/>
        <v/>
      </c>
      <c r="AV14" s="25">
        <f t="shared" si="22"/>
        <v>0</v>
      </c>
      <c r="AW14" s="25" t="str">
        <f t="shared" si="23"/>
        <v/>
      </c>
      <c r="AX14" s="25" t="str">
        <f t="shared" si="24"/>
        <v/>
      </c>
      <c r="AY14" s="25">
        <f t="shared" si="25"/>
        <v>0</v>
      </c>
      <c r="AZ14" s="25">
        <f t="shared" si="26"/>
        <v>0</v>
      </c>
      <c r="BA14" s="25" t="str">
        <f t="shared" si="27"/>
        <v/>
      </c>
      <c r="BB14" s="33" t="str">
        <f>AZ5</f>
        <v>Carry Over</v>
      </c>
    </row>
    <row r="15" spans="2:80" x14ac:dyDescent="0.35">
      <c r="B15" s="153">
        <f>$C$2+ROWS($A$6:A15)-1</f>
        <v>10</v>
      </c>
      <c r="C15" s="4" t="str">
        <f>INDEX(lstSortedKPIs,$B15,COLUMNS($B$5:C14))</f>
        <v>Product 17</v>
      </c>
      <c r="D15" s="94">
        <f>INDEX(lstSortedKPIs,$B15,COLUMNS($B$5:D14))</f>
        <v>89.836614997905329</v>
      </c>
      <c r="E15" s="94">
        <f>INDEX(lstSortedKPIs,$B15,COLUMNS($B$5:E14))</f>
        <v>93.824884792626733</v>
      </c>
      <c r="F15" s="94">
        <f>INDEX(lstSortedKPIs,$B15,COLUMNS($B$5:F14))</f>
        <v>95.884681788414611</v>
      </c>
      <c r="G15" s="94">
        <f>INDEX(lstSortedKPIs,$B15,COLUMNS($B$5:G14))</f>
        <v>99.858746099995344</v>
      </c>
      <c r="H15" s="94">
        <f>INDEX(lstSortedKPIs,$B15,COLUMNS($B$5:H14))</f>
        <v>296.88018433179724</v>
      </c>
      <c r="I15" s="94">
        <f>INDEX(lstSortedKPIs,$B15,COLUMNS($B$5:I14))</f>
        <v>116.33467142673983</v>
      </c>
      <c r="J15" s="94">
        <f>INDEX(lstSortedKPIs,$B15,COLUMNS($B$5:J14))</f>
        <v>78.348494994202085</v>
      </c>
      <c r="K15" s="94">
        <f>INDEX(lstSortedKPIs,$B15,COLUMNS($B$5:K14))</f>
        <v>356.25622119815671</v>
      </c>
      <c r="L15" s="94">
        <f>INDEX(lstSortedKPIs,$B15,COLUMNS($B$5:L14))</f>
        <v>12</v>
      </c>
      <c r="M15" s="94">
        <f>INDEX(lstSortedKPIs,$B15,COLUMNS($B$5:M14))</f>
        <v>0</v>
      </c>
      <c r="N15" s="94">
        <f>INDEX(lstSortedKPIs,$B15,COLUMNS($B$5:N14))</f>
        <v>0</v>
      </c>
      <c r="O15" s="94">
        <f>INDEX(lstSortedKPIs,$B15,COLUMNS($B$5:O14))</f>
        <v>22</v>
      </c>
      <c r="P15" s="139">
        <f>INDEX(lstSortedKPIs,$B15,COLUMNS($B$5:P14))</f>
        <v>41669</v>
      </c>
      <c r="Q15" s="160">
        <f>IF($R$2,INDEX(lstTargets,$B15,COLUMNS($Q$5:Q14)),NA())</f>
        <v>87.494399999999999</v>
      </c>
      <c r="R15" s="160">
        <f>IF($R$2,INDEX(lstTargets,$B15,COLUMNS($Q$5:R14)),NA())</f>
        <v>90</v>
      </c>
      <c r="S15" s="160">
        <f>IF($R$2,INDEX(lstTargets,$B15,COLUMNS($Q$5:S14)),NA())</f>
        <v>98</v>
      </c>
      <c r="T15" s="160">
        <f>IF($R$2,INDEX(lstTargets,$B15,COLUMNS($Q$5:T14)),NA())</f>
        <v>99.2</v>
      </c>
      <c r="U15" s="18">
        <f>IF($R$2,INDEX(lstTargets,$B15,COLUMNS($Q$5:U14)),NA())</f>
        <v>330</v>
      </c>
      <c r="V15" s="160">
        <f>IF($R$2,INDEX(lstTargets,$B15,COLUMNS($Q$5:V14)),NA())</f>
        <v>0</v>
      </c>
      <c r="W15" s="160">
        <f>IF($R$2,INDEX(lstTargets,$B15,COLUMNS($Q$5:W14)),NA())</f>
        <v>40</v>
      </c>
      <c r="X15" s="18">
        <f>IF($R$2,INDEX(lstTargets,$B15,COLUMNS($Q$5:X14)),NA())</f>
        <v>396.00000000000006</v>
      </c>
      <c r="Y15" s="18">
        <f>IF($R$2,INDEX(lstTargets,$B15,COLUMNS($Q$5:Y14)),NA())</f>
        <v>12</v>
      </c>
      <c r="Z15" s="18">
        <f>IF($R$2,INDEX(lstTargets,$B15,COLUMNS($Q$5:Z14)),NA())</f>
        <v>0</v>
      </c>
      <c r="AA15" s="18">
        <f>IF($R$2,INDEX(lstTargets,$B15,COLUMNS($Q$5:AA14)),NA())</f>
        <v>0</v>
      </c>
      <c r="AB15" s="18">
        <f>IF($R$2,INDEX(lstTargets,$B15,COLUMNS($Q$5:AB14)),NA())</f>
        <v>20</v>
      </c>
      <c r="AC15" s="24">
        <f t="shared" si="4"/>
        <v>0.72399999999999998</v>
      </c>
      <c r="AD15" s="24">
        <f t="shared" si="5"/>
        <v>0.72399999999999998</v>
      </c>
      <c r="AE15" s="24">
        <f t="shared" si="6"/>
        <v>0.57899999999999996</v>
      </c>
      <c r="AF15" s="24">
        <f t="shared" si="7"/>
        <v>0.97399999999999998</v>
      </c>
      <c r="AG15" s="24">
        <f t="shared" si="8"/>
        <v>0.71299999999999997</v>
      </c>
      <c r="AH15" s="24">
        <f t="shared" si="9"/>
        <v>0.58399999999999996</v>
      </c>
      <c r="AI15" s="24">
        <f t="shared" si="10"/>
        <v>0.92400000000000004</v>
      </c>
      <c r="AJ15" s="24">
        <f t="shared" si="11"/>
        <v>0.71</v>
      </c>
      <c r="AK15" s="24">
        <f t="shared" si="12"/>
        <v>0.3</v>
      </c>
      <c r="AL15" s="24">
        <f t="shared" si="13"/>
        <v>0</v>
      </c>
      <c r="AM15" s="24">
        <f t="shared" si="14"/>
        <v>0</v>
      </c>
      <c r="AN15" s="24">
        <f t="shared" si="15"/>
        <v>0.60399999999999998</v>
      </c>
      <c r="AP15" s="25" t="str">
        <f t="shared" si="16"/>
        <v/>
      </c>
      <c r="AQ15" s="25" t="str">
        <f t="shared" si="17"/>
        <v/>
      </c>
      <c r="AR15" s="25" t="str">
        <f t="shared" si="18"/>
        <v/>
      </c>
      <c r="AS15" s="25">
        <f t="shared" si="19"/>
        <v>2</v>
      </c>
      <c r="AT15" s="25" t="str">
        <f t="shared" si="20"/>
        <v/>
      </c>
      <c r="AU15" s="25" t="str">
        <f t="shared" si="21"/>
        <v/>
      </c>
      <c r="AV15" s="25">
        <f t="shared" si="22"/>
        <v>2</v>
      </c>
      <c r="AW15" s="25" t="str">
        <f t="shared" si="23"/>
        <v/>
      </c>
      <c r="AX15" s="25" t="str">
        <f t="shared" si="24"/>
        <v/>
      </c>
      <c r="AY15" s="25">
        <f t="shared" si="25"/>
        <v>0</v>
      </c>
      <c r="AZ15" s="25">
        <f t="shared" si="26"/>
        <v>0</v>
      </c>
      <c r="BA15" s="25" t="str">
        <f t="shared" si="27"/>
        <v/>
      </c>
      <c r="BB15" s="33" t="str">
        <f>BA5</f>
        <v>Fat Content</v>
      </c>
      <c r="BC15" t="s">
        <v>12</v>
      </c>
      <c r="BD15" s="22">
        <v>0.9</v>
      </c>
      <c r="BE15">
        <v>2</v>
      </c>
    </row>
    <row r="16" spans="2:80" x14ac:dyDescent="0.35">
      <c r="D16" s="113"/>
      <c r="E16" s="113"/>
      <c r="F16" s="113"/>
      <c r="G16" s="113"/>
      <c r="I16" s="113"/>
      <c r="J16" s="113"/>
      <c r="R16" s="1"/>
      <c r="S16" s="1"/>
      <c r="T16"/>
      <c r="U16"/>
      <c r="Z16" s="9"/>
      <c r="AA16" s="9"/>
      <c r="AC16" s="9"/>
      <c r="AY16" t="s">
        <v>13</v>
      </c>
      <c r="AZ16" s="22">
        <v>0.1</v>
      </c>
      <c r="BA16">
        <v>0</v>
      </c>
      <c r="BB16" t="s">
        <v>144</v>
      </c>
    </row>
    <row r="17" spans="2:69" x14ac:dyDescent="0.35">
      <c r="Q17" s="1"/>
      <c r="S17"/>
      <c r="Z17" s="9"/>
      <c r="AB17" t="s">
        <v>11</v>
      </c>
      <c r="AC17" s="185">
        <f>MAX(X20:X379,AL20:AL378)</f>
        <v>120.56451612903226</v>
      </c>
      <c r="AD17" s="185">
        <f>MAX(Y20:Y119,AM20:AM119)</f>
        <v>100</v>
      </c>
      <c r="AE17" s="185">
        <f>MAX(Z20:Z119,AN20:AN119)</f>
        <v>118.81720430107525</v>
      </c>
      <c r="AF17" s="185"/>
      <c r="AG17" s="185">
        <f>MAX(AA20:AA378,AO20:AO378)</f>
        <v>100</v>
      </c>
      <c r="AH17" s="185">
        <f>MAX(AB20:AB378,AP20:AP378)</f>
        <v>364.63421391752581</v>
      </c>
      <c r="AI17" s="186"/>
      <c r="AJ17" s="186"/>
      <c r="AK17" s="185"/>
      <c r="AY17" t="s">
        <v>19</v>
      </c>
      <c r="BC17" t="s">
        <v>20</v>
      </c>
    </row>
    <row r="18" spans="2:69" x14ac:dyDescent="0.35">
      <c r="B18" s="2" t="s">
        <v>5</v>
      </c>
      <c r="R18" s="8" t="s">
        <v>9</v>
      </c>
      <c r="S18"/>
      <c r="T18"/>
      <c r="V18" s="2" t="s">
        <v>6</v>
      </c>
      <c r="W18"/>
      <c r="X18"/>
      <c r="Y18"/>
      <c r="AX18" s="4" t="s">
        <v>17</v>
      </c>
      <c r="AY18" s="4" t="s">
        <v>18</v>
      </c>
      <c r="AZ18" s="4" t="str">
        <f>AX18</f>
        <v>Selected KPI1</v>
      </c>
      <c r="BA18" s="4" t="str">
        <f>AY18</f>
        <v>selected KPI2</v>
      </c>
      <c r="BD18" s="4" t="str">
        <f>Dashboard!$L$43</f>
        <v>Product 2</v>
      </c>
    </row>
    <row r="19" spans="2:69" x14ac:dyDescent="0.35">
      <c r="B19" s="10" t="str">
        <f t="array" ref="B19:Q19">tblKPIs[#Headers]</f>
        <v>No.</v>
      </c>
      <c r="C19" s="10" t="str">
        <v>Products</v>
      </c>
      <c r="D19" s="6" t="str">
        <v>OEE</v>
      </c>
      <c r="E19" s="6" t="str">
        <v>Availability</v>
      </c>
      <c r="F19" s="6" t="str">
        <v>Performance</v>
      </c>
      <c r="G19" s="6" t="str">
        <v>Quality</v>
      </c>
      <c r="H19" s="6" t="str">
        <v>Labour Productivity</v>
      </c>
      <c r="I19" s="10" t="str">
        <v>Yield</v>
      </c>
      <c r="J19" s="10" t="str">
        <v>Share Of Frozen Meat</v>
      </c>
      <c r="K19" s="6" t="str">
        <v>Throughput in 10kg/ hour</v>
      </c>
      <c r="L19" s="10" t="str">
        <v>No of Line Workers per Hour</v>
      </c>
      <c r="M19" s="10" t="str">
        <v>Regrind</v>
      </c>
      <c r="N19" s="10" t="str">
        <v>Carry Over</v>
      </c>
      <c r="O19" s="10" t="str">
        <v>Fat Content</v>
      </c>
      <c r="P19" s="10" t="str">
        <v>Production Start Date</v>
      </c>
      <c r="Q19" s="10" t="str">
        <v>Total Down Times</v>
      </c>
      <c r="R19" s="12" t="str">
        <f>H4</f>
        <v>Quality</v>
      </c>
      <c r="S19" s="10" t="s">
        <v>7</v>
      </c>
      <c r="T19" s="4"/>
      <c r="U19" s="13" t="s">
        <v>10</v>
      </c>
      <c r="V19" s="10" t="str">
        <f t="shared" ref="V19:AK19" si="30">B19</f>
        <v>No.</v>
      </c>
      <c r="W19" s="10" t="str">
        <f t="shared" si="30"/>
        <v>Products</v>
      </c>
      <c r="X19" s="10" t="str">
        <f t="shared" si="30"/>
        <v>OEE</v>
      </c>
      <c r="Y19" s="10" t="str">
        <f t="shared" si="30"/>
        <v>Availability</v>
      </c>
      <c r="Z19" s="10" t="str">
        <f t="shared" si="30"/>
        <v>Performance</v>
      </c>
      <c r="AA19" s="10" t="str">
        <f t="shared" si="30"/>
        <v>Quality</v>
      </c>
      <c r="AB19" s="10" t="str">
        <f t="shared" si="30"/>
        <v>Labour Productivity</v>
      </c>
      <c r="AC19" s="10" t="str">
        <f t="shared" si="30"/>
        <v>Yield</v>
      </c>
      <c r="AD19" s="10" t="str">
        <f t="shared" si="30"/>
        <v>Share Of Frozen Meat</v>
      </c>
      <c r="AE19" s="10" t="str">
        <f t="shared" si="30"/>
        <v>Throughput in 10kg/ hour</v>
      </c>
      <c r="AF19" s="10" t="str">
        <f t="shared" si="30"/>
        <v>No of Line Workers per Hour</v>
      </c>
      <c r="AG19" s="10" t="str">
        <f t="shared" si="30"/>
        <v>Regrind</v>
      </c>
      <c r="AH19" s="10" t="str">
        <f t="shared" si="30"/>
        <v>Carry Over</v>
      </c>
      <c r="AI19" s="10" t="str">
        <f t="shared" si="30"/>
        <v>Fat Content</v>
      </c>
      <c r="AJ19" s="10" t="str">
        <f t="shared" si="30"/>
        <v>Production Start Date</v>
      </c>
      <c r="AK19" s="10" t="str">
        <f t="shared" si="30"/>
        <v>Total Down Times</v>
      </c>
      <c r="AL19" s="6" t="str">
        <f>Data!R4</f>
        <v>t OEE</v>
      </c>
      <c r="AM19" s="6" t="str">
        <f>Data!S4</f>
        <v>t Availability</v>
      </c>
      <c r="AN19" s="6" t="str">
        <f>Data!T4</f>
        <v>t Performance</v>
      </c>
      <c r="AO19" s="6" t="str">
        <f>Data!U4</f>
        <v>t Quality</v>
      </c>
      <c r="AP19" s="6" t="str">
        <f>Data!V4</f>
        <v>t Labour Productivity</v>
      </c>
      <c r="AQ19" s="6" t="str">
        <f>Data!W4</f>
        <v>t Yield</v>
      </c>
      <c r="AR19" s="6" t="str">
        <f>Data!X4</f>
        <v>t Share Of Frozen Meat</v>
      </c>
      <c r="AS19" s="6" t="str">
        <f>Data!Y4</f>
        <v>t Throughput in 10 kg/ hour</v>
      </c>
      <c r="AT19" s="6" t="str">
        <f>Data!Z4</f>
        <v>t No of Line Workers per Hour</v>
      </c>
      <c r="AU19" s="6" t="str">
        <f>Data!AA4</f>
        <v>t Regrind</v>
      </c>
      <c r="AV19" s="6" t="str">
        <f>Data!AB4</f>
        <v>Carry Over12</v>
      </c>
      <c r="AW19" s="6" t="str">
        <f>Data!AC4</f>
        <v>Fat Content13</v>
      </c>
      <c r="AX19" s="4">
        <v>3</v>
      </c>
      <c r="AY19" s="4">
        <v>2</v>
      </c>
      <c r="AZ19" s="4">
        <f>AX19</f>
        <v>3</v>
      </c>
      <c r="BA19" s="4">
        <f>AY19</f>
        <v>2</v>
      </c>
      <c r="BD19" s="14" t="str">
        <f t="shared" ref="BD19:BQ19" si="31">X19</f>
        <v>OEE</v>
      </c>
      <c r="BE19" s="14" t="str">
        <f t="shared" si="31"/>
        <v>Availability</v>
      </c>
      <c r="BF19" s="14" t="str">
        <f t="shared" si="31"/>
        <v>Performance</v>
      </c>
      <c r="BG19" s="14" t="str">
        <f t="shared" si="31"/>
        <v>Quality</v>
      </c>
      <c r="BH19" s="14" t="str">
        <f t="shared" si="31"/>
        <v>Labour Productivity</v>
      </c>
      <c r="BI19" s="14" t="str">
        <f t="shared" si="31"/>
        <v>Yield</v>
      </c>
      <c r="BJ19" s="14" t="str">
        <f t="shared" si="31"/>
        <v>Share Of Frozen Meat</v>
      </c>
      <c r="BK19" s="14" t="str">
        <f t="shared" si="31"/>
        <v>Throughput in 10kg/ hour</v>
      </c>
      <c r="BL19" s="14" t="str">
        <f t="shared" si="31"/>
        <v>No of Line Workers per Hour</v>
      </c>
      <c r="BM19" s="14" t="str">
        <f t="shared" si="31"/>
        <v>Regrind</v>
      </c>
      <c r="BN19" s="14" t="str">
        <f t="shared" si="31"/>
        <v>Carry Over</v>
      </c>
      <c r="BO19" s="14" t="str">
        <f t="shared" si="31"/>
        <v>Fat Content</v>
      </c>
      <c r="BP19" s="14" t="str">
        <f t="shared" si="31"/>
        <v>Production Start Date</v>
      </c>
      <c r="BQ19" s="14" t="str">
        <f t="shared" si="31"/>
        <v>Total Down Times</v>
      </c>
    </row>
    <row r="20" spans="2:69" x14ac:dyDescent="0.35">
      <c r="B20" s="11">
        <f t="array" ref="B20:Q379">tblKPIs[]</f>
        <v>1</v>
      </c>
      <c r="C20" s="4" t="str">
        <v>Product 1</v>
      </c>
      <c r="D20" s="94">
        <v>11</v>
      </c>
      <c r="E20" s="94">
        <v>83.023255813953497</v>
      </c>
      <c r="F20" s="94">
        <v>105.76351752822339</v>
      </c>
      <c r="G20" s="94">
        <v>99.133226324237555</v>
      </c>
      <c r="H20" s="4">
        <v>289.76744186046511</v>
      </c>
      <c r="I20" s="174">
        <v>107.461965708766</v>
      </c>
      <c r="J20" s="95">
        <v>81.717537909796121</v>
      </c>
      <c r="K20" s="4">
        <v>130</v>
      </c>
      <c r="L20" s="11">
        <v>12</v>
      </c>
      <c r="M20" s="4">
        <v>0</v>
      </c>
      <c r="N20" s="11">
        <v>0</v>
      </c>
      <c r="O20" s="11">
        <v>15</v>
      </c>
      <c r="P20" s="137">
        <v>41765</v>
      </c>
      <c r="Q20" s="11">
        <v>62</v>
      </c>
      <c r="R20" s="95">
        <f>CHOOSE($D$4,D20,E20,F20,G20,H20,I20,J20,K20,L20,M20,N20,O20,P20,101-B20)+0.000001*ROWS($A$20:A20)</f>
        <v>99.133227324237552</v>
      </c>
      <c r="S20" s="4">
        <f t="shared" ref="S20:S83" si="32">RANK(R20,$R$20:$R$379)</f>
        <v>61</v>
      </c>
      <c r="T20" s="4"/>
      <c r="U20" s="14">
        <f>ROWS($U$20:U20)</f>
        <v>1</v>
      </c>
      <c r="V20" s="4">
        <f t="array" ref="V20:V379">INDEX(B$20:B$379,MATCH($U20:$U379,$S$20:$S$379,0))</f>
        <v>247</v>
      </c>
      <c r="W20" s="4" t="str">
        <f t="array" ref="W20:W379">INDEX(C$20:C$379,MATCH($U20:$U379,$S$20:$S$379,0))</f>
        <v>Product 9</v>
      </c>
      <c r="X20" s="94">
        <f t="array" ref="X20:X379">INDEX(D$20:D$379,MATCH($U20:$U379,$S$20:$S$379,0))</f>
        <v>38.290598290598297</v>
      </c>
      <c r="Y20" s="94">
        <f t="array" ref="Y20:Y379">INDEX(E$20:E$379,MATCH($U20:$U379,$S$20:$S$379,0))</f>
        <v>53.846153846153854</v>
      </c>
      <c r="Z20" s="94">
        <f t="array" ref="Z20:Z379">INDEX(F$20:F$379,MATCH($U20:$U379,$S$20:$S$379,0))</f>
        <v>71.111111111111114</v>
      </c>
      <c r="AA20" s="94">
        <f t="array" ref="AA20:AA379">INDEX(G$20:G$379,MATCH($U20:$U379,$S$20:$S$379,0))</f>
        <v>100</v>
      </c>
      <c r="AB20" s="4">
        <f t="array" ref="AB20:AB379">INDEX(H$20:H$379,MATCH($U20:$U379,$S$20:$S$379,0))</f>
        <v>103.38461538461539</v>
      </c>
      <c r="AC20" s="94">
        <f t="array" ref="AC20:AC379">INDEX(I$20:I$379,MATCH($U20:$U379,$S$20:$S$379,0))</f>
        <v>149.41634241245137</v>
      </c>
      <c r="AD20" s="94">
        <f t="array" ref="AD20:AD379">INDEX(J$20:J$379,MATCH($U20:$U379,$S$20:$S$379,0))</f>
        <v>0</v>
      </c>
      <c r="AE20" s="4">
        <f t="array" ref="AE20:AE379">INDEX(K$20:K$379,MATCH($U20:$U379,$S$20:$S$379,0))</f>
        <v>124.06153846153848</v>
      </c>
      <c r="AF20" s="4">
        <f t="array" ref="AF20:AF379">INDEX(L$20:L$379,MATCH($U20:$U379,$S$20:$S$379,0))</f>
        <v>12</v>
      </c>
      <c r="AG20" s="4">
        <f t="array" ref="AG20:AG379">INDEX(M$20:M$379,MATCH($U20:$U379,$S$20:$S$379,0))</f>
        <v>0</v>
      </c>
      <c r="AH20" s="4">
        <f t="array" ref="AH20:AH379">INDEX(N$20:N$379,MATCH($U20:$U379,$S$20:$S$379,0))</f>
        <v>0</v>
      </c>
      <c r="AI20" s="4">
        <f t="array" ref="AI20:AI379">INDEX(O$20:O$379,MATCH($U20:$U379,$S$20:$S$379,0))</f>
        <v>18</v>
      </c>
      <c r="AJ20" s="139">
        <f t="array" ref="AJ20:AJ379">INDEX(P$20:P$379,MATCH($U20:$U379,$S$20:$S$379,0))</f>
        <v>41731</v>
      </c>
      <c r="AK20" s="94">
        <f t="array" ref="AK20:AK379">INDEX(Q$20:Q$379,MATCH($U20:$U379,$S$20:$S$379,0))</f>
        <v>98</v>
      </c>
      <c r="AL20" s="162">
        <f t="array" ref="AL20:AL379">INDEX(tblKPIs[t OEE],MATCH($U20:$U379,$S$20:$S$379,0))</f>
        <v>87.317999999999998</v>
      </c>
      <c r="AM20" s="162">
        <f t="array" ref="AM20:AM379">INDEX(tblKPIs[t Availability],MATCH($U20:$U379,$S$20:$S$379,0))</f>
        <v>90</v>
      </c>
      <c r="AN20" s="162">
        <f t="array" ref="AN20:AN379">INDEX(tblKPIs[t Performance],MATCH($U20:$U379,$S$20:$S$379,0))</f>
        <v>98</v>
      </c>
      <c r="AO20" s="162">
        <f t="array" ref="AO20:AO379">INDEX(tblKPIs[t Quality],MATCH($U20:$U379,$S$20:$S$379,0))</f>
        <v>99</v>
      </c>
      <c r="AP20" s="17">
        <f t="array" ref="AP20:AP379">INDEX(tblKPIs[t Labour Productivity],MATCH($U20:$U379,$S$20:$S$379,0))</f>
        <v>270</v>
      </c>
      <c r="AQ20" s="162">
        <f t="array" ref="AQ20:AQ379">INDEX(tblKPIs[t Yield],MATCH($U20:$U379,$S$20:$S$379,0))</f>
        <v>0</v>
      </c>
      <c r="AR20" s="162">
        <f t="array" ref="AR20:AR379">INDEX(tblKPIs[t Share Of Frozen Meat],MATCH($U20:$U379,$S$20:$S$379,0))</f>
        <v>40</v>
      </c>
      <c r="AS20" s="17">
        <f t="array" ref="AS20:AS379">INDEX(tblKPIs[t Throughput in 10 kg/ hour],MATCH($U20:$U379,$S$20:$S$379,0))</f>
        <v>324</v>
      </c>
      <c r="AT20" s="17">
        <f t="array" ref="AT20:AT379">INDEX(tblKPIs[t No of Line Workers per Hour],MATCH($U20:$U379,$S$20:$S$379,0))</f>
        <v>12</v>
      </c>
      <c r="AU20" s="17">
        <f t="array" ref="AU20:AU379">INDEX(tblKPIs[t Regrind],MATCH($U20:$U379,$S$20:$S$379,0))</f>
        <v>0</v>
      </c>
      <c r="AV20" s="17">
        <f t="array" ref="AV20:AV379">INDEX(tblKPIs[Carry Over12],MATCH($U20:$U379,$S$20:$S$379,0))</f>
        <v>0</v>
      </c>
      <c r="AW20" s="17">
        <f t="array" ref="AW20:AW379">INDEX(tblKPIs[Fat Content13],MATCH($U20:$U379,$S$20:$S$379,0))</f>
        <v>20</v>
      </c>
      <c r="AX20" s="4">
        <f t="array" ref="AX20:AX379">INDEX($X$20:$AH$379,calculations!$B$20:$B$379,calculations!$AX$19)</f>
        <v>71.111111111111114</v>
      </c>
      <c r="AY20" s="4">
        <f t="array" ref="AY20:AY379">INDEX($X$20:$AH$379,calculations!$B$20:$B$379,calculations!$AY$19)</f>
        <v>53.846153846153854</v>
      </c>
      <c r="AZ20" s="4">
        <f t="array" ref="AZ20:BA29">INDEX($D$6:$N$15,$B$20:$B$29,$AZ$19:$BA$19)</f>
        <v>71.111111111111114</v>
      </c>
      <c r="BA20" s="4">
        <v>53.846153846153854</v>
      </c>
      <c r="BD20" s="159" t="e">
        <f t="array" ref="BD20:BQ379">IFERROR((FIND($BD$18,$W$20:$W$379)&gt;0)*($X$20:$AK$379),NA())</f>
        <v>#N/A</v>
      </c>
      <c r="BE20" s="159" t="e">
        <v>#N/A</v>
      </c>
      <c r="BF20" s="159" t="e">
        <v>#N/A</v>
      </c>
      <c r="BG20" s="159" t="e">
        <v>#N/A</v>
      </c>
      <c r="BH20" s="14" t="e">
        <v>#N/A</v>
      </c>
      <c r="BI20" s="159" t="e">
        <v>#N/A</v>
      </c>
      <c r="BJ20" s="159" t="e">
        <v>#N/A</v>
      </c>
      <c r="BK20" s="14" t="e">
        <v>#N/A</v>
      </c>
      <c r="BL20" s="14" t="e">
        <v>#N/A</v>
      </c>
      <c r="BM20" s="14" t="e">
        <v>#N/A</v>
      </c>
      <c r="BN20" s="14" t="e">
        <v>#N/A</v>
      </c>
      <c r="BO20" s="14" t="e">
        <v>#N/A</v>
      </c>
      <c r="BP20" s="182" t="e">
        <v>#N/A</v>
      </c>
      <c r="BQ20" s="183" t="e">
        <v>#N/A</v>
      </c>
    </row>
    <row r="21" spans="2:69" x14ac:dyDescent="0.35">
      <c r="B21" s="11">
        <v>2</v>
      </c>
      <c r="C21" s="4" t="str">
        <v>Product 2</v>
      </c>
      <c r="D21" s="94">
        <v>76.578947368421041</v>
      </c>
      <c r="E21" s="94">
        <v>84.1796875</v>
      </c>
      <c r="F21" s="94">
        <v>92.20417633410672</v>
      </c>
      <c r="G21" s="94">
        <v>98.66235795830795</v>
      </c>
      <c r="H21" s="4">
        <v>221.20898437499997</v>
      </c>
      <c r="I21" s="174">
        <v>184.06819326843379</v>
      </c>
      <c r="J21" s="95">
        <v>0</v>
      </c>
      <c r="K21" s="4">
        <v>265.45078124999998</v>
      </c>
      <c r="L21" s="11">
        <v>12</v>
      </c>
      <c r="M21" s="4">
        <v>0</v>
      </c>
      <c r="N21" s="11">
        <v>0</v>
      </c>
      <c r="O21" s="11">
        <v>19</v>
      </c>
      <c r="P21" s="137">
        <v>41641</v>
      </c>
      <c r="Q21" s="11">
        <v>113</v>
      </c>
      <c r="R21" s="95">
        <f>CHOOSE($D$4,D21,E21,F21,G21,H21,I21,J21,K21,L21,M21,N21,O21,P21,101-B21)+0.000001*ROWS($A$20:A21)</f>
        <v>98.662359958307945</v>
      </c>
      <c r="S21" s="4">
        <f t="shared" si="32"/>
        <v>117</v>
      </c>
      <c r="T21" s="4"/>
      <c r="U21" s="14">
        <f>ROWS($U$20:U21)</f>
        <v>2</v>
      </c>
      <c r="V21" s="4">
        <v>184</v>
      </c>
      <c r="W21" s="4" t="str">
        <v>Product 9</v>
      </c>
      <c r="X21" s="94">
        <v>19.911111111111111</v>
      </c>
      <c r="Y21" s="94">
        <v>76.428571428571416</v>
      </c>
      <c r="Z21" s="94">
        <v>26.051921079958461</v>
      </c>
      <c r="AA21" s="94">
        <v>100</v>
      </c>
      <c r="AB21" s="4">
        <v>53.76</v>
      </c>
      <c r="AC21" s="94">
        <v>187.69077306733166</v>
      </c>
      <c r="AD21" s="94">
        <v>0</v>
      </c>
      <c r="AE21" s="4">
        <v>64.511999999999986</v>
      </c>
      <c r="AF21" s="4">
        <v>12</v>
      </c>
      <c r="AG21" s="4">
        <v>0</v>
      </c>
      <c r="AH21" s="4">
        <v>0</v>
      </c>
      <c r="AI21" s="4">
        <v>14</v>
      </c>
      <c r="AJ21" s="139">
        <v>41710</v>
      </c>
      <c r="AK21" s="94">
        <v>98</v>
      </c>
      <c r="AL21" s="162">
        <v>87.317999999999998</v>
      </c>
      <c r="AM21" s="162">
        <v>90</v>
      </c>
      <c r="AN21" s="162">
        <v>98</v>
      </c>
      <c r="AO21" s="162">
        <v>99</v>
      </c>
      <c r="AP21" s="17">
        <v>270</v>
      </c>
      <c r="AQ21" s="162">
        <v>0</v>
      </c>
      <c r="AR21" s="162">
        <v>40</v>
      </c>
      <c r="AS21" s="17">
        <v>324</v>
      </c>
      <c r="AT21" s="17">
        <v>12</v>
      </c>
      <c r="AU21" s="17">
        <v>0</v>
      </c>
      <c r="AV21" s="17">
        <v>0</v>
      </c>
      <c r="AW21" s="17">
        <v>20</v>
      </c>
      <c r="AX21" s="4">
        <v>26.051921079958461</v>
      </c>
      <c r="AY21" s="4">
        <v>76.428571428571416</v>
      </c>
      <c r="AZ21" s="4">
        <v>26.051921079958461</v>
      </c>
      <c r="BA21" s="4">
        <v>76.428571428571416</v>
      </c>
      <c r="BD21" s="159" t="e">
        <v>#N/A</v>
      </c>
      <c r="BE21" s="159" t="e">
        <v>#N/A</v>
      </c>
      <c r="BF21" s="159" t="e">
        <v>#N/A</v>
      </c>
      <c r="BG21" s="159" t="e">
        <v>#N/A</v>
      </c>
      <c r="BH21" s="14" t="e">
        <v>#N/A</v>
      </c>
      <c r="BI21" s="159" t="e">
        <v>#N/A</v>
      </c>
      <c r="BJ21" s="159" t="e">
        <v>#N/A</v>
      </c>
      <c r="BK21" s="14" t="e">
        <v>#N/A</v>
      </c>
      <c r="BL21" s="14" t="e">
        <v>#N/A</v>
      </c>
      <c r="BM21" s="14" t="e">
        <v>#N/A</v>
      </c>
      <c r="BN21" s="14" t="e">
        <v>#N/A</v>
      </c>
      <c r="BO21" s="14" t="e">
        <v>#N/A</v>
      </c>
      <c r="BP21" s="182" t="e">
        <v>#N/A</v>
      </c>
      <c r="BQ21" s="183" t="e">
        <v>#N/A</v>
      </c>
    </row>
    <row r="22" spans="2:69" x14ac:dyDescent="0.35">
      <c r="B22" s="11">
        <v>3</v>
      </c>
      <c r="C22" s="4" t="str">
        <v>Product 3</v>
      </c>
      <c r="D22" s="94">
        <v>86.117196479925866</v>
      </c>
      <c r="E22" s="94">
        <v>86.037735849056602</v>
      </c>
      <c r="F22" s="94">
        <v>101.5339260141686</v>
      </c>
      <c r="G22" s="94">
        <v>98.580208100926924</v>
      </c>
      <c r="H22" s="4">
        <v>302.32971698113209</v>
      </c>
      <c r="I22" s="174">
        <v>135.91828858135304</v>
      </c>
      <c r="J22" s="95">
        <v>35.268844785020356</v>
      </c>
      <c r="K22" s="4">
        <v>362.7956603773585</v>
      </c>
      <c r="L22" s="11">
        <v>12</v>
      </c>
      <c r="M22" s="4">
        <v>0</v>
      </c>
      <c r="N22" s="11">
        <v>0</v>
      </c>
      <c r="O22" s="11">
        <v>28</v>
      </c>
      <c r="P22" s="137">
        <v>41641</v>
      </c>
      <c r="Q22" s="11">
        <v>106</v>
      </c>
      <c r="R22" s="95">
        <f>CHOOSE($D$4,D22,E22,F22,G22,H22,I22,J22,K22,L22,M22,N22,O22,P22,101-B22)+0.000001*ROWS($A$20:A22)</f>
        <v>98.580211100926931</v>
      </c>
      <c r="S22" s="4">
        <f t="shared" si="32"/>
        <v>130</v>
      </c>
      <c r="T22" s="4"/>
      <c r="U22" s="14">
        <f>ROWS($U$20:U22)</f>
        <v>3</v>
      </c>
      <c r="V22" s="4">
        <v>174</v>
      </c>
      <c r="W22" s="4" t="str">
        <v>Product 17</v>
      </c>
      <c r="X22" s="94">
        <v>49.981671554252202</v>
      </c>
      <c r="Y22" s="94">
        <v>62.903225806451616</v>
      </c>
      <c r="Z22" s="94">
        <v>79.45804195804196</v>
      </c>
      <c r="AA22" s="94">
        <v>100</v>
      </c>
      <c r="AB22" s="4">
        <v>175.93548387096774</v>
      </c>
      <c r="AC22" s="94">
        <v>164.88051151049777</v>
      </c>
      <c r="AD22" s="94">
        <v>71.486617789947886</v>
      </c>
      <c r="AE22" s="4">
        <v>211.12258064516126</v>
      </c>
      <c r="AF22" s="4">
        <v>12</v>
      </c>
      <c r="AG22" s="4">
        <v>0</v>
      </c>
      <c r="AH22" s="4">
        <v>0</v>
      </c>
      <c r="AI22" s="4">
        <v>26</v>
      </c>
      <c r="AJ22" s="139">
        <v>41704</v>
      </c>
      <c r="AK22" s="94">
        <v>102</v>
      </c>
      <c r="AL22" s="162">
        <v>87.494399999999999</v>
      </c>
      <c r="AM22" s="162">
        <v>90</v>
      </c>
      <c r="AN22" s="162">
        <v>98</v>
      </c>
      <c r="AO22" s="162">
        <v>99.2</v>
      </c>
      <c r="AP22" s="17">
        <v>352</v>
      </c>
      <c r="AQ22" s="162">
        <v>0</v>
      </c>
      <c r="AR22" s="162">
        <v>40</v>
      </c>
      <c r="AS22" s="17">
        <v>422.4</v>
      </c>
      <c r="AT22" s="17">
        <v>12</v>
      </c>
      <c r="AU22" s="17">
        <v>0</v>
      </c>
      <c r="AV22" s="17">
        <v>0</v>
      </c>
      <c r="AW22" s="17">
        <v>20</v>
      </c>
      <c r="AX22" s="4">
        <v>79.45804195804196</v>
      </c>
      <c r="AY22" s="4">
        <v>62.903225806451616</v>
      </c>
      <c r="AZ22" s="4">
        <v>79.45804195804196</v>
      </c>
      <c r="BA22" s="4">
        <v>62.903225806451616</v>
      </c>
      <c r="BD22" s="159" t="e">
        <v>#N/A</v>
      </c>
      <c r="BE22" s="159" t="e">
        <v>#N/A</v>
      </c>
      <c r="BF22" s="159" t="e">
        <v>#N/A</v>
      </c>
      <c r="BG22" s="159" t="e">
        <v>#N/A</v>
      </c>
      <c r="BH22" s="14" t="e">
        <v>#N/A</v>
      </c>
      <c r="BI22" s="159" t="e">
        <v>#N/A</v>
      </c>
      <c r="BJ22" s="159" t="e">
        <v>#N/A</v>
      </c>
      <c r="BK22" s="14" t="e">
        <v>#N/A</v>
      </c>
      <c r="BL22" s="14" t="e">
        <v>#N/A</v>
      </c>
      <c r="BM22" s="14" t="e">
        <v>#N/A</v>
      </c>
      <c r="BN22" s="14" t="e">
        <v>#N/A</v>
      </c>
      <c r="BO22" s="14" t="e">
        <v>#N/A</v>
      </c>
      <c r="BP22" s="182" t="e">
        <v>#N/A</v>
      </c>
      <c r="BQ22" s="183" t="e">
        <v>#N/A</v>
      </c>
    </row>
    <row r="23" spans="2:69" x14ac:dyDescent="0.35">
      <c r="B23" s="11">
        <v>4</v>
      </c>
      <c r="C23" s="4" t="str">
        <v>Product 4</v>
      </c>
      <c r="D23" s="94">
        <v>90.590659340659343</v>
      </c>
      <c r="E23" s="94">
        <v>94.523809523809533</v>
      </c>
      <c r="F23" s="94">
        <v>96.178066266227475</v>
      </c>
      <c r="G23" s="94">
        <v>99.647443968773615</v>
      </c>
      <c r="H23" s="4">
        <v>236.36904761904762</v>
      </c>
      <c r="I23" s="174">
        <v>96.324110863690819</v>
      </c>
      <c r="J23" s="95">
        <v>19.42449213413828</v>
      </c>
      <c r="K23" s="4">
        <v>283.64285714285717</v>
      </c>
      <c r="L23" s="11">
        <v>12</v>
      </c>
      <c r="M23" s="4">
        <v>0</v>
      </c>
      <c r="N23" s="11">
        <v>0</v>
      </c>
      <c r="O23" s="11">
        <v>28</v>
      </c>
      <c r="P23" s="137">
        <v>41641</v>
      </c>
      <c r="Q23" s="11">
        <v>108</v>
      </c>
      <c r="R23" s="95">
        <f>CHOOSE($D$4,D23,E23,F23,G23,H23,I23,J23,K23,L23,M23,N23,O23,P23,101-B23)+0.000001*ROWS($A$20:A23)</f>
        <v>99.647447968773619</v>
      </c>
      <c r="S23" s="4">
        <f t="shared" si="32"/>
        <v>22</v>
      </c>
      <c r="T23" s="4"/>
      <c r="U23" s="14">
        <f>ROWS($U$20:U23)</f>
        <v>4</v>
      </c>
      <c r="V23" s="4">
        <v>136</v>
      </c>
      <c r="W23" s="4" t="str">
        <v>Product 17</v>
      </c>
      <c r="X23" s="94">
        <v>77.758719268153243</v>
      </c>
      <c r="Y23" s="94">
        <v>81.132075471698116</v>
      </c>
      <c r="Z23" s="94">
        <v>95.842142353770271</v>
      </c>
      <c r="AA23" s="94">
        <v>100</v>
      </c>
      <c r="AB23" s="4">
        <v>256.6037735849057</v>
      </c>
      <c r="AC23" s="94">
        <v>64.786070994736136</v>
      </c>
      <c r="AD23" s="94">
        <v>50.934220629639107</v>
      </c>
      <c r="AE23" s="4">
        <v>307.92452830188682</v>
      </c>
      <c r="AF23" s="4">
        <v>12</v>
      </c>
      <c r="AG23" s="4">
        <v>0</v>
      </c>
      <c r="AH23" s="4">
        <v>0</v>
      </c>
      <c r="AI23" s="4">
        <v>19</v>
      </c>
      <c r="AJ23" s="139">
        <v>41691</v>
      </c>
      <c r="AK23" s="94">
        <v>71</v>
      </c>
      <c r="AL23" s="162">
        <v>87.494399999999999</v>
      </c>
      <c r="AM23" s="162">
        <v>90</v>
      </c>
      <c r="AN23" s="162">
        <v>98</v>
      </c>
      <c r="AO23" s="162">
        <v>99.2</v>
      </c>
      <c r="AP23" s="17">
        <v>330</v>
      </c>
      <c r="AQ23" s="162">
        <v>0</v>
      </c>
      <c r="AR23" s="162">
        <v>40</v>
      </c>
      <c r="AS23" s="17">
        <v>396</v>
      </c>
      <c r="AT23" s="17">
        <v>12</v>
      </c>
      <c r="AU23" s="17">
        <v>0</v>
      </c>
      <c r="AV23" s="17">
        <v>0</v>
      </c>
      <c r="AW23" s="17">
        <v>20</v>
      </c>
      <c r="AX23" s="4">
        <v>95.842142353770271</v>
      </c>
      <c r="AY23" s="4">
        <v>81.132075471698116</v>
      </c>
      <c r="AZ23" s="4">
        <v>95.842142353770271</v>
      </c>
      <c r="BA23" s="4">
        <v>81.132075471698116</v>
      </c>
      <c r="BD23" s="159" t="e">
        <v>#N/A</v>
      </c>
      <c r="BE23" s="159" t="e">
        <v>#N/A</v>
      </c>
      <c r="BF23" s="159" t="e">
        <v>#N/A</v>
      </c>
      <c r="BG23" s="159" t="e">
        <v>#N/A</v>
      </c>
      <c r="BH23" s="14" t="e">
        <v>#N/A</v>
      </c>
      <c r="BI23" s="159" t="e">
        <v>#N/A</v>
      </c>
      <c r="BJ23" s="159" t="e">
        <v>#N/A</v>
      </c>
      <c r="BK23" s="14" t="e">
        <v>#N/A</v>
      </c>
      <c r="BL23" s="14" t="e">
        <v>#N/A</v>
      </c>
      <c r="BM23" s="14" t="e">
        <v>#N/A</v>
      </c>
      <c r="BN23" s="14" t="e">
        <v>#N/A</v>
      </c>
      <c r="BO23" s="14" t="e">
        <v>#N/A</v>
      </c>
      <c r="BP23" s="182" t="e">
        <v>#N/A</v>
      </c>
      <c r="BQ23" s="183" t="e">
        <v>#N/A</v>
      </c>
    </row>
    <row r="24" spans="2:69" x14ac:dyDescent="0.35">
      <c r="B24" s="11">
        <v>5</v>
      </c>
      <c r="C24" s="4" t="str">
        <v>Product 3</v>
      </c>
      <c r="D24" s="94">
        <v>94.892505404756193</v>
      </c>
      <c r="E24" s="94">
        <v>95.797101449275374</v>
      </c>
      <c r="F24" s="94">
        <v>100.62290519136417</v>
      </c>
      <c r="G24" s="94">
        <v>98.442513160763795</v>
      </c>
      <c r="H24" s="4">
        <v>348.94565217391306</v>
      </c>
      <c r="I24" s="174">
        <v>117.55206960189824</v>
      </c>
      <c r="J24" s="95">
        <v>43.893427115097829</v>
      </c>
      <c r="K24" s="4">
        <v>418.7347826086957</v>
      </c>
      <c r="L24" s="11">
        <v>12</v>
      </c>
      <c r="M24" s="4">
        <v>0</v>
      </c>
      <c r="N24" s="11">
        <v>0</v>
      </c>
      <c r="O24" s="11">
        <v>14</v>
      </c>
      <c r="P24" s="137">
        <v>41643</v>
      </c>
      <c r="Q24" s="11">
        <v>71</v>
      </c>
      <c r="R24" s="95">
        <f>CHOOSE($D$4,D24,E24,F24,G24,H24,I24,J24,K24,L24,M24,N24,O24,P24,101-B24)+0.000001*ROWS($A$20:A24)</f>
        <v>98.442518160763797</v>
      </c>
      <c r="S24" s="4">
        <f t="shared" si="32"/>
        <v>151</v>
      </c>
      <c r="T24" s="4"/>
      <c r="U24" s="14">
        <f>ROWS($U$20:U24)</f>
        <v>5</v>
      </c>
      <c r="V24" s="4">
        <v>70</v>
      </c>
      <c r="W24" s="4" t="str">
        <v>Product 17</v>
      </c>
      <c r="X24" s="94">
        <v>93.314685314685306</v>
      </c>
      <c r="Y24" s="94">
        <v>96.615384615384613</v>
      </c>
      <c r="Z24" s="94">
        <v>96.5836711059641</v>
      </c>
      <c r="AA24" s="94">
        <v>100</v>
      </c>
      <c r="AB24" s="4">
        <v>307.93846153846152</v>
      </c>
      <c r="AC24" s="94">
        <v>100.37107612075017</v>
      </c>
      <c r="AD24" s="94">
        <v>82.323206003439481</v>
      </c>
      <c r="AE24" s="4">
        <v>369.52615384615382</v>
      </c>
      <c r="AF24" s="4">
        <v>12</v>
      </c>
      <c r="AG24" s="4">
        <v>0</v>
      </c>
      <c r="AH24" s="4">
        <v>0</v>
      </c>
      <c r="AI24" s="4">
        <v>22</v>
      </c>
      <c r="AJ24" s="139">
        <v>41661</v>
      </c>
      <c r="AK24" s="94">
        <v>74</v>
      </c>
      <c r="AL24" s="162">
        <v>87.494399999999999</v>
      </c>
      <c r="AM24" s="162">
        <v>90</v>
      </c>
      <c r="AN24" s="162">
        <v>98</v>
      </c>
      <c r="AO24" s="162">
        <v>99.2</v>
      </c>
      <c r="AP24" s="17">
        <v>330</v>
      </c>
      <c r="AQ24" s="162">
        <v>0</v>
      </c>
      <c r="AR24" s="162">
        <v>40</v>
      </c>
      <c r="AS24" s="17">
        <v>396</v>
      </c>
      <c r="AT24" s="17">
        <v>12</v>
      </c>
      <c r="AU24" s="17">
        <v>0</v>
      </c>
      <c r="AV24" s="17">
        <v>0</v>
      </c>
      <c r="AW24" s="17">
        <v>20</v>
      </c>
      <c r="AX24" s="4">
        <v>96.5836711059641</v>
      </c>
      <c r="AY24" s="4">
        <v>96.615384615384613</v>
      </c>
      <c r="AZ24" s="4">
        <v>96.5836711059641</v>
      </c>
      <c r="BA24" s="4">
        <v>96.615384615384613</v>
      </c>
      <c r="BD24" s="159" t="e">
        <v>#N/A</v>
      </c>
      <c r="BE24" s="159" t="e">
        <v>#N/A</v>
      </c>
      <c r="BF24" s="159" t="e">
        <v>#N/A</v>
      </c>
      <c r="BG24" s="159" t="e">
        <v>#N/A</v>
      </c>
      <c r="BH24" s="14" t="e">
        <v>#N/A</v>
      </c>
      <c r="BI24" s="159" t="e">
        <v>#N/A</v>
      </c>
      <c r="BJ24" s="159" t="e">
        <v>#N/A</v>
      </c>
      <c r="BK24" s="14" t="e">
        <v>#N/A</v>
      </c>
      <c r="BL24" s="14" t="e">
        <v>#N/A</v>
      </c>
      <c r="BM24" s="14" t="e">
        <v>#N/A</v>
      </c>
      <c r="BN24" s="14" t="e">
        <v>#N/A</v>
      </c>
      <c r="BO24" s="14" t="e">
        <v>#N/A</v>
      </c>
      <c r="BP24" s="182" t="e">
        <v>#N/A</v>
      </c>
      <c r="BQ24" s="183" t="e">
        <v>#N/A</v>
      </c>
    </row>
    <row r="25" spans="2:69" x14ac:dyDescent="0.35">
      <c r="B25" s="11">
        <v>6</v>
      </c>
      <c r="C25" s="4" t="str">
        <v>Product 3</v>
      </c>
      <c r="D25" s="94">
        <v>100.85312869690846</v>
      </c>
      <c r="E25" s="94">
        <v>97.101449275362313</v>
      </c>
      <c r="F25" s="94">
        <v>105.22646818879355</v>
      </c>
      <c r="G25" s="94">
        <v>98.704890166694156</v>
      </c>
      <c r="H25" s="4">
        <v>353.61557971014491</v>
      </c>
      <c r="I25" s="174">
        <v>122.93165558242643</v>
      </c>
      <c r="J25" s="95">
        <v>43.715755222000631</v>
      </c>
      <c r="K25" s="4">
        <v>424.3386956521739</v>
      </c>
      <c r="L25" s="11">
        <v>12</v>
      </c>
      <c r="M25" s="4">
        <v>0</v>
      </c>
      <c r="N25" s="11">
        <v>0</v>
      </c>
      <c r="O25" s="11">
        <v>20</v>
      </c>
      <c r="P25" s="137">
        <v>41643</v>
      </c>
      <c r="Q25" s="11">
        <v>67</v>
      </c>
      <c r="R25" s="95">
        <f>CHOOSE($D$4,D25,E25,F25,G25,H25,I25,J25,K25,L25,M25,N25,O25,P25,101-B25)+0.000001*ROWS($A$20:A25)</f>
        <v>98.704896166694155</v>
      </c>
      <c r="S25" s="4">
        <f t="shared" si="32"/>
        <v>114</v>
      </c>
      <c r="T25" s="4"/>
      <c r="U25" s="14">
        <f>ROWS($U$20:U25)</f>
        <v>6</v>
      </c>
      <c r="V25" s="4">
        <v>60</v>
      </c>
      <c r="W25" s="4" t="str">
        <v>Product 10</v>
      </c>
      <c r="X25" s="94">
        <v>74.963096347323571</v>
      </c>
      <c r="Y25" s="94">
        <v>73.913043478260875</v>
      </c>
      <c r="Z25" s="94">
        <v>101.42065976402601</v>
      </c>
      <c r="AA25" s="94">
        <v>100</v>
      </c>
      <c r="AB25" s="4">
        <v>259.43478260869563</v>
      </c>
      <c r="AC25" s="94">
        <v>113.16568047337279</v>
      </c>
      <c r="AD25" s="94">
        <v>0</v>
      </c>
      <c r="AE25" s="4">
        <v>311.32173913043482</v>
      </c>
      <c r="AF25" s="4">
        <v>12</v>
      </c>
      <c r="AG25" s="4">
        <v>0</v>
      </c>
      <c r="AH25" s="4">
        <v>0</v>
      </c>
      <c r="AI25" s="4">
        <v>24</v>
      </c>
      <c r="AJ25" s="139">
        <v>41659</v>
      </c>
      <c r="AK25" s="94">
        <v>59</v>
      </c>
      <c r="AL25" s="162">
        <v>87.494399999999999</v>
      </c>
      <c r="AM25" s="162">
        <v>90</v>
      </c>
      <c r="AN25" s="162">
        <v>98</v>
      </c>
      <c r="AO25" s="162">
        <v>99.2</v>
      </c>
      <c r="AP25" s="17">
        <v>346.08333333333331</v>
      </c>
      <c r="AQ25" s="162">
        <v>0</v>
      </c>
      <c r="AR25" s="162">
        <v>40</v>
      </c>
      <c r="AS25" s="17">
        <v>415.3</v>
      </c>
      <c r="AT25" s="17">
        <v>12</v>
      </c>
      <c r="AU25" s="17">
        <v>0</v>
      </c>
      <c r="AV25" s="17">
        <v>0</v>
      </c>
      <c r="AW25" s="17">
        <v>20</v>
      </c>
      <c r="AX25" s="4">
        <v>101.42065976402601</v>
      </c>
      <c r="AY25" s="4">
        <v>73.913043478260875</v>
      </c>
      <c r="AZ25" s="4">
        <v>101.42065976402601</v>
      </c>
      <c r="BA25" s="4">
        <v>73.913043478260875</v>
      </c>
      <c r="BD25" s="159" t="e">
        <v>#N/A</v>
      </c>
      <c r="BE25" s="159" t="e">
        <v>#N/A</v>
      </c>
      <c r="BF25" s="159" t="e">
        <v>#N/A</v>
      </c>
      <c r="BG25" s="159" t="e">
        <v>#N/A</v>
      </c>
      <c r="BH25" s="14" t="e">
        <v>#N/A</v>
      </c>
      <c r="BI25" s="159" t="e">
        <v>#N/A</v>
      </c>
      <c r="BJ25" s="159" t="e">
        <v>#N/A</v>
      </c>
      <c r="BK25" s="14" t="e">
        <v>#N/A</v>
      </c>
      <c r="BL25" s="14" t="e">
        <v>#N/A</v>
      </c>
      <c r="BM25" s="14" t="e">
        <v>#N/A</v>
      </c>
      <c r="BN25" s="14" t="e">
        <v>#N/A</v>
      </c>
      <c r="BO25" s="14" t="e">
        <v>#N/A</v>
      </c>
      <c r="BP25" s="182" t="e">
        <v>#N/A</v>
      </c>
      <c r="BQ25" s="183" t="e">
        <v>#N/A</v>
      </c>
    </row>
    <row r="26" spans="2:69" x14ac:dyDescent="0.35">
      <c r="B26" s="11">
        <v>7</v>
      </c>
      <c r="C26" s="4" t="str">
        <v>Product 3</v>
      </c>
      <c r="D26" s="94">
        <v>93.714208134596362</v>
      </c>
      <c r="E26" s="94">
        <v>93.971631205673759</v>
      </c>
      <c r="F26" s="94">
        <v>100.57109886465344</v>
      </c>
      <c r="G26" s="94">
        <v>99.159762716991267</v>
      </c>
      <c r="H26" s="4">
        <v>327.07748226950355</v>
      </c>
      <c r="I26" s="174">
        <v>119.84253717962379</v>
      </c>
      <c r="J26" s="95">
        <v>6.1319228236974546</v>
      </c>
      <c r="K26" s="4">
        <v>392.49297872340424</v>
      </c>
      <c r="L26" s="11">
        <v>12</v>
      </c>
      <c r="M26" s="4">
        <v>0</v>
      </c>
      <c r="N26" s="11">
        <v>0</v>
      </c>
      <c r="O26" s="11">
        <v>22</v>
      </c>
      <c r="P26" s="137">
        <v>41642</v>
      </c>
      <c r="Q26" s="11">
        <v>102</v>
      </c>
      <c r="R26" s="95">
        <f>CHOOSE($D$4,D26,E26,F26,G26,H26,I26,J26,K26,L26,M26,N26,O26,P26,101-B26)+0.000001*ROWS($A$20:A26)</f>
        <v>99.159769716991264</v>
      </c>
      <c r="S26" s="4">
        <f t="shared" si="32"/>
        <v>56</v>
      </c>
      <c r="T26" s="4"/>
      <c r="U26" s="14">
        <f>ROWS($U$20:U26)</f>
        <v>7</v>
      </c>
      <c r="V26" s="4">
        <v>40</v>
      </c>
      <c r="W26" s="4" t="str">
        <v>Product 16</v>
      </c>
      <c r="X26" s="94">
        <v>78.867508518741232</v>
      </c>
      <c r="Y26" s="94">
        <v>85</v>
      </c>
      <c r="Z26" s="94">
        <v>92.785304139695569</v>
      </c>
      <c r="AA26" s="94">
        <v>100</v>
      </c>
      <c r="AB26" s="4">
        <v>218.59444444444443</v>
      </c>
      <c r="AC26" s="94">
        <v>106.82105091693927</v>
      </c>
      <c r="AD26" s="94">
        <v>0</v>
      </c>
      <c r="AE26" s="4">
        <v>262.31333333333333</v>
      </c>
      <c r="AF26" s="4">
        <v>12</v>
      </c>
      <c r="AG26" s="4">
        <v>0</v>
      </c>
      <c r="AH26" s="4">
        <v>0</v>
      </c>
      <c r="AI26" s="4">
        <v>21</v>
      </c>
      <c r="AJ26" s="139">
        <v>41652</v>
      </c>
      <c r="AK26" s="94">
        <v>117</v>
      </c>
      <c r="AL26" s="162">
        <v>86.87700000000001</v>
      </c>
      <c r="AM26" s="162">
        <v>90</v>
      </c>
      <c r="AN26" s="162">
        <v>98</v>
      </c>
      <c r="AO26" s="162">
        <v>98.5</v>
      </c>
      <c r="AP26" s="17">
        <v>277.16666666666669</v>
      </c>
      <c r="AQ26" s="162">
        <v>0</v>
      </c>
      <c r="AR26" s="162">
        <v>40</v>
      </c>
      <c r="AS26" s="17">
        <v>332.6</v>
      </c>
      <c r="AT26" s="17">
        <v>12</v>
      </c>
      <c r="AU26" s="17">
        <v>0</v>
      </c>
      <c r="AV26" s="17">
        <v>0</v>
      </c>
      <c r="AW26" s="17">
        <v>20</v>
      </c>
      <c r="AX26" s="4">
        <v>92.785304139695569</v>
      </c>
      <c r="AY26" s="4">
        <v>85</v>
      </c>
      <c r="AZ26" s="4">
        <v>92.785304139695569</v>
      </c>
      <c r="BA26" s="4">
        <v>85</v>
      </c>
      <c r="BD26" s="159" t="e">
        <v>#N/A</v>
      </c>
      <c r="BE26" s="159" t="e">
        <v>#N/A</v>
      </c>
      <c r="BF26" s="159" t="e">
        <v>#N/A</v>
      </c>
      <c r="BG26" s="159" t="e">
        <v>#N/A</v>
      </c>
      <c r="BH26" s="14" t="e">
        <v>#N/A</v>
      </c>
      <c r="BI26" s="159" t="e">
        <v>#N/A</v>
      </c>
      <c r="BJ26" s="159" t="e">
        <v>#N/A</v>
      </c>
      <c r="BK26" s="14" t="e">
        <v>#N/A</v>
      </c>
      <c r="BL26" s="14" t="e">
        <v>#N/A</v>
      </c>
      <c r="BM26" s="14" t="e">
        <v>#N/A</v>
      </c>
      <c r="BN26" s="14" t="e">
        <v>#N/A</v>
      </c>
      <c r="BO26" s="14" t="e">
        <v>#N/A</v>
      </c>
      <c r="BP26" s="182" t="e">
        <v>#N/A</v>
      </c>
      <c r="BQ26" s="183" t="e">
        <v>#N/A</v>
      </c>
    </row>
    <row r="27" spans="2:69" x14ac:dyDescent="0.35">
      <c r="B27" s="11">
        <v>8</v>
      </c>
      <c r="C27" s="4" t="str">
        <v>Product 5</v>
      </c>
      <c r="D27" s="94">
        <v>78.300129996750073</v>
      </c>
      <c r="E27" s="94">
        <v>84.537815126050418</v>
      </c>
      <c r="F27" s="94">
        <v>94.301950726579747</v>
      </c>
      <c r="G27" s="94">
        <v>98.217932318117718</v>
      </c>
      <c r="H27" s="4">
        <v>288.5893277310924</v>
      </c>
      <c r="I27" s="174">
        <v>117.4997776059451</v>
      </c>
      <c r="J27" s="95">
        <v>100</v>
      </c>
      <c r="K27" s="4">
        <v>346.30719327731089</v>
      </c>
      <c r="L27" s="11">
        <v>12</v>
      </c>
      <c r="M27" s="4">
        <v>0</v>
      </c>
      <c r="N27" s="11">
        <v>0</v>
      </c>
      <c r="O27" s="11">
        <v>15</v>
      </c>
      <c r="P27" s="137">
        <v>41642</v>
      </c>
      <c r="Q27" s="11">
        <v>67</v>
      </c>
      <c r="R27" s="95">
        <f>CHOOSE($D$4,D27,E27,F27,G27,H27,I27,J27,K27,L27,M27,N27,O27,P27,101-B27)+0.000001*ROWS($A$20:A27)</f>
        <v>98.217940318117712</v>
      </c>
      <c r="S27" s="4">
        <f t="shared" si="32"/>
        <v>179</v>
      </c>
      <c r="T27" s="4"/>
      <c r="U27" s="14">
        <f>ROWS($U$20:U27)</f>
        <v>8</v>
      </c>
      <c r="V27" s="4">
        <v>17</v>
      </c>
      <c r="W27" s="4" t="str">
        <v>Product 7</v>
      </c>
      <c r="X27" s="94">
        <v>108.33333333333333</v>
      </c>
      <c r="Y27" s="94">
        <v>91.17647058823529</v>
      </c>
      <c r="Z27" s="94">
        <v>118.81720430107525</v>
      </c>
      <c r="AA27" s="94">
        <v>100</v>
      </c>
      <c r="AB27" s="4">
        <v>253.5</v>
      </c>
      <c r="AC27" s="94">
        <v>105.71082527174329</v>
      </c>
      <c r="AD27" s="94">
        <v>0</v>
      </c>
      <c r="AE27" s="4">
        <v>304.2</v>
      </c>
      <c r="AF27" s="4">
        <v>12</v>
      </c>
      <c r="AG27" s="4">
        <v>0</v>
      </c>
      <c r="AH27" s="4">
        <v>0</v>
      </c>
      <c r="AI27" s="4">
        <v>24</v>
      </c>
      <c r="AJ27" s="139">
        <v>41646</v>
      </c>
      <c r="AK27" s="94">
        <v>76</v>
      </c>
      <c r="AL27" s="162">
        <v>86.87700000000001</v>
      </c>
      <c r="AM27" s="162">
        <v>90</v>
      </c>
      <c r="AN27" s="162">
        <v>98</v>
      </c>
      <c r="AO27" s="162">
        <v>98.5</v>
      </c>
      <c r="AP27" s="17">
        <v>234</v>
      </c>
      <c r="AQ27" s="162">
        <v>0</v>
      </c>
      <c r="AR27" s="162">
        <v>40</v>
      </c>
      <c r="AS27" s="17">
        <v>280.8</v>
      </c>
      <c r="AT27" s="17">
        <v>12</v>
      </c>
      <c r="AU27" s="17">
        <v>0</v>
      </c>
      <c r="AV27" s="17">
        <v>0</v>
      </c>
      <c r="AW27" s="17">
        <v>20</v>
      </c>
      <c r="AX27" s="4">
        <v>118.81720430107525</v>
      </c>
      <c r="AY27" s="4">
        <v>91.17647058823529</v>
      </c>
      <c r="AZ27" s="4">
        <v>118.81720430107525</v>
      </c>
      <c r="BA27" s="4">
        <v>91.17647058823529</v>
      </c>
      <c r="BD27" s="159" t="e">
        <v>#N/A</v>
      </c>
      <c r="BE27" s="159" t="e">
        <v>#N/A</v>
      </c>
      <c r="BF27" s="159" t="e">
        <v>#N/A</v>
      </c>
      <c r="BG27" s="159" t="e">
        <v>#N/A</v>
      </c>
      <c r="BH27" s="14" t="e">
        <v>#N/A</v>
      </c>
      <c r="BI27" s="159" t="e">
        <v>#N/A</v>
      </c>
      <c r="BJ27" s="159" t="e">
        <v>#N/A</v>
      </c>
      <c r="BK27" s="14" t="e">
        <v>#N/A</v>
      </c>
      <c r="BL27" s="14" t="e">
        <v>#N/A</v>
      </c>
      <c r="BM27" s="14" t="e">
        <v>#N/A</v>
      </c>
      <c r="BN27" s="14" t="e">
        <v>#N/A</v>
      </c>
      <c r="BO27" s="14" t="e">
        <v>#N/A</v>
      </c>
      <c r="BP27" s="182" t="e">
        <v>#N/A</v>
      </c>
      <c r="BQ27" s="183" t="e">
        <v>#N/A</v>
      </c>
    </row>
    <row r="28" spans="2:69" x14ac:dyDescent="0.35">
      <c r="B28" s="11">
        <v>9</v>
      </c>
      <c r="C28" s="4" t="str">
        <v>Product 3</v>
      </c>
      <c r="D28" s="94">
        <v>79.66244441449939</v>
      </c>
      <c r="E28" s="94">
        <v>86.016260162601625</v>
      </c>
      <c r="F28" s="94">
        <v>93.396536778452003</v>
      </c>
      <c r="G28" s="94">
        <v>99.161320082190628</v>
      </c>
      <c r="H28" s="4">
        <v>290.8170731707317</v>
      </c>
      <c r="I28" s="174">
        <v>114.7538617005919</v>
      </c>
      <c r="J28" s="95">
        <v>0</v>
      </c>
      <c r="K28" s="4">
        <v>348.98048780487807</v>
      </c>
      <c r="L28" s="11">
        <v>12</v>
      </c>
      <c r="M28" s="4">
        <v>0</v>
      </c>
      <c r="N28" s="11">
        <v>0</v>
      </c>
      <c r="O28" s="11">
        <v>16</v>
      </c>
      <c r="P28" s="137">
        <v>41642</v>
      </c>
      <c r="Q28" s="11">
        <v>41</v>
      </c>
      <c r="R28" s="95">
        <f>CHOOSE($D$4,D28,E28,F28,G28,H28,I28,J28,K28,L28,M28,N28,O28,P28,101-B28)+0.000001*ROWS($A$20:A28)</f>
        <v>99.161329082190633</v>
      </c>
      <c r="S28" s="4">
        <f t="shared" si="32"/>
        <v>55</v>
      </c>
      <c r="T28" s="4"/>
      <c r="U28" s="14">
        <f>ROWS($U$20:U28)</f>
        <v>9</v>
      </c>
      <c r="V28" s="4">
        <v>16</v>
      </c>
      <c r="W28" s="4" t="str">
        <v>Product 10</v>
      </c>
      <c r="X28" s="94">
        <v>71.15544700904681</v>
      </c>
      <c r="Y28" s="94">
        <v>77.142857142857153</v>
      </c>
      <c r="Z28" s="94">
        <v>92.238542419134745</v>
      </c>
      <c r="AA28" s="94">
        <v>100</v>
      </c>
      <c r="AB28" s="4">
        <v>24.625714285714285</v>
      </c>
      <c r="AC28" s="94">
        <v>97.503676609223561</v>
      </c>
      <c r="AD28" s="94">
        <v>0</v>
      </c>
      <c r="AE28" s="4">
        <v>295.50857142857137</v>
      </c>
      <c r="AF28" s="4">
        <v>12</v>
      </c>
      <c r="AG28" s="4">
        <v>0</v>
      </c>
      <c r="AH28" s="4">
        <v>0</v>
      </c>
      <c r="AI28" s="4">
        <v>16</v>
      </c>
      <c r="AJ28" s="139">
        <v>41645</v>
      </c>
      <c r="AK28" s="94">
        <v>86</v>
      </c>
      <c r="AL28" s="162">
        <v>87.494399999999999</v>
      </c>
      <c r="AM28" s="162">
        <v>90</v>
      </c>
      <c r="AN28" s="162">
        <v>98</v>
      </c>
      <c r="AO28" s="162">
        <v>99.2</v>
      </c>
      <c r="AP28" s="17">
        <v>346.08333333333331</v>
      </c>
      <c r="AQ28" s="162">
        <v>0</v>
      </c>
      <c r="AR28" s="162">
        <v>40</v>
      </c>
      <c r="AS28" s="17">
        <v>415.3</v>
      </c>
      <c r="AT28" s="17">
        <v>12</v>
      </c>
      <c r="AU28" s="17">
        <v>0</v>
      </c>
      <c r="AV28" s="17">
        <v>0</v>
      </c>
      <c r="AW28" s="17">
        <v>20</v>
      </c>
      <c r="AX28" s="4">
        <v>92.238542419134745</v>
      </c>
      <c r="AY28" s="4">
        <v>77.142857142857153</v>
      </c>
      <c r="AZ28" s="4">
        <v>92.238542419134745</v>
      </c>
      <c r="BA28" s="4">
        <v>77.142857142857153</v>
      </c>
      <c r="BD28" s="159" t="e">
        <v>#N/A</v>
      </c>
      <c r="BE28" s="159" t="e">
        <v>#N/A</v>
      </c>
      <c r="BF28" s="159" t="e">
        <v>#N/A</v>
      </c>
      <c r="BG28" s="159" t="e">
        <v>#N/A</v>
      </c>
      <c r="BH28" s="14" t="e">
        <v>#N/A</v>
      </c>
      <c r="BI28" s="159" t="e">
        <v>#N/A</v>
      </c>
      <c r="BJ28" s="159" t="e">
        <v>#N/A</v>
      </c>
      <c r="BK28" s="14" t="e">
        <v>#N/A</v>
      </c>
      <c r="BL28" s="14" t="e">
        <v>#N/A</v>
      </c>
      <c r="BM28" s="14" t="e">
        <v>#N/A</v>
      </c>
      <c r="BN28" s="14" t="e">
        <v>#N/A</v>
      </c>
      <c r="BO28" s="14" t="e">
        <v>#N/A</v>
      </c>
      <c r="BP28" s="182" t="e">
        <v>#N/A</v>
      </c>
      <c r="BQ28" s="183" t="e">
        <v>#N/A</v>
      </c>
    </row>
    <row r="29" spans="2:69" x14ac:dyDescent="0.35">
      <c r="B29" s="11">
        <v>10</v>
      </c>
      <c r="C29" s="4" t="str">
        <v>Product 6</v>
      </c>
      <c r="D29" s="94">
        <v>83.873949579831915</v>
      </c>
      <c r="E29" s="94">
        <v>99.285714285714263</v>
      </c>
      <c r="F29" s="94">
        <v>86.275920440118497</v>
      </c>
      <c r="G29" s="94">
        <v>97.915338205719323</v>
      </c>
      <c r="H29" s="4">
        <v>262.11857142857144</v>
      </c>
      <c r="I29" s="174">
        <v>102.39006696428572</v>
      </c>
      <c r="J29" s="95">
        <v>45.016059957173447</v>
      </c>
      <c r="K29" s="4">
        <v>314.54228571428564</v>
      </c>
      <c r="L29" s="11">
        <v>12</v>
      </c>
      <c r="M29" s="4">
        <v>0</v>
      </c>
      <c r="N29" s="11">
        <v>0</v>
      </c>
      <c r="O29" s="11">
        <v>28</v>
      </c>
      <c r="P29" s="137">
        <v>41642</v>
      </c>
      <c r="Q29" s="11">
        <v>84</v>
      </c>
      <c r="R29" s="95">
        <f>CHOOSE($D$4,D29,E29,F29,G29,H29,I29,J29,K29,L29,M29,N29,O29,P29,101-B29)+0.000001*ROWS($A$20:A29)</f>
        <v>97.915348205719326</v>
      </c>
      <c r="S29" s="4">
        <f t="shared" si="32"/>
        <v>194</v>
      </c>
      <c r="T29" s="4"/>
      <c r="U29" s="14">
        <f>ROWS($U$20:U29)</f>
        <v>10</v>
      </c>
      <c r="V29" s="4">
        <v>89</v>
      </c>
      <c r="W29" s="4" t="str">
        <v>Product 17</v>
      </c>
      <c r="X29" s="94">
        <v>89.836614997905329</v>
      </c>
      <c r="Y29" s="94">
        <v>93.824884792626733</v>
      </c>
      <c r="Z29" s="94">
        <v>95.884681788414611</v>
      </c>
      <c r="AA29" s="94">
        <v>99.858746099995344</v>
      </c>
      <c r="AB29" s="4">
        <v>296.88018433179724</v>
      </c>
      <c r="AC29" s="94">
        <v>116.33467142673983</v>
      </c>
      <c r="AD29" s="94">
        <v>78.348494994202085</v>
      </c>
      <c r="AE29" s="4">
        <v>356.25622119815671</v>
      </c>
      <c r="AF29" s="4">
        <v>12</v>
      </c>
      <c r="AG29" s="4">
        <v>0</v>
      </c>
      <c r="AH29" s="4">
        <v>0</v>
      </c>
      <c r="AI29" s="4">
        <v>22</v>
      </c>
      <c r="AJ29" s="139">
        <v>41669</v>
      </c>
      <c r="AK29" s="94">
        <v>120</v>
      </c>
      <c r="AL29" s="162">
        <v>87.494399999999999</v>
      </c>
      <c r="AM29" s="162">
        <v>90</v>
      </c>
      <c r="AN29" s="162">
        <v>98</v>
      </c>
      <c r="AO29" s="162">
        <v>99.2</v>
      </c>
      <c r="AP29" s="17">
        <v>330</v>
      </c>
      <c r="AQ29" s="162">
        <v>0</v>
      </c>
      <c r="AR29" s="162">
        <v>40</v>
      </c>
      <c r="AS29" s="17">
        <v>396.00000000000006</v>
      </c>
      <c r="AT29" s="17">
        <v>12</v>
      </c>
      <c r="AU29" s="17">
        <v>0</v>
      </c>
      <c r="AV29" s="17">
        <v>0</v>
      </c>
      <c r="AW29" s="17">
        <v>20</v>
      </c>
      <c r="AX29" s="4">
        <v>95.884681788414611</v>
      </c>
      <c r="AY29" s="4">
        <v>93.824884792626733</v>
      </c>
      <c r="AZ29" s="4">
        <v>95.884681788414611</v>
      </c>
      <c r="BA29" s="4">
        <v>93.824884792626733</v>
      </c>
      <c r="BD29" s="159" t="e">
        <v>#N/A</v>
      </c>
      <c r="BE29" s="159" t="e">
        <v>#N/A</v>
      </c>
      <c r="BF29" s="159" t="e">
        <v>#N/A</v>
      </c>
      <c r="BG29" s="159" t="e">
        <v>#N/A</v>
      </c>
      <c r="BH29" s="14" t="e">
        <v>#N/A</v>
      </c>
      <c r="BI29" s="159" t="e">
        <v>#N/A</v>
      </c>
      <c r="BJ29" s="159" t="e">
        <v>#N/A</v>
      </c>
      <c r="BK29" s="14" t="e">
        <v>#N/A</v>
      </c>
      <c r="BL29" s="14" t="e">
        <v>#N/A</v>
      </c>
      <c r="BM29" s="14" t="e">
        <v>#N/A</v>
      </c>
      <c r="BN29" s="14" t="e">
        <v>#N/A</v>
      </c>
      <c r="BO29" s="14" t="e">
        <v>#N/A</v>
      </c>
      <c r="BP29" s="182" t="e">
        <v>#N/A</v>
      </c>
      <c r="BQ29" s="183" t="e">
        <v>#N/A</v>
      </c>
    </row>
    <row r="30" spans="2:69" x14ac:dyDescent="0.35">
      <c r="B30" s="11">
        <v>11</v>
      </c>
      <c r="C30" s="4" t="str">
        <v>Product 7</v>
      </c>
      <c r="D30" s="94">
        <v>86.865342163355422</v>
      </c>
      <c r="E30" s="94">
        <v>79.47019867549669</v>
      </c>
      <c r="F30" s="94">
        <v>111.05947293447294</v>
      </c>
      <c r="G30" s="94">
        <v>98.420740408202533</v>
      </c>
      <c r="H30" s="4">
        <v>206.52649006622519</v>
      </c>
      <c r="I30" s="174">
        <v>85.723906649440622</v>
      </c>
      <c r="J30" s="95">
        <v>0</v>
      </c>
      <c r="K30" s="4">
        <v>247.83178807947019</v>
      </c>
      <c r="L30" s="11">
        <v>12</v>
      </c>
      <c r="M30" s="4">
        <v>0</v>
      </c>
      <c r="N30" s="11">
        <v>0</v>
      </c>
      <c r="O30" s="11">
        <v>20</v>
      </c>
      <c r="P30" s="137">
        <v>41645</v>
      </c>
      <c r="Q30" s="11">
        <v>69</v>
      </c>
      <c r="R30" s="95">
        <f>CHOOSE($D$4,D30,E30,F30,G30,H30,I30,J30,K30,L30,M30,N30,O30,P30,101-B30)+0.000001*ROWS($A$20:A30)</f>
        <v>98.420751408202534</v>
      </c>
      <c r="S30" s="4">
        <f t="shared" si="32"/>
        <v>155</v>
      </c>
      <c r="T30" s="4"/>
      <c r="U30" s="14">
        <f>ROWS($U$20:U30)</f>
        <v>11</v>
      </c>
      <c r="V30" s="4">
        <v>117</v>
      </c>
      <c r="W30" s="4" t="str">
        <v>Product 17</v>
      </c>
      <c r="X30" s="94">
        <v>89.958407605466419</v>
      </c>
      <c r="Y30" s="94">
        <v>94.008714596949886</v>
      </c>
      <c r="Z30" s="94">
        <v>95.868008005899085</v>
      </c>
      <c r="AA30" s="94">
        <v>99.815949234953166</v>
      </c>
      <c r="AB30" s="4">
        <v>297.41013071895424</v>
      </c>
      <c r="AC30" s="94">
        <v>112.68301742728315</v>
      </c>
      <c r="AD30" s="94">
        <v>52.26463588767254</v>
      </c>
      <c r="AE30" s="4">
        <v>356.89215686274508</v>
      </c>
      <c r="AF30" s="4">
        <v>12</v>
      </c>
      <c r="AG30" s="4">
        <v>0</v>
      </c>
      <c r="AH30" s="4">
        <v>0</v>
      </c>
      <c r="AI30" s="4">
        <v>25</v>
      </c>
      <c r="AJ30" s="139">
        <v>41682</v>
      </c>
      <c r="AK30" s="94">
        <v>83</v>
      </c>
      <c r="AL30" s="162">
        <v>87.494399999999999</v>
      </c>
      <c r="AM30" s="162">
        <v>90</v>
      </c>
      <c r="AN30" s="162">
        <v>98</v>
      </c>
      <c r="AO30" s="162">
        <v>99.2</v>
      </c>
      <c r="AP30" s="17">
        <v>330</v>
      </c>
      <c r="AQ30" s="162">
        <v>0</v>
      </c>
      <c r="AR30" s="162">
        <v>40</v>
      </c>
      <c r="AS30" s="17">
        <v>396</v>
      </c>
      <c r="AT30" s="17">
        <v>12</v>
      </c>
      <c r="AU30" s="17">
        <v>0</v>
      </c>
      <c r="AV30" s="17">
        <v>0</v>
      </c>
      <c r="AW30" s="17">
        <v>20</v>
      </c>
      <c r="AX30" s="4">
        <v>95.868008005899085</v>
      </c>
      <c r="AY30" s="4">
        <v>94.008714596949886</v>
      </c>
      <c r="BD30" s="159" t="e">
        <v>#N/A</v>
      </c>
      <c r="BE30" s="159" t="e">
        <v>#N/A</v>
      </c>
      <c r="BF30" s="159" t="e">
        <v>#N/A</v>
      </c>
      <c r="BG30" s="159" t="e">
        <v>#N/A</v>
      </c>
      <c r="BH30" s="14" t="e">
        <v>#N/A</v>
      </c>
      <c r="BI30" s="159" t="e">
        <v>#N/A</v>
      </c>
      <c r="BJ30" s="159" t="e">
        <v>#N/A</v>
      </c>
      <c r="BK30" s="14" t="e">
        <v>#N/A</v>
      </c>
      <c r="BL30" s="14" t="e">
        <v>#N/A</v>
      </c>
      <c r="BM30" s="14" t="e">
        <v>#N/A</v>
      </c>
      <c r="BN30" s="14" t="e">
        <v>#N/A</v>
      </c>
      <c r="BO30" s="14" t="e">
        <v>#N/A</v>
      </c>
      <c r="BP30" s="182" t="e">
        <v>#N/A</v>
      </c>
      <c r="BQ30" s="183" t="e">
        <v>#N/A</v>
      </c>
    </row>
    <row r="31" spans="2:69" x14ac:dyDescent="0.35">
      <c r="B31" s="11">
        <v>12</v>
      </c>
      <c r="C31" s="4" t="str">
        <v>Product 8</v>
      </c>
      <c r="D31" s="94">
        <v>94.599018003273315</v>
      </c>
      <c r="E31" s="94">
        <v>98.014184397163135</v>
      </c>
      <c r="F31" s="94">
        <v>97.052766336413214</v>
      </c>
      <c r="G31" s="94">
        <v>99.446563243770242</v>
      </c>
      <c r="H31" s="4">
        <v>247.32624113475177</v>
      </c>
      <c r="I31" s="174">
        <v>91.740392026875242</v>
      </c>
      <c r="J31" s="95">
        <v>19.179353414762609</v>
      </c>
      <c r="K31" s="4">
        <v>296.79148936170213</v>
      </c>
      <c r="L31" s="11">
        <v>12</v>
      </c>
      <c r="M31" s="4">
        <v>0</v>
      </c>
      <c r="N31" s="11">
        <v>0</v>
      </c>
      <c r="O31" s="11">
        <v>22</v>
      </c>
      <c r="P31" s="137">
        <v>41645</v>
      </c>
      <c r="Q31" s="11">
        <v>72</v>
      </c>
      <c r="R31" s="95">
        <f>CHOOSE($D$4,D31,E31,F31,G31,H31,I31,J31,K31,L31,M31,N31,O31,P31,101-B31)+0.000001*ROWS($A$20:A31)</f>
        <v>99.446575243770241</v>
      </c>
      <c r="S31" s="4">
        <f t="shared" si="32"/>
        <v>32</v>
      </c>
      <c r="T31" s="4"/>
      <c r="U31" s="14">
        <f>ROWS($U$20:U31)</f>
        <v>12</v>
      </c>
      <c r="V31" s="4">
        <v>48</v>
      </c>
      <c r="W31" s="4" t="str">
        <v>Product 17</v>
      </c>
      <c r="X31" s="94">
        <v>92.800000000000011</v>
      </c>
      <c r="Y31" s="94">
        <v>100</v>
      </c>
      <c r="Z31" s="94">
        <v>93.008080808080805</v>
      </c>
      <c r="AA31" s="94">
        <v>99.776276635026832</v>
      </c>
      <c r="AB31" s="4">
        <v>306.92666666666668</v>
      </c>
      <c r="AC31" s="94">
        <v>111.63946749436214</v>
      </c>
      <c r="AD31" s="94">
        <v>80.716155655144874</v>
      </c>
      <c r="AE31" s="4">
        <v>368.31200000000001</v>
      </c>
      <c r="AF31" s="4">
        <v>12</v>
      </c>
      <c r="AG31" s="4">
        <v>0</v>
      </c>
      <c r="AH31" s="4">
        <v>0</v>
      </c>
      <c r="AI31" s="4">
        <v>23</v>
      </c>
      <c r="AJ31" s="139">
        <v>41654</v>
      </c>
      <c r="AK31" s="94">
        <v>72</v>
      </c>
      <c r="AL31" s="162">
        <v>87.494399999999999</v>
      </c>
      <c r="AM31" s="162">
        <v>90</v>
      </c>
      <c r="AN31" s="162">
        <v>98</v>
      </c>
      <c r="AO31" s="162">
        <v>99.2</v>
      </c>
      <c r="AP31" s="17">
        <v>330</v>
      </c>
      <c r="AQ31" s="162">
        <v>0</v>
      </c>
      <c r="AR31" s="162">
        <v>40</v>
      </c>
      <c r="AS31" s="17">
        <v>396</v>
      </c>
      <c r="AT31" s="17">
        <v>12</v>
      </c>
      <c r="AU31" s="17">
        <v>0</v>
      </c>
      <c r="AV31" s="17">
        <v>0</v>
      </c>
      <c r="AW31" s="17">
        <v>20</v>
      </c>
      <c r="AX31" s="4">
        <v>93.008080808080805</v>
      </c>
      <c r="AY31" s="4">
        <v>100</v>
      </c>
      <c r="BD31" s="159" t="e">
        <v>#N/A</v>
      </c>
      <c r="BE31" s="159" t="e">
        <v>#N/A</v>
      </c>
      <c r="BF31" s="159" t="e">
        <v>#N/A</v>
      </c>
      <c r="BG31" s="159" t="e">
        <v>#N/A</v>
      </c>
      <c r="BH31" s="14" t="e">
        <v>#N/A</v>
      </c>
      <c r="BI31" s="159" t="e">
        <v>#N/A</v>
      </c>
      <c r="BJ31" s="159" t="e">
        <v>#N/A</v>
      </c>
      <c r="BK31" s="14" t="e">
        <v>#N/A</v>
      </c>
      <c r="BL31" s="14" t="e">
        <v>#N/A</v>
      </c>
      <c r="BM31" s="14" t="e">
        <v>#N/A</v>
      </c>
      <c r="BN31" s="14" t="e">
        <v>#N/A</v>
      </c>
      <c r="BO31" s="14" t="e">
        <v>#N/A</v>
      </c>
      <c r="BP31" s="182" t="e">
        <v>#N/A</v>
      </c>
      <c r="BQ31" s="183" t="e">
        <v>#N/A</v>
      </c>
    </row>
    <row r="32" spans="2:69" x14ac:dyDescent="0.35">
      <c r="B32" s="11">
        <v>13</v>
      </c>
      <c r="C32" s="4" t="str">
        <v>Product 2</v>
      </c>
      <c r="D32" s="94">
        <v>100.55759206322514</v>
      </c>
      <c r="E32" s="94">
        <v>98.083067092651746</v>
      </c>
      <c r="F32" s="94">
        <v>103.15149437110693</v>
      </c>
      <c r="G32" s="94">
        <v>99.390597923157713</v>
      </c>
      <c r="H32" s="4">
        <v>288.34632587859426</v>
      </c>
      <c r="I32" s="174">
        <v>94.628990825688078</v>
      </c>
      <c r="J32" s="95">
        <v>0</v>
      </c>
      <c r="K32" s="4">
        <v>346.01559105431306</v>
      </c>
      <c r="L32" s="11">
        <v>12</v>
      </c>
      <c r="M32" s="4">
        <v>0</v>
      </c>
      <c r="N32" s="11">
        <v>0</v>
      </c>
      <c r="O32" s="11">
        <v>22</v>
      </c>
      <c r="P32" s="137">
        <v>41645</v>
      </c>
      <c r="Q32" s="11">
        <v>79</v>
      </c>
      <c r="R32" s="95">
        <f>CHOOSE($D$4,D32,E32,F32,G32,H32,I32,J32,K32,L32,M32,N32,O32,P32,101-B32)+0.000001*ROWS($A$20:A32)</f>
        <v>99.390610923157709</v>
      </c>
      <c r="S32" s="4">
        <f t="shared" si="32"/>
        <v>37</v>
      </c>
      <c r="T32" s="4"/>
      <c r="U32" s="14">
        <f>ROWS($U$20:U32)</f>
        <v>13</v>
      </c>
      <c r="V32" s="4">
        <v>235</v>
      </c>
      <c r="W32" s="4" t="str">
        <v>Product 7</v>
      </c>
      <c r="X32" s="94">
        <v>88.52459016393442</v>
      </c>
      <c r="Y32" s="94">
        <v>96.174863387978121</v>
      </c>
      <c r="Z32" s="94">
        <v>92.259129759129763</v>
      </c>
      <c r="AA32" s="94">
        <v>99.768396673334038</v>
      </c>
      <c r="AB32" s="4">
        <v>207.62841530054644</v>
      </c>
      <c r="AC32" s="94">
        <v>167.17999260810646</v>
      </c>
      <c r="AD32" s="94">
        <v>23.87079237076972</v>
      </c>
      <c r="AE32" s="4">
        <v>249.15409836065572</v>
      </c>
      <c r="AF32" s="4">
        <v>12</v>
      </c>
      <c r="AG32" s="4">
        <v>0</v>
      </c>
      <c r="AH32" s="4">
        <v>0</v>
      </c>
      <c r="AI32" s="4">
        <v>25</v>
      </c>
      <c r="AJ32" s="139">
        <v>41725</v>
      </c>
      <c r="AK32" s="94">
        <v>83</v>
      </c>
      <c r="AL32" s="162">
        <v>86.87700000000001</v>
      </c>
      <c r="AM32" s="162">
        <v>90</v>
      </c>
      <c r="AN32" s="162">
        <v>98</v>
      </c>
      <c r="AO32" s="162">
        <v>98.5</v>
      </c>
      <c r="AP32" s="17">
        <v>234</v>
      </c>
      <c r="AQ32" s="162">
        <v>0</v>
      </c>
      <c r="AR32" s="162">
        <v>40</v>
      </c>
      <c r="AS32" s="17">
        <v>280.8</v>
      </c>
      <c r="AT32" s="17">
        <v>12</v>
      </c>
      <c r="AU32" s="17">
        <v>0</v>
      </c>
      <c r="AV32" s="17">
        <v>0</v>
      </c>
      <c r="AW32" s="17">
        <v>20</v>
      </c>
      <c r="AX32" s="4">
        <v>92.259129759129763</v>
      </c>
      <c r="AY32" s="4">
        <v>96.174863387978121</v>
      </c>
      <c r="BD32" s="159" t="e">
        <v>#N/A</v>
      </c>
      <c r="BE32" s="159" t="e">
        <v>#N/A</v>
      </c>
      <c r="BF32" s="159" t="e">
        <v>#N/A</v>
      </c>
      <c r="BG32" s="159" t="e">
        <v>#N/A</v>
      </c>
      <c r="BH32" s="14" t="e">
        <v>#N/A</v>
      </c>
      <c r="BI32" s="159" t="e">
        <v>#N/A</v>
      </c>
      <c r="BJ32" s="159" t="e">
        <v>#N/A</v>
      </c>
      <c r="BK32" s="14" t="e">
        <v>#N/A</v>
      </c>
      <c r="BL32" s="14" t="e">
        <v>#N/A</v>
      </c>
      <c r="BM32" s="14" t="e">
        <v>#N/A</v>
      </c>
      <c r="BN32" s="14" t="e">
        <v>#N/A</v>
      </c>
      <c r="BO32" s="14" t="e">
        <v>#N/A</v>
      </c>
      <c r="BP32" s="182" t="e">
        <v>#N/A</v>
      </c>
      <c r="BQ32" s="183" t="e">
        <v>#N/A</v>
      </c>
    </row>
    <row r="33" spans="2:69" x14ac:dyDescent="0.35">
      <c r="B33" s="11">
        <v>14</v>
      </c>
      <c r="C33" s="4" t="str">
        <v>Product 9</v>
      </c>
      <c r="D33" s="94">
        <v>68.404858299595134</v>
      </c>
      <c r="E33" s="94">
        <v>84.615384615384613</v>
      </c>
      <c r="F33" s="94">
        <v>84.624287992709043</v>
      </c>
      <c r="G33" s="94">
        <v>95.530617959377082</v>
      </c>
      <c r="H33" s="4">
        <v>204.07472527472527</v>
      </c>
      <c r="I33" s="174">
        <v>53.310750681785557</v>
      </c>
      <c r="J33" s="95">
        <v>0</v>
      </c>
      <c r="K33" s="4">
        <v>244.88967032967034</v>
      </c>
      <c r="L33" s="11">
        <v>12</v>
      </c>
      <c r="M33" s="4">
        <v>0</v>
      </c>
      <c r="N33" s="11">
        <v>0</v>
      </c>
      <c r="O33" s="11">
        <v>18</v>
      </c>
      <c r="P33" s="137">
        <v>41645</v>
      </c>
      <c r="Q33" s="11">
        <v>68</v>
      </c>
      <c r="R33" s="95">
        <f>CHOOSE($D$4,D33,E33,F33,G33,H33,I33,J33,K33,L33,M33,N33,O33,P33,101-B33)+0.000001*ROWS($A$20:A33)</f>
        <v>95.530631959377075</v>
      </c>
      <c r="S33" s="4">
        <f t="shared" si="32"/>
        <v>243</v>
      </c>
      <c r="T33" s="4"/>
      <c r="U33" s="14">
        <f>ROWS($U$20:U33)</f>
        <v>14</v>
      </c>
      <c r="V33" s="4">
        <v>66</v>
      </c>
      <c r="W33" s="4" t="str">
        <v>Product 13</v>
      </c>
      <c r="X33" s="94">
        <v>79.444534151461326</v>
      </c>
      <c r="Y33" s="94">
        <v>82.770870337477803</v>
      </c>
      <c r="Z33" s="94">
        <v>96.213746911171796</v>
      </c>
      <c r="AA33" s="94">
        <v>99.758376560836723</v>
      </c>
      <c r="AB33" s="4">
        <v>262.80195381882771</v>
      </c>
      <c r="AC33" s="94">
        <v>120.21295179132186</v>
      </c>
      <c r="AD33" s="94">
        <v>72.956116380003209</v>
      </c>
      <c r="AE33" s="4">
        <v>315.36234458259327</v>
      </c>
      <c r="AF33" s="4">
        <v>12</v>
      </c>
      <c r="AG33" s="4">
        <v>0</v>
      </c>
      <c r="AH33" s="4">
        <v>0</v>
      </c>
      <c r="AI33" s="4">
        <v>20</v>
      </c>
      <c r="AJ33" s="139">
        <v>41661</v>
      </c>
      <c r="AK33" s="94">
        <v>125</v>
      </c>
      <c r="AL33" s="162">
        <v>87.494399999999999</v>
      </c>
      <c r="AM33" s="162">
        <v>90</v>
      </c>
      <c r="AN33" s="162">
        <v>98</v>
      </c>
      <c r="AO33" s="162">
        <v>99.2</v>
      </c>
      <c r="AP33" s="17">
        <v>330</v>
      </c>
      <c r="AQ33" s="162">
        <v>0</v>
      </c>
      <c r="AR33" s="162">
        <v>40</v>
      </c>
      <c r="AS33" s="17">
        <v>396</v>
      </c>
      <c r="AT33" s="17">
        <v>12</v>
      </c>
      <c r="AU33" s="17">
        <v>0</v>
      </c>
      <c r="AV33" s="17">
        <v>0</v>
      </c>
      <c r="AW33" s="17">
        <v>20</v>
      </c>
      <c r="AX33" s="4">
        <v>96.213746911171796</v>
      </c>
      <c r="AY33" s="4">
        <v>82.770870337477803</v>
      </c>
      <c r="BD33" s="159" t="e">
        <v>#N/A</v>
      </c>
      <c r="BE33" s="159" t="e">
        <v>#N/A</v>
      </c>
      <c r="BF33" s="159" t="e">
        <v>#N/A</v>
      </c>
      <c r="BG33" s="159" t="e">
        <v>#N/A</v>
      </c>
      <c r="BH33" s="14" t="e">
        <v>#N/A</v>
      </c>
      <c r="BI33" s="159" t="e">
        <v>#N/A</v>
      </c>
      <c r="BJ33" s="159" t="e">
        <v>#N/A</v>
      </c>
      <c r="BK33" s="14" t="e">
        <v>#N/A</v>
      </c>
      <c r="BL33" s="14" t="e">
        <v>#N/A</v>
      </c>
      <c r="BM33" s="14" t="e">
        <v>#N/A</v>
      </c>
      <c r="BN33" s="14" t="e">
        <v>#N/A</v>
      </c>
      <c r="BO33" s="14" t="e">
        <v>#N/A</v>
      </c>
      <c r="BP33" s="182" t="e">
        <v>#N/A</v>
      </c>
      <c r="BQ33" s="183" t="e">
        <v>#N/A</v>
      </c>
    </row>
    <row r="34" spans="2:69" x14ac:dyDescent="0.35">
      <c r="B34" s="11">
        <v>15</v>
      </c>
      <c r="C34" s="4" t="str">
        <v>Product 3</v>
      </c>
      <c r="D34" s="94">
        <v>98.674968181349115</v>
      </c>
      <c r="E34" s="94">
        <v>98.888888888888886</v>
      </c>
      <c r="F34" s="94">
        <v>101.21334091389582</v>
      </c>
      <c r="G34" s="94">
        <v>98.58747353660884</v>
      </c>
      <c r="H34" s="4">
        <v>346.39047619047619</v>
      </c>
      <c r="I34" s="174">
        <v>114.12001568832525</v>
      </c>
      <c r="J34" s="95">
        <v>41.661731892537205</v>
      </c>
      <c r="K34" s="4">
        <v>415.66857142857145</v>
      </c>
      <c r="L34" s="11">
        <v>12</v>
      </c>
      <c r="M34" s="4">
        <v>0</v>
      </c>
      <c r="N34" s="11">
        <v>0</v>
      </c>
      <c r="O34" s="11">
        <v>15</v>
      </c>
      <c r="P34" s="137">
        <v>41645</v>
      </c>
      <c r="Q34" s="11">
        <v>108</v>
      </c>
      <c r="R34" s="95">
        <f>CHOOSE($D$4,D34,E34,F34,G34,H34,I34,J34,K34,L34,M34,N34,O34,P34,101-B34)+0.000001*ROWS($A$20:A34)</f>
        <v>98.587488536608845</v>
      </c>
      <c r="S34" s="4">
        <f t="shared" si="32"/>
        <v>128</v>
      </c>
      <c r="T34" s="4"/>
      <c r="U34" s="14">
        <f>ROWS($U$20:U34)</f>
        <v>15</v>
      </c>
      <c r="V34" s="4">
        <v>232</v>
      </c>
      <c r="W34" s="4" t="str">
        <v>Product 13</v>
      </c>
      <c r="X34" s="94">
        <v>89.56228956228955</v>
      </c>
      <c r="Y34" s="94">
        <v>98.271604938271594</v>
      </c>
      <c r="Z34" s="94">
        <v>91.360210141617188</v>
      </c>
      <c r="AA34" s="94">
        <v>99.756234764672797</v>
      </c>
      <c r="AB34" s="4">
        <v>296.27777777777777</v>
      </c>
      <c r="AC34" s="94">
        <v>165.94177845387915</v>
      </c>
      <c r="AD34" s="94">
        <v>77.361733931240664</v>
      </c>
      <c r="AE34" s="4">
        <v>355.53333333333336</v>
      </c>
      <c r="AF34" s="4">
        <v>12</v>
      </c>
      <c r="AG34" s="4">
        <v>0</v>
      </c>
      <c r="AH34" s="4">
        <v>0</v>
      </c>
      <c r="AI34" s="4">
        <v>29</v>
      </c>
      <c r="AJ34" s="139">
        <v>41724</v>
      </c>
      <c r="AK34" s="94">
        <v>65</v>
      </c>
      <c r="AL34" s="162">
        <v>87.494399999999999</v>
      </c>
      <c r="AM34" s="162">
        <v>90</v>
      </c>
      <c r="AN34" s="162">
        <v>98</v>
      </c>
      <c r="AO34" s="162">
        <v>99.2</v>
      </c>
      <c r="AP34" s="17">
        <v>330</v>
      </c>
      <c r="AQ34" s="162">
        <v>0</v>
      </c>
      <c r="AR34" s="162">
        <v>40</v>
      </c>
      <c r="AS34" s="17">
        <v>395.99999999999994</v>
      </c>
      <c r="AT34" s="17">
        <v>12</v>
      </c>
      <c r="AU34" s="17">
        <v>0</v>
      </c>
      <c r="AV34" s="17">
        <v>0</v>
      </c>
      <c r="AW34" s="17">
        <v>20</v>
      </c>
      <c r="AX34" s="4">
        <v>91.360210141617188</v>
      </c>
      <c r="AY34" s="4">
        <v>98.271604938271594</v>
      </c>
      <c r="BD34" s="159" t="e">
        <v>#N/A</v>
      </c>
      <c r="BE34" s="159" t="e">
        <v>#N/A</v>
      </c>
      <c r="BF34" s="159" t="e">
        <v>#N/A</v>
      </c>
      <c r="BG34" s="159" t="e">
        <v>#N/A</v>
      </c>
      <c r="BH34" s="14" t="e">
        <v>#N/A</v>
      </c>
      <c r="BI34" s="159" t="e">
        <v>#N/A</v>
      </c>
      <c r="BJ34" s="159" t="e">
        <v>#N/A</v>
      </c>
      <c r="BK34" s="14" t="e">
        <v>#N/A</v>
      </c>
      <c r="BL34" s="14" t="e">
        <v>#N/A</v>
      </c>
      <c r="BM34" s="14" t="e">
        <v>#N/A</v>
      </c>
      <c r="BN34" s="14" t="e">
        <v>#N/A</v>
      </c>
      <c r="BO34" s="14" t="e">
        <v>#N/A</v>
      </c>
      <c r="BP34" s="182" t="e">
        <v>#N/A</v>
      </c>
      <c r="BQ34" s="183" t="e">
        <v>#N/A</v>
      </c>
    </row>
    <row r="35" spans="2:69" x14ac:dyDescent="0.35">
      <c r="B35" s="11">
        <v>16</v>
      </c>
      <c r="C35" s="4" t="str">
        <v>Product 10</v>
      </c>
      <c r="D35" s="94">
        <v>71.15544700904681</v>
      </c>
      <c r="E35" s="94">
        <v>77.142857142857153</v>
      </c>
      <c r="F35" s="94">
        <v>92.238542419134745</v>
      </c>
      <c r="G35" s="94">
        <v>100</v>
      </c>
      <c r="H35" s="4">
        <v>24.625714285714285</v>
      </c>
      <c r="I35" s="174">
        <v>97.503676609223561</v>
      </c>
      <c r="J35" s="95">
        <v>0</v>
      </c>
      <c r="K35" s="4">
        <v>295.50857142857137</v>
      </c>
      <c r="L35" s="11">
        <v>12</v>
      </c>
      <c r="M35" s="4">
        <v>0</v>
      </c>
      <c r="N35" s="11">
        <v>0</v>
      </c>
      <c r="O35" s="11">
        <v>16</v>
      </c>
      <c r="P35" s="137">
        <v>41645</v>
      </c>
      <c r="Q35" s="11">
        <v>86</v>
      </c>
      <c r="R35" s="95">
        <f>CHOOSE($D$4,D35,E35,F35,G35,H35,I35,J35,K35,L35,M35,N35,O35,P35,101-B35)+0.000001*ROWS($A$20:A35)</f>
        <v>100.000016</v>
      </c>
      <c r="S35" s="4">
        <f t="shared" si="32"/>
        <v>9</v>
      </c>
      <c r="T35" s="4"/>
      <c r="U35" s="14">
        <f>ROWS($U$20:U35)</f>
        <v>16</v>
      </c>
      <c r="V35" s="4">
        <v>252</v>
      </c>
      <c r="W35" s="4" t="str">
        <v>Product 17</v>
      </c>
      <c r="X35" s="94">
        <v>84.056895485466924</v>
      </c>
      <c r="Y35" s="94">
        <v>91.972789115646265</v>
      </c>
      <c r="Z35" s="94">
        <v>91.624081047157972</v>
      </c>
      <c r="AA35" s="94">
        <v>99.748036889356399</v>
      </c>
      <c r="AB35" s="4">
        <v>278.08843537414964</v>
      </c>
      <c r="AC35" s="94">
        <v>178.58500251195909</v>
      </c>
      <c r="AD35" s="94">
        <v>58.278830566269782</v>
      </c>
      <c r="AE35" s="4">
        <v>333.70612244897961</v>
      </c>
      <c r="AF35" s="4">
        <v>12</v>
      </c>
      <c r="AG35" s="4">
        <v>0</v>
      </c>
      <c r="AH35" s="4">
        <v>0</v>
      </c>
      <c r="AI35" s="4">
        <v>25</v>
      </c>
      <c r="AJ35" s="139">
        <v>41731</v>
      </c>
      <c r="AK35" s="94">
        <v>101</v>
      </c>
      <c r="AL35" s="162">
        <v>87.494399999999999</v>
      </c>
      <c r="AM35" s="162">
        <v>90</v>
      </c>
      <c r="AN35" s="162">
        <v>98</v>
      </c>
      <c r="AO35" s="162">
        <v>99.2</v>
      </c>
      <c r="AP35" s="17">
        <v>330</v>
      </c>
      <c r="AQ35" s="162">
        <v>0</v>
      </c>
      <c r="AR35" s="162">
        <v>40</v>
      </c>
      <c r="AS35" s="17">
        <v>395.99999999999994</v>
      </c>
      <c r="AT35" s="17">
        <v>12</v>
      </c>
      <c r="AU35" s="17">
        <v>0</v>
      </c>
      <c r="AV35" s="17">
        <v>0</v>
      </c>
      <c r="AW35" s="17">
        <v>20</v>
      </c>
      <c r="AX35" s="4">
        <v>91.624081047157972</v>
      </c>
      <c r="AY35" s="4">
        <v>91.972789115646265</v>
      </c>
      <c r="BD35" s="159" t="e">
        <v>#N/A</v>
      </c>
      <c r="BE35" s="159" t="e">
        <v>#N/A</v>
      </c>
      <c r="BF35" s="159" t="e">
        <v>#N/A</v>
      </c>
      <c r="BG35" s="159" t="e">
        <v>#N/A</v>
      </c>
      <c r="BH35" s="14" t="e">
        <v>#N/A</v>
      </c>
      <c r="BI35" s="159" t="e">
        <v>#N/A</v>
      </c>
      <c r="BJ35" s="159" t="e">
        <v>#N/A</v>
      </c>
      <c r="BK35" s="14" t="e">
        <v>#N/A</v>
      </c>
      <c r="BL35" s="14" t="e">
        <v>#N/A</v>
      </c>
      <c r="BM35" s="14" t="e">
        <v>#N/A</v>
      </c>
      <c r="BN35" s="14" t="e">
        <v>#N/A</v>
      </c>
      <c r="BO35" s="14" t="e">
        <v>#N/A</v>
      </c>
      <c r="BP35" s="182" t="e">
        <v>#N/A</v>
      </c>
      <c r="BQ35" s="183" t="e">
        <v>#N/A</v>
      </c>
    </row>
    <row r="36" spans="2:69" x14ac:dyDescent="0.35">
      <c r="B36" s="11">
        <v>17</v>
      </c>
      <c r="C36" s="4" t="str">
        <v>Product 7</v>
      </c>
      <c r="D36" s="94">
        <v>108.33333333333333</v>
      </c>
      <c r="E36" s="94">
        <v>91.17647058823529</v>
      </c>
      <c r="F36" s="94">
        <v>118.81720430107525</v>
      </c>
      <c r="G36" s="94">
        <v>100</v>
      </c>
      <c r="H36" s="4">
        <v>253.5</v>
      </c>
      <c r="I36" s="174">
        <v>105.71082527174329</v>
      </c>
      <c r="J36" s="95">
        <v>0</v>
      </c>
      <c r="K36" s="4">
        <v>304.2</v>
      </c>
      <c r="L36" s="11">
        <v>12</v>
      </c>
      <c r="M36" s="4">
        <v>0</v>
      </c>
      <c r="N36" s="11">
        <v>0</v>
      </c>
      <c r="O36" s="11">
        <v>24</v>
      </c>
      <c r="P36" s="137">
        <v>41646</v>
      </c>
      <c r="Q36" s="11">
        <v>76</v>
      </c>
      <c r="R36" s="95">
        <f>CHOOSE($D$4,D36,E36,F36,G36,H36,I36,J36,K36,L36,M36,N36,O36,P36,101-B36)+0.000001*ROWS($A$20:A36)</f>
        <v>100.000017</v>
      </c>
      <c r="S36" s="4">
        <f t="shared" si="32"/>
        <v>8</v>
      </c>
      <c r="T36" s="4"/>
      <c r="U36" s="14">
        <f>ROWS($U$20:U36)</f>
        <v>17</v>
      </c>
      <c r="V36" s="4">
        <v>75</v>
      </c>
      <c r="W36" s="4" t="str">
        <v>Product 17</v>
      </c>
      <c r="X36" s="94">
        <v>92.20779220779221</v>
      </c>
      <c r="Y36" s="94">
        <v>97.959183673469397</v>
      </c>
      <c r="Z36" s="94">
        <v>94.367108585858588</v>
      </c>
      <c r="AA36" s="94">
        <v>99.747453630145003</v>
      </c>
      <c r="AB36" s="4">
        <v>305.05612244897958</v>
      </c>
      <c r="AC36" s="94">
        <v>102.19181453666641</v>
      </c>
      <c r="AD36" s="94">
        <v>71.562259934352952</v>
      </c>
      <c r="AE36" s="4">
        <v>366.06734693877553</v>
      </c>
      <c r="AF36" s="4">
        <v>12</v>
      </c>
      <c r="AG36" s="4">
        <v>0</v>
      </c>
      <c r="AH36" s="4">
        <v>0</v>
      </c>
      <c r="AI36" s="4">
        <v>15</v>
      </c>
      <c r="AJ36" s="139">
        <v>41663</v>
      </c>
      <c r="AK36" s="94">
        <v>96</v>
      </c>
      <c r="AL36" s="162">
        <v>87.494399999999999</v>
      </c>
      <c r="AM36" s="162">
        <v>90</v>
      </c>
      <c r="AN36" s="162">
        <v>98</v>
      </c>
      <c r="AO36" s="162">
        <v>99.2</v>
      </c>
      <c r="AP36" s="17">
        <v>330</v>
      </c>
      <c r="AQ36" s="162">
        <v>0</v>
      </c>
      <c r="AR36" s="162">
        <v>40</v>
      </c>
      <c r="AS36" s="17">
        <v>396</v>
      </c>
      <c r="AT36" s="17">
        <v>12</v>
      </c>
      <c r="AU36" s="17">
        <v>0</v>
      </c>
      <c r="AV36" s="17">
        <v>0</v>
      </c>
      <c r="AW36" s="17">
        <v>20</v>
      </c>
      <c r="AX36" s="4">
        <v>94.367108585858588</v>
      </c>
      <c r="AY36" s="4">
        <v>97.959183673469397</v>
      </c>
      <c r="BD36" s="159" t="e">
        <v>#N/A</v>
      </c>
      <c r="BE36" s="159" t="e">
        <v>#N/A</v>
      </c>
      <c r="BF36" s="159" t="e">
        <v>#N/A</v>
      </c>
      <c r="BG36" s="159" t="e">
        <v>#N/A</v>
      </c>
      <c r="BH36" s="14" t="e">
        <v>#N/A</v>
      </c>
      <c r="BI36" s="159" t="e">
        <v>#N/A</v>
      </c>
      <c r="BJ36" s="159" t="e">
        <v>#N/A</v>
      </c>
      <c r="BK36" s="14" t="e">
        <v>#N/A</v>
      </c>
      <c r="BL36" s="14" t="e">
        <v>#N/A</v>
      </c>
      <c r="BM36" s="14" t="e">
        <v>#N/A</v>
      </c>
      <c r="BN36" s="14" t="e">
        <v>#N/A</v>
      </c>
      <c r="BO36" s="14" t="e">
        <v>#N/A</v>
      </c>
      <c r="BP36" s="182" t="e">
        <v>#N/A</v>
      </c>
      <c r="BQ36" s="183" t="e">
        <v>#N/A</v>
      </c>
    </row>
    <row r="37" spans="2:69" x14ac:dyDescent="0.35">
      <c r="B37" s="11">
        <v>18</v>
      </c>
      <c r="C37" s="4" t="str">
        <v>Product 3</v>
      </c>
      <c r="D37" s="94">
        <v>93.526055349185782</v>
      </c>
      <c r="E37" s="94">
        <v>91.460674157303373</v>
      </c>
      <c r="F37" s="94">
        <v>103.75975213442106</v>
      </c>
      <c r="G37" s="94">
        <v>98.552873982008421</v>
      </c>
      <c r="H37" s="4">
        <v>328.43089887640446</v>
      </c>
      <c r="I37" s="174">
        <v>117.48769066902469</v>
      </c>
      <c r="J37" s="95">
        <v>0</v>
      </c>
      <c r="K37" s="4">
        <v>394.11707865168535</v>
      </c>
      <c r="L37" s="11">
        <v>12</v>
      </c>
      <c r="M37" s="4">
        <v>0</v>
      </c>
      <c r="N37" s="11">
        <v>0</v>
      </c>
      <c r="O37" s="11">
        <v>28</v>
      </c>
      <c r="P37" s="137">
        <v>41646</v>
      </c>
      <c r="Q37" s="11">
        <v>112</v>
      </c>
      <c r="R37" s="95">
        <f>CHOOSE($D$4,D37,E37,F37,G37,H37,I37,J37,K37,L37,M37,N37,O37,P37,101-B37)+0.000001*ROWS($A$20:A37)</f>
        <v>98.552891982008418</v>
      </c>
      <c r="S37" s="4">
        <f t="shared" si="32"/>
        <v>137</v>
      </c>
      <c r="T37" s="4"/>
      <c r="U37" s="14">
        <f>ROWS($U$20:U37)</f>
        <v>18</v>
      </c>
      <c r="V37" s="4">
        <v>99</v>
      </c>
      <c r="W37" s="4" t="str">
        <v>Product 13</v>
      </c>
      <c r="X37" s="94">
        <v>82.191242882387584</v>
      </c>
      <c r="Y37" s="94">
        <v>83.801295896328298</v>
      </c>
      <c r="Z37" s="94">
        <v>98.328647297719456</v>
      </c>
      <c r="AA37" s="94">
        <v>99.745830023828432</v>
      </c>
      <c r="AB37" s="4">
        <v>271.92224622030238</v>
      </c>
      <c r="AC37" s="94">
        <v>110.17957783456436</v>
      </c>
      <c r="AD37" s="94">
        <v>74.559270516717319</v>
      </c>
      <c r="AE37" s="4">
        <v>326.30669546436286</v>
      </c>
      <c r="AF37" s="4">
        <v>12</v>
      </c>
      <c r="AG37" s="4">
        <v>0</v>
      </c>
      <c r="AH37" s="4">
        <v>0</v>
      </c>
      <c r="AI37" s="4">
        <v>27</v>
      </c>
      <c r="AJ37" s="139">
        <v>41675</v>
      </c>
      <c r="AK37" s="94">
        <v>44</v>
      </c>
      <c r="AL37" s="162">
        <v>87.494399999999999</v>
      </c>
      <c r="AM37" s="162">
        <v>90</v>
      </c>
      <c r="AN37" s="162">
        <v>98</v>
      </c>
      <c r="AO37" s="162">
        <v>99.2</v>
      </c>
      <c r="AP37" s="17">
        <v>330</v>
      </c>
      <c r="AQ37" s="162">
        <v>0</v>
      </c>
      <c r="AR37" s="162">
        <v>40</v>
      </c>
      <c r="AS37" s="17">
        <v>396</v>
      </c>
      <c r="AT37" s="17">
        <v>12</v>
      </c>
      <c r="AU37" s="17">
        <v>0</v>
      </c>
      <c r="AV37" s="17">
        <v>0</v>
      </c>
      <c r="AW37" s="17">
        <v>20</v>
      </c>
      <c r="AX37" s="4">
        <v>98.328647297719456</v>
      </c>
      <c r="AY37" s="4">
        <v>83.801295896328298</v>
      </c>
      <c r="BD37" s="159" t="e">
        <v>#N/A</v>
      </c>
      <c r="BE37" s="159" t="e">
        <v>#N/A</v>
      </c>
      <c r="BF37" s="159" t="e">
        <v>#N/A</v>
      </c>
      <c r="BG37" s="159" t="e">
        <v>#N/A</v>
      </c>
      <c r="BH37" s="14" t="e">
        <v>#N/A</v>
      </c>
      <c r="BI37" s="159" t="e">
        <v>#N/A</v>
      </c>
      <c r="BJ37" s="159" t="e">
        <v>#N/A</v>
      </c>
      <c r="BK37" s="14" t="e">
        <v>#N/A</v>
      </c>
      <c r="BL37" s="14" t="e">
        <v>#N/A</v>
      </c>
      <c r="BM37" s="14" t="e">
        <v>#N/A</v>
      </c>
      <c r="BN37" s="14" t="e">
        <v>#N/A</v>
      </c>
      <c r="BO37" s="14" t="e">
        <v>#N/A</v>
      </c>
      <c r="BP37" s="182" t="e">
        <v>#N/A</v>
      </c>
      <c r="BQ37" s="183" t="e">
        <v>#N/A</v>
      </c>
    </row>
    <row r="38" spans="2:69" x14ac:dyDescent="0.35">
      <c r="B38" s="11">
        <v>19</v>
      </c>
      <c r="C38" s="4" t="str">
        <v>Product 2</v>
      </c>
      <c r="D38" s="94">
        <v>54.732478865557674</v>
      </c>
      <c r="E38" s="94">
        <v>64.766839378238345</v>
      </c>
      <c r="F38" s="94">
        <v>93.805192982456134</v>
      </c>
      <c r="G38" s="94">
        <v>90.087706961197682</v>
      </c>
      <c r="H38" s="4">
        <v>173.15077720207253</v>
      </c>
      <c r="I38" s="174">
        <v>75.997725851384388</v>
      </c>
      <c r="J38" s="95">
        <v>0</v>
      </c>
      <c r="K38" s="4">
        <v>207.78093264248704</v>
      </c>
      <c r="L38" s="11">
        <v>12</v>
      </c>
      <c r="M38" s="4">
        <v>0</v>
      </c>
      <c r="N38" s="11">
        <v>0</v>
      </c>
      <c r="O38" s="11">
        <v>30</v>
      </c>
      <c r="P38" s="137">
        <v>41646</v>
      </c>
      <c r="Q38" s="11">
        <v>90</v>
      </c>
      <c r="R38" s="95">
        <f>CHOOSE($D$4,D38,E38,F38,G38,H38,I38,J38,K38,L38,M38,N38,O38,P38,101-B38)+0.000001*ROWS($A$20:A38)</f>
        <v>90.087725961197677</v>
      </c>
      <c r="S38" s="4">
        <f t="shared" si="32"/>
        <v>250</v>
      </c>
      <c r="T38" s="4"/>
      <c r="U38" s="14">
        <f>ROWS($U$20:U38)</f>
        <v>19</v>
      </c>
      <c r="V38" s="4">
        <v>204</v>
      </c>
      <c r="W38" s="4" t="str">
        <v>Product 7</v>
      </c>
      <c r="X38" s="94">
        <v>103.82222222222222</v>
      </c>
      <c r="Y38" s="94">
        <v>96</v>
      </c>
      <c r="Z38" s="94">
        <v>108.4567901234568</v>
      </c>
      <c r="AA38" s="94">
        <v>99.715424018212858</v>
      </c>
      <c r="AB38" s="4">
        <v>243.63733333333332</v>
      </c>
      <c r="AC38" s="94">
        <v>149.42186605609615</v>
      </c>
      <c r="AD38" s="94">
        <v>0</v>
      </c>
      <c r="AE38" s="4">
        <v>292.36479999999995</v>
      </c>
      <c r="AF38" s="4">
        <v>12</v>
      </c>
      <c r="AG38" s="4">
        <v>0</v>
      </c>
      <c r="AH38" s="4">
        <v>0</v>
      </c>
      <c r="AI38" s="4">
        <v>22</v>
      </c>
      <c r="AJ38" s="139">
        <v>41716</v>
      </c>
      <c r="AK38" s="94">
        <v>134</v>
      </c>
      <c r="AL38" s="162">
        <v>86.87700000000001</v>
      </c>
      <c r="AM38" s="162">
        <v>90</v>
      </c>
      <c r="AN38" s="162">
        <v>98</v>
      </c>
      <c r="AO38" s="162">
        <v>98.5</v>
      </c>
      <c r="AP38" s="17">
        <v>234</v>
      </c>
      <c r="AQ38" s="162">
        <v>0</v>
      </c>
      <c r="AR38" s="162">
        <v>40</v>
      </c>
      <c r="AS38" s="17">
        <v>280.8</v>
      </c>
      <c r="AT38" s="17">
        <v>12</v>
      </c>
      <c r="AU38" s="17">
        <v>0</v>
      </c>
      <c r="AV38" s="17">
        <v>0</v>
      </c>
      <c r="AW38" s="17">
        <v>20</v>
      </c>
      <c r="AX38" s="4">
        <v>108.4567901234568</v>
      </c>
      <c r="AY38" s="4">
        <v>96</v>
      </c>
      <c r="BD38" s="159" t="e">
        <v>#N/A</v>
      </c>
      <c r="BE38" s="159" t="e">
        <v>#N/A</v>
      </c>
      <c r="BF38" s="159" t="e">
        <v>#N/A</v>
      </c>
      <c r="BG38" s="159" t="e">
        <v>#N/A</v>
      </c>
      <c r="BH38" s="14" t="e">
        <v>#N/A</v>
      </c>
      <c r="BI38" s="159" t="e">
        <v>#N/A</v>
      </c>
      <c r="BJ38" s="159" t="e">
        <v>#N/A</v>
      </c>
      <c r="BK38" s="14" t="e">
        <v>#N/A</v>
      </c>
      <c r="BL38" s="14" t="e">
        <v>#N/A</v>
      </c>
      <c r="BM38" s="14" t="e">
        <v>#N/A</v>
      </c>
      <c r="BN38" s="14" t="e">
        <v>#N/A</v>
      </c>
      <c r="BO38" s="14" t="e">
        <v>#N/A</v>
      </c>
      <c r="BP38" s="182" t="e">
        <v>#N/A</v>
      </c>
      <c r="BQ38" s="183" t="e">
        <v>#N/A</v>
      </c>
    </row>
    <row r="39" spans="2:69" x14ac:dyDescent="0.35">
      <c r="B39" s="11">
        <v>20</v>
      </c>
      <c r="C39" s="4" t="str">
        <v>Product 1</v>
      </c>
      <c r="D39" s="94">
        <v>83.722756724916536</v>
      </c>
      <c r="E39" s="94">
        <v>87.904967602591782</v>
      </c>
      <c r="F39" s="94">
        <v>95.642543369816096</v>
      </c>
      <c r="G39" s="94">
        <v>99.581573672226227</v>
      </c>
      <c r="H39" s="4">
        <v>277.44600431965443</v>
      </c>
      <c r="I39" s="174">
        <v>64.660357888908464</v>
      </c>
      <c r="J39" s="95">
        <v>82.064894564894558</v>
      </c>
      <c r="K39" s="4">
        <v>332.93520518358531</v>
      </c>
      <c r="L39" s="11">
        <v>12</v>
      </c>
      <c r="M39" s="4">
        <v>0</v>
      </c>
      <c r="N39" s="11">
        <v>0</v>
      </c>
      <c r="O39" s="11">
        <v>23</v>
      </c>
      <c r="P39" s="137">
        <v>41646</v>
      </c>
      <c r="Q39" s="11">
        <v>82</v>
      </c>
      <c r="R39" s="95">
        <f>CHOOSE($D$4,D39,E39,F39,G39,H39,I39,J39,K39,L39,M39,N39,O39,P39,101-B39)+0.000001*ROWS($A$20:A39)</f>
        <v>99.581593672226234</v>
      </c>
      <c r="S39" s="4">
        <f t="shared" si="32"/>
        <v>25</v>
      </c>
      <c r="T39" s="4"/>
      <c r="U39" s="14">
        <f>ROWS($U$20:U39)</f>
        <v>20</v>
      </c>
      <c r="V39" s="4">
        <v>101</v>
      </c>
      <c r="W39" s="4" t="str">
        <v>Product 17</v>
      </c>
      <c r="X39" s="94">
        <v>90.668802563075687</v>
      </c>
      <c r="Y39" s="94">
        <v>93.392070484581495</v>
      </c>
      <c r="Z39" s="94">
        <v>97.369925671812467</v>
      </c>
      <c r="AA39" s="94">
        <v>99.706400469759245</v>
      </c>
      <c r="AB39" s="4">
        <v>300.08810572687224</v>
      </c>
      <c r="AC39" s="94">
        <v>99.236641221374057</v>
      </c>
      <c r="AD39" s="94">
        <v>77.611603787764921</v>
      </c>
      <c r="AE39" s="4">
        <v>360.10572687224669</v>
      </c>
      <c r="AF39" s="4">
        <v>12</v>
      </c>
      <c r="AG39" s="4">
        <v>0</v>
      </c>
      <c r="AH39" s="4">
        <v>0</v>
      </c>
      <c r="AI39" s="4">
        <v>14</v>
      </c>
      <c r="AJ39" s="139">
        <v>41675</v>
      </c>
      <c r="AK39" s="94">
        <v>58</v>
      </c>
      <c r="AL39" s="162">
        <v>87.494399999999999</v>
      </c>
      <c r="AM39" s="162">
        <v>90</v>
      </c>
      <c r="AN39" s="162">
        <v>98</v>
      </c>
      <c r="AO39" s="162">
        <v>99.2</v>
      </c>
      <c r="AP39" s="17">
        <v>330</v>
      </c>
      <c r="AQ39" s="162">
        <v>0</v>
      </c>
      <c r="AR39" s="162">
        <v>40</v>
      </c>
      <c r="AS39" s="17">
        <v>396</v>
      </c>
      <c r="AT39" s="17">
        <v>12</v>
      </c>
      <c r="AU39" s="17">
        <v>0</v>
      </c>
      <c r="AV39" s="17">
        <v>0</v>
      </c>
      <c r="AW39" s="17">
        <v>20</v>
      </c>
      <c r="AX39" s="4">
        <v>97.369925671812467</v>
      </c>
      <c r="AY39" s="4">
        <v>93.392070484581495</v>
      </c>
      <c r="BD39" s="159" t="e">
        <v>#N/A</v>
      </c>
      <c r="BE39" s="159" t="e">
        <v>#N/A</v>
      </c>
      <c r="BF39" s="159" t="e">
        <v>#N/A</v>
      </c>
      <c r="BG39" s="159" t="e">
        <v>#N/A</v>
      </c>
      <c r="BH39" s="14" t="e">
        <v>#N/A</v>
      </c>
      <c r="BI39" s="159" t="e">
        <v>#N/A</v>
      </c>
      <c r="BJ39" s="159" t="e">
        <v>#N/A</v>
      </c>
      <c r="BK39" s="14" t="e">
        <v>#N/A</v>
      </c>
      <c r="BL39" s="14" t="e">
        <v>#N/A</v>
      </c>
      <c r="BM39" s="14" t="e">
        <v>#N/A</v>
      </c>
      <c r="BN39" s="14" t="e">
        <v>#N/A</v>
      </c>
      <c r="BO39" s="14" t="e">
        <v>#N/A</v>
      </c>
      <c r="BP39" s="182" t="e">
        <v>#N/A</v>
      </c>
      <c r="BQ39" s="183" t="e">
        <v>#N/A</v>
      </c>
    </row>
    <row r="40" spans="2:69" x14ac:dyDescent="0.35">
      <c r="B40" s="11">
        <v>21</v>
      </c>
      <c r="C40" s="4" t="str">
        <v>Product 2</v>
      </c>
      <c r="D40" s="94">
        <v>87.443669414500093</v>
      </c>
      <c r="E40" s="94">
        <v>89.759036144578303</v>
      </c>
      <c r="F40" s="94">
        <v>98.154401664115525</v>
      </c>
      <c r="G40" s="94">
        <v>99.252262007392616</v>
      </c>
      <c r="H40" s="4">
        <v>251.09196787148591</v>
      </c>
      <c r="I40" s="174">
        <v>99.428130690266613</v>
      </c>
      <c r="J40" s="95">
        <v>0</v>
      </c>
      <c r="K40" s="4">
        <v>301.31036144578309</v>
      </c>
      <c r="L40" s="11">
        <v>12</v>
      </c>
      <c r="M40" s="4">
        <v>0</v>
      </c>
      <c r="N40" s="11">
        <v>0</v>
      </c>
      <c r="O40" s="11">
        <v>16</v>
      </c>
      <c r="P40" s="137">
        <v>41647</v>
      </c>
      <c r="Q40" s="11">
        <v>111</v>
      </c>
      <c r="R40" s="95">
        <f>CHOOSE($D$4,D40,E40,F40,G40,H40,I40,J40,K40,L40,M40,N40,O40,P40,101-B40)+0.000001*ROWS($A$20:A40)</f>
        <v>99.25228300739262</v>
      </c>
      <c r="S40" s="4">
        <f t="shared" si="32"/>
        <v>45</v>
      </c>
      <c r="T40" s="4"/>
      <c r="U40" s="14">
        <f>ROWS($U$20:U40)</f>
        <v>21</v>
      </c>
      <c r="V40" s="4">
        <v>188</v>
      </c>
      <c r="W40" s="4" t="str">
        <v>Product 21</v>
      </c>
      <c r="X40" s="94">
        <v>86.922234392113893</v>
      </c>
      <c r="Y40" s="94">
        <v>96.385542168674689</v>
      </c>
      <c r="Z40" s="94">
        <v>90.47727272727272</v>
      </c>
      <c r="AA40" s="94">
        <v>99.673448882190414</v>
      </c>
      <c r="AB40" s="4">
        <v>287.78313253012044</v>
      </c>
      <c r="AC40" s="94">
        <v>179.18845319990098</v>
      </c>
      <c r="AD40" s="94">
        <v>58.197834947626767</v>
      </c>
      <c r="AE40" s="4">
        <v>345.33975903614453</v>
      </c>
      <c r="AF40" s="4">
        <v>12</v>
      </c>
      <c r="AG40" s="4">
        <v>0</v>
      </c>
      <c r="AH40" s="4">
        <v>0</v>
      </c>
      <c r="AI40" s="4">
        <v>30</v>
      </c>
      <c r="AJ40" s="139">
        <v>41710</v>
      </c>
      <c r="AK40" s="94">
        <v>75</v>
      </c>
      <c r="AL40" s="162">
        <v>87.494399999999999</v>
      </c>
      <c r="AM40" s="162">
        <v>90</v>
      </c>
      <c r="AN40" s="162">
        <v>98</v>
      </c>
      <c r="AO40" s="162">
        <v>99.2</v>
      </c>
      <c r="AP40" s="17">
        <v>330</v>
      </c>
      <c r="AQ40" s="162">
        <v>0</v>
      </c>
      <c r="AR40" s="162">
        <v>40</v>
      </c>
      <c r="AS40" s="17">
        <v>396</v>
      </c>
      <c r="AT40" s="17">
        <v>12</v>
      </c>
      <c r="AU40" s="17">
        <v>0</v>
      </c>
      <c r="AV40" s="17">
        <v>0</v>
      </c>
      <c r="AW40" s="17">
        <v>20</v>
      </c>
      <c r="AX40" s="4">
        <v>90.47727272727272</v>
      </c>
      <c r="AY40" s="4">
        <v>96.385542168674689</v>
      </c>
      <c r="BD40" s="159">
        <v>86.922234392113893</v>
      </c>
      <c r="BE40" s="159">
        <v>96.385542168674689</v>
      </c>
      <c r="BF40" s="159">
        <v>90.47727272727272</v>
      </c>
      <c r="BG40" s="159">
        <v>99.673448882190414</v>
      </c>
      <c r="BH40" s="14">
        <v>287.78313253012044</v>
      </c>
      <c r="BI40" s="159">
        <v>179.18845319990098</v>
      </c>
      <c r="BJ40" s="159">
        <v>58.197834947626767</v>
      </c>
      <c r="BK40" s="14">
        <v>345.33975903614453</v>
      </c>
      <c r="BL40" s="14">
        <v>12</v>
      </c>
      <c r="BM40" s="14">
        <v>0</v>
      </c>
      <c r="BN40" s="14">
        <v>0</v>
      </c>
      <c r="BO40" s="14">
        <v>30</v>
      </c>
      <c r="BP40" s="182">
        <v>41710</v>
      </c>
      <c r="BQ40" s="183">
        <v>75</v>
      </c>
    </row>
    <row r="41" spans="2:69" x14ac:dyDescent="0.35">
      <c r="B41" s="11">
        <v>22</v>
      </c>
      <c r="C41" s="4" t="str">
        <v>Product 1</v>
      </c>
      <c r="D41" s="94">
        <v>105.36130536130537</v>
      </c>
      <c r="E41" s="94">
        <v>97.115384615384613</v>
      </c>
      <c r="F41" s="94">
        <v>110.17101710171018</v>
      </c>
      <c r="G41" s="94">
        <v>98.474945533769059</v>
      </c>
      <c r="H41" s="4">
        <v>353.07692307692309</v>
      </c>
      <c r="I41" s="174">
        <v>110.42612696598803</v>
      </c>
      <c r="J41" s="95">
        <v>82.421771588923605</v>
      </c>
      <c r="K41" s="4">
        <v>423.69230769230774</v>
      </c>
      <c r="L41" s="11">
        <v>12</v>
      </c>
      <c r="M41" s="4">
        <v>0</v>
      </c>
      <c r="N41" s="11">
        <v>0</v>
      </c>
      <c r="O41" s="11">
        <v>21</v>
      </c>
      <c r="P41" s="137">
        <v>41647</v>
      </c>
      <c r="Q41" s="11">
        <v>109</v>
      </c>
      <c r="R41" s="95">
        <f>CHOOSE($D$4,D41,E41,F41,G41,H41,I41,J41,K41,L41,M41,N41,O41,P41,101-B41)+0.000001*ROWS($A$20:A41)</f>
        <v>98.47496753376906</v>
      </c>
      <c r="S41" s="4">
        <f t="shared" si="32"/>
        <v>145</v>
      </c>
      <c r="T41" s="4"/>
      <c r="U41" s="14">
        <f>ROWS($U$20:U41)</f>
        <v>22</v>
      </c>
      <c r="V41" s="4">
        <v>4</v>
      </c>
      <c r="W41" s="4" t="str">
        <v>Product 4</v>
      </c>
      <c r="X41" s="94">
        <v>90.590659340659343</v>
      </c>
      <c r="Y41" s="94">
        <v>94.523809523809533</v>
      </c>
      <c r="Z41" s="94">
        <v>96.178066266227475</v>
      </c>
      <c r="AA41" s="94">
        <v>99.647443968773615</v>
      </c>
      <c r="AB41" s="4">
        <v>236.36904761904762</v>
      </c>
      <c r="AC41" s="94">
        <v>96.324110863690819</v>
      </c>
      <c r="AD41" s="94">
        <v>19.42449213413828</v>
      </c>
      <c r="AE41" s="4">
        <v>283.64285714285717</v>
      </c>
      <c r="AF41" s="4">
        <v>12</v>
      </c>
      <c r="AG41" s="4">
        <v>0</v>
      </c>
      <c r="AH41" s="4">
        <v>0</v>
      </c>
      <c r="AI41" s="4">
        <v>28</v>
      </c>
      <c r="AJ41" s="139">
        <v>41641</v>
      </c>
      <c r="AK41" s="94">
        <v>108</v>
      </c>
      <c r="AL41" s="162">
        <v>87.097500000000011</v>
      </c>
      <c r="AM41" s="162">
        <v>90</v>
      </c>
      <c r="AN41" s="162">
        <v>98</v>
      </c>
      <c r="AO41" s="162">
        <v>98.75</v>
      </c>
      <c r="AP41" s="17">
        <v>260</v>
      </c>
      <c r="AQ41" s="162">
        <v>0</v>
      </c>
      <c r="AR41" s="162">
        <v>40</v>
      </c>
      <c r="AS41" s="17">
        <v>312</v>
      </c>
      <c r="AT41" s="17">
        <v>12</v>
      </c>
      <c r="AU41" s="17">
        <v>0</v>
      </c>
      <c r="AV41" s="17">
        <v>0</v>
      </c>
      <c r="AW41" s="17">
        <v>20</v>
      </c>
      <c r="AX41" s="4">
        <v>96.178066266227475</v>
      </c>
      <c r="AY41" s="4">
        <v>94.523809523809533</v>
      </c>
      <c r="BD41" s="159" t="e">
        <v>#N/A</v>
      </c>
      <c r="BE41" s="159" t="e">
        <v>#N/A</v>
      </c>
      <c r="BF41" s="159" t="e">
        <v>#N/A</v>
      </c>
      <c r="BG41" s="159" t="e">
        <v>#N/A</v>
      </c>
      <c r="BH41" s="14" t="e">
        <v>#N/A</v>
      </c>
      <c r="BI41" s="159" t="e">
        <v>#N/A</v>
      </c>
      <c r="BJ41" s="159" t="e">
        <v>#N/A</v>
      </c>
      <c r="BK41" s="14" t="e">
        <v>#N/A</v>
      </c>
      <c r="BL41" s="14" t="e">
        <v>#N/A</v>
      </c>
      <c r="BM41" s="14" t="e">
        <v>#N/A</v>
      </c>
      <c r="BN41" s="14" t="e">
        <v>#N/A</v>
      </c>
      <c r="BO41" s="14" t="e">
        <v>#N/A</v>
      </c>
      <c r="BP41" s="182" t="e">
        <v>#N/A</v>
      </c>
      <c r="BQ41" s="183" t="e">
        <v>#N/A</v>
      </c>
    </row>
    <row r="42" spans="2:69" x14ac:dyDescent="0.35">
      <c r="B42" s="11">
        <v>23</v>
      </c>
      <c r="C42" s="4" t="str">
        <v>Product 3</v>
      </c>
      <c r="D42" s="94">
        <v>89.698082252159963</v>
      </c>
      <c r="E42" s="94">
        <v>89.152542372881371</v>
      </c>
      <c r="F42" s="94">
        <v>102.22420184593297</v>
      </c>
      <c r="G42" s="94">
        <v>98.422795715951324</v>
      </c>
      <c r="H42" s="4">
        <v>315.40468926553672</v>
      </c>
      <c r="I42" s="174">
        <v>120.75191694154543</v>
      </c>
      <c r="J42" s="95">
        <v>28.587370966241981</v>
      </c>
      <c r="K42" s="4">
        <v>378.48562711864406</v>
      </c>
      <c r="L42" s="11">
        <v>12</v>
      </c>
      <c r="M42" s="4">
        <v>0</v>
      </c>
      <c r="N42" s="11">
        <v>0</v>
      </c>
      <c r="O42" s="11">
        <v>23</v>
      </c>
      <c r="P42" s="137">
        <v>41647</v>
      </c>
      <c r="Q42" s="11">
        <v>86</v>
      </c>
      <c r="R42" s="95">
        <f>CHOOSE($D$4,D42,E42,F42,G42,H42,I42,J42,K42,L42,M42,N42,O42,P42,101-B42)+0.000001*ROWS($A$20:A42)</f>
        <v>98.422818715951323</v>
      </c>
      <c r="S42" s="4">
        <f t="shared" si="32"/>
        <v>153</v>
      </c>
      <c r="T42" s="4"/>
      <c r="U42" s="14">
        <f>ROWS($U$20:U42)</f>
        <v>23</v>
      </c>
      <c r="V42" s="4">
        <v>248</v>
      </c>
      <c r="W42" s="4" t="str">
        <v>Product 21</v>
      </c>
      <c r="X42" s="94">
        <v>87.676767676767682</v>
      </c>
      <c r="Y42" s="94">
        <v>90.277777777777786</v>
      </c>
      <c r="Z42" s="94">
        <v>97.496503496503493</v>
      </c>
      <c r="AA42" s="94">
        <v>99.612681107445127</v>
      </c>
      <c r="AB42" s="4">
        <v>290.45833333333331</v>
      </c>
      <c r="AC42" s="94">
        <v>179.58009531578722</v>
      </c>
      <c r="AD42" s="94">
        <v>53.149862396797602</v>
      </c>
      <c r="AE42" s="4">
        <v>348.55</v>
      </c>
      <c r="AF42" s="4">
        <v>12</v>
      </c>
      <c r="AG42" s="4">
        <v>0</v>
      </c>
      <c r="AH42" s="4">
        <v>0</v>
      </c>
      <c r="AI42" s="4">
        <v>27</v>
      </c>
      <c r="AJ42" s="139">
        <v>41731</v>
      </c>
      <c r="AK42" s="94">
        <v>79</v>
      </c>
      <c r="AL42" s="162">
        <v>87.494399999999999</v>
      </c>
      <c r="AM42" s="162">
        <v>90</v>
      </c>
      <c r="AN42" s="162">
        <v>98</v>
      </c>
      <c r="AO42" s="162">
        <v>99.2</v>
      </c>
      <c r="AP42" s="17">
        <v>330</v>
      </c>
      <c r="AQ42" s="162">
        <v>0</v>
      </c>
      <c r="AR42" s="162">
        <v>40</v>
      </c>
      <c r="AS42" s="17">
        <v>396</v>
      </c>
      <c r="AT42" s="17">
        <v>12</v>
      </c>
      <c r="AU42" s="17">
        <v>0</v>
      </c>
      <c r="AV42" s="17">
        <v>0</v>
      </c>
      <c r="AW42" s="17">
        <v>20</v>
      </c>
      <c r="AX42" s="4">
        <v>97.496503496503493</v>
      </c>
      <c r="AY42" s="4">
        <v>90.277777777777786</v>
      </c>
      <c r="BD42" s="159">
        <v>87.676767676767682</v>
      </c>
      <c r="BE42" s="159">
        <v>90.277777777777786</v>
      </c>
      <c r="BF42" s="159">
        <v>97.496503496503493</v>
      </c>
      <c r="BG42" s="159">
        <v>99.612681107445127</v>
      </c>
      <c r="BH42" s="14">
        <v>290.45833333333331</v>
      </c>
      <c r="BI42" s="159">
        <v>179.58009531578722</v>
      </c>
      <c r="BJ42" s="159">
        <v>53.149862396797602</v>
      </c>
      <c r="BK42" s="14">
        <v>348.55</v>
      </c>
      <c r="BL42" s="14">
        <v>12</v>
      </c>
      <c r="BM42" s="14">
        <v>0</v>
      </c>
      <c r="BN42" s="14">
        <v>0</v>
      </c>
      <c r="BO42" s="14">
        <v>27</v>
      </c>
      <c r="BP42" s="182">
        <v>41731</v>
      </c>
      <c r="BQ42" s="183">
        <v>79</v>
      </c>
    </row>
    <row r="43" spans="2:69" x14ac:dyDescent="0.35">
      <c r="B43" s="11">
        <v>24</v>
      </c>
      <c r="C43" s="4" t="str">
        <v>Product 3</v>
      </c>
      <c r="D43" s="94">
        <v>66.953116856040864</v>
      </c>
      <c r="E43" s="94">
        <v>74.056603773584911</v>
      </c>
      <c r="F43" s="94">
        <v>92.743780131611359</v>
      </c>
      <c r="G43" s="94">
        <v>97.481502561183845</v>
      </c>
      <c r="H43" s="4">
        <v>248.63207547169813</v>
      </c>
      <c r="I43" s="174">
        <v>100.52206250446972</v>
      </c>
      <c r="J43" s="95">
        <v>0</v>
      </c>
      <c r="K43" s="4">
        <v>298.35849056603774</v>
      </c>
      <c r="L43" s="11">
        <v>12</v>
      </c>
      <c r="M43" s="4">
        <v>0</v>
      </c>
      <c r="N43" s="11">
        <v>0</v>
      </c>
      <c r="O43" s="11">
        <v>29</v>
      </c>
      <c r="P43" s="137">
        <v>41647</v>
      </c>
      <c r="Q43" s="11">
        <v>86</v>
      </c>
      <c r="R43" s="95">
        <f>CHOOSE($D$4,D43,E43,F43,G43,H43,I43,J43,K43,L43,M43,N43,O43,P43,101-B43)+0.000001*ROWS($A$20:A43)</f>
        <v>97.481526561183841</v>
      </c>
      <c r="S43" s="4">
        <f t="shared" si="32"/>
        <v>215</v>
      </c>
      <c r="T43" s="4"/>
      <c r="U43" s="14">
        <f>ROWS($U$20:U43)</f>
        <v>24</v>
      </c>
      <c r="V43" s="4">
        <v>107</v>
      </c>
      <c r="W43" s="4" t="str">
        <v>Product 21</v>
      </c>
      <c r="X43" s="94">
        <v>95.34545454545453</v>
      </c>
      <c r="Y43" s="94">
        <v>99.066666666666663</v>
      </c>
      <c r="Z43" s="94">
        <v>96.637301684408001</v>
      </c>
      <c r="AA43" s="94">
        <v>99.592732490662399</v>
      </c>
      <c r="AB43" s="4">
        <v>315.92666666666668</v>
      </c>
      <c r="AC43" s="94">
        <v>112.07710045527108</v>
      </c>
      <c r="AD43" s="94">
        <v>82.419273294792603</v>
      </c>
      <c r="AE43" s="4">
        <v>379.11199999999997</v>
      </c>
      <c r="AF43" s="4">
        <v>12</v>
      </c>
      <c r="AG43" s="4">
        <v>0</v>
      </c>
      <c r="AH43" s="4">
        <v>0</v>
      </c>
      <c r="AI43" s="4">
        <v>29</v>
      </c>
      <c r="AJ43" s="139">
        <v>41676</v>
      </c>
      <c r="AK43" s="94">
        <v>106</v>
      </c>
      <c r="AL43" s="162">
        <v>87.494399999999999</v>
      </c>
      <c r="AM43" s="162">
        <v>90</v>
      </c>
      <c r="AN43" s="162">
        <v>98</v>
      </c>
      <c r="AO43" s="162">
        <v>99.2</v>
      </c>
      <c r="AP43" s="17">
        <v>330</v>
      </c>
      <c r="AQ43" s="162">
        <v>0</v>
      </c>
      <c r="AR43" s="162">
        <v>40</v>
      </c>
      <c r="AS43" s="17">
        <v>396</v>
      </c>
      <c r="AT43" s="17">
        <v>12</v>
      </c>
      <c r="AU43" s="17">
        <v>0</v>
      </c>
      <c r="AV43" s="17">
        <v>0</v>
      </c>
      <c r="AW43" s="17">
        <v>20</v>
      </c>
      <c r="AX43" s="4">
        <v>96.637301684408001</v>
      </c>
      <c r="AY43" s="4">
        <v>99.066666666666663</v>
      </c>
      <c r="BD43" s="159">
        <v>95.34545454545453</v>
      </c>
      <c r="BE43" s="159">
        <v>99.066666666666663</v>
      </c>
      <c r="BF43" s="159">
        <v>96.637301684408001</v>
      </c>
      <c r="BG43" s="159">
        <v>99.592732490662399</v>
      </c>
      <c r="BH43" s="14">
        <v>315.92666666666668</v>
      </c>
      <c r="BI43" s="159">
        <v>112.07710045527108</v>
      </c>
      <c r="BJ43" s="159">
        <v>82.419273294792603</v>
      </c>
      <c r="BK43" s="14">
        <v>379.11199999999997</v>
      </c>
      <c r="BL43" s="14">
        <v>12</v>
      </c>
      <c r="BM43" s="14">
        <v>0</v>
      </c>
      <c r="BN43" s="14">
        <v>0</v>
      </c>
      <c r="BO43" s="14">
        <v>29</v>
      </c>
      <c r="BP43" s="182">
        <v>41676</v>
      </c>
      <c r="BQ43" s="183">
        <v>106</v>
      </c>
    </row>
    <row r="44" spans="2:69" x14ac:dyDescent="0.35">
      <c r="B44" s="11">
        <v>25</v>
      </c>
      <c r="C44" s="4" t="str">
        <v>Product 3</v>
      </c>
      <c r="D44" s="94">
        <v>99.804794207760068</v>
      </c>
      <c r="E44" s="94">
        <v>99.080459770114942</v>
      </c>
      <c r="F44" s="94">
        <v>101.77103404968759</v>
      </c>
      <c r="G44" s="94">
        <v>98.97812058177135</v>
      </c>
      <c r="H44" s="4">
        <v>348.97385057471263</v>
      </c>
      <c r="I44" s="174">
        <v>119.82951540459257</v>
      </c>
      <c r="J44" s="95">
        <v>40.17757465810773</v>
      </c>
      <c r="K44" s="4">
        <v>418.76862068965511</v>
      </c>
      <c r="L44" s="11">
        <v>12</v>
      </c>
      <c r="M44" s="4">
        <v>0</v>
      </c>
      <c r="N44" s="11">
        <v>0</v>
      </c>
      <c r="O44" s="11">
        <v>21</v>
      </c>
      <c r="P44" s="137">
        <v>41648</v>
      </c>
      <c r="Q44" s="11">
        <v>92</v>
      </c>
      <c r="R44" s="95">
        <f>CHOOSE($D$4,D44,E44,F44,G44,H44,I44,J44,K44,L44,M44,N44,O44,P44,101-B44)+0.000001*ROWS($A$20:A44)</f>
        <v>98.978145581771344</v>
      </c>
      <c r="S44" s="4">
        <f t="shared" si="32"/>
        <v>85</v>
      </c>
      <c r="T44" s="4"/>
      <c r="U44" s="14">
        <f>ROWS($U$20:U44)</f>
        <v>25</v>
      </c>
      <c r="V44" s="4">
        <v>20</v>
      </c>
      <c r="W44" s="4" t="str">
        <v>Product 1</v>
      </c>
      <c r="X44" s="94">
        <v>83.722756724916536</v>
      </c>
      <c r="Y44" s="94">
        <v>87.904967602591782</v>
      </c>
      <c r="Z44" s="94">
        <v>95.642543369816096</v>
      </c>
      <c r="AA44" s="94">
        <v>99.581573672226227</v>
      </c>
      <c r="AB44" s="4">
        <v>277.44600431965443</v>
      </c>
      <c r="AC44" s="94">
        <v>64.660357888908464</v>
      </c>
      <c r="AD44" s="94">
        <v>82.064894564894558</v>
      </c>
      <c r="AE44" s="4">
        <v>332.93520518358531</v>
      </c>
      <c r="AF44" s="4">
        <v>12</v>
      </c>
      <c r="AG44" s="4">
        <v>0</v>
      </c>
      <c r="AH44" s="4">
        <v>0</v>
      </c>
      <c r="AI44" s="4">
        <v>23</v>
      </c>
      <c r="AJ44" s="139">
        <v>41646</v>
      </c>
      <c r="AK44" s="94">
        <v>82</v>
      </c>
      <c r="AL44" s="162">
        <v>87.494399999999999</v>
      </c>
      <c r="AM44" s="162">
        <v>90</v>
      </c>
      <c r="AN44" s="162">
        <v>98</v>
      </c>
      <c r="AO44" s="162">
        <v>99.2</v>
      </c>
      <c r="AP44" s="17">
        <v>330</v>
      </c>
      <c r="AQ44" s="162">
        <v>0</v>
      </c>
      <c r="AR44" s="162">
        <v>40</v>
      </c>
      <c r="AS44" s="17">
        <v>396</v>
      </c>
      <c r="AT44" s="17">
        <v>12</v>
      </c>
      <c r="AU44" s="17">
        <v>0</v>
      </c>
      <c r="AV44" s="17">
        <v>0</v>
      </c>
      <c r="AW44" s="17">
        <v>20</v>
      </c>
      <c r="AX44" s="4">
        <v>95.642543369816096</v>
      </c>
      <c r="AY44" s="4">
        <v>87.904967602591782</v>
      </c>
      <c r="BD44" s="159" t="e">
        <v>#N/A</v>
      </c>
      <c r="BE44" s="159" t="e">
        <v>#N/A</v>
      </c>
      <c r="BF44" s="159" t="e">
        <v>#N/A</v>
      </c>
      <c r="BG44" s="159" t="e">
        <v>#N/A</v>
      </c>
      <c r="BH44" s="14" t="e">
        <v>#N/A</v>
      </c>
      <c r="BI44" s="159" t="e">
        <v>#N/A</v>
      </c>
      <c r="BJ44" s="159" t="e">
        <v>#N/A</v>
      </c>
      <c r="BK44" s="14" t="e">
        <v>#N/A</v>
      </c>
      <c r="BL44" s="14" t="e">
        <v>#N/A</v>
      </c>
      <c r="BM44" s="14" t="e">
        <v>#N/A</v>
      </c>
      <c r="BN44" s="14" t="e">
        <v>#N/A</v>
      </c>
      <c r="BO44" s="14" t="e">
        <v>#N/A</v>
      </c>
      <c r="BP44" s="182" t="e">
        <v>#N/A</v>
      </c>
      <c r="BQ44" s="183" t="e">
        <v>#N/A</v>
      </c>
    </row>
    <row r="45" spans="2:69" x14ac:dyDescent="0.35">
      <c r="B45" s="11">
        <v>26</v>
      </c>
      <c r="C45" s="4" t="str">
        <v>Product 3</v>
      </c>
      <c r="D45" s="94">
        <v>87.241909562658137</v>
      </c>
      <c r="E45" s="94">
        <v>88.668224299065429</v>
      </c>
      <c r="F45" s="94">
        <v>99.891813887129771</v>
      </c>
      <c r="G45" s="94">
        <v>98.497963734340885</v>
      </c>
      <c r="H45" s="4">
        <v>320.63171728971963</v>
      </c>
      <c r="I45" s="174">
        <v>121.66676271366764</v>
      </c>
      <c r="J45" s="95">
        <v>42.05781062570135</v>
      </c>
      <c r="K45" s="4">
        <v>384.75806074766359</v>
      </c>
      <c r="L45" s="11">
        <v>12</v>
      </c>
      <c r="M45" s="4">
        <v>0</v>
      </c>
      <c r="N45" s="11">
        <v>0</v>
      </c>
      <c r="O45" s="11">
        <v>21</v>
      </c>
      <c r="P45" s="137">
        <v>41648</v>
      </c>
      <c r="Q45" s="11">
        <v>67</v>
      </c>
      <c r="R45" s="95">
        <f>CHOOSE($D$4,D45,E45,F45,G45,H45,I45,J45,K45,L45,M45,N45,O45,P45,101-B45)+0.000001*ROWS($A$20:A45)</f>
        <v>98.497989734340891</v>
      </c>
      <c r="S45" s="4">
        <f t="shared" si="32"/>
        <v>142</v>
      </c>
      <c r="T45" s="4"/>
      <c r="U45" s="14">
        <f>ROWS($U$20:U45)</f>
        <v>26</v>
      </c>
      <c r="V45" s="4">
        <v>189</v>
      </c>
      <c r="W45" s="4" t="str">
        <v>Product 13</v>
      </c>
      <c r="X45" s="94">
        <v>71.919191919191931</v>
      </c>
      <c r="Y45" s="94">
        <v>79.259259259259252</v>
      </c>
      <c r="Z45" s="94">
        <v>91.133295572547922</v>
      </c>
      <c r="AA45" s="94">
        <v>99.567525572963874</v>
      </c>
      <c r="AB45" s="4">
        <v>238.3641975308642</v>
      </c>
      <c r="AC45" s="94">
        <v>171.85135736537606</v>
      </c>
      <c r="AD45" s="94">
        <v>77.449052984895701</v>
      </c>
      <c r="AE45" s="4">
        <v>286.03703703703707</v>
      </c>
      <c r="AF45" s="4">
        <v>12</v>
      </c>
      <c r="AG45" s="4">
        <v>0</v>
      </c>
      <c r="AH45" s="4">
        <v>0</v>
      </c>
      <c r="AI45" s="4">
        <v>27</v>
      </c>
      <c r="AJ45" s="139">
        <v>41710</v>
      </c>
      <c r="AK45" s="94">
        <v>95</v>
      </c>
      <c r="AL45" s="162">
        <v>87.494399999999999</v>
      </c>
      <c r="AM45" s="162">
        <v>90</v>
      </c>
      <c r="AN45" s="162">
        <v>98</v>
      </c>
      <c r="AO45" s="162">
        <v>99.2</v>
      </c>
      <c r="AP45" s="17">
        <v>330</v>
      </c>
      <c r="AQ45" s="162">
        <v>0</v>
      </c>
      <c r="AR45" s="162">
        <v>40</v>
      </c>
      <c r="AS45" s="17">
        <v>396.00000000000006</v>
      </c>
      <c r="AT45" s="17">
        <v>12</v>
      </c>
      <c r="AU45" s="17">
        <v>0</v>
      </c>
      <c r="AV45" s="17">
        <v>0</v>
      </c>
      <c r="AW45" s="17">
        <v>20</v>
      </c>
      <c r="AX45" s="4">
        <v>91.133295572547922</v>
      </c>
      <c r="AY45" s="4">
        <v>79.259259259259252</v>
      </c>
      <c r="BD45" s="159" t="e">
        <v>#N/A</v>
      </c>
      <c r="BE45" s="159" t="e">
        <v>#N/A</v>
      </c>
      <c r="BF45" s="159" t="e">
        <v>#N/A</v>
      </c>
      <c r="BG45" s="159" t="e">
        <v>#N/A</v>
      </c>
      <c r="BH45" s="14" t="e">
        <v>#N/A</v>
      </c>
      <c r="BI45" s="159" t="e">
        <v>#N/A</v>
      </c>
      <c r="BJ45" s="159" t="e">
        <v>#N/A</v>
      </c>
      <c r="BK45" s="14" t="e">
        <v>#N/A</v>
      </c>
      <c r="BL45" s="14" t="e">
        <v>#N/A</v>
      </c>
      <c r="BM45" s="14" t="e">
        <v>#N/A</v>
      </c>
      <c r="BN45" s="14" t="e">
        <v>#N/A</v>
      </c>
      <c r="BO45" s="14" t="e">
        <v>#N/A</v>
      </c>
      <c r="BP45" s="182" t="e">
        <v>#N/A</v>
      </c>
      <c r="BQ45" s="183" t="e">
        <v>#N/A</v>
      </c>
    </row>
    <row r="46" spans="2:69" x14ac:dyDescent="0.35">
      <c r="B46" s="11">
        <v>27</v>
      </c>
      <c r="C46" s="4" t="str">
        <v>Product 11</v>
      </c>
      <c r="D46" s="94">
        <v>85.248713550600328</v>
      </c>
      <c r="E46" s="94">
        <v>92.138364779874209</v>
      </c>
      <c r="F46" s="94">
        <v>92.985313889750756</v>
      </c>
      <c r="G46" s="94">
        <v>99.502266218057443</v>
      </c>
      <c r="H46" s="4">
        <v>282.72798742138366</v>
      </c>
      <c r="I46" s="174">
        <v>107.01299165035026</v>
      </c>
      <c r="J46" s="95">
        <v>0</v>
      </c>
      <c r="K46" s="4">
        <v>339.27358490566041</v>
      </c>
      <c r="L46" s="11">
        <v>12</v>
      </c>
      <c r="M46" s="4">
        <v>0</v>
      </c>
      <c r="N46" s="11">
        <v>0</v>
      </c>
      <c r="O46" s="11">
        <v>24</v>
      </c>
      <c r="P46" s="137">
        <v>41649</v>
      </c>
      <c r="Q46" s="11">
        <v>79</v>
      </c>
      <c r="R46" s="95">
        <f>CHOOSE($D$4,D46,E46,F46,G46,H46,I46,J46,K46,L46,M46,N46,O46,P46,101-B46)+0.000001*ROWS($A$20:A46)</f>
        <v>99.502293218057446</v>
      </c>
      <c r="S46" s="4">
        <f t="shared" si="32"/>
        <v>28</v>
      </c>
      <c r="T46" s="4"/>
      <c r="U46" s="14">
        <f>ROWS($U$20:U46)</f>
        <v>27</v>
      </c>
      <c r="V46" s="4">
        <v>145</v>
      </c>
      <c r="W46" s="4" t="str">
        <v>Product 7</v>
      </c>
      <c r="X46" s="94">
        <v>102.3474178403756</v>
      </c>
      <c r="Y46" s="94">
        <v>96.056338028169009</v>
      </c>
      <c r="Z46" s="94">
        <v>107.01619169361105</v>
      </c>
      <c r="AA46" s="94">
        <v>99.563779020405775</v>
      </c>
      <c r="AB46" s="4">
        <v>240.54225352112675</v>
      </c>
      <c r="AC46" s="94">
        <v>104.32803909590716</v>
      </c>
      <c r="AD46" s="94">
        <v>0</v>
      </c>
      <c r="AE46" s="4">
        <v>288.65070422535211</v>
      </c>
      <c r="AF46" s="4">
        <v>12</v>
      </c>
      <c r="AG46" s="4">
        <v>0</v>
      </c>
      <c r="AH46" s="4">
        <v>0</v>
      </c>
      <c r="AI46" s="4">
        <v>29</v>
      </c>
      <c r="AJ46" s="139">
        <v>41695</v>
      </c>
      <c r="AK46" s="94">
        <v>86</v>
      </c>
      <c r="AL46" s="162">
        <v>86.87700000000001</v>
      </c>
      <c r="AM46" s="162">
        <v>90</v>
      </c>
      <c r="AN46" s="162">
        <v>98</v>
      </c>
      <c r="AO46" s="162">
        <v>98.5</v>
      </c>
      <c r="AP46" s="17">
        <v>234</v>
      </c>
      <c r="AQ46" s="162">
        <v>0</v>
      </c>
      <c r="AR46" s="162">
        <v>40</v>
      </c>
      <c r="AS46" s="17">
        <v>280.8</v>
      </c>
      <c r="AT46" s="17">
        <v>12</v>
      </c>
      <c r="AU46" s="17">
        <v>0</v>
      </c>
      <c r="AV46" s="17">
        <v>0</v>
      </c>
      <c r="AW46" s="17">
        <v>20</v>
      </c>
      <c r="AX46" s="4">
        <v>107.01619169361105</v>
      </c>
      <c r="AY46" s="4">
        <v>96.056338028169009</v>
      </c>
      <c r="BD46" s="159" t="e">
        <v>#N/A</v>
      </c>
      <c r="BE46" s="159" t="e">
        <v>#N/A</v>
      </c>
      <c r="BF46" s="159" t="e">
        <v>#N/A</v>
      </c>
      <c r="BG46" s="159" t="e">
        <v>#N/A</v>
      </c>
      <c r="BH46" s="14" t="e">
        <v>#N/A</v>
      </c>
      <c r="BI46" s="159" t="e">
        <v>#N/A</v>
      </c>
      <c r="BJ46" s="159" t="e">
        <v>#N/A</v>
      </c>
      <c r="BK46" s="14" t="e">
        <v>#N/A</v>
      </c>
      <c r="BL46" s="14" t="e">
        <v>#N/A</v>
      </c>
      <c r="BM46" s="14" t="e">
        <v>#N/A</v>
      </c>
      <c r="BN46" s="14" t="e">
        <v>#N/A</v>
      </c>
      <c r="BO46" s="14" t="e">
        <v>#N/A</v>
      </c>
      <c r="BP46" s="182" t="e">
        <v>#N/A</v>
      </c>
      <c r="BQ46" s="183" t="e">
        <v>#N/A</v>
      </c>
    </row>
    <row r="47" spans="2:69" x14ac:dyDescent="0.35">
      <c r="B47" s="11">
        <v>28</v>
      </c>
      <c r="C47" s="4" t="str">
        <v>Product 12</v>
      </c>
      <c r="D47" s="94">
        <v>68</v>
      </c>
      <c r="E47" s="94">
        <v>86.054421768707485</v>
      </c>
      <c r="F47" s="94">
        <v>80.648367735324257</v>
      </c>
      <c r="G47" s="94">
        <v>97.980610227823476</v>
      </c>
      <c r="H47" s="4">
        <v>187.38401360544216</v>
      </c>
      <c r="I47" s="174">
        <v>106.52274375211486</v>
      </c>
      <c r="J47" s="95">
        <v>0</v>
      </c>
      <c r="K47" s="4">
        <v>224.8608163265306</v>
      </c>
      <c r="L47" s="11">
        <v>12</v>
      </c>
      <c r="M47" s="4">
        <v>0</v>
      </c>
      <c r="N47" s="11">
        <v>0</v>
      </c>
      <c r="O47" s="11">
        <v>29</v>
      </c>
      <c r="P47" s="137">
        <v>41649</v>
      </c>
      <c r="Q47" s="11">
        <v>73</v>
      </c>
      <c r="R47" s="95">
        <f>CHOOSE($D$4,D47,E47,F47,G47,H47,I47,J47,K47,L47,M47,N47,O47,P47,101-B47)+0.000001*ROWS($A$20:A47)</f>
        <v>97.980638227823476</v>
      </c>
      <c r="S47" s="4">
        <f t="shared" si="32"/>
        <v>191</v>
      </c>
      <c r="T47" s="4"/>
      <c r="U47" s="14">
        <f>ROWS($U$20:U47)</f>
        <v>28</v>
      </c>
      <c r="V47" s="4">
        <v>27</v>
      </c>
      <c r="W47" s="4" t="str">
        <v>Product 11</v>
      </c>
      <c r="X47" s="94">
        <v>85.248713550600328</v>
      </c>
      <c r="Y47" s="94">
        <v>92.138364779874209</v>
      </c>
      <c r="Z47" s="94">
        <v>92.985313889750756</v>
      </c>
      <c r="AA47" s="94">
        <v>99.502266218057443</v>
      </c>
      <c r="AB47" s="4">
        <v>282.72798742138366</v>
      </c>
      <c r="AC47" s="94">
        <v>107.01299165035026</v>
      </c>
      <c r="AD47" s="94">
        <v>0</v>
      </c>
      <c r="AE47" s="4">
        <v>339.27358490566041</v>
      </c>
      <c r="AF47" s="4">
        <v>12</v>
      </c>
      <c r="AG47" s="4">
        <v>0</v>
      </c>
      <c r="AH47" s="4">
        <v>0</v>
      </c>
      <c r="AI47" s="4">
        <v>24</v>
      </c>
      <c r="AJ47" s="139">
        <v>41649</v>
      </c>
      <c r="AK47" s="94">
        <v>79</v>
      </c>
      <c r="AL47" s="162">
        <v>87.494399999999999</v>
      </c>
      <c r="AM47" s="162">
        <v>90</v>
      </c>
      <c r="AN47" s="162">
        <v>98</v>
      </c>
      <c r="AO47" s="162">
        <v>99.2</v>
      </c>
      <c r="AP47" s="17">
        <v>330</v>
      </c>
      <c r="AQ47" s="162">
        <v>0</v>
      </c>
      <c r="AR47" s="162">
        <v>40</v>
      </c>
      <c r="AS47" s="17">
        <v>395.99999999999994</v>
      </c>
      <c r="AT47" s="17">
        <v>12</v>
      </c>
      <c r="AU47" s="17">
        <v>0</v>
      </c>
      <c r="AV47" s="17">
        <v>0</v>
      </c>
      <c r="AW47" s="17">
        <v>20</v>
      </c>
      <c r="AX47" s="4">
        <v>92.985313889750756</v>
      </c>
      <c r="AY47" s="4">
        <v>92.138364779874209</v>
      </c>
      <c r="BD47" s="159" t="e">
        <v>#N/A</v>
      </c>
      <c r="BE47" s="159" t="e">
        <v>#N/A</v>
      </c>
      <c r="BF47" s="159" t="e">
        <v>#N/A</v>
      </c>
      <c r="BG47" s="159" t="e">
        <v>#N/A</v>
      </c>
      <c r="BH47" s="14" t="e">
        <v>#N/A</v>
      </c>
      <c r="BI47" s="159" t="e">
        <v>#N/A</v>
      </c>
      <c r="BJ47" s="159" t="e">
        <v>#N/A</v>
      </c>
      <c r="BK47" s="14" t="e">
        <v>#N/A</v>
      </c>
      <c r="BL47" s="14" t="e">
        <v>#N/A</v>
      </c>
      <c r="BM47" s="14" t="e">
        <v>#N/A</v>
      </c>
      <c r="BN47" s="14" t="e">
        <v>#N/A</v>
      </c>
      <c r="BO47" s="14" t="e">
        <v>#N/A</v>
      </c>
      <c r="BP47" s="182" t="e">
        <v>#N/A</v>
      </c>
      <c r="BQ47" s="183" t="e">
        <v>#N/A</v>
      </c>
    </row>
    <row r="48" spans="2:69" x14ac:dyDescent="0.35">
      <c r="B48" s="11">
        <v>29</v>
      </c>
      <c r="C48" s="4" t="str">
        <v>Product 13</v>
      </c>
      <c r="D48" s="94">
        <v>88.645206933144678</v>
      </c>
      <c r="E48" s="94">
        <v>94.163424124513611</v>
      </c>
      <c r="F48" s="94">
        <v>94.950538442273995</v>
      </c>
      <c r="G48" s="94">
        <v>99.146088160627741</v>
      </c>
      <c r="H48" s="4">
        <v>295.04863813229571</v>
      </c>
      <c r="I48" s="174">
        <v>93.879610256156283</v>
      </c>
      <c r="J48" s="95">
        <v>7.8170277356147375</v>
      </c>
      <c r="K48" s="4">
        <v>354.05836575875486</v>
      </c>
      <c r="L48" s="11">
        <v>12</v>
      </c>
      <c r="M48" s="4">
        <v>0</v>
      </c>
      <c r="N48" s="11">
        <v>0</v>
      </c>
      <c r="O48" s="11">
        <v>24</v>
      </c>
      <c r="P48" s="137">
        <v>41649</v>
      </c>
      <c r="Q48" s="11">
        <v>75</v>
      </c>
      <c r="R48" s="95">
        <f>CHOOSE($D$4,D48,E48,F48,G48,H48,I48,J48,K48,L48,M48,N48,O48,P48,101-B48)+0.000001*ROWS($A$20:A48)</f>
        <v>99.146117160627739</v>
      </c>
      <c r="S48" s="4">
        <f t="shared" si="32"/>
        <v>57</v>
      </c>
      <c r="T48" s="4"/>
      <c r="U48" s="14">
        <f>ROWS($U$20:U48)</f>
        <v>29</v>
      </c>
      <c r="V48" s="4">
        <v>49</v>
      </c>
      <c r="W48" s="4" t="str">
        <v>Product 7</v>
      </c>
      <c r="X48" s="94">
        <v>97.827715355805239</v>
      </c>
      <c r="Y48" s="94">
        <v>89.325842696629209</v>
      </c>
      <c r="Z48" s="94">
        <v>110.08493253776273</v>
      </c>
      <c r="AA48" s="94">
        <v>99.484840642411044</v>
      </c>
      <c r="AB48" s="4">
        <v>230.10224719101123</v>
      </c>
      <c r="AC48" s="94">
        <v>104.05095062443475</v>
      </c>
      <c r="AD48" s="94">
        <v>19.09496355922985</v>
      </c>
      <c r="AE48" s="4">
        <v>276.12269662921346</v>
      </c>
      <c r="AF48" s="4">
        <v>12</v>
      </c>
      <c r="AG48" s="4">
        <v>0</v>
      </c>
      <c r="AH48" s="4">
        <v>0</v>
      </c>
      <c r="AI48" s="4">
        <v>29</v>
      </c>
      <c r="AJ48" s="139">
        <v>41655</v>
      </c>
      <c r="AK48" s="94">
        <v>93</v>
      </c>
      <c r="AL48" s="162">
        <v>86.87700000000001</v>
      </c>
      <c r="AM48" s="162">
        <v>90</v>
      </c>
      <c r="AN48" s="162">
        <v>98</v>
      </c>
      <c r="AO48" s="162">
        <v>98.5</v>
      </c>
      <c r="AP48" s="17">
        <v>234</v>
      </c>
      <c r="AQ48" s="162">
        <v>0</v>
      </c>
      <c r="AR48" s="162">
        <v>40</v>
      </c>
      <c r="AS48" s="17">
        <v>280.8</v>
      </c>
      <c r="AT48" s="17">
        <v>12</v>
      </c>
      <c r="AU48" s="17">
        <v>0</v>
      </c>
      <c r="AV48" s="17">
        <v>0</v>
      </c>
      <c r="AW48" s="17">
        <v>20</v>
      </c>
      <c r="AX48" s="4">
        <v>110.08493253776273</v>
      </c>
      <c r="AY48" s="4">
        <v>89.325842696629209</v>
      </c>
      <c r="BD48" s="159" t="e">
        <v>#N/A</v>
      </c>
      <c r="BE48" s="159" t="e">
        <v>#N/A</v>
      </c>
      <c r="BF48" s="159" t="e">
        <v>#N/A</v>
      </c>
      <c r="BG48" s="159" t="e">
        <v>#N/A</v>
      </c>
      <c r="BH48" s="14" t="e">
        <v>#N/A</v>
      </c>
      <c r="BI48" s="159" t="e">
        <v>#N/A</v>
      </c>
      <c r="BJ48" s="159" t="e">
        <v>#N/A</v>
      </c>
      <c r="BK48" s="14" t="e">
        <v>#N/A</v>
      </c>
      <c r="BL48" s="14" t="e">
        <v>#N/A</v>
      </c>
      <c r="BM48" s="14" t="e">
        <v>#N/A</v>
      </c>
      <c r="BN48" s="14" t="e">
        <v>#N/A</v>
      </c>
      <c r="BO48" s="14" t="e">
        <v>#N/A</v>
      </c>
      <c r="BP48" s="182" t="e">
        <v>#N/A</v>
      </c>
      <c r="BQ48" s="183" t="e">
        <v>#N/A</v>
      </c>
    </row>
    <row r="49" spans="2:69" x14ac:dyDescent="0.35">
      <c r="B49" s="11">
        <v>30</v>
      </c>
      <c r="C49" s="4" t="str">
        <v>Product 6</v>
      </c>
      <c r="D49" s="94">
        <v>66.246392896781344</v>
      </c>
      <c r="E49" s="94">
        <v>81.132075471698101</v>
      </c>
      <c r="F49" s="94">
        <v>83.746314029487763</v>
      </c>
      <c r="G49" s="94">
        <v>97.499850263264406</v>
      </c>
      <c r="H49" s="4">
        <v>207.9120754716981</v>
      </c>
      <c r="I49" s="174">
        <v>95.537887983353571</v>
      </c>
      <c r="J49" s="95">
        <v>45.319148936170208</v>
      </c>
      <c r="K49" s="4">
        <v>249.49449056603771</v>
      </c>
      <c r="L49" s="11">
        <v>12</v>
      </c>
      <c r="M49" s="4">
        <v>0</v>
      </c>
      <c r="N49" s="11">
        <v>0</v>
      </c>
      <c r="O49" s="11">
        <v>30</v>
      </c>
      <c r="P49" s="137">
        <v>41649</v>
      </c>
      <c r="Q49" s="11">
        <v>79</v>
      </c>
      <c r="R49" s="95">
        <f>CHOOSE($D$4,D49,E49,F49,G49,H49,I49,J49,K49,L49,M49,N49,O49,P49,101-B49)+0.000001*ROWS($A$20:A49)</f>
        <v>97.499880263264401</v>
      </c>
      <c r="S49" s="4">
        <f t="shared" si="32"/>
        <v>213</v>
      </c>
      <c r="T49" s="4"/>
      <c r="U49" s="14">
        <f>ROWS($U$20:U49)</f>
        <v>30</v>
      </c>
      <c r="V49" s="4">
        <v>126</v>
      </c>
      <c r="W49" s="4" t="str">
        <v>Product 3</v>
      </c>
      <c r="X49" s="94">
        <v>96.88650357210345</v>
      </c>
      <c r="Y49" s="94">
        <v>97.09794437726724</v>
      </c>
      <c r="Z49" s="94">
        <v>100.30400085880693</v>
      </c>
      <c r="AA49" s="94">
        <v>99.479820161273693</v>
      </c>
      <c r="AB49" s="4">
        <v>337.06136638452239</v>
      </c>
      <c r="AC49" s="94">
        <v>121.20977245154864</v>
      </c>
      <c r="AD49" s="94">
        <v>12.335918574299075</v>
      </c>
      <c r="AE49" s="4">
        <v>404.47363966142689</v>
      </c>
      <c r="AF49" s="4">
        <v>12</v>
      </c>
      <c r="AG49" s="4">
        <v>0</v>
      </c>
      <c r="AH49" s="4">
        <v>0</v>
      </c>
      <c r="AI49" s="4">
        <v>28</v>
      </c>
      <c r="AJ49" s="139">
        <v>41688</v>
      </c>
      <c r="AK49" s="94">
        <v>77</v>
      </c>
      <c r="AL49" s="162">
        <v>87.494399999999999</v>
      </c>
      <c r="AM49" s="162">
        <v>90</v>
      </c>
      <c r="AN49" s="162">
        <v>98</v>
      </c>
      <c r="AO49" s="162">
        <v>99.2</v>
      </c>
      <c r="AP49" s="17">
        <v>346.08333333333331</v>
      </c>
      <c r="AQ49" s="162">
        <v>0</v>
      </c>
      <c r="AR49" s="162">
        <v>40</v>
      </c>
      <c r="AS49" s="17">
        <v>415.3</v>
      </c>
      <c r="AT49" s="17">
        <v>12</v>
      </c>
      <c r="AU49" s="17">
        <v>0</v>
      </c>
      <c r="AV49" s="17">
        <v>0</v>
      </c>
      <c r="AW49" s="17">
        <v>20</v>
      </c>
      <c r="AX49" s="4">
        <v>100.30400085880693</v>
      </c>
      <c r="AY49" s="4">
        <v>97.09794437726724</v>
      </c>
      <c r="BD49" s="159" t="e">
        <v>#N/A</v>
      </c>
      <c r="BE49" s="159" t="e">
        <v>#N/A</v>
      </c>
      <c r="BF49" s="159" t="e">
        <v>#N/A</v>
      </c>
      <c r="BG49" s="159" t="e">
        <v>#N/A</v>
      </c>
      <c r="BH49" s="14" t="e">
        <v>#N/A</v>
      </c>
      <c r="BI49" s="159" t="e">
        <v>#N/A</v>
      </c>
      <c r="BJ49" s="159" t="e">
        <v>#N/A</v>
      </c>
      <c r="BK49" s="14" t="e">
        <v>#N/A</v>
      </c>
      <c r="BL49" s="14" t="e">
        <v>#N/A</v>
      </c>
      <c r="BM49" s="14" t="e">
        <v>#N/A</v>
      </c>
      <c r="BN49" s="14" t="e">
        <v>#N/A</v>
      </c>
      <c r="BO49" s="14" t="e">
        <v>#N/A</v>
      </c>
      <c r="BP49" s="182" t="e">
        <v>#N/A</v>
      </c>
      <c r="BQ49" s="183" t="e">
        <v>#N/A</v>
      </c>
    </row>
    <row r="50" spans="2:69" x14ac:dyDescent="0.35">
      <c r="B50" s="11">
        <v>31</v>
      </c>
      <c r="C50" s="4" t="str">
        <v>Product 3</v>
      </c>
      <c r="D50" s="94">
        <v>96.585270509746678</v>
      </c>
      <c r="E50" s="94">
        <v>96.226415094339629</v>
      </c>
      <c r="F50" s="94">
        <v>101.75504640161772</v>
      </c>
      <c r="G50" s="94">
        <v>98.641720215656861</v>
      </c>
      <c r="H50" s="4">
        <v>354.45314465408808</v>
      </c>
      <c r="I50" s="174">
        <v>123.80724855450696</v>
      </c>
      <c r="J50" s="95">
        <v>0</v>
      </c>
      <c r="K50" s="4">
        <v>425.34377358490565</v>
      </c>
      <c r="L50" s="11">
        <v>12</v>
      </c>
      <c r="M50" s="4">
        <v>0</v>
      </c>
      <c r="N50" s="11">
        <v>0</v>
      </c>
      <c r="O50" s="11">
        <v>27</v>
      </c>
      <c r="P50" s="137">
        <v>41650</v>
      </c>
      <c r="Q50" s="11">
        <v>89</v>
      </c>
      <c r="R50" s="95">
        <f>CHOOSE($D$4,D50,E50,F50,G50,H50,I50,J50,K50,L50,M50,N50,O50,P50,101-B50)+0.000001*ROWS($A$20:A50)</f>
        <v>98.641751215656868</v>
      </c>
      <c r="S50" s="4">
        <f t="shared" si="32"/>
        <v>123</v>
      </c>
      <c r="T50" s="4"/>
      <c r="U50" s="14">
        <f>ROWS($U$20:U50)</f>
        <v>31</v>
      </c>
      <c r="V50" s="4">
        <v>118</v>
      </c>
      <c r="W50" s="4" t="str">
        <v>Product 22</v>
      </c>
      <c r="X50" s="94">
        <v>75.160714285714278</v>
      </c>
      <c r="Y50" s="94">
        <v>81.919642857142847</v>
      </c>
      <c r="Z50" s="94">
        <v>92.242259103294529</v>
      </c>
      <c r="AA50" s="94">
        <v>99.465602526437905</v>
      </c>
      <c r="AB50" s="4">
        <v>207.80245535714286</v>
      </c>
      <c r="AC50" s="94">
        <v>99.447192163481574</v>
      </c>
      <c r="AD50" s="94">
        <v>81.644161622432605</v>
      </c>
      <c r="AE50" s="4">
        <v>249.36294642857143</v>
      </c>
      <c r="AF50" s="4">
        <v>12</v>
      </c>
      <c r="AG50" s="4">
        <v>0</v>
      </c>
      <c r="AH50" s="4">
        <v>0</v>
      </c>
      <c r="AI50" s="4">
        <v>23</v>
      </c>
      <c r="AJ50" s="139">
        <v>41683</v>
      </c>
      <c r="AK50" s="94">
        <v>108</v>
      </c>
      <c r="AL50" s="162">
        <v>87.494399999999999</v>
      </c>
      <c r="AM50" s="162">
        <v>90</v>
      </c>
      <c r="AN50" s="162">
        <v>98</v>
      </c>
      <c r="AO50" s="162">
        <v>99.2</v>
      </c>
      <c r="AP50" s="17">
        <v>275</v>
      </c>
      <c r="AQ50" s="162">
        <v>0</v>
      </c>
      <c r="AR50" s="162">
        <v>40</v>
      </c>
      <c r="AS50" s="17">
        <v>330</v>
      </c>
      <c r="AT50" s="17">
        <v>12</v>
      </c>
      <c r="AU50" s="17">
        <v>0</v>
      </c>
      <c r="AV50" s="17">
        <v>0</v>
      </c>
      <c r="AW50" s="17">
        <v>20</v>
      </c>
      <c r="AX50" s="4">
        <v>92.242259103294529</v>
      </c>
      <c r="AY50" s="4">
        <v>81.919642857142847</v>
      </c>
      <c r="BD50" s="159">
        <v>75.160714285714278</v>
      </c>
      <c r="BE50" s="159">
        <v>81.919642857142847</v>
      </c>
      <c r="BF50" s="159">
        <v>92.242259103294529</v>
      </c>
      <c r="BG50" s="159">
        <v>99.465602526437905</v>
      </c>
      <c r="BH50" s="14">
        <v>207.80245535714286</v>
      </c>
      <c r="BI50" s="159">
        <v>99.447192163481574</v>
      </c>
      <c r="BJ50" s="159">
        <v>81.644161622432605</v>
      </c>
      <c r="BK50" s="14">
        <v>249.36294642857143</v>
      </c>
      <c r="BL50" s="14">
        <v>12</v>
      </c>
      <c r="BM50" s="14">
        <v>0</v>
      </c>
      <c r="BN50" s="14">
        <v>0</v>
      </c>
      <c r="BO50" s="14">
        <v>23</v>
      </c>
      <c r="BP50" s="182">
        <v>41683</v>
      </c>
      <c r="BQ50" s="183">
        <v>108</v>
      </c>
    </row>
    <row r="51" spans="2:69" x14ac:dyDescent="0.35">
      <c r="B51" s="11">
        <v>32</v>
      </c>
      <c r="C51" s="4" t="str">
        <v>Product 5</v>
      </c>
      <c r="D51" s="94">
        <v>77.560810560272913</v>
      </c>
      <c r="E51" s="94">
        <v>78.523489932885909</v>
      </c>
      <c r="F51" s="94">
        <v>101.25312839401236</v>
      </c>
      <c r="G51" s="94">
        <v>97.551577192358579</v>
      </c>
      <c r="H51" s="4">
        <v>287.81711409395973</v>
      </c>
      <c r="I51" s="174">
        <v>113.46597786758919</v>
      </c>
      <c r="J51" s="95">
        <v>100</v>
      </c>
      <c r="K51" s="4">
        <v>345.38053691275167</v>
      </c>
      <c r="L51" s="11">
        <v>12</v>
      </c>
      <c r="M51" s="4">
        <v>0</v>
      </c>
      <c r="N51" s="11">
        <v>0</v>
      </c>
      <c r="O51" s="11">
        <v>21</v>
      </c>
      <c r="P51" s="137">
        <v>41649</v>
      </c>
      <c r="Q51" s="11">
        <v>140</v>
      </c>
      <c r="R51" s="95">
        <f>CHOOSE($D$4,D51,E51,F51,G51,H51,I51,J51,K51,L51,M51,N51,O51,P51,101-B51)+0.000001*ROWS($A$20:A51)</f>
        <v>97.551609192358583</v>
      </c>
      <c r="S51" s="4">
        <f t="shared" si="32"/>
        <v>212</v>
      </c>
      <c r="T51" s="4"/>
      <c r="U51" s="14">
        <f>ROWS($U$20:U51)</f>
        <v>32</v>
      </c>
      <c r="V51" s="4">
        <v>12</v>
      </c>
      <c r="W51" s="4" t="str">
        <v>Product 8</v>
      </c>
      <c r="X51" s="94">
        <v>94.599018003273315</v>
      </c>
      <c r="Y51" s="94">
        <v>98.014184397163135</v>
      </c>
      <c r="Z51" s="94">
        <v>97.052766336413214</v>
      </c>
      <c r="AA51" s="94">
        <v>99.446563243770242</v>
      </c>
      <c r="AB51" s="4">
        <v>247.32624113475177</v>
      </c>
      <c r="AC51" s="94">
        <v>91.740392026875242</v>
      </c>
      <c r="AD51" s="94">
        <v>19.179353414762609</v>
      </c>
      <c r="AE51" s="4">
        <v>296.79148936170213</v>
      </c>
      <c r="AF51" s="4">
        <v>12</v>
      </c>
      <c r="AG51" s="4">
        <v>0</v>
      </c>
      <c r="AH51" s="4">
        <v>0</v>
      </c>
      <c r="AI51" s="4">
        <v>22</v>
      </c>
      <c r="AJ51" s="139">
        <v>41645</v>
      </c>
      <c r="AK51" s="94">
        <v>72</v>
      </c>
      <c r="AL51" s="162">
        <v>87.097500000000011</v>
      </c>
      <c r="AM51" s="162">
        <v>90</v>
      </c>
      <c r="AN51" s="162">
        <v>98</v>
      </c>
      <c r="AO51" s="162">
        <v>98.75</v>
      </c>
      <c r="AP51" s="17">
        <v>260</v>
      </c>
      <c r="AQ51" s="162">
        <v>0</v>
      </c>
      <c r="AR51" s="162">
        <v>40</v>
      </c>
      <c r="AS51" s="17">
        <v>312</v>
      </c>
      <c r="AT51" s="17">
        <v>12</v>
      </c>
      <c r="AU51" s="17">
        <v>0</v>
      </c>
      <c r="AV51" s="17">
        <v>0</v>
      </c>
      <c r="AW51" s="17">
        <v>20</v>
      </c>
      <c r="AX51" s="4">
        <v>97.052766336413214</v>
      </c>
      <c r="AY51" s="4">
        <v>98.014184397163135</v>
      </c>
      <c r="BD51" s="159" t="e">
        <v>#N/A</v>
      </c>
      <c r="BE51" s="159" t="e">
        <v>#N/A</v>
      </c>
      <c r="BF51" s="159" t="e">
        <v>#N/A</v>
      </c>
      <c r="BG51" s="159" t="e">
        <v>#N/A</v>
      </c>
      <c r="BH51" s="14" t="e">
        <v>#N/A</v>
      </c>
      <c r="BI51" s="159" t="e">
        <v>#N/A</v>
      </c>
      <c r="BJ51" s="159" t="e">
        <v>#N/A</v>
      </c>
      <c r="BK51" s="14" t="e">
        <v>#N/A</v>
      </c>
      <c r="BL51" s="14" t="e">
        <v>#N/A</v>
      </c>
      <c r="BM51" s="14" t="e">
        <v>#N/A</v>
      </c>
      <c r="BN51" s="14" t="e">
        <v>#N/A</v>
      </c>
      <c r="BO51" s="14" t="e">
        <v>#N/A</v>
      </c>
      <c r="BP51" s="182" t="e">
        <v>#N/A</v>
      </c>
      <c r="BQ51" s="183" t="e">
        <v>#N/A</v>
      </c>
    </row>
    <row r="52" spans="2:69" x14ac:dyDescent="0.35">
      <c r="B52" s="11">
        <v>33</v>
      </c>
      <c r="C52" s="4" t="str">
        <v>Product 3</v>
      </c>
      <c r="D52" s="94">
        <v>99.805686478327729</v>
      </c>
      <c r="E52" s="94">
        <v>98.969072164948457</v>
      </c>
      <c r="F52" s="94">
        <v>101.77693010474218</v>
      </c>
      <c r="G52" s="94">
        <v>99.084663825119193</v>
      </c>
      <c r="H52" s="4">
        <v>364.63421391752581</v>
      </c>
      <c r="I52" s="174">
        <v>120.42737061627511</v>
      </c>
      <c r="J52" s="95">
        <v>20.418176749372734</v>
      </c>
      <c r="K52" s="4">
        <v>437.56105670103096</v>
      </c>
      <c r="L52" s="11">
        <v>12</v>
      </c>
      <c r="M52" s="4">
        <v>0</v>
      </c>
      <c r="N52" s="11">
        <v>0</v>
      </c>
      <c r="O52" s="11">
        <v>24</v>
      </c>
      <c r="P52" s="137">
        <v>41649</v>
      </c>
      <c r="Q52" s="11">
        <v>49</v>
      </c>
      <c r="R52" s="95">
        <f>CHOOSE($D$4,D52,E52,F52,G52,H52,I52,J52,K52,L52,M52,N52,O52,P52,101-B52)+0.000001*ROWS($A$20:A52)</f>
        <v>99.084696825119195</v>
      </c>
      <c r="S52" s="4">
        <f t="shared" si="32"/>
        <v>65</v>
      </c>
      <c r="T52" s="4"/>
      <c r="U52" s="14">
        <f>ROWS($U$20:U52)</f>
        <v>33</v>
      </c>
      <c r="V52" s="4">
        <v>63</v>
      </c>
      <c r="W52" s="4" t="str">
        <v>Product 19</v>
      </c>
      <c r="X52" s="94">
        <v>75.375110326566627</v>
      </c>
      <c r="Y52" s="94">
        <v>78.155339805825236</v>
      </c>
      <c r="Z52" s="94">
        <v>96.993224167137214</v>
      </c>
      <c r="AA52" s="94">
        <v>99.432397030999851</v>
      </c>
      <c r="AB52" s="4">
        <v>250.15776699029124</v>
      </c>
      <c r="AC52" s="94">
        <v>114.36100862714638</v>
      </c>
      <c r="AD52" s="94">
        <v>76.592482460623529</v>
      </c>
      <c r="AE52" s="4">
        <v>300.18932038834953</v>
      </c>
      <c r="AF52" s="4">
        <v>12</v>
      </c>
      <c r="AG52" s="4">
        <v>0</v>
      </c>
      <c r="AH52" s="4">
        <v>0</v>
      </c>
      <c r="AI52" s="4">
        <v>20</v>
      </c>
      <c r="AJ52" s="139">
        <v>41660</v>
      </c>
      <c r="AK52" s="94">
        <v>85</v>
      </c>
      <c r="AL52" s="162">
        <v>87.494399999999999</v>
      </c>
      <c r="AM52" s="162">
        <v>90</v>
      </c>
      <c r="AN52" s="162">
        <v>98</v>
      </c>
      <c r="AO52" s="162">
        <v>99.2</v>
      </c>
      <c r="AP52" s="17">
        <v>330</v>
      </c>
      <c r="AQ52" s="162">
        <v>0</v>
      </c>
      <c r="AR52" s="162">
        <v>40</v>
      </c>
      <c r="AS52" s="17">
        <v>396.00000000000006</v>
      </c>
      <c r="AT52" s="17">
        <v>12</v>
      </c>
      <c r="AU52" s="17">
        <v>0</v>
      </c>
      <c r="AV52" s="17">
        <v>0</v>
      </c>
      <c r="AW52" s="17">
        <v>20</v>
      </c>
      <c r="AX52" s="4">
        <v>96.993224167137214</v>
      </c>
      <c r="AY52" s="4">
        <v>78.155339805825236</v>
      </c>
      <c r="BD52" s="159" t="e">
        <v>#N/A</v>
      </c>
      <c r="BE52" s="159" t="e">
        <v>#N/A</v>
      </c>
      <c r="BF52" s="159" t="e">
        <v>#N/A</v>
      </c>
      <c r="BG52" s="159" t="e">
        <v>#N/A</v>
      </c>
      <c r="BH52" s="14" t="e">
        <v>#N/A</v>
      </c>
      <c r="BI52" s="159" t="e">
        <v>#N/A</v>
      </c>
      <c r="BJ52" s="159" t="e">
        <v>#N/A</v>
      </c>
      <c r="BK52" s="14" t="e">
        <v>#N/A</v>
      </c>
      <c r="BL52" s="14" t="e">
        <v>#N/A</v>
      </c>
      <c r="BM52" s="14" t="e">
        <v>#N/A</v>
      </c>
      <c r="BN52" s="14" t="e">
        <v>#N/A</v>
      </c>
      <c r="BO52" s="14" t="e">
        <v>#N/A</v>
      </c>
      <c r="BP52" s="182" t="e">
        <v>#N/A</v>
      </c>
      <c r="BQ52" s="183" t="e">
        <v>#N/A</v>
      </c>
    </row>
    <row r="53" spans="2:69" x14ac:dyDescent="0.35">
      <c r="B53" s="11">
        <v>34</v>
      </c>
      <c r="C53" s="4" t="str">
        <v>Product 3</v>
      </c>
      <c r="D53" s="94">
        <v>77.336345849115645</v>
      </c>
      <c r="E53" s="94">
        <v>82.43512974051896</v>
      </c>
      <c r="F53" s="94">
        <v>95.675811820155104</v>
      </c>
      <c r="G53" s="94">
        <v>98.0548694989278</v>
      </c>
      <c r="H53" s="4">
        <v>272.95758483033933</v>
      </c>
      <c r="I53" s="174">
        <v>113.18307282937508</v>
      </c>
      <c r="J53" s="95">
        <v>16.26808494811619</v>
      </c>
      <c r="K53" s="4">
        <v>327.54910179640717</v>
      </c>
      <c r="L53" s="11">
        <v>12</v>
      </c>
      <c r="M53" s="4">
        <v>0</v>
      </c>
      <c r="N53" s="11">
        <v>0</v>
      </c>
      <c r="O53" s="11">
        <v>18</v>
      </c>
      <c r="P53" s="137">
        <v>41649</v>
      </c>
      <c r="Q53" s="11">
        <v>139</v>
      </c>
      <c r="R53" s="95">
        <f>CHOOSE($D$4,D53,E53,F53,G53,H53,I53,J53,K53,L53,M53,N53,O53,P53,101-B53)+0.000001*ROWS($A$20:A53)</f>
        <v>98.0549034989278</v>
      </c>
      <c r="S53" s="4">
        <f t="shared" si="32"/>
        <v>188</v>
      </c>
      <c r="T53" s="4"/>
      <c r="U53" s="14">
        <f>ROWS($U$20:U53)</f>
        <v>34</v>
      </c>
      <c r="V53" s="4">
        <v>120</v>
      </c>
      <c r="W53" s="4" t="str">
        <v>Product 21</v>
      </c>
      <c r="X53" s="94">
        <v>71.204061895551249</v>
      </c>
      <c r="Y53" s="94">
        <v>76.832151300236404</v>
      </c>
      <c r="Z53" s="94">
        <v>93.210227272727266</v>
      </c>
      <c r="AA53" s="94">
        <v>99.425597261622869</v>
      </c>
      <c r="AB53" s="4">
        <v>252.08628841607563</v>
      </c>
      <c r="AC53" s="94">
        <v>120.1723146968997</v>
      </c>
      <c r="AD53" s="94">
        <v>82.205918317437025</v>
      </c>
      <c r="AE53" s="4">
        <v>302.50354609929076</v>
      </c>
      <c r="AF53" s="4">
        <v>12</v>
      </c>
      <c r="AG53" s="4">
        <v>0</v>
      </c>
      <c r="AH53" s="4">
        <v>0</v>
      </c>
      <c r="AI53" s="4">
        <v>28</v>
      </c>
      <c r="AJ53" s="139">
        <v>41683</v>
      </c>
      <c r="AK53" s="94">
        <v>64</v>
      </c>
      <c r="AL53" s="162">
        <v>87.494399999999999</v>
      </c>
      <c r="AM53" s="162">
        <v>90</v>
      </c>
      <c r="AN53" s="162">
        <v>98</v>
      </c>
      <c r="AO53" s="162">
        <v>99.2</v>
      </c>
      <c r="AP53" s="17">
        <v>352</v>
      </c>
      <c r="AQ53" s="162">
        <v>0</v>
      </c>
      <c r="AR53" s="162">
        <v>40</v>
      </c>
      <c r="AS53" s="17">
        <v>422.4</v>
      </c>
      <c r="AT53" s="17">
        <v>12</v>
      </c>
      <c r="AU53" s="17">
        <v>0</v>
      </c>
      <c r="AV53" s="17">
        <v>0</v>
      </c>
      <c r="AW53" s="17">
        <v>20</v>
      </c>
      <c r="AX53" s="4">
        <v>93.210227272727266</v>
      </c>
      <c r="AY53" s="4">
        <v>76.832151300236404</v>
      </c>
      <c r="BD53" s="159">
        <v>71.204061895551249</v>
      </c>
      <c r="BE53" s="159">
        <v>76.832151300236404</v>
      </c>
      <c r="BF53" s="159">
        <v>93.210227272727266</v>
      </c>
      <c r="BG53" s="159">
        <v>99.425597261622869</v>
      </c>
      <c r="BH53" s="14">
        <v>252.08628841607563</v>
      </c>
      <c r="BI53" s="159">
        <v>120.1723146968997</v>
      </c>
      <c r="BJ53" s="159">
        <v>82.205918317437025</v>
      </c>
      <c r="BK53" s="14">
        <v>302.50354609929076</v>
      </c>
      <c r="BL53" s="14">
        <v>12</v>
      </c>
      <c r="BM53" s="14">
        <v>0</v>
      </c>
      <c r="BN53" s="14">
        <v>0</v>
      </c>
      <c r="BO53" s="14">
        <v>28</v>
      </c>
      <c r="BP53" s="182">
        <v>41683</v>
      </c>
      <c r="BQ53" s="183">
        <v>64</v>
      </c>
    </row>
    <row r="54" spans="2:69" x14ac:dyDescent="0.35">
      <c r="B54" s="11">
        <v>35</v>
      </c>
      <c r="C54" s="4" t="str">
        <v>Product 3</v>
      </c>
      <c r="D54" s="94">
        <v>79.897639835322011</v>
      </c>
      <c r="E54" s="94">
        <v>84.667571234735433</v>
      </c>
      <c r="F54" s="94">
        <v>96.052969123339935</v>
      </c>
      <c r="G54" s="94">
        <v>98.24400412375806</v>
      </c>
      <c r="H54" s="4">
        <v>281.45474898236097</v>
      </c>
      <c r="I54" s="174">
        <v>117.15359200271094</v>
      </c>
      <c r="J54" s="95">
        <v>0</v>
      </c>
      <c r="K54" s="4">
        <v>337.74569877883312</v>
      </c>
      <c r="L54" s="11">
        <v>12</v>
      </c>
      <c r="M54" s="4">
        <v>0</v>
      </c>
      <c r="N54" s="11">
        <v>0</v>
      </c>
      <c r="O54" s="11">
        <v>26</v>
      </c>
      <c r="P54" s="137">
        <v>41650</v>
      </c>
      <c r="Q54" s="11">
        <v>83</v>
      </c>
      <c r="R54" s="95">
        <f>CHOOSE($D$4,D54,E54,F54,G54,H54,I54,J54,K54,L54,M54,N54,O54,P54,101-B54)+0.000001*ROWS($A$20:A54)</f>
        <v>98.244039123758057</v>
      </c>
      <c r="S54" s="4">
        <f t="shared" si="32"/>
        <v>173</v>
      </c>
      <c r="T54" s="4"/>
      <c r="U54" s="14">
        <f>ROWS($U$20:U54)</f>
        <v>35</v>
      </c>
      <c r="V54" s="4">
        <v>238</v>
      </c>
      <c r="W54" s="4" t="str">
        <v>Product 3</v>
      </c>
      <c r="X54" s="94">
        <v>99.858769416748146</v>
      </c>
      <c r="Y54" s="94">
        <v>95.238095238095227</v>
      </c>
      <c r="Z54" s="94">
        <v>105.47088163461868</v>
      </c>
      <c r="AA54" s="94">
        <v>99.412943423400861</v>
      </c>
      <c r="AB54" s="4">
        <v>347.63537414965981</v>
      </c>
      <c r="AC54" s="94">
        <v>111</v>
      </c>
      <c r="AD54" s="94">
        <v>0</v>
      </c>
      <c r="AE54" s="4">
        <v>417.16244897959177</v>
      </c>
      <c r="AF54" s="4">
        <v>12</v>
      </c>
      <c r="AG54" s="4">
        <v>1.1400089305648584</v>
      </c>
      <c r="AH54" s="4">
        <v>0</v>
      </c>
      <c r="AI54" s="4">
        <v>25</v>
      </c>
      <c r="AJ54" s="139">
        <v>41726</v>
      </c>
      <c r="AK54" s="94">
        <v>59</v>
      </c>
      <c r="AL54" s="162">
        <v>87.494399999999999</v>
      </c>
      <c r="AM54" s="162">
        <v>90</v>
      </c>
      <c r="AN54" s="162">
        <v>98</v>
      </c>
      <c r="AO54" s="162">
        <v>99.2</v>
      </c>
      <c r="AP54" s="17">
        <v>346.08333333333331</v>
      </c>
      <c r="AQ54" s="162">
        <v>0</v>
      </c>
      <c r="AR54" s="162">
        <v>40</v>
      </c>
      <c r="AS54" s="17">
        <v>415.3</v>
      </c>
      <c r="AT54" s="17">
        <v>12</v>
      </c>
      <c r="AU54" s="17">
        <v>0</v>
      </c>
      <c r="AV54" s="17">
        <v>0</v>
      </c>
      <c r="AW54" s="17">
        <v>20</v>
      </c>
      <c r="AX54" s="4">
        <v>105.47088163461868</v>
      </c>
      <c r="AY54" s="4">
        <v>95.238095238095227</v>
      </c>
      <c r="BD54" s="159" t="e">
        <v>#N/A</v>
      </c>
      <c r="BE54" s="159" t="e">
        <v>#N/A</v>
      </c>
      <c r="BF54" s="159" t="e">
        <v>#N/A</v>
      </c>
      <c r="BG54" s="159" t="e">
        <v>#N/A</v>
      </c>
      <c r="BH54" s="14" t="e">
        <v>#N/A</v>
      </c>
      <c r="BI54" s="159" t="e">
        <v>#N/A</v>
      </c>
      <c r="BJ54" s="159" t="e">
        <v>#N/A</v>
      </c>
      <c r="BK54" s="14" t="e">
        <v>#N/A</v>
      </c>
      <c r="BL54" s="14" t="e">
        <v>#N/A</v>
      </c>
      <c r="BM54" s="14" t="e">
        <v>#N/A</v>
      </c>
      <c r="BN54" s="14" t="e">
        <v>#N/A</v>
      </c>
      <c r="BO54" s="14" t="e">
        <v>#N/A</v>
      </c>
      <c r="BP54" s="182" t="e">
        <v>#N/A</v>
      </c>
      <c r="BQ54" s="183" t="e">
        <v>#N/A</v>
      </c>
    </row>
    <row r="55" spans="2:69" x14ac:dyDescent="0.35">
      <c r="B55" s="11">
        <v>36</v>
      </c>
      <c r="C55" s="4" t="str">
        <v>Product 2</v>
      </c>
      <c r="D55" s="94">
        <v>82.969529085872566</v>
      </c>
      <c r="E55" s="94">
        <v>89.999999999999986</v>
      </c>
      <c r="F55" s="94">
        <v>95.227762388427209</v>
      </c>
      <c r="G55" s="94">
        <v>96.808287141033304</v>
      </c>
      <c r="H55" s="4">
        <v>244.2592105263158</v>
      </c>
      <c r="I55" s="174">
        <v>98.371575433204399</v>
      </c>
      <c r="J55" s="95">
        <v>40.797714536864085</v>
      </c>
      <c r="K55" s="4">
        <v>293.1110526315789</v>
      </c>
      <c r="L55" s="11">
        <v>12</v>
      </c>
      <c r="M55" s="4">
        <v>0</v>
      </c>
      <c r="N55" s="11">
        <v>0</v>
      </c>
      <c r="O55" s="11">
        <v>22</v>
      </c>
      <c r="P55" s="137">
        <v>41652</v>
      </c>
      <c r="Q55" s="11">
        <v>85</v>
      </c>
      <c r="R55" s="95">
        <f>CHOOSE($D$4,D55,E55,F55,G55,H55,I55,J55,K55,L55,M55,N55,O55,P55,101-B55)+0.000001*ROWS($A$20:A55)</f>
        <v>96.808323141033298</v>
      </c>
      <c r="S55" s="4">
        <f t="shared" si="32"/>
        <v>229</v>
      </c>
      <c r="T55" s="4"/>
      <c r="U55" s="14">
        <f>ROWS($U$20:U55)</f>
        <v>36</v>
      </c>
      <c r="V55" s="4">
        <v>42</v>
      </c>
      <c r="W55" s="4" t="str">
        <v>Product 3</v>
      </c>
      <c r="X55" s="94">
        <v>97.918644687421448</v>
      </c>
      <c r="Y55" s="94">
        <v>96.642335766423358</v>
      </c>
      <c r="Z55" s="94">
        <v>101.92517257207871</v>
      </c>
      <c r="AA55" s="94">
        <v>99.406897651839287</v>
      </c>
      <c r="AB55" s="4">
        <v>340.90200729927005</v>
      </c>
      <c r="AC55" s="94">
        <v>118.52932107185954</v>
      </c>
      <c r="AD55" s="94">
        <v>31.837249258094026</v>
      </c>
      <c r="AE55" s="4">
        <v>409.08240875912406</v>
      </c>
      <c r="AF55" s="4">
        <v>12</v>
      </c>
      <c r="AG55" s="4">
        <v>0</v>
      </c>
      <c r="AH55" s="4">
        <v>0</v>
      </c>
      <c r="AI55" s="4">
        <v>18</v>
      </c>
      <c r="AJ55" s="139">
        <v>41652</v>
      </c>
      <c r="AK55" s="94">
        <v>57</v>
      </c>
      <c r="AL55" s="162">
        <v>87.494399999999999</v>
      </c>
      <c r="AM55" s="162">
        <v>90</v>
      </c>
      <c r="AN55" s="162">
        <v>98</v>
      </c>
      <c r="AO55" s="162">
        <v>99.2</v>
      </c>
      <c r="AP55" s="17">
        <v>346.08333333333331</v>
      </c>
      <c r="AQ55" s="162">
        <v>0</v>
      </c>
      <c r="AR55" s="162">
        <v>40</v>
      </c>
      <c r="AS55" s="17">
        <v>415.3</v>
      </c>
      <c r="AT55" s="17">
        <v>12</v>
      </c>
      <c r="AU55" s="17">
        <v>0</v>
      </c>
      <c r="AV55" s="17">
        <v>0</v>
      </c>
      <c r="AW55" s="17">
        <v>20</v>
      </c>
      <c r="AX55" s="4">
        <v>101.92517257207871</v>
      </c>
      <c r="AY55" s="4">
        <v>96.642335766423358</v>
      </c>
      <c r="BD55" s="159" t="e">
        <v>#N/A</v>
      </c>
      <c r="BE55" s="159" t="e">
        <v>#N/A</v>
      </c>
      <c r="BF55" s="159" t="e">
        <v>#N/A</v>
      </c>
      <c r="BG55" s="159" t="e">
        <v>#N/A</v>
      </c>
      <c r="BH55" s="14" t="e">
        <v>#N/A</v>
      </c>
      <c r="BI55" s="159" t="e">
        <v>#N/A</v>
      </c>
      <c r="BJ55" s="159" t="e">
        <v>#N/A</v>
      </c>
      <c r="BK55" s="14" t="e">
        <v>#N/A</v>
      </c>
      <c r="BL55" s="14" t="e">
        <v>#N/A</v>
      </c>
      <c r="BM55" s="14" t="e">
        <v>#N/A</v>
      </c>
      <c r="BN55" s="14" t="e">
        <v>#N/A</v>
      </c>
      <c r="BO55" s="14" t="e">
        <v>#N/A</v>
      </c>
      <c r="BP55" s="182" t="e">
        <v>#N/A</v>
      </c>
      <c r="BQ55" s="183" t="e">
        <v>#N/A</v>
      </c>
    </row>
    <row r="56" spans="2:69" x14ac:dyDescent="0.35">
      <c r="B56" s="11">
        <v>37</v>
      </c>
      <c r="C56" s="4" t="str">
        <v>Product 3</v>
      </c>
      <c r="D56" s="94">
        <v>62.000498143284133</v>
      </c>
      <c r="E56" s="94">
        <v>66.885245901639351</v>
      </c>
      <c r="F56" s="94">
        <v>93.519458888527794</v>
      </c>
      <c r="G56" s="94">
        <v>99.120358806728717</v>
      </c>
      <c r="H56" s="4">
        <v>226.43360655737706</v>
      </c>
      <c r="I56" s="174">
        <v>117.0953466882561</v>
      </c>
      <c r="J56" s="95">
        <v>0</v>
      </c>
      <c r="K56" s="4">
        <v>271.72032786885245</v>
      </c>
      <c r="L56" s="11">
        <v>12</v>
      </c>
      <c r="M56" s="4">
        <v>0</v>
      </c>
      <c r="N56" s="11">
        <v>0</v>
      </c>
      <c r="O56" s="11">
        <v>26</v>
      </c>
      <c r="P56" s="137">
        <v>41653</v>
      </c>
      <c r="Q56" s="11">
        <v>105</v>
      </c>
      <c r="R56" s="95">
        <f>CHOOSE($D$4,D56,E56,F56,G56,H56,I56,J56,K56,L56,M56,N56,O56,P56,101-B56)+0.000001*ROWS($A$20:A56)</f>
        <v>99.120395806728723</v>
      </c>
      <c r="S56" s="4">
        <f t="shared" si="32"/>
        <v>62</v>
      </c>
      <c r="T56" s="4"/>
      <c r="U56" s="14">
        <f>ROWS($U$20:U56)</f>
        <v>37</v>
      </c>
      <c r="V56" s="4">
        <v>13</v>
      </c>
      <c r="W56" s="4" t="str">
        <v>Product 2</v>
      </c>
      <c r="X56" s="94">
        <v>100.55759206322514</v>
      </c>
      <c r="Y56" s="94">
        <v>98.083067092651746</v>
      </c>
      <c r="Z56" s="94">
        <v>103.15149437110693</v>
      </c>
      <c r="AA56" s="94">
        <v>99.390597923157713</v>
      </c>
      <c r="AB56" s="4">
        <v>288.34632587859426</v>
      </c>
      <c r="AC56" s="94">
        <v>94.628990825688078</v>
      </c>
      <c r="AD56" s="94">
        <v>0</v>
      </c>
      <c r="AE56" s="4">
        <v>346.01559105431306</v>
      </c>
      <c r="AF56" s="4">
        <v>12</v>
      </c>
      <c r="AG56" s="4">
        <v>0</v>
      </c>
      <c r="AH56" s="4">
        <v>0</v>
      </c>
      <c r="AI56" s="4">
        <v>22</v>
      </c>
      <c r="AJ56" s="139">
        <v>41645</v>
      </c>
      <c r="AK56" s="94">
        <v>79</v>
      </c>
      <c r="AL56" s="162">
        <v>87.317999999999998</v>
      </c>
      <c r="AM56" s="162">
        <v>90</v>
      </c>
      <c r="AN56" s="162">
        <v>98</v>
      </c>
      <c r="AO56" s="162">
        <v>99</v>
      </c>
      <c r="AP56" s="17">
        <v>285</v>
      </c>
      <c r="AQ56" s="162">
        <v>0</v>
      </c>
      <c r="AR56" s="162">
        <v>40</v>
      </c>
      <c r="AS56" s="17">
        <v>342.00000000000006</v>
      </c>
      <c r="AT56" s="17">
        <v>12</v>
      </c>
      <c r="AU56" s="17">
        <v>0</v>
      </c>
      <c r="AV56" s="17">
        <v>0</v>
      </c>
      <c r="AW56" s="17">
        <v>20</v>
      </c>
      <c r="AX56" s="4">
        <v>103.15149437110693</v>
      </c>
      <c r="AY56" s="4">
        <v>98.083067092651746</v>
      </c>
      <c r="BD56" s="159">
        <v>100.55759206322514</v>
      </c>
      <c r="BE56" s="159">
        <v>98.083067092651746</v>
      </c>
      <c r="BF56" s="159">
        <v>103.15149437110693</v>
      </c>
      <c r="BG56" s="159">
        <v>99.390597923157713</v>
      </c>
      <c r="BH56" s="14">
        <v>288.34632587859426</v>
      </c>
      <c r="BI56" s="159">
        <v>94.628990825688078</v>
      </c>
      <c r="BJ56" s="159">
        <v>0</v>
      </c>
      <c r="BK56" s="14">
        <v>346.01559105431306</v>
      </c>
      <c r="BL56" s="14">
        <v>12</v>
      </c>
      <c r="BM56" s="14">
        <v>0</v>
      </c>
      <c r="BN56" s="14">
        <v>0</v>
      </c>
      <c r="BO56" s="14">
        <v>22</v>
      </c>
      <c r="BP56" s="182">
        <v>41645</v>
      </c>
      <c r="BQ56" s="183">
        <v>79</v>
      </c>
    </row>
    <row r="57" spans="2:69" x14ac:dyDescent="0.35">
      <c r="B57" s="11">
        <v>38</v>
      </c>
      <c r="C57" s="4" t="str">
        <v>Product 14</v>
      </c>
      <c r="D57" s="94">
        <v>50.041152263374478</v>
      </c>
      <c r="E57" s="94">
        <v>60.185185185185183</v>
      </c>
      <c r="F57" s="94">
        <v>88.789886039886028</v>
      </c>
      <c r="G57" s="94">
        <v>93.642759162849643</v>
      </c>
      <c r="H57" s="4">
        <v>115.42685185185185</v>
      </c>
      <c r="I57" s="174">
        <v>74.71665318109622</v>
      </c>
      <c r="J57" s="95">
        <v>36.968264686022955</v>
      </c>
      <c r="K57" s="4">
        <v>138.51222222222222</v>
      </c>
      <c r="L57" s="11">
        <v>12</v>
      </c>
      <c r="M57" s="4">
        <v>0</v>
      </c>
      <c r="N57" s="11">
        <v>0</v>
      </c>
      <c r="O57" s="11">
        <v>16</v>
      </c>
      <c r="P57" s="137">
        <v>41652</v>
      </c>
      <c r="Q57" s="11">
        <v>63</v>
      </c>
      <c r="R57" s="95">
        <f>CHOOSE($D$4,D57,E57,F57,G57,H57,I57,J57,K57,L57,M57,N57,O57,P57,101-B57)+0.000001*ROWS($A$20:A57)</f>
        <v>93.642797162849646</v>
      </c>
      <c r="S57" s="4">
        <f t="shared" si="32"/>
        <v>248</v>
      </c>
      <c r="T57" s="4"/>
      <c r="U57" s="14">
        <f>ROWS($U$20:U57)</f>
        <v>38</v>
      </c>
      <c r="V57" s="4">
        <v>65</v>
      </c>
      <c r="W57" s="4" t="str">
        <v>Product 3</v>
      </c>
      <c r="X57" s="94">
        <v>102.17513444096637</v>
      </c>
      <c r="Y57" s="94">
        <v>96.296296296296291</v>
      </c>
      <c r="Z57" s="94">
        <v>106.78841986330549</v>
      </c>
      <c r="AA57" s="94">
        <v>99.359975023415544</v>
      </c>
      <c r="AB57" s="4">
        <v>355.88888888888891</v>
      </c>
      <c r="AC57" s="94">
        <v>131.73119105066903</v>
      </c>
      <c r="AD57" s="94">
        <v>0</v>
      </c>
      <c r="AE57" s="4">
        <v>427.06666666666672</v>
      </c>
      <c r="AF57" s="4">
        <v>12</v>
      </c>
      <c r="AG57" s="4">
        <v>0</v>
      </c>
      <c r="AH57" s="4">
        <v>0</v>
      </c>
      <c r="AI57" s="4">
        <v>30</v>
      </c>
      <c r="AJ57" s="139">
        <v>41660</v>
      </c>
      <c r="AK57" s="94">
        <v>71</v>
      </c>
      <c r="AL57" s="162">
        <v>87.494399999999999</v>
      </c>
      <c r="AM57" s="162">
        <v>90</v>
      </c>
      <c r="AN57" s="162">
        <v>98</v>
      </c>
      <c r="AO57" s="162">
        <v>99.2</v>
      </c>
      <c r="AP57" s="17">
        <v>346.08333333333331</v>
      </c>
      <c r="AQ57" s="162">
        <v>0</v>
      </c>
      <c r="AR57" s="162">
        <v>40</v>
      </c>
      <c r="AS57" s="17">
        <v>415.3</v>
      </c>
      <c r="AT57" s="17">
        <v>12</v>
      </c>
      <c r="AU57" s="17">
        <v>0</v>
      </c>
      <c r="AV57" s="17">
        <v>0</v>
      </c>
      <c r="AW57" s="17">
        <v>20</v>
      </c>
      <c r="AX57" s="4">
        <v>106.78841986330549</v>
      </c>
      <c r="AY57" s="4">
        <v>96.296296296296291</v>
      </c>
      <c r="BD57" s="159" t="e">
        <v>#N/A</v>
      </c>
      <c r="BE57" s="159" t="e">
        <v>#N/A</v>
      </c>
      <c r="BF57" s="159" t="e">
        <v>#N/A</v>
      </c>
      <c r="BG57" s="159" t="e">
        <v>#N/A</v>
      </c>
      <c r="BH57" s="14" t="e">
        <v>#N/A</v>
      </c>
      <c r="BI57" s="159" t="e">
        <v>#N/A</v>
      </c>
      <c r="BJ57" s="159" t="e">
        <v>#N/A</v>
      </c>
      <c r="BK57" s="14" t="e">
        <v>#N/A</v>
      </c>
      <c r="BL57" s="14" t="e">
        <v>#N/A</v>
      </c>
      <c r="BM57" s="14" t="e">
        <v>#N/A</v>
      </c>
      <c r="BN57" s="14" t="e">
        <v>#N/A</v>
      </c>
      <c r="BO57" s="14" t="e">
        <v>#N/A</v>
      </c>
      <c r="BP57" s="182" t="e">
        <v>#N/A</v>
      </c>
      <c r="BQ57" s="183" t="e">
        <v>#N/A</v>
      </c>
    </row>
    <row r="58" spans="2:69" x14ac:dyDescent="0.35">
      <c r="B58" s="11">
        <v>39</v>
      </c>
      <c r="C58" s="4" t="str">
        <v>Product 15</v>
      </c>
      <c r="D58" s="94">
        <v>82.10526315789474</v>
      </c>
      <c r="E58" s="94">
        <v>83.552631578947384</v>
      </c>
      <c r="F58" s="94">
        <v>99.042359288422261</v>
      </c>
      <c r="G58" s="94">
        <v>99.217867225140139</v>
      </c>
      <c r="H58" s="4">
        <v>178.74539473684212</v>
      </c>
      <c r="I58" s="174">
        <v>112.67490565255255</v>
      </c>
      <c r="J58" s="95">
        <v>38.542975058316884</v>
      </c>
      <c r="K58" s="4">
        <v>214.4944736842105</v>
      </c>
      <c r="L58" s="11">
        <v>12</v>
      </c>
      <c r="M58" s="4">
        <v>0</v>
      </c>
      <c r="N58" s="11">
        <v>0</v>
      </c>
      <c r="O58" s="11">
        <v>30</v>
      </c>
      <c r="P58" s="137">
        <v>41652</v>
      </c>
      <c r="Q58" s="11">
        <v>111</v>
      </c>
      <c r="R58" s="95">
        <f>CHOOSE($D$4,D58,E58,F58,G58,H58,I58,J58,K58,L58,M58,N58,O58,P58,101-B58)+0.000001*ROWS($A$20:A58)</f>
        <v>99.21790622514014</v>
      </c>
      <c r="S58" s="4">
        <f t="shared" si="32"/>
        <v>47</v>
      </c>
      <c r="T58" s="4"/>
      <c r="U58" s="14">
        <f>ROWS($U$20:U58)</f>
        <v>39</v>
      </c>
      <c r="V58" s="4">
        <v>128</v>
      </c>
      <c r="W58" s="4" t="str">
        <v>Product 4</v>
      </c>
      <c r="X58" s="94">
        <v>78.369639210347174</v>
      </c>
      <c r="Y58" s="94">
        <v>86.194690265486742</v>
      </c>
      <c r="Z58" s="94">
        <v>91.508055599431358</v>
      </c>
      <c r="AA58" s="94">
        <v>99.359181824066283</v>
      </c>
      <c r="AB58" s="4">
        <v>205.07522123893804</v>
      </c>
      <c r="AC58" s="94">
        <v>90.081632653061234</v>
      </c>
      <c r="AD58" s="94">
        <v>0</v>
      </c>
      <c r="AE58" s="4">
        <v>246.09026548672568</v>
      </c>
      <c r="AF58" s="4">
        <v>12</v>
      </c>
      <c r="AG58" s="4">
        <v>0</v>
      </c>
      <c r="AH58" s="4">
        <v>0</v>
      </c>
      <c r="AI58" s="4">
        <v>24</v>
      </c>
      <c r="AJ58" s="139">
        <v>41689</v>
      </c>
      <c r="AK58" s="94">
        <v>115</v>
      </c>
      <c r="AL58" s="162">
        <v>87.097500000000011</v>
      </c>
      <c r="AM58" s="162">
        <v>90</v>
      </c>
      <c r="AN58" s="162">
        <v>98</v>
      </c>
      <c r="AO58" s="162">
        <v>98.75</v>
      </c>
      <c r="AP58" s="17">
        <v>260</v>
      </c>
      <c r="AQ58" s="162">
        <v>0</v>
      </c>
      <c r="AR58" s="162">
        <v>40</v>
      </c>
      <c r="AS58" s="17">
        <v>312</v>
      </c>
      <c r="AT58" s="17">
        <v>12</v>
      </c>
      <c r="AU58" s="17">
        <v>0</v>
      </c>
      <c r="AV58" s="17">
        <v>0</v>
      </c>
      <c r="AW58" s="17">
        <v>20</v>
      </c>
      <c r="AX58" s="4">
        <v>91.508055599431358</v>
      </c>
      <c r="AY58" s="4">
        <v>86.194690265486742</v>
      </c>
      <c r="BD58" s="159" t="e">
        <v>#N/A</v>
      </c>
      <c r="BE58" s="159" t="e">
        <v>#N/A</v>
      </c>
      <c r="BF58" s="159" t="e">
        <v>#N/A</v>
      </c>
      <c r="BG58" s="159" t="e">
        <v>#N/A</v>
      </c>
      <c r="BH58" s="14" t="e">
        <v>#N/A</v>
      </c>
      <c r="BI58" s="159" t="e">
        <v>#N/A</v>
      </c>
      <c r="BJ58" s="159" t="e">
        <v>#N/A</v>
      </c>
      <c r="BK58" s="14" t="e">
        <v>#N/A</v>
      </c>
      <c r="BL58" s="14" t="e">
        <v>#N/A</v>
      </c>
      <c r="BM58" s="14" t="e">
        <v>#N/A</v>
      </c>
      <c r="BN58" s="14" t="e">
        <v>#N/A</v>
      </c>
      <c r="BO58" s="14" t="e">
        <v>#N/A</v>
      </c>
      <c r="BP58" s="182" t="e">
        <v>#N/A</v>
      </c>
      <c r="BQ58" s="183" t="e">
        <v>#N/A</v>
      </c>
    </row>
    <row r="59" spans="2:69" x14ac:dyDescent="0.35">
      <c r="B59" s="11">
        <v>40</v>
      </c>
      <c r="C59" s="4" t="str">
        <v>Product 16</v>
      </c>
      <c r="D59" s="94">
        <v>78.867508518741232</v>
      </c>
      <c r="E59" s="94">
        <v>85</v>
      </c>
      <c r="F59" s="94">
        <v>92.785304139695569</v>
      </c>
      <c r="G59" s="94">
        <v>100</v>
      </c>
      <c r="H59" s="4">
        <v>218.59444444444443</v>
      </c>
      <c r="I59" s="174">
        <v>106.82105091693927</v>
      </c>
      <c r="J59" s="95">
        <v>0</v>
      </c>
      <c r="K59" s="4">
        <v>262.31333333333333</v>
      </c>
      <c r="L59" s="11">
        <v>12</v>
      </c>
      <c r="M59" s="4">
        <v>0</v>
      </c>
      <c r="N59" s="11">
        <v>0</v>
      </c>
      <c r="O59" s="11">
        <v>21</v>
      </c>
      <c r="P59" s="137">
        <v>41652</v>
      </c>
      <c r="Q59" s="11">
        <v>117</v>
      </c>
      <c r="R59" s="95">
        <f>CHOOSE($D$4,D59,E59,F59,G59,H59,I59,J59,K59,L59,M59,N59,O59,P59,101-B59)+0.000001*ROWS($A$20:A59)</f>
        <v>100.00004</v>
      </c>
      <c r="S59" s="4">
        <f t="shared" si="32"/>
        <v>7</v>
      </c>
      <c r="T59" s="4"/>
      <c r="U59" s="14">
        <f>ROWS($U$20:U59)</f>
        <v>40</v>
      </c>
      <c r="V59" s="4">
        <v>73</v>
      </c>
      <c r="W59" s="4" t="str">
        <v>Product 3</v>
      </c>
      <c r="X59" s="94">
        <v>101.50475649683199</v>
      </c>
      <c r="Y59" s="94">
        <v>100</v>
      </c>
      <c r="Z59" s="94">
        <v>102.16459240038671</v>
      </c>
      <c r="AA59" s="94">
        <v>99.354144241119485</v>
      </c>
      <c r="AB59" s="4">
        <v>353.57462686567163</v>
      </c>
      <c r="AC59" s="94">
        <v>118.20517938226635</v>
      </c>
      <c r="AD59" s="94">
        <v>36.366665185909106</v>
      </c>
      <c r="AE59" s="4">
        <v>424.28955223880604</v>
      </c>
      <c r="AF59" s="4">
        <v>12</v>
      </c>
      <c r="AG59" s="4">
        <v>0</v>
      </c>
      <c r="AH59" s="4">
        <v>0</v>
      </c>
      <c r="AI59" s="4">
        <v>28</v>
      </c>
      <c r="AJ59" s="139">
        <v>41663</v>
      </c>
      <c r="AK59" s="94">
        <v>62</v>
      </c>
      <c r="AL59" s="162">
        <v>87.494399999999999</v>
      </c>
      <c r="AM59" s="162">
        <v>90</v>
      </c>
      <c r="AN59" s="162">
        <v>98</v>
      </c>
      <c r="AO59" s="162">
        <v>99.2</v>
      </c>
      <c r="AP59" s="17">
        <v>346.08333333333331</v>
      </c>
      <c r="AQ59" s="162">
        <v>0</v>
      </c>
      <c r="AR59" s="162">
        <v>40</v>
      </c>
      <c r="AS59" s="17">
        <v>415.3</v>
      </c>
      <c r="AT59" s="17">
        <v>12</v>
      </c>
      <c r="AU59" s="17">
        <v>0</v>
      </c>
      <c r="AV59" s="17">
        <v>0</v>
      </c>
      <c r="AW59" s="17">
        <v>20</v>
      </c>
      <c r="AX59" s="4">
        <v>102.16459240038671</v>
      </c>
      <c r="AY59" s="4">
        <v>100</v>
      </c>
      <c r="BD59" s="159" t="e">
        <v>#N/A</v>
      </c>
      <c r="BE59" s="159" t="e">
        <v>#N/A</v>
      </c>
      <c r="BF59" s="159" t="e">
        <v>#N/A</v>
      </c>
      <c r="BG59" s="159" t="e">
        <v>#N/A</v>
      </c>
      <c r="BH59" s="14" t="e">
        <v>#N/A</v>
      </c>
      <c r="BI59" s="159" t="e">
        <v>#N/A</v>
      </c>
      <c r="BJ59" s="159" t="e">
        <v>#N/A</v>
      </c>
      <c r="BK59" s="14" t="e">
        <v>#N/A</v>
      </c>
      <c r="BL59" s="14" t="e">
        <v>#N/A</v>
      </c>
      <c r="BM59" s="14" t="e">
        <v>#N/A</v>
      </c>
      <c r="BN59" s="14" t="e">
        <v>#N/A</v>
      </c>
      <c r="BO59" s="14" t="e">
        <v>#N/A</v>
      </c>
      <c r="BP59" s="182" t="e">
        <v>#N/A</v>
      </c>
      <c r="BQ59" s="183" t="e">
        <v>#N/A</v>
      </c>
    </row>
    <row r="60" spans="2:69" x14ac:dyDescent="0.35">
      <c r="B60" s="11">
        <v>41</v>
      </c>
      <c r="C60" s="4" t="str">
        <v>Product 16</v>
      </c>
      <c r="D60" s="94">
        <v>66.674684305472056</v>
      </c>
      <c r="E60" s="94">
        <v>77.307692307692307</v>
      </c>
      <c r="F60" s="94">
        <v>88.278690731549716</v>
      </c>
      <c r="G60" s="94">
        <v>97.697258059596791</v>
      </c>
      <c r="H60" s="4">
        <v>189.15576923076924</v>
      </c>
      <c r="I60" s="174">
        <v>80.767430593761048</v>
      </c>
      <c r="J60" s="95">
        <v>100</v>
      </c>
      <c r="K60" s="4">
        <v>226.98692307692309</v>
      </c>
      <c r="L60" s="11">
        <v>12</v>
      </c>
      <c r="M60" s="4">
        <v>0</v>
      </c>
      <c r="N60" s="11">
        <v>0</v>
      </c>
      <c r="O60" s="11">
        <v>18</v>
      </c>
      <c r="P60" s="137">
        <v>41652</v>
      </c>
      <c r="Q60" s="11">
        <v>68</v>
      </c>
      <c r="R60" s="95">
        <f>CHOOSE($D$4,D60,E60,F60,G60,H60,I60,J60,K60,L60,M60,N60,O60,P60,101-B60)+0.000001*ROWS($A$20:A60)</f>
        <v>97.697299059596787</v>
      </c>
      <c r="S60" s="4">
        <f t="shared" si="32"/>
        <v>207</v>
      </c>
      <c r="T60" s="4"/>
      <c r="U60" s="14">
        <f>ROWS($U$20:U60)</f>
        <v>41</v>
      </c>
      <c r="V60" s="4">
        <v>115</v>
      </c>
      <c r="W60" s="4" t="str">
        <v>Product 2</v>
      </c>
      <c r="X60" s="94">
        <v>97.376832151300235</v>
      </c>
      <c r="Y60" s="94">
        <v>100</v>
      </c>
      <c r="Z60" s="94">
        <v>98.024980299448387</v>
      </c>
      <c r="AA60" s="94">
        <v>99.338792880989956</v>
      </c>
      <c r="AB60" s="4">
        <v>264.66744680851065</v>
      </c>
      <c r="AC60" s="94">
        <v>98.852647263335655</v>
      </c>
      <c r="AD60" s="94">
        <v>0</v>
      </c>
      <c r="AE60" s="4">
        <v>317.60093617021278</v>
      </c>
      <c r="AF60" s="4">
        <v>12</v>
      </c>
      <c r="AG60" s="4">
        <v>0</v>
      </c>
      <c r="AH60" s="4">
        <v>0</v>
      </c>
      <c r="AI60" s="4">
        <v>23</v>
      </c>
      <c r="AJ60" s="139">
        <v>41682</v>
      </c>
      <c r="AK60" s="94">
        <v>138</v>
      </c>
      <c r="AL60" s="162">
        <v>87.317999999999998</v>
      </c>
      <c r="AM60" s="162">
        <v>90</v>
      </c>
      <c r="AN60" s="162">
        <v>98</v>
      </c>
      <c r="AO60" s="162">
        <v>99</v>
      </c>
      <c r="AP60" s="17">
        <v>270</v>
      </c>
      <c r="AQ60" s="162">
        <v>0</v>
      </c>
      <c r="AR60" s="162">
        <v>40</v>
      </c>
      <c r="AS60" s="17">
        <v>324</v>
      </c>
      <c r="AT60" s="17">
        <v>12</v>
      </c>
      <c r="AU60" s="17">
        <v>0</v>
      </c>
      <c r="AV60" s="17">
        <v>0</v>
      </c>
      <c r="AW60" s="17">
        <v>20</v>
      </c>
      <c r="AX60" s="4">
        <v>98.024980299448387</v>
      </c>
      <c r="AY60" s="4">
        <v>100</v>
      </c>
      <c r="BD60" s="159">
        <v>97.376832151300235</v>
      </c>
      <c r="BE60" s="159">
        <v>100</v>
      </c>
      <c r="BF60" s="159">
        <v>98.024980299448387</v>
      </c>
      <c r="BG60" s="159">
        <v>99.338792880989956</v>
      </c>
      <c r="BH60" s="14">
        <v>264.66744680851065</v>
      </c>
      <c r="BI60" s="159">
        <v>98.852647263335655</v>
      </c>
      <c r="BJ60" s="159">
        <v>0</v>
      </c>
      <c r="BK60" s="14">
        <v>317.60093617021278</v>
      </c>
      <c r="BL60" s="14">
        <v>12</v>
      </c>
      <c r="BM60" s="14">
        <v>0</v>
      </c>
      <c r="BN60" s="14">
        <v>0</v>
      </c>
      <c r="BO60" s="14">
        <v>23</v>
      </c>
      <c r="BP60" s="182">
        <v>41682</v>
      </c>
      <c r="BQ60" s="183">
        <v>138</v>
      </c>
    </row>
    <row r="61" spans="2:69" x14ac:dyDescent="0.35">
      <c r="B61" s="11">
        <v>42</v>
      </c>
      <c r="C61" s="4" t="str">
        <v>Product 3</v>
      </c>
      <c r="D61" s="94">
        <v>97.918644687421448</v>
      </c>
      <c r="E61" s="94">
        <v>96.642335766423358</v>
      </c>
      <c r="F61" s="94">
        <v>101.92517257207871</v>
      </c>
      <c r="G61" s="94">
        <v>99.406897651839287</v>
      </c>
      <c r="H61" s="4">
        <v>340.90200729927005</v>
      </c>
      <c r="I61" s="174">
        <v>118.52932107185954</v>
      </c>
      <c r="J61" s="95">
        <v>31.837249258094026</v>
      </c>
      <c r="K61" s="4">
        <v>409.08240875912406</v>
      </c>
      <c r="L61" s="11">
        <v>12</v>
      </c>
      <c r="M61" s="4">
        <v>0</v>
      </c>
      <c r="N61" s="11">
        <v>0</v>
      </c>
      <c r="O61" s="11">
        <v>18</v>
      </c>
      <c r="P61" s="137">
        <v>41652</v>
      </c>
      <c r="Q61" s="11">
        <v>57</v>
      </c>
      <c r="R61" s="95">
        <f>CHOOSE($D$4,D61,E61,F61,G61,H61,I61,J61,K61,L61,M61,N61,O61,P61,101-B61)+0.000001*ROWS($A$20:A61)</f>
        <v>99.406939651839281</v>
      </c>
      <c r="S61" s="4">
        <f t="shared" si="32"/>
        <v>36</v>
      </c>
      <c r="T61" s="4"/>
      <c r="U61" s="14">
        <f>ROWS($U$20:U61)</f>
        <v>42</v>
      </c>
      <c r="V61" s="4">
        <v>62</v>
      </c>
      <c r="W61" s="4" t="str">
        <v>Product 1</v>
      </c>
      <c r="X61" s="94">
        <v>104.77272727272728</v>
      </c>
      <c r="Y61" s="94">
        <v>100</v>
      </c>
      <c r="Z61" s="94">
        <v>105.53740530303031</v>
      </c>
      <c r="AA61" s="94">
        <v>99.275443594517597</v>
      </c>
      <c r="AB61" s="4">
        <v>348.2734375</v>
      </c>
      <c r="AC61" s="94">
        <v>111.73857899829054</v>
      </c>
      <c r="AD61" s="94">
        <v>82.447644535066473</v>
      </c>
      <c r="AE61" s="4">
        <v>417.92812500000002</v>
      </c>
      <c r="AF61" s="4">
        <v>12</v>
      </c>
      <c r="AG61" s="4">
        <v>0</v>
      </c>
      <c r="AH61" s="4">
        <v>0</v>
      </c>
      <c r="AI61" s="4">
        <v>26</v>
      </c>
      <c r="AJ61" s="139">
        <v>41660</v>
      </c>
      <c r="AK61" s="94">
        <v>88</v>
      </c>
      <c r="AL61" s="162">
        <v>87.494399999999999</v>
      </c>
      <c r="AM61" s="162">
        <v>90</v>
      </c>
      <c r="AN61" s="162">
        <v>98</v>
      </c>
      <c r="AO61" s="162">
        <v>99.2</v>
      </c>
      <c r="AP61" s="17">
        <v>330</v>
      </c>
      <c r="AQ61" s="162">
        <v>0</v>
      </c>
      <c r="AR61" s="162">
        <v>40</v>
      </c>
      <c r="AS61" s="17">
        <v>396</v>
      </c>
      <c r="AT61" s="17">
        <v>12</v>
      </c>
      <c r="AU61" s="17">
        <v>0</v>
      </c>
      <c r="AV61" s="17">
        <v>0</v>
      </c>
      <c r="AW61" s="17">
        <v>20</v>
      </c>
      <c r="AX61" s="4">
        <v>105.53740530303031</v>
      </c>
      <c r="AY61" s="4">
        <v>100</v>
      </c>
      <c r="BD61" s="159" t="e">
        <v>#N/A</v>
      </c>
      <c r="BE61" s="159" t="e">
        <v>#N/A</v>
      </c>
      <c r="BF61" s="159" t="e">
        <v>#N/A</v>
      </c>
      <c r="BG61" s="159" t="e">
        <v>#N/A</v>
      </c>
      <c r="BH61" s="14" t="e">
        <v>#N/A</v>
      </c>
      <c r="BI61" s="159" t="e">
        <v>#N/A</v>
      </c>
      <c r="BJ61" s="159" t="e">
        <v>#N/A</v>
      </c>
      <c r="BK61" s="14" t="e">
        <v>#N/A</v>
      </c>
      <c r="BL61" s="14" t="e">
        <v>#N/A</v>
      </c>
      <c r="BM61" s="14" t="e">
        <v>#N/A</v>
      </c>
      <c r="BN61" s="14" t="e">
        <v>#N/A</v>
      </c>
      <c r="BO61" s="14" t="e">
        <v>#N/A</v>
      </c>
      <c r="BP61" s="182" t="e">
        <v>#N/A</v>
      </c>
      <c r="BQ61" s="183" t="e">
        <v>#N/A</v>
      </c>
    </row>
    <row r="62" spans="2:69" x14ac:dyDescent="0.35">
      <c r="B62" s="11">
        <v>43</v>
      </c>
      <c r="C62" s="4" t="str">
        <v>Product 3</v>
      </c>
      <c r="D62" s="94">
        <v>96.223448787425554</v>
      </c>
      <c r="E62" s="94">
        <v>96.670247046186887</v>
      </c>
      <c r="F62" s="94">
        <v>100.54752387832092</v>
      </c>
      <c r="G62" s="94">
        <v>98.995786454069275</v>
      </c>
      <c r="H62" s="4">
        <v>336.39140708915141</v>
      </c>
      <c r="I62" s="174">
        <v>121.2082885030691</v>
      </c>
      <c r="J62" s="95">
        <v>7.5379386115498184</v>
      </c>
      <c r="K62" s="4">
        <v>403.66968850698174</v>
      </c>
      <c r="L62" s="11">
        <v>12</v>
      </c>
      <c r="M62" s="4">
        <v>0</v>
      </c>
      <c r="N62" s="11">
        <v>0</v>
      </c>
      <c r="O62" s="11">
        <v>15</v>
      </c>
      <c r="P62" s="137">
        <v>41653</v>
      </c>
      <c r="Q62" s="11">
        <v>108</v>
      </c>
      <c r="R62" s="95">
        <f>CHOOSE($D$4,D62,E62,F62,G62,H62,I62,J62,K62,L62,M62,N62,O62,P62,101-B62)+0.000001*ROWS($A$20:A62)</f>
        <v>98.99582945406928</v>
      </c>
      <c r="S62" s="4">
        <f t="shared" si="32"/>
        <v>80</v>
      </c>
      <c r="T62" s="4"/>
      <c r="U62" s="14">
        <f>ROWS($U$20:U62)</f>
        <v>43</v>
      </c>
      <c r="V62" s="4">
        <v>163</v>
      </c>
      <c r="W62" s="4" t="str">
        <v>Product 16</v>
      </c>
      <c r="X62" s="94">
        <v>80.778944447014212</v>
      </c>
      <c r="Y62" s="94">
        <v>94.065934065934059</v>
      </c>
      <c r="Z62" s="94">
        <v>86.507044469796185</v>
      </c>
      <c r="AA62" s="94">
        <v>99.269155436021876</v>
      </c>
      <c r="AB62" s="4">
        <v>225.54065934065935</v>
      </c>
      <c r="AC62" s="94">
        <v>142.60244848046912</v>
      </c>
      <c r="AD62" s="94">
        <v>0</v>
      </c>
      <c r="AE62" s="4">
        <v>270.64879120879124</v>
      </c>
      <c r="AF62" s="4">
        <v>12</v>
      </c>
      <c r="AG62" s="4">
        <v>0</v>
      </c>
      <c r="AH62" s="4">
        <v>0</v>
      </c>
      <c r="AI62" s="4">
        <v>29</v>
      </c>
      <c r="AJ62" s="139">
        <v>41703</v>
      </c>
      <c r="AK62" s="94">
        <v>74</v>
      </c>
      <c r="AL62" s="162">
        <v>86.87700000000001</v>
      </c>
      <c r="AM62" s="162">
        <v>90</v>
      </c>
      <c r="AN62" s="162">
        <v>98</v>
      </c>
      <c r="AO62" s="162">
        <v>98.5</v>
      </c>
      <c r="AP62" s="17">
        <v>277.16666666666669</v>
      </c>
      <c r="AQ62" s="162">
        <v>0</v>
      </c>
      <c r="AR62" s="162">
        <v>40</v>
      </c>
      <c r="AS62" s="17">
        <v>332.6</v>
      </c>
      <c r="AT62" s="17">
        <v>12</v>
      </c>
      <c r="AU62" s="17">
        <v>0</v>
      </c>
      <c r="AV62" s="17">
        <v>0</v>
      </c>
      <c r="AW62" s="17">
        <v>20</v>
      </c>
      <c r="AX62" s="4">
        <v>86.507044469796185</v>
      </c>
      <c r="AY62" s="4">
        <v>94.065934065934059</v>
      </c>
      <c r="BD62" s="159" t="e">
        <v>#N/A</v>
      </c>
      <c r="BE62" s="159" t="e">
        <v>#N/A</v>
      </c>
      <c r="BF62" s="159" t="e">
        <v>#N/A</v>
      </c>
      <c r="BG62" s="159" t="e">
        <v>#N/A</v>
      </c>
      <c r="BH62" s="14" t="e">
        <v>#N/A</v>
      </c>
      <c r="BI62" s="159" t="e">
        <v>#N/A</v>
      </c>
      <c r="BJ62" s="159" t="e">
        <v>#N/A</v>
      </c>
      <c r="BK62" s="14" t="e">
        <v>#N/A</v>
      </c>
      <c r="BL62" s="14" t="e">
        <v>#N/A</v>
      </c>
      <c r="BM62" s="14" t="e">
        <v>#N/A</v>
      </c>
      <c r="BN62" s="14" t="e">
        <v>#N/A</v>
      </c>
      <c r="BO62" s="14" t="e">
        <v>#N/A</v>
      </c>
      <c r="BP62" s="182" t="e">
        <v>#N/A</v>
      </c>
      <c r="BQ62" s="183" t="e">
        <v>#N/A</v>
      </c>
    </row>
    <row r="63" spans="2:69" x14ac:dyDescent="0.35">
      <c r="B63" s="11">
        <v>44</v>
      </c>
      <c r="C63" s="4" t="str">
        <v>Product 3</v>
      </c>
      <c r="D63" s="94">
        <v>93.128326427924975</v>
      </c>
      <c r="E63" s="94">
        <v>90.732758620689651</v>
      </c>
      <c r="F63" s="94">
        <v>104.63748553688401</v>
      </c>
      <c r="G63" s="94">
        <v>98.091276971781411</v>
      </c>
      <c r="H63" s="4">
        <v>32.857316810344827</v>
      </c>
      <c r="I63" s="174">
        <v>119.00480638822269</v>
      </c>
      <c r="J63" s="95">
        <v>11.289520182526203</v>
      </c>
      <c r="K63" s="4">
        <v>394.28780172413792</v>
      </c>
      <c r="L63" s="11">
        <v>12</v>
      </c>
      <c r="M63" s="4">
        <v>0</v>
      </c>
      <c r="N63" s="11">
        <v>0</v>
      </c>
      <c r="O63" s="11">
        <v>27</v>
      </c>
      <c r="P63" s="137">
        <v>41653</v>
      </c>
      <c r="Q63" s="11">
        <v>52</v>
      </c>
      <c r="R63" s="95">
        <f>CHOOSE($D$4,D63,E63,F63,G63,H63,I63,J63,K63,L63,M63,N63,O63,P63,101-B63)+0.000001*ROWS($A$20:A63)</f>
        <v>98.091320971781414</v>
      </c>
      <c r="S63" s="4">
        <f t="shared" si="32"/>
        <v>185</v>
      </c>
      <c r="T63" s="4"/>
      <c r="U63" s="14">
        <f>ROWS($U$20:U63)</f>
        <v>44</v>
      </c>
      <c r="V63" s="4">
        <v>210</v>
      </c>
      <c r="W63" s="4" t="str">
        <v>Product 21</v>
      </c>
      <c r="X63" s="94">
        <v>86.774595267745951</v>
      </c>
      <c r="Y63" s="94">
        <v>94.520547945205479</v>
      </c>
      <c r="Z63" s="94">
        <v>92.48792270531402</v>
      </c>
      <c r="AA63" s="94">
        <v>99.261615897813343</v>
      </c>
      <c r="AB63" s="4">
        <v>288.48630136986299</v>
      </c>
      <c r="AC63" s="94">
        <v>178.43102367275009</v>
      </c>
      <c r="AD63" s="94">
        <v>54.763120040833371</v>
      </c>
      <c r="AE63" s="4">
        <v>346.18356164383562</v>
      </c>
      <c r="AF63" s="4">
        <v>12</v>
      </c>
      <c r="AG63" s="4">
        <v>0</v>
      </c>
      <c r="AH63" s="4">
        <v>0</v>
      </c>
      <c r="AI63" s="4">
        <v>17</v>
      </c>
      <c r="AJ63" s="139">
        <v>41717</v>
      </c>
      <c r="AK63" s="94">
        <v>94</v>
      </c>
      <c r="AL63" s="162">
        <v>87.494399999999999</v>
      </c>
      <c r="AM63" s="162">
        <v>90</v>
      </c>
      <c r="AN63" s="162">
        <v>98</v>
      </c>
      <c r="AO63" s="162">
        <v>99.2</v>
      </c>
      <c r="AP63" s="17">
        <v>330</v>
      </c>
      <c r="AQ63" s="162">
        <v>0</v>
      </c>
      <c r="AR63" s="162">
        <v>40</v>
      </c>
      <c r="AS63" s="17">
        <v>396</v>
      </c>
      <c r="AT63" s="17">
        <v>12</v>
      </c>
      <c r="AU63" s="17">
        <v>0</v>
      </c>
      <c r="AV63" s="17">
        <v>0</v>
      </c>
      <c r="AW63" s="17">
        <v>20</v>
      </c>
      <c r="AX63" s="4">
        <v>92.48792270531402</v>
      </c>
      <c r="AY63" s="4">
        <v>94.520547945205479</v>
      </c>
      <c r="BD63" s="159">
        <v>86.774595267745951</v>
      </c>
      <c r="BE63" s="159">
        <v>94.520547945205479</v>
      </c>
      <c r="BF63" s="159">
        <v>92.48792270531402</v>
      </c>
      <c r="BG63" s="159">
        <v>99.261615897813343</v>
      </c>
      <c r="BH63" s="14">
        <v>288.48630136986299</v>
      </c>
      <c r="BI63" s="159">
        <v>178.43102367275009</v>
      </c>
      <c r="BJ63" s="159">
        <v>54.763120040833371</v>
      </c>
      <c r="BK63" s="14">
        <v>346.18356164383562</v>
      </c>
      <c r="BL63" s="14">
        <v>12</v>
      </c>
      <c r="BM63" s="14">
        <v>0</v>
      </c>
      <c r="BN63" s="14">
        <v>0</v>
      </c>
      <c r="BO63" s="14">
        <v>17</v>
      </c>
      <c r="BP63" s="182">
        <v>41717</v>
      </c>
      <c r="BQ63" s="183">
        <v>94</v>
      </c>
    </row>
    <row r="64" spans="2:69" x14ac:dyDescent="0.35">
      <c r="B64" s="11">
        <v>45</v>
      </c>
      <c r="C64" s="4" t="str">
        <v>Product 4</v>
      </c>
      <c r="D64" s="94">
        <v>82.307692307692321</v>
      </c>
      <c r="E64" s="94">
        <v>86.666666666666657</v>
      </c>
      <c r="F64" s="94">
        <v>95.741494082840248</v>
      </c>
      <c r="G64" s="94">
        <v>99.194623095196704</v>
      </c>
      <c r="H64" s="4">
        <v>215.73750000000001</v>
      </c>
      <c r="I64" s="174">
        <v>92.504520084898985</v>
      </c>
      <c r="J64" s="95">
        <v>0</v>
      </c>
      <c r="K64" s="4">
        <v>258.88499999999999</v>
      </c>
      <c r="L64" s="11">
        <v>12</v>
      </c>
      <c r="M64" s="4">
        <v>0</v>
      </c>
      <c r="N64" s="11">
        <v>0</v>
      </c>
      <c r="O64" s="11">
        <v>22</v>
      </c>
      <c r="P64" s="137">
        <v>41654</v>
      </c>
      <c r="Q64" s="11">
        <v>61</v>
      </c>
      <c r="R64" s="95">
        <f>CHOOSE($D$4,D64,E64,F64,G64,H64,I64,J64,K64,L64,M64,N64,O64,P64,101-B64)+0.000001*ROWS($A$20:A64)</f>
        <v>99.194668095196704</v>
      </c>
      <c r="S64" s="4">
        <f t="shared" si="32"/>
        <v>49</v>
      </c>
      <c r="T64" s="4"/>
      <c r="U64" s="14">
        <f>ROWS($U$20:U64)</f>
        <v>45</v>
      </c>
      <c r="V64" s="4">
        <v>21</v>
      </c>
      <c r="W64" s="4" t="str">
        <v>Product 2</v>
      </c>
      <c r="X64" s="94">
        <v>87.443669414500093</v>
      </c>
      <c r="Y64" s="94">
        <v>89.759036144578303</v>
      </c>
      <c r="Z64" s="94">
        <v>98.154401664115525</v>
      </c>
      <c r="AA64" s="94">
        <v>99.252262007392616</v>
      </c>
      <c r="AB64" s="4">
        <v>251.09196787148591</v>
      </c>
      <c r="AC64" s="94">
        <v>99.428130690266613</v>
      </c>
      <c r="AD64" s="94">
        <v>0</v>
      </c>
      <c r="AE64" s="4">
        <v>301.31036144578309</v>
      </c>
      <c r="AF64" s="4">
        <v>12</v>
      </c>
      <c r="AG64" s="4">
        <v>0</v>
      </c>
      <c r="AH64" s="4">
        <v>0</v>
      </c>
      <c r="AI64" s="4">
        <v>16</v>
      </c>
      <c r="AJ64" s="139">
        <v>41647</v>
      </c>
      <c r="AK64" s="94">
        <v>111</v>
      </c>
      <c r="AL64" s="162">
        <v>87.317999999999998</v>
      </c>
      <c r="AM64" s="162">
        <v>90</v>
      </c>
      <c r="AN64" s="162">
        <v>98</v>
      </c>
      <c r="AO64" s="162">
        <v>99</v>
      </c>
      <c r="AP64" s="17">
        <v>285</v>
      </c>
      <c r="AQ64" s="162">
        <v>0</v>
      </c>
      <c r="AR64" s="162">
        <v>40</v>
      </c>
      <c r="AS64" s="17">
        <v>342</v>
      </c>
      <c r="AT64" s="17">
        <v>12</v>
      </c>
      <c r="AU64" s="17">
        <v>0</v>
      </c>
      <c r="AV64" s="17">
        <v>0</v>
      </c>
      <c r="AW64" s="17">
        <v>20</v>
      </c>
      <c r="AX64" s="4">
        <v>98.154401664115525</v>
      </c>
      <c r="AY64" s="4">
        <v>89.759036144578303</v>
      </c>
      <c r="BD64" s="159">
        <v>87.443669414500093</v>
      </c>
      <c r="BE64" s="159">
        <v>89.759036144578303</v>
      </c>
      <c r="BF64" s="159">
        <v>98.154401664115525</v>
      </c>
      <c r="BG64" s="159">
        <v>99.252262007392616</v>
      </c>
      <c r="BH64" s="14">
        <v>251.09196787148591</v>
      </c>
      <c r="BI64" s="159">
        <v>99.428130690266613</v>
      </c>
      <c r="BJ64" s="159">
        <v>0</v>
      </c>
      <c r="BK64" s="14">
        <v>301.31036144578309</v>
      </c>
      <c r="BL64" s="14">
        <v>12</v>
      </c>
      <c r="BM64" s="14">
        <v>0</v>
      </c>
      <c r="BN64" s="14">
        <v>0</v>
      </c>
      <c r="BO64" s="14">
        <v>16</v>
      </c>
      <c r="BP64" s="182">
        <v>41647</v>
      </c>
      <c r="BQ64" s="183">
        <v>111</v>
      </c>
    </row>
    <row r="65" spans="2:69" x14ac:dyDescent="0.35">
      <c r="B65" s="11">
        <v>46</v>
      </c>
      <c r="C65" s="4" t="str">
        <v>Product 2</v>
      </c>
      <c r="D65" s="94">
        <v>80.218832796276402</v>
      </c>
      <c r="E65" s="94">
        <v>86.802721088435376</v>
      </c>
      <c r="F65" s="94">
        <v>94.239619424737384</v>
      </c>
      <c r="G65" s="94">
        <v>98.063970951685931</v>
      </c>
      <c r="H65" s="4">
        <v>233.13727891156464</v>
      </c>
      <c r="I65" s="174">
        <v>96.156617378861426</v>
      </c>
      <c r="J65" s="95">
        <v>0</v>
      </c>
      <c r="K65" s="4">
        <v>279.76473469387759</v>
      </c>
      <c r="L65" s="11">
        <v>12</v>
      </c>
      <c r="M65" s="4">
        <v>0</v>
      </c>
      <c r="N65" s="11">
        <v>0</v>
      </c>
      <c r="O65" s="11">
        <v>25</v>
      </c>
      <c r="P65" s="137">
        <v>41654</v>
      </c>
      <c r="Q65" s="11">
        <v>91</v>
      </c>
      <c r="R65" s="95">
        <f>CHOOSE($D$4,D65,E65,F65,G65,H65,I65,J65,K65,L65,M65,N65,O65,P65,101-B65)+0.000001*ROWS($A$20:A65)</f>
        <v>98.064016951685929</v>
      </c>
      <c r="S65" s="4">
        <f t="shared" si="32"/>
        <v>186</v>
      </c>
      <c r="T65" s="4"/>
      <c r="U65" s="14">
        <f>ROWS($U$20:U65)</f>
        <v>46</v>
      </c>
      <c r="V65" s="4">
        <v>54</v>
      </c>
      <c r="W65" s="4" t="str">
        <v>Product 3</v>
      </c>
      <c r="X65" s="94">
        <v>100.55768347689713</v>
      </c>
      <c r="Y65" s="94">
        <v>98.587360594795541</v>
      </c>
      <c r="Z65" s="94">
        <v>102.78139446706463</v>
      </c>
      <c r="AA65" s="94">
        <v>99.238345412740458</v>
      </c>
      <c r="AB65" s="4">
        <v>350.68438661710042</v>
      </c>
      <c r="AC65" s="94">
        <v>119.01224007811851</v>
      </c>
      <c r="AD65" s="94">
        <v>8.6148837001850982</v>
      </c>
      <c r="AE65" s="4">
        <v>420.82126394052045</v>
      </c>
      <c r="AF65" s="4">
        <v>12</v>
      </c>
      <c r="AG65" s="4">
        <v>0</v>
      </c>
      <c r="AH65" s="4">
        <v>0</v>
      </c>
      <c r="AI65" s="4">
        <v>16</v>
      </c>
      <c r="AJ65" s="139">
        <v>41656</v>
      </c>
      <c r="AK65" s="94">
        <v>100</v>
      </c>
      <c r="AL65" s="162">
        <v>87.494399999999999</v>
      </c>
      <c r="AM65" s="162">
        <v>90</v>
      </c>
      <c r="AN65" s="162">
        <v>98</v>
      </c>
      <c r="AO65" s="162">
        <v>99.2</v>
      </c>
      <c r="AP65" s="17">
        <v>346.08333333333331</v>
      </c>
      <c r="AQ65" s="162">
        <v>0</v>
      </c>
      <c r="AR65" s="162">
        <v>40</v>
      </c>
      <c r="AS65" s="17">
        <v>415.3</v>
      </c>
      <c r="AT65" s="17">
        <v>12</v>
      </c>
      <c r="AU65" s="17">
        <v>0</v>
      </c>
      <c r="AV65" s="17">
        <v>0</v>
      </c>
      <c r="AW65" s="17">
        <v>20</v>
      </c>
      <c r="AX65" s="4">
        <v>102.78139446706463</v>
      </c>
      <c r="AY65" s="4">
        <v>98.587360594795541</v>
      </c>
      <c r="BD65" s="159" t="e">
        <v>#N/A</v>
      </c>
      <c r="BE65" s="159" t="e">
        <v>#N/A</v>
      </c>
      <c r="BF65" s="159" t="e">
        <v>#N/A</v>
      </c>
      <c r="BG65" s="159" t="e">
        <v>#N/A</v>
      </c>
      <c r="BH65" s="14" t="e">
        <v>#N/A</v>
      </c>
      <c r="BI65" s="159" t="e">
        <v>#N/A</v>
      </c>
      <c r="BJ65" s="159" t="e">
        <v>#N/A</v>
      </c>
      <c r="BK65" s="14" t="e">
        <v>#N/A</v>
      </c>
      <c r="BL65" s="14" t="e">
        <v>#N/A</v>
      </c>
      <c r="BM65" s="14" t="e">
        <v>#N/A</v>
      </c>
      <c r="BN65" s="14" t="e">
        <v>#N/A</v>
      </c>
      <c r="BO65" s="14" t="e">
        <v>#N/A</v>
      </c>
      <c r="BP65" s="182" t="e">
        <v>#N/A</v>
      </c>
      <c r="BQ65" s="183" t="e">
        <v>#N/A</v>
      </c>
    </row>
    <row r="66" spans="2:69" x14ac:dyDescent="0.35">
      <c r="B66" s="11">
        <v>47</v>
      </c>
      <c r="C66" s="4" t="str">
        <v>Product 1</v>
      </c>
      <c r="D66" s="94">
        <v>96.410870505272257</v>
      </c>
      <c r="E66" s="94">
        <v>92.206366630076843</v>
      </c>
      <c r="F66" s="94">
        <v>105.5762987012987</v>
      </c>
      <c r="G66" s="94">
        <v>99.037270529543918</v>
      </c>
      <c r="H66" s="4">
        <v>321.24862788144895</v>
      </c>
      <c r="I66" s="174">
        <v>112.10611597600494</v>
      </c>
      <c r="J66" s="95">
        <v>81.032207614486097</v>
      </c>
      <c r="K66" s="4">
        <v>385.49835345773874</v>
      </c>
      <c r="L66" s="11">
        <v>12</v>
      </c>
      <c r="M66" s="4">
        <v>0</v>
      </c>
      <c r="N66" s="11">
        <v>0</v>
      </c>
      <c r="O66" s="11">
        <v>22</v>
      </c>
      <c r="P66" s="137">
        <v>41655</v>
      </c>
      <c r="Q66" s="11">
        <v>72</v>
      </c>
      <c r="R66" s="95">
        <f>CHOOSE($D$4,D66,E66,F66,G66,H66,I66,J66,K66,L66,M66,N66,O66,P66,101-B66)+0.000001*ROWS($A$20:A66)</f>
        <v>99.037317529543913</v>
      </c>
      <c r="S66" s="4">
        <f t="shared" si="32"/>
        <v>72</v>
      </c>
      <c r="T66" s="4"/>
      <c r="U66" s="14">
        <f>ROWS($U$20:U66)</f>
        <v>47</v>
      </c>
      <c r="V66" s="4">
        <v>39</v>
      </c>
      <c r="W66" s="4" t="str">
        <v>Product 15</v>
      </c>
      <c r="X66" s="94">
        <v>82.10526315789474</v>
      </c>
      <c r="Y66" s="94">
        <v>83.552631578947384</v>
      </c>
      <c r="Z66" s="94">
        <v>99.042359288422261</v>
      </c>
      <c r="AA66" s="94">
        <v>99.217867225140139</v>
      </c>
      <c r="AB66" s="4">
        <v>178.74539473684212</v>
      </c>
      <c r="AC66" s="94">
        <v>112.67490565255255</v>
      </c>
      <c r="AD66" s="94">
        <v>38.542975058316884</v>
      </c>
      <c r="AE66" s="4">
        <v>214.4944736842105</v>
      </c>
      <c r="AF66" s="4">
        <v>12</v>
      </c>
      <c r="AG66" s="4">
        <v>0</v>
      </c>
      <c r="AH66" s="4">
        <v>0</v>
      </c>
      <c r="AI66" s="4">
        <v>30</v>
      </c>
      <c r="AJ66" s="139">
        <v>41652</v>
      </c>
      <c r="AK66" s="94">
        <v>111</v>
      </c>
      <c r="AL66" s="162">
        <v>86.87700000000001</v>
      </c>
      <c r="AM66" s="162">
        <v>90</v>
      </c>
      <c r="AN66" s="162">
        <v>98</v>
      </c>
      <c r="AO66" s="162">
        <v>98.5</v>
      </c>
      <c r="AP66" s="17">
        <v>216</v>
      </c>
      <c r="AQ66" s="162">
        <v>0</v>
      </c>
      <c r="AR66" s="162">
        <v>40</v>
      </c>
      <c r="AS66" s="17">
        <v>259.2</v>
      </c>
      <c r="AT66" s="17">
        <v>12</v>
      </c>
      <c r="AU66" s="17">
        <v>0</v>
      </c>
      <c r="AV66" s="17">
        <v>0</v>
      </c>
      <c r="AW66" s="17">
        <v>20</v>
      </c>
      <c r="AX66" s="4">
        <v>99.042359288422261</v>
      </c>
      <c r="AY66" s="4">
        <v>83.552631578947384</v>
      </c>
      <c r="BD66" s="159" t="e">
        <v>#N/A</v>
      </c>
      <c r="BE66" s="159" t="e">
        <v>#N/A</v>
      </c>
      <c r="BF66" s="159" t="e">
        <v>#N/A</v>
      </c>
      <c r="BG66" s="159" t="e">
        <v>#N/A</v>
      </c>
      <c r="BH66" s="14" t="e">
        <v>#N/A</v>
      </c>
      <c r="BI66" s="159" t="e">
        <v>#N/A</v>
      </c>
      <c r="BJ66" s="159" t="e">
        <v>#N/A</v>
      </c>
      <c r="BK66" s="14" t="e">
        <v>#N/A</v>
      </c>
      <c r="BL66" s="14" t="e">
        <v>#N/A</v>
      </c>
      <c r="BM66" s="14" t="e">
        <v>#N/A</v>
      </c>
      <c r="BN66" s="14" t="e">
        <v>#N/A</v>
      </c>
      <c r="BO66" s="14" t="e">
        <v>#N/A</v>
      </c>
      <c r="BP66" s="182" t="e">
        <v>#N/A</v>
      </c>
      <c r="BQ66" s="183" t="e">
        <v>#N/A</v>
      </c>
    </row>
    <row r="67" spans="2:69" x14ac:dyDescent="0.35">
      <c r="B67" s="11">
        <v>48</v>
      </c>
      <c r="C67" s="4" t="str">
        <v>Product 17</v>
      </c>
      <c r="D67" s="94">
        <v>92.800000000000011</v>
      </c>
      <c r="E67" s="94">
        <v>100</v>
      </c>
      <c r="F67" s="94">
        <v>93.008080808080805</v>
      </c>
      <c r="G67" s="94">
        <v>99.776276635026832</v>
      </c>
      <c r="H67" s="4">
        <v>306.92666666666668</v>
      </c>
      <c r="I67" s="174">
        <v>111.63946749436214</v>
      </c>
      <c r="J67" s="95">
        <v>80.716155655144874</v>
      </c>
      <c r="K67" s="4">
        <v>368.31200000000001</v>
      </c>
      <c r="L67" s="11">
        <v>12</v>
      </c>
      <c r="M67" s="4">
        <v>0</v>
      </c>
      <c r="N67" s="11">
        <v>0</v>
      </c>
      <c r="O67" s="11">
        <v>23</v>
      </c>
      <c r="P67" s="137">
        <v>41654</v>
      </c>
      <c r="Q67" s="11">
        <v>72</v>
      </c>
      <c r="R67" s="95">
        <f>CHOOSE($D$4,D67,E67,F67,G67,H67,I67,J67,K67,L67,M67,N67,O67,P67,101-B67)+0.000001*ROWS($A$20:A67)</f>
        <v>99.776324635026839</v>
      </c>
      <c r="S67" s="4">
        <f t="shared" si="32"/>
        <v>12</v>
      </c>
      <c r="T67" s="4"/>
      <c r="U67" s="14">
        <f>ROWS($U$20:U67)</f>
        <v>48</v>
      </c>
      <c r="V67" s="4">
        <v>119</v>
      </c>
      <c r="W67" s="4" t="str">
        <v>Product 3</v>
      </c>
      <c r="X67" s="94">
        <v>90.442318172025281</v>
      </c>
      <c r="Y67" s="94">
        <v>90</v>
      </c>
      <c r="Z67" s="94">
        <v>101.29916652937423</v>
      </c>
      <c r="AA67" s="94">
        <v>99.202656920620996</v>
      </c>
      <c r="AB67" s="4">
        <v>315.52157894736843</v>
      </c>
      <c r="AC67" s="94">
        <v>119.60922411453927</v>
      </c>
      <c r="AD67" s="94">
        <v>36.065372542830588</v>
      </c>
      <c r="AE67" s="4">
        <v>378.6258947368421</v>
      </c>
      <c r="AF67" s="4">
        <v>12</v>
      </c>
      <c r="AG67" s="4">
        <v>0</v>
      </c>
      <c r="AH67" s="4">
        <v>0</v>
      </c>
      <c r="AI67" s="4">
        <v>23</v>
      </c>
      <c r="AJ67" s="139">
        <v>41683</v>
      </c>
      <c r="AK67" s="94">
        <v>90</v>
      </c>
      <c r="AL67" s="162">
        <v>87.494399999999999</v>
      </c>
      <c r="AM67" s="162">
        <v>90</v>
      </c>
      <c r="AN67" s="162">
        <v>98</v>
      </c>
      <c r="AO67" s="162">
        <v>99.2</v>
      </c>
      <c r="AP67" s="17">
        <v>346.08333333333331</v>
      </c>
      <c r="AQ67" s="162">
        <v>0</v>
      </c>
      <c r="AR67" s="162">
        <v>40</v>
      </c>
      <c r="AS67" s="17">
        <v>415.3</v>
      </c>
      <c r="AT67" s="17">
        <v>12</v>
      </c>
      <c r="AU67" s="17">
        <v>0</v>
      </c>
      <c r="AV67" s="17">
        <v>0</v>
      </c>
      <c r="AW67" s="17">
        <v>20</v>
      </c>
      <c r="AX67" s="4">
        <v>101.29916652937423</v>
      </c>
      <c r="AY67" s="4">
        <v>90</v>
      </c>
      <c r="BD67" s="159" t="e">
        <v>#N/A</v>
      </c>
      <c r="BE67" s="159" t="e">
        <v>#N/A</v>
      </c>
      <c r="BF67" s="159" t="e">
        <v>#N/A</v>
      </c>
      <c r="BG67" s="159" t="e">
        <v>#N/A</v>
      </c>
      <c r="BH67" s="14" t="e">
        <v>#N/A</v>
      </c>
      <c r="BI67" s="159" t="e">
        <v>#N/A</v>
      </c>
      <c r="BJ67" s="159" t="e">
        <v>#N/A</v>
      </c>
      <c r="BK67" s="14" t="e">
        <v>#N/A</v>
      </c>
      <c r="BL67" s="14" t="e">
        <v>#N/A</v>
      </c>
      <c r="BM67" s="14" t="e">
        <v>#N/A</v>
      </c>
      <c r="BN67" s="14" t="e">
        <v>#N/A</v>
      </c>
      <c r="BO67" s="14" t="e">
        <v>#N/A</v>
      </c>
      <c r="BP67" s="182" t="e">
        <v>#N/A</v>
      </c>
      <c r="BQ67" s="183" t="e">
        <v>#N/A</v>
      </c>
    </row>
    <row r="68" spans="2:69" x14ac:dyDescent="0.35">
      <c r="B68" s="11">
        <v>49</v>
      </c>
      <c r="C68" s="4" t="str">
        <v>Product 7</v>
      </c>
      <c r="D68" s="94">
        <v>97.827715355805239</v>
      </c>
      <c r="E68" s="94">
        <v>89.325842696629209</v>
      </c>
      <c r="F68" s="94">
        <v>110.08493253776273</v>
      </c>
      <c r="G68" s="94">
        <v>99.484840642411044</v>
      </c>
      <c r="H68" s="4">
        <v>230.10224719101123</v>
      </c>
      <c r="I68" s="174">
        <v>104.05095062443475</v>
      </c>
      <c r="J68" s="95">
        <v>19.09496355922985</v>
      </c>
      <c r="K68" s="4">
        <v>276.12269662921346</v>
      </c>
      <c r="L68" s="11">
        <v>12</v>
      </c>
      <c r="M68" s="4">
        <v>0</v>
      </c>
      <c r="N68" s="11">
        <v>0</v>
      </c>
      <c r="O68" s="11">
        <v>29</v>
      </c>
      <c r="P68" s="137">
        <v>41655</v>
      </c>
      <c r="Q68" s="11">
        <v>93</v>
      </c>
      <c r="R68" s="95">
        <f>CHOOSE($D$4,D68,E68,F68,G68,H68,I68,J68,K68,L68,M68,N68,O68,P68,101-B68)+0.000001*ROWS($A$20:A68)</f>
        <v>99.484889642411048</v>
      </c>
      <c r="S68" s="4">
        <f t="shared" si="32"/>
        <v>29</v>
      </c>
      <c r="T68" s="4"/>
      <c r="U68" s="14">
        <f>ROWS($U$20:U68)</f>
        <v>49</v>
      </c>
      <c r="V68" s="4">
        <v>45</v>
      </c>
      <c r="W68" s="4" t="str">
        <v>Product 4</v>
      </c>
      <c r="X68" s="94">
        <v>82.307692307692321</v>
      </c>
      <c r="Y68" s="94">
        <v>86.666666666666657</v>
      </c>
      <c r="Z68" s="94">
        <v>95.741494082840248</v>
      </c>
      <c r="AA68" s="94">
        <v>99.194623095196704</v>
      </c>
      <c r="AB68" s="4">
        <v>215.73750000000001</v>
      </c>
      <c r="AC68" s="94">
        <v>92.504520084898985</v>
      </c>
      <c r="AD68" s="94">
        <v>0</v>
      </c>
      <c r="AE68" s="4">
        <v>258.88499999999999</v>
      </c>
      <c r="AF68" s="4">
        <v>12</v>
      </c>
      <c r="AG68" s="4">
        <v>0</v>
      </c>
      <c r="AH68" s="4">
        <v>0</v>
      </c>
      <c r="AI68" s="4">
        <v>22</v>
      </c>
      <c r="AJ68" s="139">
        <v>41654</v>
      </c>
      <c r="AK68" s="94">
        <v>61</v>
      </c>
      <c r="AL68" s="162">
        <v>87.097500000000011</v>
      </c>
      <c r="AM68" s="162">
        <v>90</v>
      </c>
      <c r="AN68" s="162">
        <v>98</v>
      </c>
      <c r="AO68" s="162">
        <v>98.75</v>
      </c>
      <c r="AP68" s="17">
        <v>260</v>
      </c>
      <c r="AQ68" s="162">
        <v>0</v>
      </c>
      <c r="AR68" s="162">
        <v>40</v>
      </c>
      <c r="AS68" s="17">
        <v>312</v>
      </c>
      <c r="AT68" s="17">
        <v>12</v>
      </c>
      <c r="AU68" s="17">
        <v>0</v>
      </c>
      <c r="AV68" s="17">
        <v>0</v>
      </c>
      <c r="AW68" s="17">
        <v>20</v>
      </c>
      <c r="AX68" s="4">
        <v>95.741494082840248</v>
      </c>
      <c r="AY68" s="4">
        <v>86.666666666666657</v>
      </c>
      <c r="BD68" s="159" t="e">
        <v>#N/A</v>
      </c>
      <c r="BE68" s="159" t="e">
        <v>#N/A</v>
      </c>
      <c r="BF68" s="159" t="e">
        <v>#N/A</v>
      </c>
      <c r="BG68" s="159" t="e">
        <v>#N/A</v>
      </c>
      <c r="BH68" s="14" t="e">
        <v>#N/A</v>
      </c>
      <c r="BI68" s="159" t="e">
        <v>#N/A</v>
      </c>
      <c r="BJ68" s="159" t="e">
        <v>#N/A</v>
      </c>
      <c r="BK68" s="14" t="e">
        <v>#N/A</v>
      </c>
      <c r="BL68" s="14" t="e">
        <v>#N/A</v>
      </c>
      <c r="BM68" s="14" t="e">
        <v>#N/A</v>
      </c>
      <c r="BN68" s="14" t="e">
        <v>#N/A</v>
      </c>
      <c r="BO68" s="14" t="e">
        <v>#N/A</v>
      </c>
      <c r="BP68" s="182" t="e">
        <v>#N/A</v>
      </c>
      <c r="BQ68" s="183" t="e">
        <v>#N/A</v>
      </c>
    </row>
    <row r="69" spans="2:69" x14ac:dyDescent="0.35">
      <c r="B69" s="11">
        <v>50</v>
      </c>
      <c r="C69" s="4" t="str">
        <v>Product 3</v>
      </c>
      <c r="D69" s="94">
        <v>98.201618880426722</v>
      </c>
      <c r="E69" s="94">
        <v>93.709327548806925</v>
      </c>
      <c r="F69" s="94">
        <v>106.30882628354337</v>
      </c>
      <c r="G69" s="94">
        <v>98.574935730545192</v>
      </c>
      <c r="H69" s="4">
        <v>344.77266811279827</v>
      </c>
      <c r="I69" s="174">
        <v>123.36294381769565</v>
      </c>
      <c r="J69" s="95">
        <v>41.741285313067898</v>
      </c>
      <c r="K69" s="4">
        <v>413.72720173535788</v>
      </c>
      <c r="L69" s="11">
        <v>12</v>
      </c>
      <c r="M69" s="4">
        <v>0</v>
      </c>
      <c r="N69" s="11">
        <v>0</v>
      </c>
      <c r="O69" s="11">
        <v>22</v>
      </c>
      <c r="P69" s="137">
        <v>41655</v>
      </c>
      <c r="Q69" s="11">
        <v>114</v>
      </c>
      <c r="R69" s="95">
        <f>CHOOSE($D$4,D69,E69,F69,G69,H69,I69,J69,K69,L69,M69,N69,O69,P69,101-B69)+0.000001*ROWS($A$20:A69)</f>
        <v>98.574985730545194</v>
      </c>
      <c r="S69" s="4">
        <f t="shared" si="32"/>
        <v>131</v>
      </c>
      <c r="T69" s="4"/>
      <c r="U69" s="14">
        <f>ROWS($U$20:U69)</f>
        <v>50</v>
      </c>
      <c r="V69" s="4">
        <v>226</v>
      </c>
      <c r="W69" s="4" t="str">
        <v>Product 2</v>
      </c>
      <c r="X69" s="94">
        <v>96.10591016548463</v>
      </c>
      <c r="Y69" s="94">
        <v>98.723404255319153</v>
      </c>
      <c r="Z69" s="94">
        <v>98.146871008939968</v>
      </c>
      <c r="AA69" s="94">
        <v>99.186716808286377</v>
      </c>
      <c r="AB69" s="4">
        <v>261.61361702127658</v>
      </c>
      <c r="AC69" s="94">
        <v>185.71672393610996</v>
      </c>
      <c r="AD69" s="94">
        <v>0</v>
      </c>
      <c r="AE69" s="4">
        <v>313.93634042553191</v>
      </c>
      <c r="AF69" s="4">
        <v>12</v>
      </c>
      <c r="AG69" s="4">
        <v>0</v>
      </c>
      <c r="AH69" s="4">
        <v>0</v>
      </c>
      <c r="AI69" s="4">
        <v>21</v>
      </c>
      <c r="AJ69" s="139">
        <v>41722</v>
      </c>
      <c r="AK69" s="94">
        <v>117</v>
      </c>
      <c r="AL69" s="162">
        <v>87.317999999999998</v>
      </c>
      <c r="AM69" s="162">
        <v>90</v>
      </c>
      <c r="AN69" s="162">
        <v>98</v>
      </c>
      <c r="AO69" s="162">
        <v>99</v>
      </c>
      <c r="AP69" s="17">
        <v>270</v>
      </c>
      <c r="AQ69" s="162">
        <v>0</v>
      </c>
      <c r="AR69" s="162">
        <v>40</v>
      </c>
      <c r="AS69" s="17">
        <v>324</v>
      </c>
      <c r="AT69" s="17">
        <v>12</v>
      </c>
      <c r="AU69" s="17">
        <v>0</v>
      </c>
      <c r="AV69" s="17">
        <v>0</v>
      </c>
      <c r="AW69" s="17">
        <v>20</v>
      </c>
      <c r="AX69" s="4">
        <v>98.146871008939968</v>
      </c>
      <c r="AY69" s="4">
        <v>98.723404255319153</v>
      </c>
      <c r="BD69" s="159">
        <v>96.10591016548463</v>
      </c>
      <c r="BE69" s="159">
        <v>98.723404255319153</v>
      </c>
      <c r="BF69" s="159">
        <v>98.146871008939968</v>
      </c>
      <c r="BG69" s="159">
        <v>99.186716808286377</v>
      </c>
      <c r="BH69" s="14">
        <v>261.61361702127658</v>
      </c>
      <c r="BI69" s="159">
        <v>185.71672393610996</v>
      </c>
      <c r="BJ69" s="159">
        <v>0</v>
      </c>
      <c r="BK69" s="14">
        <v>313.93634042553191</v>
      </c>
      <c r="BL69" s="14">
        <v>12</v>
      </c>
      <c r="BM69" s="14">
        <v>0</v>
      </c>
      <c r="BN69" s="14">
        <v>0</v>
      </c>
      <c r="BO69" s="14">
        <v>21</v>
      </c>
      <c r="BP69" s="182">
        <v>41722</v>
      </c>
      <c r="BQ69" s="183">
        <v>117</v>
      </c>
    </row>
    <row r="70" spans="2:69" x14ac:dyDescent="0.35">
      <c r="B70" s="11">
        <v>51</v>
      </c>
      <c r="C70" s="4" t="str">
        <v>Product 18</v>
      </c>
      <c r="D70" s="94">
        <v>72.615525742460733</v>
      </c>
      <c r="E70" s="94">
        <v>100</v>
      </c>
      <c r="F70" s="94">
        <v>74.478844169246656</v>
      </c>
      <c r="G70" s="94">
        <v>97.4981909996459</v>
      </c>
      <c r="H70" s="4">
        <v>227.90526315789475</v>
      </c>
      <c r="I70" s="174">
        <v>73.818615751789977</v>
      </c>
      <c r="J70" s="95">
        <v>0</v>
      </c>
      <c r="K70" s="4">
        <v>273.48631578947368</v>
      </c>
      <c r="L70" s="11">
        <v>12</v>
      </c>
      <c r="M70" s="4">
        <v>0</v>
      </c>
      <c r="N70" s="11">
        <v>0</v>
      </c>
      <c r="O70" s="11">
        <v>28</v>
      </c>
      <c r="P70" s="137">
        <v>41655</v>
      </c>
      <c r="Q70" s="11">
        <v>98</v>
      </c>
      <c r="R70" s="95">
        <f>CHOOSE($D$4,D70,E70,F70,G70,H70,I70,J70,K70,L70,M70,N70,O70,P70,101-B70)+0.000001*ROWS($A$20:A70)</f>
        <v>97.498241999645899</v>
      </c>
      <c r="S70" s="4">
        <f t="shared" si="32"/>
        <v>214</v>
      </c>
      <c r="T70" s="4"/>
      <c r="U70" s="14">
        <f>ROWS($U$20:U70)</f>
        <v>51</v>
      </c>
      <c r="V70" s="4">
        <v>103</v>
      </c>
      <c r="W70" s="4" t="str">
        <v>Product 3</v>
      </c>
      <c r="X70" s="94">
        <v>99.236860878837845</v>
      </c>
      <c r="Y70" s="94">
        <v>99.627329192546583</v>
      </c>
      <c r="Z70" s="94">
        <v>100.43131996639751</v>
      </c>
      <c r="AA70" s="94">
        <v>99.180286702349008</v>
      </c>
      <c r="AB70" s="4">
        <v>346.28074534161487</v>
      </c>
      <c r="AC70" s="94">
        <v>122.34323396131184</v>
      </c>
      <c r="AD70" s="94">
        <v>0</v>
      </c>
      <c r="AE70" s="4">
        <v>415.53689440993787</v>
      </c>
      <c r="AF70" s="4">
        <v>12</v>
      </c>
      <c r="AG70" s="4">
        <v>0</v>
      </c>
      <c r="AH70" s="4">
        <v>0</v>
      </c>
      <c r="AI70" s="4">
        <v>24</v>
      </c>
      <c r="AJ70" s="139">
        <v>41674</v>
      </c>
      <c r="AK70" s="94">
        <v>46</v>
      </c>
      <c r="AL70" s="162">
        <v>87.494399999999999</v>
      </c>
      <c r="AM70" s="162">
        <v>90</v>
      </c>
      <c r="AN70" s="162">
        <v>98</v>
      </c>
      <c r="AO70" s="162">
        <v>99.2</v>
      </c>
      <c r="AP70" s="17">
        <v>346.08333333333331</v>
      </c>
      <c r="AQ70" s="162">
        <v>0</v>
      </c>
      <c r="AR70" s="162">
        <v>40</v>
      </c>
      <c r="AS70" s="17">
        <v>415.3</v>
      </c>
      <c r="AT70" s="17">
        <v>12</v>
      </c>
      <c r="AU70" s="17">
        <v>0</v>
      </c>
      <c r="AV70" s="17">
        <v>0</v>
      </c>
      <c r="AW70" s="17">
        <v>20</v>
      </c>
      <c r="AX70" s="4">
        <v>100.43131996639751</v>
      </c>
      <c r="AY70" s="4">
        <v>99.627329192546583</v>
      </c>
      <c r="BD70" s="159" t="e">
        <v>#N/A</v>
      </c>
      <c r="BE70" s="159" t="e">
        <v>#N/A</v>
      </c>
      <c r="BF70" s="159" t="e">
        <v>#N/A</v>
      </c>
      <c r="BG70" s="159" t="e">
        <v>#N/A</v>
      </c>
      <c r="BH70" s="14" t="e">
        <v>#N/A</v>
      </c>
      <c r="BI70" s="159" t="e">
        <v>#N/A</v>
      </c>
      <c r="BJ70" s="159" t="e">
        <v>#N/A</v>
      </c>
      <c r="BK70" s="14" t="e">
        <v>#N/A</v>
      </c>
      <c r="BL70" s="14" t="e">
        <v>#N/A</v>
      </c>
      <c r="BM70" s="14" t="e">
        <v>#N/A</v>
      </c>
      <c r="BN70" s="14" t="e">
        <v>#N/A</v>
      </c>
      <c r="BO70" s="14" t="e">
        <v>#N/A</v>
      </c>
      <c r="BP70" s="182" t="e">
        <v>#N/A</v>
      </c>
      <c r="BQ70" s="183" t="e">
        <v>#N/A</v>
      </c>
    </row>
    <row r="71" spans="2:69" x14ac:dyDescent="0.35">
      <c r="B71" s="11">
        <v>52</v>
      </c>
      <c r="C71" s="4" t="str">
        <v>Product 6</v>
      </c>
      <c r="D71" s="94">
        <v>73.467492260061931</v>
      </c>
      <c r="E71" s="94">
        <v>90.789473684210535</v>
      </c>
      <c r="F71" s="94">
        <v>82.921758075210761</v>
      </c>
      <c r="G71" s="94">
        <v>97.586831238112651</v>
      </c>
      <c r="H71" s="4">
        <v>230.36973684210531</v>
      </c>
      <c r="I71" s="174">
        <v>109.07907169928872</v>
      </c>
      <c r="J71" s="95">
        <v>44.89560058556129</v>
      </c>
      <c r="K71" s="4">
        <v>276.44368421052638</v>
      </c>
      <c r="L71" s="11">
        <v>12</v>
      </c>
      <c r="M71" s="4">
        <v>0</v>
      </c>
      <c r="N71" s="11">
        <v>0</v>
      </c>
      <c r="O71" s="11">
        <v>25</v>
      </c>
      <c r="P71" s="137">
        <v>41656</v>
      </c>
      <c r="Q71" s="11">
        <v>58</v>
      </c>
      <c r="R71" s="95">
        <f>CHOOSE($D$4,D71,E71,F71,G71,H71,I71,J71,K71,L71,M71,N71,O71,P71,101-B71)+0.000001*ROWS($A$20:A71)</f>
        <v>97.586883238112648</v>
      </c>
      <c r="S71" s="4">
        <f t="shared" si="32"/>
        <v>211</v>
      </c>
      <c r="T71" s="4"/>
      <c r="U71" s="14">
        <f>ROWS($U$20:U71)</f>
        <v>52</v>
      </c>
      <c r="V71" s="4">
        <v>92</v>
      </c>
      <c r="W71" s="4" t="str">
        <v>Product 3</v>
      </c>
      <c r="X71" s="94">
        <v>89.958563535911608</v>
      </c>
      <c r="Y71" s="94">
        <v>96.235294117647058</v>
      </c>
      <c r="Z71" s="94">
        <v>94.25782463629119</v>
      </c>
      <c r="AA71" s="94">
        <v>99.172376729813251</v>
      </c>
      <c r="AB71" s="4">
        <v>328.36764705882354</v>
      </c>
      <c r="AC71" s="94">
        <v>120.83315295034419</v>
      </c>
      <c r="AD71" s="94">
        <v>40.698709390298177</v>
      </c>
      <c r="AE71" s="4">
        <v>394.0411764705882</v>
      </c>
      <c r="AF71" s="4">
        <v>12</v>
      </c>
      <c r="AG71" s="4">
        <v>0</v>
      </c>
      <c r="AH71" s="4">
        <v>0</v>
      </c>
      <c r="AI71" s="4">
        <v>28</v>
      </c>
      <c r="AJ71" s="139">
        <v>41669</v>
      </c>
      <c r="AK71" s="94">
        <v>122</v>
      </c>
      <c r="AL71" s="162">
        <v>87.494399999999999</v>
      </c>
      <c r="AM71" s="162">
        <v>90</v>
      </c>
      <c r="AN71" s="162">
        <v>98</v>
      </c>
      <c r="AO71" s="162">
        <v>99.2</v>
      </c>
      <c r="AP71" s="17">
        <v>362</v>
      </c>
      <c r="AQ71" s="162">
        <v>0</v>
      </c>
      <c r="AR71" s="162">
        <v>40</v>
      </c>
      <c r="AS71" s="17">
        <v>434.4</v>
      </c>
      <c r="AT71" s="17">
        <v>12</v>
      </c>
      <c r="AU71" s="17">
        <v>0</v>
      </c>
      <c r="AV71" s="17">
        <v>0</v>
      </c>
      <c r="AW71" s="17">
        <v>20</v>
      </c>
      <c r="AX71" s="4">
        <v>94.25782463629119</v>
      </c>
      <c r="AY71" s="4">
        <v>96.235294117647058</v>
      </c>
      <c r="BD71" s="159" t="e">
        <v>#N/A</v>
      </c>
      <c r="BE71" s="159" t="e">
        <v>#N/A</v>
      </c>
      <c r="BF71" s="159" t="e">
        <v>#N/A</v>
      </c>
      <c r="BG71" s="159" t="e">
        <v>#N/A</v>
      </c>
      <c r="BH71" s="14" t="e">
        <v>#N/A</v>
      </c>
      <c r="BI71" s="159" t="e">
        <v>#N/A</v>
      </c>
      <c r="BJ71" s="159" t="e">
        <v>#N/A</v>
      </c>
      <c r="BK71" s="14" t="e">
        <v>#N/A</v>
      </c>
      <c r="BL71" s="14" t="e">
        <v>#N/A</v>
      </c>
      <c r="BM71" s="14" t="e">
        <v>#N/A</v>
      </c>
      <c r="BN71" s="14" t="e">
        <v>#N/A</v>
      </c>
      <c r="BO71" s="14" t="e">
        <v>#N/A</v>
      </c>
      <c r="BP71" s="182" t="e">
        <v>#N/A</v>
      </c>
      <c r="BQ71" s="183" t="e">
        <v>#N/A</v>
      </c>
    </row>
    <row r="72" spans="2:69" x14ac:dyDescent="0.35">
      <c r="B72" s="11">
        <v>53</v>
      </c>
      <c r="C72" s="4" t="str">
        <v>Product 5</v>
      </c>
      <c r="D72" s="94">
        <v>87.366490268603343</v>
      </c>
      <c r="E72" s="94">
        <v>91.062394603709947</v>
      </c>
      <c r="F72" s="94">
        <v>97.779133415183153</v>
      </c>
      <c r="G72" s="94">
        <v>98.120474325836256</v>
      </c>
      <c r="H72" s="4">
        <v>322.32487352445196</v>
      </c>
      <c r="I72" s="174">
        <v>113.62387461694622</v>
      </c>
      <c r="J72" s="95">
        <v>100</v>
      </c>
      <c r="K72" s="4">
        <v>386.7898482293424</v>
      </c>
      <c r="L72" s="11">
        <v>12</v>
      </c>
      <c r="M72" s="4">
        <v>0</v>
      </c>
      <c r="N72" s="11">
        <v>0</v>
      </c>
      <c r="O72" s="11">
        <v>15</v>
      </c>
      <c r="P72" s="137">
        <v>41656</v>
      </c>
      <c r="Q72" s="11">
        <v>100</v>
      </c>
      <c r="R72" s="95">
        <f>CHOOSE($D$4,D72,E72,F72,G72,H72,I72,J72,K72,L72,M72,N72,O72,P72,101-B72)+0.000001*ROWS($A$20:A72)</f>
        <v>98.12052732583625</v>
      </c>
      <c r="S72" s="4">
        <f t="shared" si="32"/>
        <v>183</v>
      </c>
      <c r="T72" s="4"/>
      <c r="U72" s="14">
        <f>ROWS($U$20:U72)</f>
        <v>53</v>
      </c>
      <c r="V72" s="4">
        <v>190</v>
      </c>
      <c r="W72" s="4" t="str">
        <v>Product 3</v>
      </c>
      <c r="X72" s="94">
        <v>96.001092815203094</v>
      </c>
      <c r="Y72" s="94">
        <v>96.538461538461533</v>
      </c>
      <c r="Z72" s="94">
        <v>100.27797310637057</v>
      </c>
      <c r="AA72" s="94">
        <v>99.167703529491902</v>
      </c>
      <c r="AB72" s="4">
        <v>335.03224358974359</v>
      </c>
      <c r="AC72" s="94">
        <v>185.33830027163313</v>
      </c>
      <c r="AD72" s="94">
        <v>32.981764019161872</v>
      </c>
      <c r="AE72" s="4">
        <v>402.03869230769226</v>
      </c>
      <c r="AF72" s="4">
        <v>12</v>
      </c>
      <c r="AG72" s="4">
        <v>0</v>
      </c>
      <c r="AH72" s="4">
        <v>0</v>
      </c>
      <c r="AI72" s="4">
        <v>14</v>
      </c>
      <c r="AJ72" s="139">
        <v>41711</v>
      </c>
      <c r="AK72" s="94">
        <v>122</v>
      </c>
      <c r="AL72" s="162">
        <v>87.494399999999999</v>
      </c>
      <c r="AM72" s="162">
        <v>90</v>
      </c>
      <c r="AN72" s="162">
        <v>98</v>
      </c>
      <c r="AO72" s="162">
        <v>99.2</v>
      </c>
      <c r="AP72" s="17">
        <v>346.08333333333331</v>
      </c>
      <c r="AQ72" s="162">
        <v>0</v>
      </c>
      <c r="AR72" s="162">
        <v>40</v>
      </c>
      <c r="AS72" s="17">
        <v>415.3</v>
      </c>
      <c r="AT72" s="17">
        <v>12</v>
      </c>
      <c r="AU72" s="17">
        <v>0</v>
      </c>
      <c r="AV72" s="17">
        <v>0</v>
      </c>
      <c r="AW72" s="17">
        <v>20</v>
      </c>
      <c r="AX72" s="4">
        <v>100.27797310637057</v>
      </c>
      <c r="AY72" s="4">
        <v>96.538461538461533</v>
      </c>
      <c r="BD72" s="159" t="e">
        <v>#N/A</v>
      </c>
      <c r="BE72" s="159" t="e">
        <v>#N/A</v>
      </c>
      <c r="BF72" s="159" t="e">
        <v>#N/A</v>
      </c>
      <c r="BG72" s="159" t="e">
        <v>#N/A</v>
      </c>
      <c r="BH72" s="14" t="e">
        <v>#N/A</v>
      </c>
      <c r="BI72" s="159" t="e">
        <v>#N/A</v>
      </c>
      <c r="BJ72" s="159" t="e">
        <v>#N/A</v>
      </c>
      <c r="BK72" s="14" t="e">
        <v>#N/A</v>
      </c>
      <c r="BL72" s="14" t="e">
        <v>#N/A</v>
      </c>
      <c r="BM72" s="14" t="e">
        <v>#N/A</v>
      </c>
      <c r="BN72" s="14" t="e">
        <v>#N/A</v>
      </c>
      <c r="BO72" s="14" t="e">
        <v>#N/A</v>
      </c>
      <c r="BP72" s="182" t="e">
        <v>#N/A</v>
      </c>
      <c r="BQ72" s="183" t="e">
        <v>#N/A</v>
      </c>
    </row>
    <row r="73" spans="2:69" x14ac:dyDescent="0.35">
      <c r="B73" s="11">
        <v>54</v>
      </c>
      <c r="C73" s="4" t="str">
        <v>Product 3</v>
      </c>
      <c r="D73" s="94">
        <v>100.55768347689713</v>
      </c>
      <c r="E73" s="94">
        <v>98.587360594795541</v>
      </c>
      <c r="F73" s="94">
        <v>102.78139446706463</v>
      </c>
      <c r="G73" s="94">
        <v>99.238345412740458</v>
      </c>
      <c r="H73" s="4">
        <v>350.68438661710042</v>
      </c>
      <c r="I73" s="174">
        <v>119.01224007811851</v>
      </c>
      <c r="J73" s="95">
        <v>8.6148837001850982</v>
      </c>
      <c r="K73" s="4">
        <v>420.82126394052045</v>
      </c>
      <c r="L73" s="11">
        <v>12</v>
      </c>
      <c r="M73" s="4">
        <v>0</v>
      </c>
      <c r="N73" s="11">
        <v>0</v>
      </c>
      <c r="O73" s="11">
        <v>16</v>
      </c>
      <c r="P73" s="137">
        <v>41656</v>
      </c>
      <c r="Q73" s="11">
        <v>100</v>
      </c>
      <c r="R73" s="95">
        <f>CHOOSE($D$4,D73,E73,F73,G73,H73,I73,J73,K73,L73,M73,N73,O73,P73,101-B73)+0.000001*ROWS($A$20:A73)</f>
        <v>99.238399412740463</v>
      </c>
      <c r="S73" s="4">
        <f t="shared" si="32"/>
        <v>46</v>
      </c>
      <c r="T73" s="4"/>
      <c r="U73" s="14">
        <f>ROWS($U$20:U73)</f>
        <v>54</v>
      </c>
      <c r="V73" s="4">
        <v>209</v>
      </c>
      <c r="W73" s="4" t="str">
        <v>Product 17</v>
      </c>
      <c r="X73" s="94">
        <v>79.999999999999986</v>
      </c>
      <c r="Y73" s="94">
        <v>87.027027027027003</v>
      </c>
      <c r="Z73" s="94">
        <v>92.697157914549223</v>
      </c>
      <c r="AA73" s="94">
        <v>99.167512690355323</v>
      </c>
      <c r="AB73" s="4">
        <v>266.21621621621614</v>
      </c>
      <c r="AC73" s="94">
        <v>172.80701754385964</v>
      </c>
      <c r="AD73" s="94">
        <v>53.101784852870239</v>
      </c>
      <c r="AE73" s="4">
        <v>319.45945945945942</v>
      </c>
      <c r="AF73" s="4">
        <v>12</v>
      </c>
      <c r="AG73" s="4">
        <v>0</v>
      </c>
      <c r="AH73" s="4">
        <v>0</v>
      </c>
      <c r="AI73" s="4">
        <v>25</v>
      </c>
      <c r="AJ73" s="139">
        <v>41717</v>
      </c>
      <c r="AK73" s="94">
        <v>95</v>
      </c>
      <c r="AL73" s="162">
        <v>87.494399999999999</v>
      </c>
      <c r="AM73" s="162">
        <v>90</v>
      </c>
      <c r="AN73" s="162">
        <v>98</v>
      </c>
      <c r="AO73" s="162">
        <v>99.2</v>
      </c>
      <c r="AP73" s="17">
        <v>330</v>
      </c>
      <c r="AQ73" s="162">
        <v>0</v>
      </c>
      <c r="AR73" s="162">
        <v>40</v>
      </c>
      <c r="AS73" s="17">
        <v>396.00000000000006</v>
      </c>
      <c r="AT73" s="17">
        <v>12</v>
      </c>
      <c r="AU73" s="17">
        <v>0</v>
      </c>
      <c r="AV73" s="17">
        <v>0</v>
      </c>
      <c r="AW73" s="17">
        <v>20</v>
      </c>
      <c r="AX73" s="4">
        <v>92.697157914549223</v>
      </c>
      <c r="AY73" s="4">
        <v>87.027027027027003</v>
      </c>
      <c r="BD73" s="159" t="e">
        <v>#N/A</v>
      </c>
      <c r="BE73" s="159" t="e">
        <v>#N/A</v>
      </c>
      <c r="BF73" s="159" t="e">
        <v>#N/A</v>
      </c>
      <c r="BG73" s="159" t="e">
        <v>#N/A</v>
      </c>
      <c r="BH73" s="14" t="e">
        <v>#N/A</v>
      </c>
      <c r="BI73" s="159" t="e">
        <v>#N/A</v>
      </c>
      <c r="BJ73" s="159" t="e">
        <v>#N/A</v>
      </c>
      <c r="BK73" s="14" t="e">
        <v>#N/A</v>
      </c>
      <c r="BL73" s="14" t="e">
        <v>#N/A</v>
      </c>
      <c r="BM73" s="14" t="e">
        <v>#N/A</v>
      </c>
      <c r="BN73" s="14" t="e">
        <v>#N/A</v>
      </c>
      <c r="BO73" s="14" t="e">
        <v>#N/A</v>
      </c>
      <c r="BP73" s="182" t="e">
        <v>#N/A</v>
      </c>
      <c r="BQ73" s="183" t="e">
        <v>#N/A</v>
      </c>
    </row>
    <row r="74" spans="2:69" x14ac:dyDescent="0.35">
      <c r="B74" s="11">
        <v>55</v>
      </c>
      <c r="C74" s="4" t="str">
        <v>Product 3</v>
      </c>
      <c r="D74" s="94">
        <v>89.374187935690159</v>
      </c>
      <c r="E74" s="94">
        <v>91.206543967280169</v>
      </c>
      <c r="F74" s="94">
        <v>99.446522805539729</v>
      </c>
      <c r="G74" s="94">
        <v>98.536358110195422</v>
      </c>
      <c r="H74" s="4">
        <v>328.34028629856846</v>
      </c>
      <c r="I74" s="174">
        <v>116.87769794646692</v>
      </c>
      <c r="J74" s="95">
        <v>0</v>
      </c>
      <c r="K74" s="4">
        <v>394.00834355828221</v>
      </c>
      <c r="L74" s="11">
        <v>12</v>
      </c>
      <c r="M74" s="4">
        <v>0</v>
      </c>
      <c r="N74" s="11">
        <v>0</v>
      </c>
      <c r="O74" s="11">
        <v>25</v>
      </c>
      <c r="P74" s="137">
        <v>41656</v>
      </c>
      <c r="Q74" s="11">
        <v>112</v>
      </c>
      <c r="R74" s="95">
        <f>CHOOSE($D$4,D74,E74,F74,G74,H74,I74,J74,K74,L74,M74,N74,O74,P74,101-B74)+0.000001*ROWS($A$20:A74)</f>
        <v>98.536413110195426</v>
      </c>
      <c r="S74" s="4">
        <f t="shared" si="32"/>
        <v>139</v>
      </c>
      <c r="T74" s="4"/>
      <c r="U74" s="14">
        <f>ROWS($U$20:U74)</f>
        <v>55</v>
      </c>
      <c r="V74" s="4">
        <v>9</v>
      </c>
      <c r="W74" s="4" t="str">
        <v>Product 3</v>
      </c>
      <c r="X74" s="94">
        <v>79.66244441449939</v>
      </c>
      <c r="Y74" s="94">
        <v>86.016260162601625</v>
      </c>
      <c r="Z74" s="94">
        <v>93.396536778452003</v>
      </c>
      <c r="AA74" s="94">
        <v>99.161320082190628</v>
      </c>
      <c r="AB74" s="4">
        <v>290.8170731707317</v>
      </c>
      <c r="AC74" s="94">
        <v>114.7538617005919</v>
      </c>
      <c r="AD74" s="94">
        <v>0</v>
      </c>
      <c r="AE74" s="4">
        <v>348.98048780487807</v>
      </c>
      <c r="AF74" s="4">
        <v>12</v>
      </c>
      <c r="AG74" s="4">
        <v>0</v>
      </c>
      <c r="AH74" s="4">
        <v>0</v>
      </c>
      <c r="AI74" s="4">
        <v>16</v>
      </c>
      <c r="AJ74" s="139">
        <v>41642</v>
      </c>
      <c r="AK74" s="94">
        <v>41</v>
      </c>
      <c r="AL74" s="162">
        <v>87.494399999999999</v>
      </c>
      <c r="AM74" s="162">
        <v>90</v>
      </c>
      <c r="AN74" s="162">
        <v>98</v>
      </c>
      <c r="AO74" s="162">
        <v>99.2</v>
      </c>
      <c r="AP74" s="17">
        <v>362</v>
      </c>
      <c r="AQ74" s="162">
        <v>0</v>
      </c>
      <c r="AR74" s="162">
        <v>40</v>
      </c>
      <c r="AS74" s="17">
        <v>434.4</v>
      </c>
      <c r="AT74" s="17">
        <v>12</v>
      </c>
      <c r="AU74" s="17">
        <v>0</v>
      </c>
      <c r="AV74" s="17">
        <v>0</v>
      </c>
      <c r="AW74" s="17">
        <v>20</v>
      </c>
      <c r="AX74" s="4">
        <v>93.396536778452003</v>
      </c>
      <c r="AY74" s="4">
        <v>86.016260162601625</v>
      </c>
      <c r="BD74" s="159" t="e">
        <v>#N/A</v>
      </c>
      <c r="BE74" s="159" t="e">
        <v>#N/A</v>
      </c>
      <c r="BF74" s="159" t="e">
        <v>#N/A</v>
      </c>
      <c r="BG74" s="159" t="e">
        <v>#N/A</v>
      </c>
      <c r="BH74" s="14" t="e">
        <v>#N/A</v>
      </c>
      <c r="BI74" s="159" t="e">
        <v>#N/A</v>
      </c>
      <c r="BJ74" s="159" t="e">
        <v>#N/A</v>
      </c>
      <c r="BK74" s="14" t="e">
        <v>#N/A</v>
      </c>
      <c r="BL74" s="14" t="e">
        <v>#N/A</v>
      </c>
      <c r="BM74" s="14" t="e">
        <v>#N/A</v>
      </c>
      <c r="BN74" s="14" t="e">
        <v>#N/A</v>
      </c>
      <c r="BO74" s="14" t="e">
        <v>#N/A</v>
      </c>
      <c r="BP74" s="182" t="e">
        <v>#N/A</v>
      </c>
      <c r="BQ74" s="183" t="e">
        <v>#N/A</v>
      </c>
    </row>
    <row r="75" spans="2:69" x14ac:dyDescent="0.35">
      <c r="B75" s="11">
        <v>56</v>
      </c>
      <c r="C75" s="4" t="str">
        <v>Product 3</v>
      </c>
      <c r="D75" s="94">
        <v>95.042689569004963</v>
      </c>
      <c r="E75" s="94">
        <v>94.049159120310492</v>
      </c>
      <c r="F75" s="94">
        <v>102.58658578956033</v>
      </c>
      <c r="G75" s="94">
        <v>98.508390786116792</v>
      </c>
      <c r="H75" s="4">
        <v>333.90750323415267</v>
      </c>
      <c r="I75" s="174">
        <v>121.59279612011804</v>
      </c>
      <c r="J75" s="95">
        <v>0</v>
      </c>
      <c r="K75" s="4">
        <v>400.68900388098319</v>
      </c>
      <c r="L75" s="11">
        <v>12</v>
      </c>
      <c r="M75" s="4">
        <v>0</v>
      </c>
      <c r="N75" s="11">
        <v>0</v>
      </c>
      <c r="O75" s="11">
        <v>19</v>
      </c>
      <c r="P75" s="137">
        <v>41657</v>
      </c>
      <c r="Q75" s="11">
        <v>91</v>
      </c>
      <c r="R75" s="95">
        <f>CHOOSE($D$4,D75,E75,F75,G75,H75,I75,J75,K75,L75,M75,N75,O75,P75,101-B75)+0.000001*ROWS($A$20:A75)</f>
        <v>98.508446786116792</v>
      </c>
      <c r="S75" s="4">
        <f t="shared" si="32"/>
        <v>141</v>
      </c>
      <c r="T75" s="4"/>
      <c r="U75" s="14">
        <f>ROWS($U$20:U75)</f>
        <v>56</v>
      </c>
      <c r="V75" s="4">
        <v>7</v>
      </c>
      <c r="W75" s="4" t="str">
        <v>Product 3</v>
      </c>
      <c r="X75" s="94">
        <v>93.714208134596362</v>
      </c>
      <c r="Y75" s="94">
        <v>93.971631205673759</v>
      </c>
      <c r="Z75" s="94">
        <v>100.57109886465344</v>
      </c>
      <c r="AA75" s="94">
        <v>99.159762716991267</v>
      </c>
      <c r="AB75" s="4">
        <v>327.07748226950355</v>
      </c>
      <c r="AC75" s="94">
        <v>119.84253717962379</v>
      </c>
      <c r="AD75" s="94">
        <v>6.1319228236974546</v>
      </c>
      <c r="AE75" s="4">
        <v>392.49297872340424</v>
      </c>
      <c r="AF75" s="4">
        <v>12</v>
      </c>
      <c r="AG75" s="4">
        <v>0</v>
      </c>
      <c r="AH75" s="4">
        <v>0</v>
      </c>
      <c r="AI75" s="4">
        <v>22</v>
      </c>
      <c r="AJ75" s="139">
        <v>41642</v>
      </c>
      <c r="AK75" s="94">
        <v>102</v>
      </c>
      <c r="AL75" s="162">
        <v>87.494399999999999</v>
      </c>
      <c r="AM75" s="162">
        <v>90</v>
      </c>
      <c r="AN75" s="162">
        <v>98</v>
      </c>
      <c r="AO75" s="162">
        <v>99.2</v>
      </c>
      <c r="AP75" s="17">
        <v>346.08333333333331</v>
      </c>
      <c r="AQ75" s="162">
        <v>0</v>
      </c>
      <c r="AR75" s="162">
        <v>40</v>
      </c>
      <c r="AS75" s="17">
        <v>415.3</v>
      </c>
      <c r="AT75" s="17">
        <v>12</v>
      </c>
      <c r="AU75" s="17">
        <v>0</v>
      </c>
      <c r="AV75" s="17">
        <v>0</v>
      </c>
      <c r="AW75" s="17">
        <v>20</v>
      </c>
      <c r="AX75" s="4">
        <v>100.57109886465344</v>
      </c>
      <c r="AY75" s="4">
        <v>93.971631205673759</v>
      </c>
      <c r="BD75" s="159" t="e">
        <v>#N/A</v>
      </c>
      <c r="BE75" s="159" t="e">
        <v>#N/A</v>
      </c>
      <c r="BF75" s="159" t="e">
        <v>#N/A</v>
      </c>
      <c r="BG75" s="159" t="e">
        <v>#N/A</v>
      </c>
      <c r="BH75" s="14" t="e">
        <v>#N/A</v>
      </c>
      <c r="BI75" s="159" t="e">
        <v>#N/A</v>
      </c>
      <c r="BJ75" s="159" t="e">
        <v>#N/A</v>
      </c>
      <c r="BK75" s="14" t="e">
        <v>#N/A</v>
      </c>
      <c r="BL75" s="14" t="e">
        <v>#N/A</v>
      </c>
      <c r="BM75" s="14" t="e">
        <v>#N/A</v>
      </c>
      <c r="BN75" s="14" t="e">
        <v>#N/A</v>
      </c>
      <c r="BO75" s="14" t="e">
        <v>#N/A</v>
      </c>
      <c r="BP75" s="182" t="e">
        <v>#N/A</v>
      </c>
      <c r="BQ75" s="183" t="e">
        <v>#N/A</v>
      </c>
    </row>
    <row r="76" spans="2:69" x14ac:dyDescent="0.35">
      <c r="B76" s="11">
        <v>57</v>
      </c>
      <c r="C76" s="4" t="str">
        <v>Product 3</v>
      </c>
      <c r="D76" s="94">
        <v>90.907132387287987</v>
      </c>
      <c r="E76" s="94">
        <v>97.813411078717209</v>
      </c>
      <c r="F76" s="94">
        <v>94.612847979843735</v>
      </c>
      <c r="G76" s="94">
        <v>98.231197498874096</v>
      </c>
      <c r="H76" s="4">
        <v>335.00947521865896</v>
      </c>
      <c r="I76" s="174">
        <v>121.15244712481285</v>
      </c>
      <c r="J76" s="95">
        <v>0</v>
      </c>
      <c r="K76" s="4">
        <v>402.0113702623907</v>
      </c>
      <c r="L76" s="11">
        <v>12</v>
      </c>
      <c r="M76" s="4">
        <v>0</v>
      </c>
      <c r="N76" s="11">
        <v>0</v>
      </c>
      <c r="O76" s="11">
        <v>15</v>
      </c>
      <c r="P76" s="137">
        <v>41657</v>
      </c>
      <c r="Q76" s="11">
        <v>62</v>
      </c>
      <c r="R76" s="95">
        <f>CHOOSE($D$4,D76,E76,F76,G76,H76,I76,J76,K76,L76,M76,N76,O76,P76,101-B76)+0.000001*ROWS($A$20:A76)</f>
        <v>98.231254498874094</v>
      </c>
      <c r="S76" s="4">
        <f t="shared" si="32"/>
        <v>177</v>
      </c>
      <c r="T76" s="4"/>
      <c r="U76" s="14">
        <f>ROWS($U$20:U76)</f>
        <v>57</v>
      </c>
      <c r="V76" s="4">
        <v>29</v>
      </c>
      <c r="W76" s="4" t="str">
        <v>Product 13</v>
      </c>
      <c r="X76" s="94">
        <v>88.645206933144678</v>
      </c>
      <c r="Y76" s="94">
        <v>94.163424124513611</v>
      </c>
      <c r="Z76" s="94">
        <v>94.950538442273995</v>
      </c>
      <c r="AA76" s="94">
        <v>99.146088160627741</v>
      </c>
      <c r="AB76" s="4">
        <v>295.04863813229571</v>
      </c>
      <c r="AC76" s="94">
        <v>93.879610256156283</v>
      </c>
      <c r="AD76" s="94">
        <v>7.8170277356147375</v>
      </c>
      <c r="AE76" s="4">
        <v>354.05836575875486</v>
      </c>
      <c r="AF76" s="4">
        <v>12</v>
      </c>
      <c r="AG76" s="4">
        <v>0</v>
      </c>
      <c r="AH76" s="4">
        <v>0</v>
      </c>
      <c r="AI76" s="4">
        <v>24</v>
      </c>
      <c r="AJ76" s="139">
        <v>41649</v>
      </c>
      <c r="AK76" s="94">
        <v>75</v>
      </c>
      <c r="AL76" s="162">
        <v>87.494399999999999</v>
      </c>
      <c r="AM76" s="162">
        <v>90</v>
      </c>
      <c r="AN76" s="162">
        <v>98</v>
      </c>
      <c r="AO76" s="162">
        <v>99.2</v>
      </c>
      <c r="AP76" s="17">
        <v>330</v>
      </c>
      <c r="AQ76" s="162">
        <v>0</v>
      </c>
      <c r="AR76" s="162">
        <v>40</v>
      </c>
      <c r="AS76" s="17">
        <v>396</v>
      </c>
      <c r="AT76" s="17">
        <v>12</v>
      </c>
      <c r="AU76" s="17">
        <v>0</v>
      </c>
      <c r="AV76" s="17">
        <v>0</v>
      </c>
      <c r="AW76" s="17">
        <v>20</v>
      </c>
      <c r="AX76" s="4">
        <v>94.950538442273995</v>
      </c>
      <c r="AY76" s="4">
        <v>94.163424124513611</v>
      </c>
      <c r="BD76" s="159" t="e">
        <v>#N/A</v>
      </c>
      <c r="BE76" s="159" t="e">
        <v>#N/A</v>
      </c>
      <c r="BF76" s="159" t="e">
        <v>#N/A</v>
      </c>
      <c r="BG76" s="159" t="e">
        <v>#N/A</v>
      </c>
      <c r="BH76" s="14" t="e">
        <v>#N/A</v>
      </c>
      <c r="BI76" s="159" t="e">
        <v>#N/A</v>
      </c>
      <c r="BJ76" s="159" t="e">
        <v>#N/A</v>
      </c>
      <c r="BK76" s="14" t="e">
        <v>#N/A</v>
      </c>
      <c r="BL76" s="14" t="e">
        <v>#N/A</v>
      </c>
      <c r="BM76" s="14" t="e">
        <v>#N/A</v>
      </c>
      <c r="BN76" s="14" t="e">
        <v>#N/A</v>
      </c>
      <c r="BO76" s="14" t="e">
        <v>#N/A</v>
      </c>
      <c r="BP76" s="182" t="e">
        <v>#N/A</v>
      </c>
      <c r="BQ76" s="183" t="e">
        <v>#N/A</v>
      </c>
    </row>
    <row r="77" spans="2:69" x14ac:dyDescent="0.35">
      <c r="B77" s="11">
        <v>58</v>
      </c>
      <c r="C77" s="4" t="str">
        <v>Product 3</v>
      </c>
      <c r="D77" s="94">
        <v>98.682039881509013</v>
      </c>
      <c r="E77" s="94">
        <v>98.837209302325576</v>
      </c>
      <c r="F77" s="94">
        <v>100.80219826914632</v>
      </c>
      <c r="G77" s="94">
        <v>99.048440183814606</v>
      </c>
      <c r="H77" s="4">
        <v>344.8031007751938</v>
      </c>
      <c r="I77" s="174">
        <v>118.04141836744171</v>
      </c>
      <c r="J77" s="95">
        <v>0</v>
      </c>
      <c r="K77" s="4">
        <v>413.76372093023258</v>
      </c>
      <c r="L77" s="11">
        <v>12</v>
      </c>
      <c r="M77" s="4">
        <v>0</v>
      </c>
      <c r="N77" s="11">
        <v>0</v>
      </c>
      <c r="O77" s="11">
        <v>19</v>
      </c>
      <c r="P77" s="137">
        <v>41659</v>
      </c>
      <c r="Q77" s="11">
        <v>78</v>
      </c>
      <c r="R77" s="95">
        <f>CHOOSE($D$4,D77,E77,F77,G77,H77,I77,J77,K77,L77,M77,N77,O77,P77,101-B77)+0.000001*ROWS($A$20:A77)</f>
        <v>99.048498183814601</v>
      </c>
      <c r="S77" s="4">
        <f t="shared" si="32"/>
        <v>71</v>
      </c>
      <c r="T77" s="4"/>
      <c r="U77" s="14">
        <f>ROWS($U$20:U77)</f>
        <v>58</v>
      </c>
      <c r="V77" s="4">
        <v>208</v>
      </c>
      <c r="W77" s="4" t="str">
        <v>Product 2</v>
      </c>
      <c r="X77" s="94">
        <v>90.263703703703698</v>
      </c>
      <c r="Y77" s="94">
        <v>98.000000000000014</v>
      </c>
      <c r="Z77" s="94">
        <v>92.902620307382193</v>
      </c>
      <c r="AA77" s="94">
        <v>99.142327526472585</v>
      </c>
      <c r="AB77" s="4">
        <v>245.82033333333331</v>
      </c>
      <c r="AC77" s="94">
        <v>175.19801392155463</v>
      </c>
      <c r="AD77" s="94">
        <v>0</v>
      </c>
      <c r="AE77" s="4">
        <v>294.98439999999999</v>
      </c>
      <c r="AF77" s="4">
        <v>12</v>
      </c>
      <c r="AG77" s="4">
        <v>0</v>
      </c>
      <c r="AH77" s="4">
        <v>0</v>
      </c>
      <c r="AI77" s="4">
        <v>21</v>
      </c>
      <c r="AJ77" s="139">
        <v>41717</v>
      </c>
      <c r="AK77" s="94">
        <v>86</v>
      </c>
      <c r="AL77" s="162">
        <v>87.317999999999998</v>
      </c>
      <c r="AM77" s="162">
        <v>90</v>
      </c>
      <c r="AN77" s="162">
        <v>98</v>
      </c>
      <c r="AO77" s="162">
        <v>99</v>
      </c>
      <c r="AP77" s="17">
        <v>270</v>
      </c>
      <c r="AQ77" s="162">
        <v>0</v>
      </c>
      <c r="AR77" s="162">
        <v>40</v>
      </c>
      <c r="AS77" s="17">
        <v>324</v>
      </c>
      <c r="AT77" s="17">
        <v>12</v>
      </c>
      <c r="AU77" s="17">
        <v>0</v>
      </c>
      <c r="AV77" s="17">
        <v>0</v>
      </c>
      <c r="AW77" s="17">
        <v>20</v>
      </c>
      <c r="AX77" s="4">
        <v>92.902620307382193</v>
      </c>
      <c r="AY77" s="4">
        <v>98.000000000000014</v>
      </c>
      <c r="BD77" s="159">
        <v>90.263703703703698</v>
      </c>
      <c r="BE77" s="159">
        <v>98.000000000000014</v>
      </c>
      <c r="BF77" s="159">
        <v>92.902620307382193</v>
      </c>
      <c r="BG77" s="159">
        <v>99.142327526472585</v>
      </c>
      <c r="BH77" s="14">
        <v>245.82033333333331</v>
      </c>
      <c r="BI77" s="159">
        <v>175.19801392155463</v>
      </c>
      <c r="BJ77" s="159">
        <v>0</v>
      </c>
      <c r="BK77" s="14">
        <v>294.98439999999999</v>
      </c>
      <c r="BL77" s="14">
        <v>12</v>
      </c>
      <c r="BM77" s="14">
        <v>0</v>
      </c>
      <c r="BN77" s="14">
        <v>0</v>
      </c>
      <c r="BO77" s="14">
        <v>21</v>
      </c>
      <c r="BP77" s="182">
        <v>41717</v>
      </c>
      <c r="BQ77" s="183">
        <v>86</v>
      </c>
    </row>
    <row r="78" spans="2:69" x14ac:dyDescent="0.35">
      <c r="B78" s="11">
        <v>59</v>
      </c>
      <c r="C78" s="4" t="str">
        <v>Product 2</v>
      </c>
      <c r="D78" s="94">
        <v>86.755555555555546</v>
      </c>
      <c r="E78" s="94">
        <v>89</v>
      </c>
      <c r="F78" s="94">
        <v>98.627756970453589</v>
      </c>
      <c r="G78" s="94">
        <v>98.834400481007592</v>
      </c>
      <c r="H78" s="4">
        <v>237.0025</v>
      </c>
      <c r="I78" s="174">
        <v>53.70469245465528</v>
      </c>
      <c r="J78" s="95">
        <v>0</v>
      </c>
      <c r="K78" s="4">
        <v>284.40300000000002</v>
      </c>
      <c r="L78" s="11">
        <v>12</v>
      </c>
      <c r="M78" s="4">
        <v>0</v>
      </c>
      <c r="N78" s="11">
        <v>0</v>
      </c>
      <c r="O78" s="11">
        <v>18</v>
      </c>
      <c r="P78" s="137">
        <v>41659</v>
      </c>
      <c r="Q78" s="11">
        <v>76</v>
      </c>
      <c r="R78" s="95">
        <f>CHOOSE($D$4,D78,E78,F78,G78,H78,I78,J78,K78,L78,M78,N78,O78,P78,101-B78)+0.000001*ROWS($A$20:A78)</f>
        <v>98.834459481007585</v>
      </c>
      <c r="S78" s="4">
        <f t="shared" si="32"/>
        <v>99</v>
      </c>
      <c r="T78" s="4"/>
      <c r="U78" s="14">
        <f>ROWS($U$20:U78)</f>
        <v>59</v>
      </c>
      <c r="V78" s="4">
        <v>131</v>
      </c>
      <c r="W78" s="4" t="str">
        <v>Product 3</v>
      </c>
      <c r="X78" s="94">
        <v>91.227394820528573</v>
      </c>
      <c r="Y78" s="94">
        <v>93.390804597701162</v>
      </c>
      <c r="Z78" s="94">
        <v>98.530326548000502</v>
      </c>
      <c r="AA78" s="94">
        <v>99.140529418087667</v>
      </c>
      <c r="AB78" s="4">
        <v>318.45987787356324</v>
      </c>
      <c r="AC78" s="94">
        <v>117.09893003984777</v>
      </c>
      <c r="AD78" s="94">
        <v>17.876749851386478</v>
      </c>
      <c r="AE78" s="4">
        <v>382.15185344827586</v>
      </c>
      <c r="AF78" s="4">
        <v>12</v>
      </c>
      <c r="AG78" s="4">
        <v>0</v>
      </c>
      <c r="AH78" s="4">
        <v>0</v>
      </c>
      <c r="AI78" s="4">
        <v>21</v>
      </c>
      <c r="AJ78" s="139">
        <v>41689</v>
      </c>
      <c r="AK78" s="94">
        <v>104</v>
      </c>
      <c r="AL78" s="162">
        <v>87.494399999999999</v>
      </c>
      <c r="AM78" s="162">
        <v>90</v>
      </c>
      <c r="AN78" s="162">
        <v>98</v>
      </c>
      <c r="AO78" s="162">
        <v>99.2</v>
      </c>
      <c r="AP78" s="17">
        <v>346.08333333333331</v>
      </c>
      <c r="AQ78" s="162">
        <v>0</v>
      </c>
      <c r="AR78" s="162">
        <v>40</v>
      </c>
      <c r="AS78" s="17">
        <v>415.3</v>
      </c>
      <c r="AT78" s="17">
        <v>12</v>
      </c>
      <c r="AU78" s="17">
        <v>0</v>
      </c>
      <c r="AV78" s="17">
        <v>0</v>
      </c>
      <c r="AW78" s="17">
        <v>20</v>
      </c>
      <c r="AX78" s="4">
        <v>98.530326548000502</v>
      </c>
      <c r="AY78" s="4">
        <v>93.390804597701162</v>
      </c>
      <c r="BD78" s="159" t="e">
        <v>#N/A</v>
      </c>
      <c r="BE78" s="159" t="e">
        <v>#N/A</v>
      </c>
      <c r="BF78" s="159" t="e">
        <v>#N/A</v>
      </c>
      <c r="BG78" s="159" t="e">
        <v>#N/A</v>
      </c>
      <c r="BH78" s="14" t="e">
        <v>#N/A</v>
      </c>
      <c r="BI78" s="159" t="e">
        <v>#N/A</v>
      </c>
      <c r="BJ78" s="159" t="e">
        <v>#N/A</v>
      </c>
      <c r="BK78" s="14" t="e">
        <v>#N/A</v>
      </c>
      <c r="BL78" s="14" t="e">
        <v>#N/A</v>
      </c>
      <c r="BM78" s="14" t="e">
        <v>#N/A</v>
      </c>
      <c r="BN78" s="14" t="e">
        <v>#N/A</v>
      </c>
      <c r="BO78" s="14" t="e">
        <v>#N/A</v>
      </c>
      <c r="BP78" s="182" t="e">
        <v>#N/A</v>
      </c>
      <c r="BQ78" s="183" t="e">
        <v>#N/A</v>
      </c>
    </row>
    <row r="79" spans="2:69" x14ac:dyDescent="0.35">
      <c r="B79" s="11">
        <v>60</v>
      </c>
      <c r="C79" s="4" t="str">
        <v>Product 10</v>
      </c>
      <c r="D79" s="94">
        <v>74.963096347323571</v>
      </c>
      <c r="E79" s="94">
        <v>73.913043478260875</v>
      </c>
      <c r="F79" s="94">
        <v>101.42065976402601</v>
      </c>
      <c r="G79" s="94">
        <v>100</v>
      </c>
      <c r="H79" s="4">
        <v>259.43478260869563</v>
      </c>
      <c r="I79" s="174">
        <v>113.16568047337279</v>
      </c>
      <c r="J79" s="95">
        <v>0</v>
      </c>
      <c r="K79" s="4">
        <v>311.32173913043482</v>
      </c>
      <c r="L79" s="11">
        <v>12</v>
      </c>
      <c r="M79" s="4">
        <v>0</v>
      </c>
      <c r="N79" s="11">
        <v>0</v>
      </c>
      <c r="O79" s="11">
        <v>24</v>
      </c>
      <c r="P79" s="137">
        <v>41659</v>
      </c>
      <c r="Q79" s="11">
        <v>59</v>
      </c>
      <c r="R79" s="95">
        <f>CHOOSE($D$4,D79,E79,F79,G79,H79,I79,J79,K79,L79,M79,N79,O79,P79,101-B79)+0.000001*ROWS($A$20:A79)</f>
        <v>100.00006</v>
      </c>
      <c r="S79" s="4">
        <f t="shared" si="32"/>
        <v>6</v>
      </c>
      <c r="T79" s="4"/>
      <c r="U79" s="14">
        <f>ROWS($U$20:U79)</f>
        <v>60</v>
      </c>
      <c r="V79" s="4">
        <v>96</v>
      </c>
      <c r="W79" s="4" t="str">
        <v>Product 2</v>
      </c>
      <c r="X79" s="94">
        <v>89.130075370775614</v>
      </c>
      <c r="Y79" s="94">
        <v>87.199124726477038</v>
      </c>
      <c r="Z79" s="94">
        <v>103.10200288117477</v>
      </c>
      <c r="AA79" s="94">
        <v>99.139116905219922</v>
      </c>
      <c r="AB79" s="4">
        <v>242.74091903719915</v>
      </c>
      <c r="AC79" s="94">
        <v>101.99292051671034</v>
      </c>
      <c r="AD79" s="94">
        <v>0</v>
      </c>
      <c r="AE79" s="4">
        <v>291.28910284463893</v>
      </c>
      <c r="AF79" s="4">
        <v>12</v>
      </c>
      <c r="AG79" s="4">
        <v>0</v>
      </c>
      <c r="AH79" s="4">
        <v>0</v>
      </c>
      <c r="AI79" s="4">
        <v>24</v>
      </c>
      <c r="AJ79" s="139">
        <v>41673</v>
      </c>
      <c r="AK79" s="94">
        <v>119</v>
      </c>
      <c r="AL79" s="162">
        <v>87.317999999999998</v>
      </c>
      <c r="AM79" s="162">
        <v>90</v>
      </c>
      <c r="AN79" s="162">
        <v>98</v>
      </c>
      <c r="AO79" s="162">
        <v>99</v>
      </c>
      <c r="AP79" s="17">
        <v>270</v>
      </c>
      <c r="AQ79" s="162">
        <v>0</v>
      </c>
      <c r="AR79" s="162">
        <v>40</v>
      </c>
      <c r="AS79" s="17">
        <v>324</v>
      </c>
      <c r="AT79" s="17">
        <v>12</v>
      </c>
      <c r="AU79" s="17">
        <v>0</v>
      </c>
      <c r="AV79" s="17">
        <v>0</v>
      </c>
      <c r="AW79" s="17">
        <v>20</v>
      </c>
      <c r="AX79" s="4">
        <v>103.10200288117477</v>
      </c>
      <c r="AY79" s="4">
        <v>87.199124726477038</v>
      </c>
      <c r="BD79" s="159">
        <v>89.130075370775614</v>
      </c>
      <c r="BE79" s="159">
        <v>87.199124726477038</v>
      </c>
      <c r="BF79" s="159">
        <v>103.10200288117477</v>
      </c>
      <c r="BG79" s="159">
        <v>99.139116905219922</v>
      </c>
      <c r="BH79" s="14">
        <v>242.74091903719915</v>
      </c>
      <c r="BI79" s="159">
        <v>101.99292051671034</v>
      </c>
      <c r="BJ79" s="159">
        <v>0</v>
      </c>
      <c r="BK79" s="14">
        <v>291.28910284463893</v>
      </c>
      <c r="BL79" s="14">
        <v>12</v>
      </c>
      <c r="BM79" s="14">
        <v>0</v>
      </c>
      <c r="BN79" s="14">
        <v>0</v>
      </c>
      <c r="BO79" s="14">
        <v>24</v>
      </c>
      <c r="BP79" s="182">
        <v>41673</v>
      </c>
      <c r="BQ79" s="183">
        <v>119</v>
      </c>
    </row>
    <row r="80" spans="2:69" x14ac:dyDescent="0.35">
      <c r="B80" s="11">
        <v>61</v>
      </c>
      <c r="C80" s="4" t="str">
        <v>Product 4</v>
      </c>
      <c r="D80" s="94">
        <v>79.411764705882362</v>
      </c>
      <c r="E80" s="94">
        <v>89.243697478991606</v>
      </c>
      <c r="F80" s="94">
        <v>89.968129798638273</v>
      </c>
      <c r="G80" s="94">
        <v>98.90508010627164</v>
      </c>
      <c r="H80" s="4">
        <v>208.75630252100839</v>
      </c>
      <c r="I80" s="174">
        <v>90.085581665216125</v>
      </c>
      <c r="J80" s="95">
        <v>0</v>
      </c>
      <c r="K80" s="4">
        <v>250.50756302521009</v>
      </c>
      <c r="L80" s="11">
        <v>12</v>
      </c>
      <c r="M80" s="4">
        <v>0</v>
      </c>
      <c r="N80" s="11">
        <v>0</v>
      </c>
      <c r="O80" s="11">
        <v>19</v>
      </c>
      <c r="P80" s="137">
        <v>41659</v>
      </c>
      <c r="Q80" s="11">
        <v>73</v>
      </c>
      <c r="R80" s="95">
        <f>CHOOSE($D$4,D80,E80,F80,G80,H80,I80,J80,K80,L80,M80,N80,O80,P80,101-B80)+0.000001*ROWS($A$20:A80)</f>
        <v>98.905141106271643</v>
      </c>
      <c r="S80" s="4">
        <f t="shared" si="32"/>
        <v>88</v>
      </c>
      <c r="T80" s="4"/>
      <c r="U80" s="14">
        <f>ROWS($U$20:U80)</f>
        <v>61</v>
      </c>
      <c r="V80" s="4">
        <v>1</v>
      </c>
      <c r="W80" s="4" t="str">
        <v>Product 1</v>
      </c>
      <c r="X80" s="94">
        <v>11</v>
      </c>
      <c r="Y80" s="94">
        <v>83.023255813953497</v>
      </c>
      <c r="Z80" s="94">
        <v>105.76351752822339</v>
      </c>
      <c r="AA80" s="94">
        <v>99.133226324237555</v>
      </c>
      <c r="AB80" s="4">
        <v>289.76744186046511</v>
      </c>
      <c r="AC80" s="94">
        <v>107.461965708766</v>
      </c>
      <c r="AD80" s="94">
        <v>81.717537909796121</v>
      </c>
      <c r="AE80" s="4">
        <v>130</v>
      </c>
      <c r="AF80" s="4">
        <v>12</v>
      </c>
      <c r="AG80" s="4">
        <v>0</v>
      </c>
      <c r="AH80" s="4">
        <v>0</v>
      </c>
      <c r="AI80" s="4">
        <v>15</v>
      </c>
      <c r="AJ80" s="139">
        <v>41765</v>
      </c>
      <c r="AK80" s="94">
        <v>62</v>
      </c>
      <c r="AL80" s="162">
        <v>87.494399999999999</v>
      </c>
      <c r="AM80" s="162">
        <v>90</v>
      </c>
      <c r="AN80" s="162">
        <v>98</v>
      </c>
      <c r="AO80" s="162">
        <v>99.2</v>
      </c>
      <c r="AP80" s="17">
        <v>330</v>
      </c>
      <c r="AQ80" s="162">
        <v>0</v>
      </c>
      <c r="AR80" s="162">
        <v>40</v>
      </c>
      <c r="AS80" s="17">
        <v>122</v>
      </c>
      <c r="AT80" s="17">
        <v>12</v>
      </c>
      <c r="AU80" s="17">
        <v>0</v>
      </c>
      <c r="AV80" s="17">
        <v>0</v>
      </c>
      <c r="AW80" s="17">
        <v>20</v>
      </c>
      <c r="AX80" s="4">
        <v>105.76351752822339</v>
      </c>
      <c r="AY80" s="4">
        <v>83.023255813953497</v>
      </c>
      <c r="BD80" s="159" t="e">
        <v>#N/A</v>
      </c>
      <c r="BE80" s="159" t="e">
        <v>#N/A</v>
      </c>
      <c r="BF80" s="159" t="e">
        <v>#N/A</v>
      </c>
      <c r="BG80" s="159" t="e">
        <v>#N/A</v>
      </c>
      <c r="BH80" s="14" t="e">
        <v>#N/A</v>
      </c>
      <c r="BI80" s="159" t="e">
        <v>#N/A</v>
      </c>
      <c r="BJ80" s="159" t="e">
        <v>#N/A</v>
      </c>
      <c r="BK80" s="14" t="e">
        <v>#N/A</v>
      </c>
      <c r="BL80" s="14" t="e">
        <v>#N/A</v>
      </c>
      <c r="BM80" s="14" t="e">
        <v>#N/A</v>
      </c>
      <c r="BN80" s="14" t="e">
        <v>#N/A</v>
      </c>
      <c r="BO80" s="14" t="e">
        <v>#N/A</v>
      </c>
      <c r="BP80" s="182" t="e">
        <v>#N/A</v>
      </c>
      <c r="BQ80" s="183" t="e">
        <v>#N/A</v>
      </c>
    </row>
    <row r="81" spans="2:69" x14ac:dyDescent="0.35">
      <c r="B81" s="11">
        <v>62</v>
      </c>
      <c r="C81" s="4" t="str">
        <v>Product 1</v>
      </c>
      <c r="D81" s="94">
        <v>104.77272727272728</v>
      </c>
      <c r="E81" s="94">
        <v>100</v>
      </c>
      <c r="F81" s="94">
        <v>105.53740530303031</v>
      </c>
      <c r="G81" s="94">
        <v>99.275443594517597</v>
      </c>
      <c r="H81" s="4">
        <v>348.2734375</v>
      </c>
      <c r="I81" s="174">
        <v>111.73857899829054</v>
      </c>
      <c r="J81" s="95">
        <v>82.447644535066473</v>
      </c>
      <c r="K81" s="4">
        <v>417.92812500000002</v>
      </c>
      <c r="L81" s="11">
        <v>12</v>
      </c>
      <c r="M81" s="4">
        <v>0</v>
      </c>
      <c r="N81" s="11">
        <v>0</v>
      </c>
      <c r="O81" s="11">
        <v>26</v>
      </c>
      <c r="P81" s="137">
        <v>41660</v>
      </c>
      <c r="Q81" s="11">
        <v>88</v>
      </c>
      <c r="R81" s="95">
        <f>CHOOSE($D$4,D81,E81,F81,G81,H81,I81,J81,K81,L81,M81,N81,O81,P81,101-B81)+0.000001*ROWS($A$20:A81)</f>
        <v>99.275505594517597</v>
      </c>
      <c r="S81" s="4">
        <f t="shared" si="32"/>
        <v>42</v>
      </c>
      <c r="T81" s="4"/>
      <c r="U81" s="14">
        <f>ROWS($U$20:U81)</f>
        <v>62</v>
      </c>
      <c r="V81" s="4">
        <v>37</v>
      </c>
      <c r="W81" s="4" t="str">
        <v>Product 3</v>
      </c>
      <c r="X81" s="94">
        <v>62.000498143284133</v>
      </c>
      <c r="Y81" s="94">
        <v>66.885245901639351</v>
      </c>
      <c r="Z81" s="94">
        <v>93.519458888527794</v>
      </c>
      <c r="AA81" s="94">
        <v>99.120358806728717</v>
      </c>
      <c r="AB81" s="4">
        <v>226.43360655737706</v>
      </c>
      <c r="AC81" s="94">
        <v>117.0953466882561</v>
      </c>
      <c r="AD81" s="94">
        <v>0</v>
      </c>
      <c r="AE81" s="4">
        <v>271.72032786885245</v>
      </c>
      <c r="AF81" s="4">
        <v>12</v>
      </c>
      <c r="AG81" s="4">
        <v>0</v>
      </c>
      <c r="AH81" s="4">
        <v>0</v>
      </c>
      <c r="AI81" s="4">
        <v>26</v>
      </c>
      <c r="AJ81" s="139">
        <v>41653</v>
      </c>
      <c r="AK81" s="94">
        <v>105</v>
      </c>
      <c r="AL81" s="162">
        <v>87.494399999999999</v>
      </c>
      <c r="AM81" s="162">
        <v>90</v>
      </c>
      <c r="AN81" s="162">
        <v>98</v>
      </c>
      <c r="AO81" s="162">
        <v>99.2</v>
      </c>
      <c r="AP81" s="17">
        <v>362</v>
      </c>
      <c r="AQ81" s="162">
        <v>0</v>
      </c>
      <c r="AR81" s="162">
        <v>40</v>
      </c>
      <c r="AS81" s="17">
        <v>434.4</v>
      </c>
      <c r="AT81" s="17">
        <v>12</v>
      </c>
      <c r="AU81" s="17">
        <v>0</v>
      </c>
      <c r="AV81" s="17">
        <v>0</v>
      </c>
      <c r="AW81" s="17">
        <v>20</v>
      </c>
      <c r="AX81" s="4">
        <v>93.519458888527794</v>
      </c>
      <c r="AY81" s="4">
        <v>66.885245901639351</v>
      </c>
      <c r="BD81" s="159" t="e">
        <v>#N/A</v>
      </c>
      <c r="BE81" s="159" t="e">
        <v>#N/A</v>
      </c>
      <c r="BF81" s="159" t="e">
        <v>#N/A</v>
      </c>
      <c r="BG81" s="159" t="e">
        <v>#N/A</v>
      </c>
      <c r="BH81" s="14" t="e">
        <v>#N/A</v>
      </c>
      <c r="BI81" s="159" t="e">
        <v>#N/A</v>
      </c>
      <c r="BJ81" s="159" t="e">
        <v>#N/A</v>
      </c>
      <c r="BK81" s="14" t="e">
        <v>#N/A</v>
      </c>
      <c r="BL81" s="14" t="e">
        <v>#N/A</v>
      </c>
      <c r="BM81" s="14" t="e">
        <v>#N/A</v>
      </c>
      <c r="BN81" s="14" t="e">
        <v>#N/A</v>
      </c>
      <c r="BO81" s="14" t="e">
        <v>#N/A</v>
      </c>
      <c r="BP81" s="182" t="e">
        <v>#N/A</v>
      </c>
      <c r="BQ81" s="183" t="e">
        <v>#N/A</v>
      </c>
    </row>
    <row r="82" spans="2:69" x14ac:dyDescent="0.35">
      <c r="B82" s="11">
        <v>63</v>
      </c>
      <c r="C82" s="4" t="str">
        <v>Product 19</v>
      </c>
      <c r="D82" s="94">
        <v>75.375110326566627</v>
      </c>
      <c r="E82" s="94">
        <v>78.155339805825236</v>
      </c>
      <c r="F82" s="94">
        <v>96.993224167137214</v>
      </c>
      <c r="G82" s="94">
        <v>99.432397030999851</v>
      </c>
      <c r="H82" s="4">
        <v>250.15776699029124</v>
      </c>
      <c r="I82" s="174">
        <v>114.36100862714638</v>
      </c>
      <c r="J82" s="95">
        <v>76.592482460623529</v>
      </c>
      <c r="K82" s="4">
        <v>300.18932038834953</v>
      </c>
      <c r="L82" s="11">
        <v>12</v>
      </c>
      <c r="M82" s="4">
        <v>0</v>
      </c>
      <c r="N82" s="11">
        <v>0</v>
      </c>
      <c r="O82" s="11">
        <v>20</v>
      </c>
      <c r="P82" s="137">
        <v>41660</v>
      </c>
      <c r="Q82" s="11">
        <v>85</v>
      </c>
      <c r="R82" s="95">
        <f>CHOOSE($D$4,D82,E82,F82,G82,H82,I82,J82,K82,L82,M82,N82,O82,P82,101-B82)+0.000001*ROWS($A$20:A82)</f>
        <v>99.432460030999849</v>
      </c>
      <c r="S82" s="4">
        <f t="shared" si="32"/>
        <v>33</v>
      </c>
      <c r="T82" s="4"/>
      <c r="U82" s="14">
        <f>ROWS($U$20:U82)</f>
        <v>63</v>
      </c>
      <c r="V82" s="4">
        <v>108</v>
      </c>
      <c r="W82" s="4" t="str">
        <v>Product 3</v>
      </c>
      <c r="X82" s="94">
        <v>95.90034574429157</v>
      </c>
      <c r="Y82" s="94">
        <v>96.066746126340902</v>
      </c>
      <c r="Z82" s="94">
        <v>100.73198901329361</v>
      </c>
      <c r="AA82" s="94">
        <v>99.101375518266096</v>
      </c>
      <c r="AB82" s="4">
        <v>334.9046483909417</v>
      </c>
      <c r="AC82" s="94">
        <v>117.75071555188642</v>
      </c>
      <c r="AD82" s="94">
        <v>29.899194333086832</v>
      </c>
      <c r="AE82" s="4">
        <v>401.88557806913002</v>
      </c>
      <c r="AF82" s="4">
        <v>12</v>
      </c>
      <c r="AG82" s="4">
        <v>0</v>
      </c>
      <c r="AH82" s="4">
        <v>0</v>
      </c>
      <c r="AI82" s="4">
        <v>17</v>
      </c>
      <c r="AJ82" s="139">
        <v>41677</v>
      </c>
      <c r="AK82" s="94">
        <v>96</v>
      </c>
      <c r="AL82" s="162">
        <v>87.494399999999999</v>
      </c>
      <c r="AM82" s="162">
        <v>90</v>
      </c>
      <c r="AN82" s="162">
        <v>98</v>
      </c>
      <c r="AO82" s="162">
        <v>99.2</v>
      </c>
      <c r="AP82" s="17">
        <v>346.08333333333331</v>
      </c>
      <c r="AQ82" s="162">
        <v>0</v>
      </c>
      <c r="AR82" s="162">
        <v>40</v>
      </c>
      <c r="AS82" s="17">
        <v>415.3</v>
      </c>
      <c r="AT82" s="17">
        <v>12</v>
      </c>
      <c r="AU82" s="17">
        <v>0</v>
      </c>
      <c r="AV82" s="17">
        <v>0</v>
      </c>
      <c r="AW82" s="17">
        <v>20</v>
      </c>
      <c r="AX82" s="4">
        <v>100.73198901329361</v>
      </c>
      <c r="AY82" s="4">
        <v>96.066746126340902</v>
      </c>
      <c r="BD82" s="159" t="e">
        <v>#N/A</v>
      </c>
      <c r="BE82" s="159" t="e">
        <v>#N/A</v>
      </c>
      <c r="BF82" s="159" t="e">
        <v>#N/A</v>
      </c>
      <c r="BG82" s="159" t="e">
        <v>#N/A</v>
      </c>
      <c r="BH82" s="14" t="e">
        <v>#N/A</v>
      </c>
      <c r="BI82" s="159" t="e">
        <v>#N/A</v>
      </c>
      <c r="BJ82" s="159" t="e">
        <v>#N/A</v>
      </c>
      <c r="BK82" s="14" t="e">
        <v>#N/A</v>
      </c>
      <c r="BL82" s="14" t="e">
        <v>#N/A</v>
      </c>
      <c r="BM82" s="14" t="e">
        <v>#N/A</v>
      </c>
      <c r="BN82" s="14" t="e">
        <v>#N/A</v>
      </c>
      <c r="BO82" s="14" t="e">
        <v>#N/A</v>
      </c>
      <c r="BP82" s="182" t="e">
        <v>#N/A</v>
      </c>
      <c r="BQ82" s="183" t="e">
        <v>#N/A</v>
      </c>
    </row>
    <row r="83" spans="2:69" x14ac:dyDescent="0.35">
      <c r="B83" s="11">
        <v>64</v>
      </c>
      <c r="C83" s="4" t="str">
        <v>Product 7</v>
      </c>
      <c r="D83" s="94">
        <v>90.734989648033121</v>
      </c>
      <c r="E83" s="94">
        <v>79.347826086956545</v>
      </c>
      <c r="F83" s="94">
        <v>116.00682422600228</v>
      </c>
      <c r="G83" s="94">
        <v>98.572602621220639</v>
      </c>
      <c r="H83" s="4">
        <v>215.39440993788821</v>
      </c>
      <c r="I83" s="174">
        <v>107.49356808530423</v>
      </c>
      <c r="J83" s="95">
        <v>0</v>
      </c>
      <c r="K83" s="4">
        <v>258.47329192546584</v>
      </c>
      <c r="L83" s="11">
        <v>12</v>
      </c>
      <c r="M83" s="4">
        <v>0</v>
      </c>
      <c r="N83" s="11">
        <v>0</v>
      </c>
      <c r="O83" s="11">
        <v>23</v>
      </c>
      <c r="P83" s="137">
        <v>41660</v>
      </c>
      <c r="Q83" s="11">
        <v>121</v>
      </c>
      <c r="R83" s="95">
        <f>CHOOSE($D$4,D83,E83,F83,G83,H83,I83,J83,K83,L83,M83,N83,O83,P83,101-B83)+0.000001*ROWS($A$20:A83)</f>
        <v>98.572666621220634</v>
      </c>
      <c r="S83" s="4">
        <f t="shared" si="32"/>
        <v>132</v>
      </c>
      <c r="T83" s="4"/>
      <c r="U83" s="14">
        <f>ROWS($U$20:U83)</f>
        <v>64</v>
      </c>
      <c r="V83" s="4">
        <v>229</v>
      </c>
      <c r="W83" s="4" t="str">
        <v>Product 17</v>
      </c>
      <c r="X83" s="94">
        <v>75.336700336700318</v>
      </c>
      <c r="Y83" s="94">
        <v>98.271604938271594</v>
      </c>
      <c r="Z83" s="94">
        <v>77.368375970762898</v>
      </c>
      <c r="AA83" s="94">
        <v>99.086631608081916</v>
      </c>
      <c r="AB83" s="4">
        <v>267.62962962962962</v>
      </c>
      <c r="AC83" s="94">
        <v>180.10368548735502</v>
      </c>
      <c r="AD83" s="94">
        <v>13.083340973686624</v>
      </c>
      <c r="AE83" s="4">
        <v>321.15555555555557</v>
      </c>
      <c r="AF83" s="4">
        <v>12</v>
      </c>
      <c r="AG83" s="4">
        <v>0</v>
      </c>
      <c r="AH83" s="4">
        <v>0</v>
      </c>
      <c r="AI83" s="4">
        <v>22</v>
      </c>
      <c r="AJ83" s="139">
        <v>41724</v>
      </c>
      <c r="AK83" s="94">
        <v>78</v>
      </c>
      <c r="AL83" s="162">
        <v>87.494399999999999</v>
      </c>
      <c r="AM83" s="162">
        <v>90</v>
      </c>
      <c r="AN83" s="162">
        <v>98</v>
      </c>
      <c r="AO83" s="162">
        <v>99.2</v>
      </c>
      <c r="AP83" s="17">
        <v>352</v>
      </c>
      <c r="AQ83" s="162">
        <v>0</v>
      </c>
      <c r="AR83" s="162">
        <v>40</v>
      </c>
      <c r="AS83" s="17">
        <v>422.4</v>
      </c>
      <c r="AT83" s="17">
        <v>12</v>
      </c>
      <c r="AU83" s="17">
        <v>0</v>
      </c>
      <c r="AV83" s="17">
        <v>0</v>
      </c>
      <c r="AW83" s="17">
        <v>20</v>
      </c>
      <c r="AX83" s="4">
        <v>77.368375970762898</v>
      </c>
      <c r="AY83" s="4">
        <v>98.271604938271594</v>
      </c>
      <c r="BD83" s="159" t="e">
        <v>#N/A</v>
      </c>
      <c r="BE83" s="159" t="e">
        <v>#N/A</v>
      </c>
      <c r="BF83" s="159" t="e">
        <v>#N/A</v>
      </c>
      <c r="BG83" s="159" t="e">
        <v>#N/A</v>
      </c>
      <c r="BH83" s="14" t="e">
        <v>#N/A</v>
      </c>
      <c r="BI83" s="159" t="e">
        <v>#N/A</v>
      </c>
      <c r="BJ83" s="159" t="e">
        <v>#N/A</v>
      </c>
      <c r="BK83" s="14" t="e">
        <v>#N/A</v>
      </c>
      <c r="BL83" s="14" t="e">
        <v>#N/A</v>
      </c>
      <c r="BM83" s="14" t="e">
        <v>#N/A</v>
      </c>
      <c r="BN83" s="14" t="e">
        <v>#N/A</v>
      </c>
      <c r="BO83" s="14" t="e">
        <v>#N/A</v>
      </c>
      <c r="BP83" s="182" t="e">
        <v>#N/A</v>
      </c>
      <c r="BQ83" s="183" t="e">
        <v>#N/A</v>
      </c>
    </row>
    <row r="84" spans="2:69" x14ac:dyDescent="0.35">
      <c r="B84" s="11">
        <v>65</v>
      </c>
      <c r="C84" s="4" t="str">
        <v>Product 3</v>
      </c>
      <c r="D84" s="94">
        <v>102.17513444096637</v>
      </c>
      <c r="E84" s="94">
        <v>96.296296296296291</v>
      </c>
      <c r="F84" s="94">
        <v>106.78841986330549</v>
      </c>
      <c r="G84" s="94">
        <v>99.359975023415544</v>
      </c>
      <c r="H84" s="4">
        <v>355.88888888888891</v>
      </c>
      <c r="I84" s="174">
        <v>131.73119105066903</v>
      </c>
      <c r="J84" s="95">
        <v>0</v>
      </c>
      <c r="K84" s="4">
        <v>427.06666666666672</v>
      </c>
      <c r="L84" s="11">
        <v>12</v>
      </c>
      <c r="M84" s="4">
        <v>0</v>
      </c>
      <c r="N84" s="11">
        <v>0</v>
      </c>
      <c r="O84" s="11">
        <v>30</v>
      </c>
      <c r="P84" s="137">
        <v>41660</v>
      </c>
      <c r="Q84" s="11">
        <v>71</v>
      </c>
      <c r="R84" s="95">
        <f>CHOOSE($D$4,D84,E84,F84,G84,H84,I84,J84,K84,L84,M84,N84,O84,P84,101-B84)+0.000001*ROWS($A$20:A84)</f>
        <v>99.36004002341555</v>
      </c>
      <c r="S84" s="4">
        <f t="shared" ref="S84:S147" si="33">RANK(R84,$R$20:$R$379)</f>
        <v>38</v>
      </c>
      <c r="T84" s="4"/>
      <c r="U84" s="14">
        <f>ROWS($U$20:U84)</f>
        <v>65</v>
      </c>
      <c r="V84" s="4">
        <v>33</v>
      </c>
      <c r="W84" s="4" t="str">
        <v>Product 3</v>
      </c>
      <c r="X84" s="94">
        <v>99.805686478327729</v>
      </c>
      <c r="Y84" s="94">
        <v>98.969072164948457</v>
      </c>
      <c r="Z84" s="94">
        <v>101.77693010474218</v>
      </c>
      <c r="AA84" s="94">
        <v>99.084663825119193</v>
      </c>
      <c r="AB84" s="4">
        <v>364.63421391752581</v>
      </c>
      <c r="AC84" s="94">
        <v>120.42737061627511</v>
      </c>
      <c r="AD84" s="94">
        <v>20.418176749372734</v>
      </c>
      <c r="AE84" s="4">
        <v>437.56105670103096</v>
      </c>
      <c r="AF84" s="4">
        <v>12</v>
      </c>
      <c r="AG84" s="4">
        <v>0</v>
      </c>
      <c r="AH84" s="4">
        <v>0</v>
      </c>
      <c r="AI84" s="4">
        <v>24</v>
      </c>
      <c r="AJ84" s="139">
        <v>41649</v>
      </c>
      <c r="AK84" s="94">
        <v>49</v>
      </c>
      <c r="AL84" s="162">
        <v>87.494399999999999</v>
      </c>
      <c r="AM84" s="162">
        <v>90</v>
      </c>
      <c r="AN84" s="162">
        <v>98</v>
      </c>
      <c r="AO84" s="162">
        <v>99.2</v>
      </c>
      <c r="AP84" s="17">
        <v>362</v>
      </c>
      <c r="AQ84" s="162">
        <v>0</v>
      </c>
      <c r="AR84" s="162">
        <v>40</v>
      </c>
      <c r="AS84" s="17">
        <v>434.4</v>
      </c>
      <c r="AT84" s="17">
        <v>12</v>
      </c>
      <c r="AU84" s="17">
        <v>0</v>
      </c>
      <c r="AV84" s="17">
        <v>0</v>
      </c>
      <c r="AW84" s="17">
        <v>20</v>
      </c>
      <c r="AX84" s="4">
        <v>101.77693010474218</v>
      </c>
      <c r="AY84" s="4">
        <v>98.969072164948457</v>
      </c>
      <c r="BD84" s="159" t="e">
        <v>#N/A</v>
      </c>
      <c r="BE84" s="159" t="e">
        <v>#N/A</v>
      </c>
      <c r="BF84" s="159" t="e">
        <v>#N/A</v>
      </c>
      <c r="BG84" s="159" t="e">
        <v>#N/A</v>
      </c>
      <c r="BH84" s="14" t="e">
        <v>#N/A</v>
      </c>
      <c r="BI84" s="159" t="e">
        <v>#N/A</v>
      </c>
      <c r="BJ84" s="159" t="e">
        <v>#N/A</v>
      </c>
      <c r="BK84" s="14" t="e">
        <v>#N/A</v>
      </c>
      <c r="BL84" s="14" t="e">
        <v>#N/A</v>
      </c>
      <c r="BM84" s="14" t="e">
        <v>#N/A</v>
      </c>
      <c r="BN84" s="14" t="e">
        <v>#N/A</v>
      </c>
      <c r="BO84" s="14" t="e">
        <v>#N/A</v>
      </c>
      <c r="BP84" s="182" t="e">
        <v>#N/A</v>
      </c>
      <c r="BQ84" s="183" t="e">
        <v>#N/A</v>
      </c>
    </row>
    <row r="85" spans="2:69" x14ac:dyDescent="0.35">
      <c r="B85" s="11">
        <v>66</v>
      </c>
      <c r="C85" s="4" t="str">
        <v>Product 13</v>
      </c>
      <c r="D85" s="94">
        <v>79.444534151461326</v>
      </c>
      <c r="E85" s="94">
        <v>82.770870337477803</v>
      </c>
      <c r="F85" s="94">
        <v>96.213746911171796</v>
      </c>
      <c r="G85" s="94">
        <v>99.758376560836723</v>
      </c>
      <c r="H85" s="4">
        <v>262.80195381882771</v>
      </c>
      <c r="I85" s="174">
        <v>120.21295179132186</v>
      </c>
      <c r="J85" s="95">
        <v>72.956116380003209</v>
      </c>
      <c r="K85" s="4">
        <v>315.36234458259327</v>
      </c>
      <c r="L85" s="11">
        <v>12</v>
      </c>
      <c r="M85" s="4">
        <v>0</v>
      </c>
      <c r="N85" s="11">
        <v>0</v>
      </c>
      <c r="O85" s="11">
        <v>20</v>
      </c>
      <c r="P85" s="137">
        <v>41661</v>
      </c>
      <c r="Q85" s="11">
        <v>125</v>
      </c>
      <c r="R85" s="95">
        <f>CHOOSE($D$4,D85,E85,F85,G85,H85,I85,J85,K85,L85,M85,N85,O85,P85,101-B85)+0.000001*ROWS($A$20:A85)</f>
        <v>99.758442560836727</v>
      </c>
      <c r="S85" s="4">
        <f t="shared" si="33"/>
        <v>14</v>
      </c>
      <c r="T85" s="4"/>
      <c r="U85" s="14">
        <f>ROWS($U$20:U85)</f>
        <v>66</v>
      </c>
      <c r="V85" s="4">
        <v>168</v>
      </c>
      <c r="W85" s="4" t="str">
        <v>Product 3</v>
      </c>
      <c r="X85" s="94">
        <v>100.19918475456642</v>
      </c>
      <c r="Y85" s="94">
        <v>98.285714285714292</v>
      </c>
      <c r="Z85" s="94">
        <v>102.90230444229165</v>
      </c>
      <c r="AA85" s="94">
        <v>99.071488735168685</v>
      </c>
      <c r="AB85" s="4">
        <v>350.02267857142857</v>
      </c>
      <c r="AC85" s="94">
        <v>181.35386693559582</v>
      </c>
      <c r="AD85" s="94">
        <v>15.004103794431467</v>
      </c>
      <c r="AE85" s="4">
        <v>420.02721428571431</v>
      </c>
      <c r="AF85" s="4">
        <v>12</v>
      </c>
      <c r="AG85" s="4">
        <v>0</v>
      </c>
      <c r="AH85" s="4">
        <v>0</v>
      </c>
      <c r="AI85" s="4">
        <v>14</v>
      </c>
      <c r="AJ85" s="139">
        <v>41703</v>
      </c>
      <c r="AK85" s="94">
        <v>48</v>
      </c>
      <c r="AL85" s="162">
        <v>87.494399999999999</v>
      </c>
      <c r="AM85" s="162">
        <v>90</v>
      </c>
      <c r="AN85" s="162">
        <v>98</v>
      </c>
      <c r="AO85" s="162">
        <v>99.2</v>
      </c>
      <c r="AP85" s="17">
        <v>346.08333333333331</v>
      </c>
      <c r="AQ85" s="162">
        <v>0</v>
      </c>
      <c r="AR85" s="162">
        <v>40</v>
      </c>
      <c r="AS85" s="17">
        <v>415.3</v>
      </c>
      <c r="AT85" s="17">
        <v>12</v>
      </c>
      <c r="AU85" s="17">
        <v>0</v>
      </c>
      <c r="AV85" s="17">
        <v>0</v>
      </c>
      <c r="AW85" s="17">
        <v>20</v>
      </c>
      <c r="AX85" s="4">
        <v>102.90230444229165</v>
      </c>
      <c r="AY85" s="4">
        <v>98.285714285714292</v>
      </c>
      <c r="BD85" s="159" t="e">
        <v>#N/A</v>
      </c>
      <c r="BE85" s="159" t="e">
        <v>#N/A</v>
      </c>
      <c r="BF85" s="159" t="e">
        <v>#N/A</v>
      </c>
      <c r="BG85" s="159" t="e">
        <v>#N/A</v>
      </c>
      <c r="BH85" s="14" t="e">
        <v>#N/A</v>
      </c>
      <c r="BI85" s="159" t="e">
        <v>#N/A</v>
      </c>
      <c r="BJ85" s="159" t="e">
        <v>#N/A</v>
      </c>
      <c r="BK85" s="14" t="e">
        <v>#N/A</v>
      </c>
      <c r="BL85" s="14" t="e">
        <v>#N/A</v>
      </c>
      <c r="BM85" s="14" t="e">
        <v>#N/A</v>
      </c>
      <c r="BN85" s="14" t="e">
        <v>#N/A</v>
      </c>
      <c r="BO85" s="14" t="e">
        <v>#N/A</v>
      </c>
      <c r="BP85" s="182" t="e">
        <v>#N/A</v>
      </c>
      <c r="BQ85" s="183" t="e">
        <v>#N/A</v>
      </c>
    </row>
    <row r="86" spans="2:69" x14ac:dyDescent="0.35">
      <c r="B86" s="11">
        <v>67</v>
      </c>
      <c r="C86" s="4" t="str">
        <v>Product 2</v>
      </c>
      <c r="D86" s="94">
        <v>93.561515538527047</v>
      </c>
      <c r="E86" s="94">
        <v>96.168582375478934</v>
      </c>
      <c r="F86" s="94">
        <v>99.638925778368005</v>
      </c>
      <c r="G86" s="94">
        <v>97.641624694744038</v>
      </c>
      <c r="H86" s="4">
        <v>258.71762452107282</v>
      </c>
      <c r="I86" s="174">
        <v>99.072442504493267</v>
      </c>
      <c r="J86" s="95">
        <v>0</v>
      </c>
      <c r="K86" s="4">
        <v>310.46114942528737</v>
      </c>
      <c r="L86" s="11">
        <v>12</v>
      </c>
      <c r="M86" s="4">
        <v>0</v>
      </c>
      <c r="N86" s="11">
        <v>0</v>
      </c>
      <c r="O86" s="11">
        <v>21</v>
      </c>
      <c r="P86" s="137">
        <v>41661</v>
      </c>
      <c r="Q86" s="11">
        <v>100</v>
      </c>
      <c r="R86" s="95">
        <f>CHOOSE($D$4,D86,E86,F86,G86,H86,I86,J86,K86,L86,M86,N86,O86,P86,101-B86)+0.000001*ROWS($A$20:A86)</f>
        <v>97.64169169474404</v>
      </c>
      <c r="S86" s="4">
        <f t="shared" si="33"/>
        <v>210</v>
      </c>
      <c r="T86" s="4"/>
      <c r="U86" s="14">
        <f>ROWS($U$20:U86)</f>
        <v>67</v>
      </c>
      <c r="V86" s="4">
        <v>142</v>
      </c>
      <c r="W86" s="4" t="str">
        <v>Product 16</v>
      </c>
      <c r="X86" s="94">
        <v>87.657193652121606</v>
      </c>
      <c r="Y86" s="94">
        <v>90.434782608695642</v>
      </c>
      <c r="Z86" s="94">
        <v>97.850435793911444</v>
      </c>
      <c r="AA86" s="94">
        <v>99.057941653160455</v>
      </c>
      <c r="AB86" s="4">
        <v>245.26708074534162</v>
      </c>
      <c r="AC86" s="94">
        <v>102.26581134381856</v>
      </c>
      <c r="AD86" s="94">
        <v>0</v>
      </c>
      <c r="AE86" s="4">
        <v>294.32049689440993</v>
      </c>
      <c r="AF86" s="4">
        <v>12</v>
      </c>
      <c r="AG86" s="4">
        <v>0</v>
      </c>
      <c r="AH86" s="4">
        <v>0</v>
      </c>
      <c r="AI86" s="4">
        <v>22</v>
      </c>
      <c r="AJ86" s="139">
        <v>41694</v>
      </c>
      <c r="AK86" s="94">
        <v>74</v>
      </c>
      <c r="AL86" s="162">
        <v>86.87700000000001</v>
      </c>
      <c r="AM86" s="162">
        <v>90</v>
      </c>
      <c r="AN86" s="162">
        <v>98</v>
      </c>
      <c r="AO86" s="162">
        <v>98.5</v>
      </c>
      <c r="AP86" s="17">
        <v>277.16666666666669</v>
      </c>
      <c r="AQ86" s="162">
        <v>0</v>
      </c>
      <c r="AR86" s="162">
        <v>40</v>
      </c>
      <c r="AS86" s="17">
        <v>332.6</v>
      </c>
      <c r="AT86" s="17">
        <v>12</v>
      </c>
      <c r="AU86" s="17">
        <v>0</v>
      </c>
      <c r="AV86" s="17">
        <v>0</v>
      </c>
      <c r="AW86" s="17">
        <v>20</v>
      </c>
      <c r="AX86" s="4">
        <v>97.850435793911444</v>
      </c>
      <c r="AY86" s="4">
        <v>90.434782608695642</v>
      </c>
      <c r="BD86" s="159" t="e">
        <v>#N/A</v>
      </c>
      <c r="BE86" s="159" t="e">
        <v>#N/A</v>
      </c>
      <c r="BF86" s="159" t="e">
        <v>#N/A</v>
      </c>
      <c r="BG86" s="159" t="e">
        <v>#N/A</v>
      </c>
      <c r="BH86" s="14" t="e">
        <v>#N/A</v>
      </c>
      <c r="BI86" s="159" t="e">
        <v>#N/A</v>
      </c>
      <c r="BJ86" s="159" t="e">
        <v>#N/A</v>
      </c>
      <c r="BK86" s="14" t="e">
        <v>#N/A</v>
      </c>
      <c r="BL86" s="14" t="e">
        <v>#N/A</v>
      </c>
      <c r="BM86" s="14" t="e">
        <v>#N/A</v>
      </c>
      <c r="BN86" s="14" t="e">
        <v>#N/A</v>
      </c>
      <c r="BO86" s="14" t="e">
        <v>#N/A</v>
      </c>
      <c r="BP86" s="182" t="e">
        <v>#N/A</v>
      </c>
      <c r="BQ86" s="183" t="e">
        <v>#N/A</v>
      </c>
    </row>
    <row r="87" spans="2:69" x14ac:dyDescent="0.35">
      <c r="B87" s="11">
        <v>68</v>
      </c>
      <c r="C87" s="4" t="str">
        <v>Product 20</v>
      </c>
      <c r="D87" s="94">
        <v>64.705882352941188</v>
      </c>
      <c r="E87" s="94">
        <v>70.588235294117652</v>
      </c>
      <c r="F87" s="94">
        <v>93.697390572390589</v>
      </c>
      <c r="G87" s="94">
        <v>97.832678270634474</v>
      </c>
      <c r="H87" s="4">
        <v>218.25980392156865</v>
      </c>
      <c r="I87" s="174">
        <v>87.506387327542157</v>
      </c>
      <c r="J87" s="95">
        <v>81.239530988274709</v>
      </c>
      <c r="K87" s="4">
        <v>261.91176470588232</v>
      </c>
      <c r="L87" s="11">
        <v>12</v>
      </c>
      <c r="M87" s="4">
        <v>0</v>
      </c>
      <c r="N87" s="11">
        <v>0</v>
      </c>
      <c r="O87" s="11">
        <v>18</v>
      </c>
      <c r="P87" s="137">
        <v>41661</v>
      </c>
      <c r="Q87" s="11">
        <v>97</v>
      </c>
      <c r="R87" s="95">
        <f>CHOOSE($D$4,D87,E87,F87,G87,H87,I87,J87,K87,L87,M87,N87,O87,P87,101-B87)+0.000001*ROWS($A$20:A87)</f>
        <v>97.832746270634473</v>
      </c>
      <c r="S87" s="4">
        <f t="shared" si="33"/>
        <v>199</v>
      </c>
      <c r="T87" s="4"/>
      <c r="U87" s="14">
        <f>ROWS($U$20:U87)</f>
        <v>68</v>
      </c>
      <c r="V87" s="4">
        <v>69</v>
      </c>
      <c r="W87" s="4" t="str">
        <v>Product 3</v>
      </c>
      <c r="X87" s="94">
        <v>89.662861308379163</v>
      </c>
      <c r="Y87" s="94">
        <v>91.552511415525132</v>
      </c>
      <c r="Z87" s="94">
        <v>98.867327227320573</v>
      </c>
      <c r="AA87" s="94">
        <v>99.057996100796245</v>
      </c>
      <c r="AB87" s="4">
        <v>313.25913242009136</v>
      </c>
      <c r="AC87" s="94">
        <v>114.93918273660933</v>
      </c>
      <c r="AD87" s="94">
        <v>0</v>
      </c>
      <c r="AE87" s="4">
        <v>375.91095890410963</v>
      </c>
      <c r="AF87" s="4">
        <v>12</v>
      </c>
      <c r="AG87" s="4">
        <v>0</v>
      </c>
      <c r="AH87" s="4">
        <v>0</v>
      </c>
      <c r="AI87" s="4">
        <v>25</v>
      </c>
      <c r="AJ87" s="139">
        <v>41661</v>
      </c>
      <c r="AK87" s="94">
        <v>76</v>
      </c>
      <c r="AL87" s="162">
        <v>87.494399999999999</v>
      </c>
      <c r="AM87" s="162">
        <v>90</v>
      </c>
      <c r="AN87" s="162">
        <v>98</v>
      </c>
      <c r="AO87" s="162">
        <v>99.2</v>
      </c>
      <c r="AP87" s="17">
        <v>346.08333333333331</v>
      </c>
      <c r="AQ87" s="162">
        <v>0</v>
      </c>
      <c r="AR87" s="162">
        <v>40</v>
      </c>
      <c r="AS87" s="17">
        <v>415.3</v>
      </c>
      <c r="AT87" s="17">
        <v>12</v>
      </c>
      <c r="AU87" s="17">
        <v>0</v>
      </c>
      <c r="AV87" s="17">
        <v>0</v>
      </c>
      <c r="AW87" s="17">
        <v>20</v>
      </c>
      <c r="AX87" s="4">
        <v>98.867327227320573</v>
      </c>
      <c r="AY87" s="4">
        <v>91.552511415525132</v>
      </c>
      <c r="BD87" s="159" t="e">
        <v>#N/A</v>
      </c>
      <c r="BE87" s="159" t="e">
        <v>#N/A</v>
      </c>
      <c r="BF87" s="159" t="e">
        <v>#N/A</v>
      </c>
      <c r="BG87" s="159" t="e">
        <v>#N/A</v>
      </c>
      <c r="BH87" s="14" t="e">
        <v>#N/A</v>
      </c>
      <c r="BI87" s="159" t="e">
        <v>#N/A</v>
      </c>
      <c r="BJ87" s="159" t="e">
        <v>#N/A</v>
      </c>
      <c r="BK87" s="14" t="e">
        <v>#N/A</v>
      </c>
      <c r="BL87" s="14" t="e">
        <v>#N/A</v>
      </c>
      <c r="BM87" s="14" t="e">
        <v>#N/A</v>
      </c>
      <c r="BN87" s="14" t="e">
        <v>#N/A</v>
      </c>
      <c r="BO87" s="14" t="e">
        <v>#N/A</v>
      </c>
      <c r="BP87" s="182" t="e">
        <v>#N/A</v>
      </c>
      <c r="BQ87" s="183" t="e">
        <v>#N/A</v>
      </c>
    </row>
    <row r="88" spans="2:69" x14ac:dyDescent="0.35">
      <c r="B88" s="11">
        <v>69</v>
      </c>
      <c r="C88" s="4" t="str">
        <v>Product 3</v>
      </c>
      <c r="D88" s="94">
        <v>89.662861308379163</v>
      </c>
      <c r="E88" s="94">
        <v>91.552511415525132</v>
      </c>
      <c r="F88" s="94">
        <v>98.867327227320573</v>
      </c>
      <c r="G88" s="94">
        <v>99.057996100796245</v>
      </c>
      <c r="H88" s="4">
        <v>313.25913242009136</v>
      </c>
      <c r="I88" s="174">
        <v>114.93918273660933</v>
      </c>
      <c r="J88" s="95">
        <v>0</v>
      </c>
      <c r="K88" s="4">
        <v>375.91095890410963</v>
      </c>
      <c r="L88" s="11">
        <v>12</v>
      </c>
      <c r="M88" s="4">
        <v>0</v>
      </c>
      <c r="N88" s="11">
        <v>0</v>
      </c>
      <c r="O88" s="11">
        <v>25</v>
      </c>
      <c r="P88" s="137">
        <v>41661</v>
      </c>
      <c r="Q88" s="11">
        <v>76</v>
      </c>
      <c r="R88" s="95">
        <f>CHOOSE($D$4,D88,E88,F88,G88,H88,I88,J88,K88,L88,M88,N88,O88,P88,101-B88)+0.000001*ROWS($A$20:A88)</f>
        <v>99.058065100796242</v>
      </c>
      <c r="S88" s="4">
        <f t="shared" si="33"/>
        <v>68</v>
      </c>
      <c r="T88" s="4"/>
      <c r="U88" s="14">
        <f>ROWS($U$20:U88)</f>
        <v>69</v>
      </c>
      <c r="V88" s="4">
        <v>199</v>
      </c>
      <c r="W88" s="4" t="str">
        <v>Product 4</v>
      </c>
      <c r="X88" s="94">
        <v>93.406593406593402</v>
      </c>
      <c r="Y88" s="94">
        <v>98.095238095238102</v>
      </c>
      <c r="Z88" s="94">
        <v>96.132841672890208</v>
      </c>
      <c r="AA88" s="94">
        <v>99.050763516302112</v>
      </c>
      <c r="AB88" s="4">
        <v>245.1845238095238</v>
      </c>
      <c r="AC88" s="94">
        <v>156.65908554998592</v>
      </c>
      <c r="AD88" s="94">
        <v>23.440705785802216</v>
      </c>
      <c r="AE88" s="4">
        <v>294.22142857142859</v>
      </c>
      <c r="AF88" s="4">
        <v>12</v>
      </c>
      <c r="AG88" s="4">
        <v>0</v>
      </c>
      <c r="AH88" s="4">
        <v>0</v>
      </c>
      <c r="AI88" s="4">
        <v>20</v>
      </c>
      <c r="AJ88" s="139">
        <v>41715</v>
      </c>
      <c r="AK88" s="94">
        <v>66</v>
      </c>
      <c r="AL88" s="162">
        <v>87.097500000000011</v>
      </c>
      <c r="AM88" s="162">
        <v>90</v>
      </c>
      <c r="AN88" s="162">
        <v>98</v>
      </c>
      <c r="AO88" s="162">
        <v>98.75</v>
      </c>
      <c r="AP88" s="17">
        <v>260</v>
      </c>
      <c r="AQ88" s="162">
        <v>0</v>
      </c>
      <c r="AR88" s="162">
        <v>40</v>
      </c>
      <c r="AS88" s="17">
        <v>312</v>
      </c>
      <c r="AT88" s="17">
        <v>12</v>
      </c>
      <c r="AU88" s="17">
        <v>0</v>
      </c>
      <c r="AV88" s="17">
        <v>0</v>
      </c>
      <c r="AW88" s="17">
        <v>20</v>
      </c>
      <c r="AX88" s="4">
        <v>96.132841672890208</v>
      </c>
      <c r="AY88" s="4">
        <v>98.095238095238102</v>
      </c>
      <c r="BD88" s="159" t="e">
        <v>#N/A</v>
      </c>
      <c r="BE88" s="159" t="e">
        <v>#N/A</v>
      </c>
      <c r="BF88" s="159" t="e">
        <v>#N/A</v>
      </c>
      <c r="BG88" s="159" t="e">
        <v>#N/A</v>
      </c>
      <c r="BH88" s="14" t="e">
        <v>#N/A</v>
      </c>
      <c r="BI88" s="159" t="e">
        <v>#N/A</v>
      </c>
      <c r="BJ88" s="159" t="e">
        <v>#N/A</v>
      </c>
      <c r="BK88" s="14" t="e">
        <v>#N/A</v>
      </c>
      <c r="BL88" s="14" t="e">
        <v>#N/A</v>
      </c>
      <c r="BM88" s="14" t="e">
        <v>#N/A</v>
      </c>
      <c r="BN88" s="14" t="e">
        <v>#N/A</v>
      </c>
      <c r="BO88" s="14" t="e">
        <v>#N/A</v>
      </c>
      <c r="BP88" s="182" t="e">
        <v>#N/A</v>
      </c>
      <c r="BQ88" s="183" t="e">
        <v>#N/A</v>
      </c>
    </row>
    <row r="89" spans="2:69" x14ac:dyDescent="0.35">
      <c r="B89" s="11">
        <v>70</v>
      </c>
      <c r="C89" s="4" t="str">
        <v>Product 17</v>
      </c>
      <c r="D89" s="94">
        <v>93.314685314685306</v>
      </c>
      <c r="E89" s="94">
        <v>96.615384615384613</v>
      </c>
      <c r="F89" s="94">
        <v>96.5836711059641</v>
      </c>
      <c r="G89" s="94">
        <v>100</v>
      </c>
      <c r="H89" s="4">
        <v>307.93846153846152</v>
      </c>
      <c r="I89" s="174">
        <v>100.37107612075017</v>
      </c>
      <c r="J89" s="95">
        <v>82.323206003439481</v>
      </c>
      <c r="K89" s="4">
        <v>369.52615384615382</v>
      </c>
      <c r="L89" s="11">
        <v>12</v>
      </c>
      <c r="M89" s="4">
        <v>0</v>
      </c>
      <c r="N89" s="11">
        <v>0</v>
      </c>
      <c r="O89" s="11">
        <v>22</v>
      </c>
      <c r="P89" s="137">
        <v>41661</v>
      </c>
      <c r="Q89" s="11">
        <v>74</v>
      </c>
      <c r="R89" s="95">
        <f>CHOOSE($D$4,D89,E89,F89,G89,H89,I89,J89,K89,L89,M89,N89,O89,P89,101-B89)+0.000001*ROWS($A$20:A89)</f>
        <v>100.00006999999999</v>
      </c>
      <c r="S89" s="4">
        <f t="shared" si="33"/>
        <v>5</v>
      </c>
      <c r="T89" s="4"/>
      <c r="U89" s="14">
        <f>ROWS($U$20:U89)</f>
        <v>70</v>
      </c>
      <c r="V89" s="4">
        <v>83</v>
      </c>
      <c r="W89" s="4" t="str">
        <v>Product 3</v>
      </c>
      <c r="X89" s="94">
        <v>99.810808021739888</v>
      </c>
      <c r="Y89" s="94">
        <v>98.067226890756302</v>
      </c>
      <c r="Z89" s="94">
        <v>102.75472186303207</v>
      </c>
      <c r="AA89" s="94">
        <v>99.049409043264532</v>
      </c>
      <c r="AB89" s="4">
        <v>348.74369747899158</v>
      </c>
      <c r="AC89" s="94">
        <v>119.48177205167885</v>
      </c>
      <c r="AD89" s="94">
        <v>0</v>
      </c>
      <c r="AE89" s="4">
        <v>418.49243697478994</v>
      </c>
      <c r="AF89" s="4">
        <v>12</v>
      </c>
      <c r="AG89" s="4">
        <v>0</v>
      </c>
      <c r="AH89" s="4">
        <v>0</v>
      </c>
      <c r="AI89" s="4">
        <v>16</v>
      </c>
      <c r="AJ89" s="139">
        <v>41666</v>
      </c>
      <c r="AK89" s="94">
        <v>84</v>
      </c>
      <c r="AL89" s="162">
        <v>87.494399999999999</v>
      </c>
      <c r="AM89" s="162">
        <v>90</v>
      </c>
      <c r="AN89" s="162">
        <v>98</v>
      </c>
      <c r="AO89" s="162">
        <v>99.2</v>
      </c>
      <c r="AP89" s="17">
        <v>346.08333333333331</v>
      </c>
      <c r="AQ89" s="162">
        <v>0</v>
      </c>
      <c r="AR89" s="162">
        <v>40</v>
      </c>
      <c r="AS89" s="17">
        <v>415.3</v>
      </c>
      <c r="AT89" s="17">
        <v>12</v>
      </c>
      <c r="AU89" s="17">
        <v>0</v>
      </c>
      <c r="AV89" s="17">
        <v>0</v>
      </c>
      <c r="AW89" s="17">
        <v>20</v>
      </c>
      <c r="AX89" s="4">
        <v>102.75472186303207</v>
      </c>
      <c r="AY89" s="4">
        <v>98.067226890756302</v>
      </c>
      <c r="BD89" s="159" t="e">
        <v>#N/A</v>
      </c>
      <c r="BE89" s="159" t="e">
        <v>#N/A</v>
      </c>
      <c r="BF89" s="159" t="e">
        <v>#N/A</v>
      </c>
      <c r="BG89" s="159" t="e">
        <v>#N/A</v>
      </c>
      <c r="BH89" s="14" t="e">
        <v>#N/A</v>
      </c>
      <c r="BI89" s="159" t="e">
        <v>#N/A</v>
      </c>
      <c r="BJ89" s="159" t="e">
        <v>#N/A</v>
      </c>
      <c r="BK89" s="14" t="e">
        <v>#N/A</v>
      </c>
      <c r="BL89" s="14" t="e">
        <v>#N/A</v>
      </c>
      <c r="BM89" s="14" t="e">
        <v>#N/A</v>
      </c>
      <c r="BN89" s="14" t="e">
        <v>#N/A</v>
      </c>
      <c r="BO89" s="14" t="e">
        <v>#N/A</v>
      </c>
      <c r="BP89" s="182" t="e">
        <v>#N/A</v>
      </c>
      <c r="BQ89" s="183" t="e">
        <v>#N/A</v>
      </c>
    </row>
    <row r="90" spans="2:69" x14ac:dyDescent="0.35">
      <c r="B90" s="11">
        <v>71</v>
      </c>
      <c r="C90" s="4" t="str">
        <v>Product 3</v>
      </c>
      <c r="D90" s="94">
        <v>74.155301232703465</v>
      </c>
      <c r="E90" s="94">
        <v>97.815533980582529</v>
      </c>
      <c r="F90" s="94">
        <v>78.772551636862701</v>
      </c>
      <c r="G90" s="94">
        <v>96.240852152396585</v>
      </c>
      <c r="H90" s="4">
        <v>266.66341019417479</v>
      </c>
      <c r="I90" s="174">
        <v>95.562071889881921</v>
      </c>
      <c r="J90" s="95">
        <v>35.486384280637743</v>
      </c>
      <c r="K90" s="4">
        <v>319.99609223300973</v>
      </c>
      <c r="L90" s="11">
        <v>12</v>
      </c>
      <c r="M90" s="4">
        <v>0</v>
      </c>
      <c r="N90" s="11">
        <v>0</v>
      </c>
      <c r="O90" s="11">
        <v>20</v>
      </c>
      <c r="P90" s="137">
        <v>41662</v>
      </c>
      <c r="Q90" s="11">
        <v>130</v>
      </c>
      <c r="R90" s="95">
        <f>CHOOSE($D$4,D90,E90,F90,G90,H90,I90,J90,K90,L90,M90,N90,O90,P90,101-B90)+0.000001*ROWS($A$20:A90)</f>
        <v>96.24092315239659</v>
      </c>
      <c r="S90" s="4">
        <f t="shared" si="33"/>
        <v>237</v>
      </c>
      <c r="T90" s="4"/>
      <c r="U90" s="14">
        <f>ROWS($U$20:U90)</f>
        <v>71</v>
      </c>
      <c r="V90" s="4">
        <v>58</v>
      </c>
      <c r="W90" s="4" t="str">
        <v>Product 3</v>
      </c>
      <c r="X90" s="94">
        <v>98.682039881509013</v>
      </c>
      <c r="Y90" s="94">
        <v>98.837209302325576</v>
      </c>
      <c r="Z90" s="94">
        <v>100.80219826914632</v>
      </c>
      <c r="AA90" s="94">
        <v>99.048440183814606</v>
      </c>
      <c r="AB90" s="4">
        <v>344.8031007751938</v>
      </c>
      <c r="AC90" s="94">
        <v>118.04141836744171</v>
      </c>
      <c r="AD90" s="94">
        <v>0</v>
      </c>
      <c r="AE90" s="4">
        <v>413.76372093023258</v>
      </c>
      <c r="AF90" s="4">
        <v>12</v>
      </c>
      <c r="AG90" s="4">
        <v>0</v>
      </c>
      <c r="AH90" s="4">
        <v>0</v>
      </c>
      <c r="AI90" s="4">
        <v>19</v>
      </c>
      <c r="AJ90" s="139">
        <v>41659</v>
      </c>
      <c r="AK90" s="94">
        <v>78</v>
      </c>
      <c r="AL90" s="162">
        <v>87.494399999999999</v>
      </c>
      <c r="AM90" s="162">
        <v>90</v>
      </c>
      <c r="AN90" s="162">
        <v>98</v>
      </c>
      <c r="AO90" s="162">
        <v>99.2</v>
      </c>
      <c r="AP90" s="17">
        <v>346.08333333333331</v>
      </c>
      <c r="AQ90" s="162">
        <v>0</v>
      </c>
      <c r="AR90" s="162">
        <v>40</v>
      </c>
      <c r="AS90" s="17">
        <v>415.3</v>
      </c>
      <c r="AT90" s="17">
        <v>12</v>
      </c>
      <c r="AU90" s="17">
        <v>0</v>
      </c>
      <c r="AV90" s="17">
        <v>0</v>
      </c>
      <c r="AW90" s="17">
        <v>20</v>
      </c>
      <c r="AX90" s="4">
        <v>100.80219826914632</v>
      </c>
      <c r="AY90" s="4">
        <v>98.837209302325576</v>
      </c>
      <c r="BD90" s="159" t="e">
        <v>#N/A</v>
      </c>
      <c r="BE90" s="159" t="e">
        <v>#N/A</v>
      </c>
      <c r="BF90" s="159" t="e">
        <v>#N/A</v>
      </c>
      <c r="BG90" s="159" t="e">
        <v>#N/A</v>
      </c>
      <c r="BH90" s="14" t="e">
        <v>#N/A</v>
      </c>
      <c r="BI90" s="159" t="e">
        <v>#N/A</v>
      </c>
      <c r="BJ90" s="159" t="e">
        <v>#N/A</v>
      </c>
      <c r="BK90" s="14" t="e">
        <v>#N/A</v>
      </c>
      <c r="BL90" s="14" t="e">
        <v>#N/A</v>
      </c>
      <c r="BM90" s="14" t="e">
        <v>#N/A</v>
      </c>
      <c r="BN90" s="14" t="e">
        <v>#N/A</v>
      </c>
      <c r="BO90" s="14" t="e">
        <v>#N/A</v>
      </c>
      <c r="BP90" s="182" t="e">
        <v>#N/A</v>
      </c>
      <c r="BQ90" s="183" t="e">
        <v>#N/A</v>
      </c>
    </row>
    <row r="91" spans="2:69" x14ac:dyDescent="0.35">
      <c r="B91" s="11">
        <v>72</v>
      </c>
      <c r="C91" s="4" t="str">
        <v>Product 3</v>
      </c>
      <c r="D91" s="94">
        <v>90.653994562834342</v>
      </c>
      <c r="E91" s="94">
        <v>91.216931216931215</v>
      </c>
      <c r="F91" s="94">
        <v>100.86502224045326</v>
      </c>
      <c r="G91" s="94">
        <v>98.530548311997151</v>
      </c>
      <c r="H91" s="4">
        <v>333.06164021164022</v>
      </c>
      <c r="I91" s="174">
        <v>127.05707699884547</v>
      </c>
      <c r="J91" s="95">
        <v>37.273637582525751</v>
      </c>
      <c r="K91" s="4">
        <v>399.67396825396827</v>
      </c>
      <c r="L91" s="11">
        <v>12</v>
      </c>
      <c r="M91" s="4">
        <v>0</v>
      </c>
      <c r="N91" s="11">
        <v>0</v>
      </c>
      <c r="O91" s="11">
        <v>20</v>
      </c>
      <c r="P91" s="137">
        <v>41662</v>
      </c>
      <c r="Q91" s="11">
        <v>106</v>
      </c>
      <c r="R91" s="95">
        <f>CHOOSE($D$4,D91,E91,F91,G91,H91,I91,J91,K91,L91,M91,N91,O91,P91,101-B91)+0.000001*ROWS($A$20:A91)</f>
        <v>98.530620311997154</v>
      </c>
      <c r="S91" s="4">
        <f t="shared" si="33"/>
        <v>140</v>
      </c>
      <c r="T91" s="4"/>
      <c r="U91" s="14">
        <f>ROWS($U$20:U91)</f>
        <v>72</v>
      </c>
      <c r="V91" s="4">
        <v>47</v>
      </c>
      <c r="W91" s="4" t="str">
        <v>Product 1</v>
      </c>
      <c r="X91" s="94">
        <v>96.410870505272257</v>
      </c>
      <c r="Y91" s="94">
        <v>92.206366630076843</v>
      </c>
      <c r="Z91" s="94">
        <v>105.5762987012987</v>
      </c>
      <c r="AA91" s="94">
        <v>99.037270529543918</v>
      </c>
      <c r="AB91" s="4">
        <v>321.24862788144895</v>
      </c>
      <c r="AC91" s="94">
        <v>112.10611597600494</v>
      </c>
      <c r="AD91" s="94">
        <v>81.032207614486097</v>
      </c>
      <c r="AE91" s="4">
        <v>385.49835345773874</v>
      </c>
      <c r="AF91" s="4">
        <v>12</v>
      </c>
      <c r="AG91" s="4">
        <v>0</v>
      </c>
      <c r="AH91" s="4">
        <v>0</v>
      </c>
      <c r="AI91" s="4">
        <v>22</v>
      </c>
      <c r="AJ91" s="139">
        <v>41655</v>
      </c>
      <c r="AK91" s="94">
        <v>72</v>
      </c>
      <c r="AL91" s="162">
        <v>87.494399999999999</v>
      </c>
      <c r="AM91" s="162">
        <v>90</v>
      </c>
      <c r="AN91" s="162">
        <v>98</v>
      </c>
      <c r="AO91" s="162">
        <v>99.2</v>
      </c>
      <c r="AP91" s="17">
        <v>330</v>
      </c>
      <c r="AQ91" s="162">
        <v>0</v>
      </c>
      <c r="AR91" s="162">
        <v>40</v>
      </c>
      <c r="AS91" s="17">
        <v>396</v>
      </c>
      <c r="AT91" s="17">
        <v>12</v>
      </c>
      <c r="AU91" s="17">
        <v>0</v>
      </c>
      <c r="AV91" s="17">
        <v>0</v>
      </c>
      <c r="AW91" s="17">
        <v>20</v>
      </c>
      <c r="AX91" s="4">
        <v>105.5762987012987</v>
      </c>
      <c r="AY91" s="4">
        <v>92.206366630076843</v>
      </c>
      <c r="BD91" s="159" t="e">
        <v>#N/A</v>
      </c>
      <c r="BE91" s="159" t="e">
        <v>#N/A</v>
      </c>
      <c r="BF91" s="159" t="e">
        <v>#N/A</v>
      </c>
      <c r="BG91" s="159" t="e">
        <v>#N/A</v>
      </c>
      <c r="BH91" s="14" t="e">
        <v>#N/A</v>
      </c>
      <c r="BI91" s="159" t="e">
        <v>#N/A</v>
      </c>
      <c r="BJ91" s="159" t="e">
        <v>#N/A</v>
      </c>
      <c r="BK91" s="14" t="e">
        <v>#N/A</v>
      </c>
      <c r="BL91" s="14" t="e">
        <v>#N/A</v>
      </c>
      <c r="BM91" s="14" t="e">
        <v>#N/A</v>
      </c>
      <c r="BN91" s="14" t="e">
        <v>#N/A</v>
      </c>
      <c r="BO91" s="14" t="e">
        <v>#N/A</v>
      </c>
      <c r="BP91" s="182" t="e">
        <v>#N/A</v>
      </c>
      <c r="BQ91" s="183" t="e">
        <v>#N/A</v>
      </c>
    </row>
    <row r="92" spans="2:69" x14ac:dyDescent="0.35">
      <c r="B92" s="11">
        <v>73</v>
      </c>
      <c r="C92" s="4" t="str">
        <v>Product 3</v>
      </c>
      <c r="D92" s="94">
        <v>101.50475649683199</v>
      </c>
      <c r="E92" s="94">
        <v>100</v>
      </c>
      <c r="F92" s="94">
        <v>102.16459240038671</v>
      </c>
      <c r="G92" s="94">
        <v>99.354144241119485</v>
      </c>
      <c r="H92" s="4">
        <v>353.57462686567163</v>
      </c>
      <c r="I92" s="174">
        <v>118.20517938226635</v>
      </c>
      <c r="J92" s="95">
        <v>36.366665185909106</v>
      </c>
      <c r="K92" s="4">
        <v>424.28955223880604</v>
      </c>
      <c r="L92" s="11">
        <v>12</v>
      </c>
      <c r="M92" s="4">
        <v>0</v>
      </c>
      <c r="N92" s="11">
        <v>0</v>
      </c>
      <c r="O92" s="11">
        <v>28</v>
      </c>
      <c r="P92" s="137">
        <v>41663</v>
      </c>
      <c r="Q92" s="11">
        <v>62</v>
      </c>
      <c r="R92" s="95">
        <f>CHOOSE($D$4,D92,E92,F92,G92,H92,I92,J92,K92,L92,M92,N92,O92,P92,101-B92)+0.000001*ROWS($A$20:A92)</f>
        <v>99.354217241119485</v>
      </c>
      <c r="S92" s="4">
        <f t="shared" si="33"/>
        <v>40</v>
      </c>
      <c r="T92" s="4"/>
      <c r="U92" s="14">
        <f>ROWS($U$20:U92)</f>
        <v>73</v>
      </c>
      <c r="V92" s="4">
        <v>180</v>
      </c>
      <c r="W92" s="4" t="str">
        <v>Product 3</v>
      </c>
      <c r="X92" s="94">
        <v>98.369176742411724</v>
      </c>
      <c r="Y92" s="94">
        <v>96.292134831460672</v>
      </c>
      <c r="Z92" s="94">
        <v>103.15502057951949</v>
      </c>
      <c r="AA92" s="94">
        <v>99.032524816065319</v>
      </c>
      <c r="AB92" s="4">
        <v>343.76516853932583</v>
      </c>
      <c r="AC92" s="94">
        <v>184.99879066392552</v>
      </c>
      <c r="AD92" s="94">
        <v>26.355657087892268</v>
      </c>
      <c r="AE92" s="4">
        <v>412.51820224719097</v>
      </c>
      <c r="AF92" s="4">
        <v>12</v>
      </c>
      <c r="AG92" s="4">
        <v>0</v>
      </c>
      <c r="AH92" s="4">
        <v>0</v>
      </c>
      <c r="AI92" s="4">
        <v>20</v>
      </c>
      <c r="AJ92" s="139">
        <v>41709</v>
      </c>
      <c r="AK92" s="94">
        <v>99</v>
      </c>
      <c r="AL92" s="162">
        <v>87.494399999999999</v>
      </c>
      <c r="AM92" s="162">
        <v>90</v>
      </c>
      <c r="AN92" s="162">
        <v>98</v>
      </c>
      <c r="AO92" s="162">
        <v>99.2</v>
      </c>
      <c r="AP92" s="17">
        <v>346.08333333333331</v>
      </c>
      <c r="AQ92" s="162">
        <v>0</v>
      </c>
      <c r="AR92" s="162">
        <v>40</v>
      </c>
      <c r="AS92" s="17">
        <v>415.3</v>
      </c>
      <c r="AT92" s="17">
        <v>12</v>
      </c>
      <c r="AU92" s="17">
        <v>0</v>
      </c>
      <c r="AV92" s="17">
        <v>0</v>
      </c>
      <c r="AW92" s="17">
        <v>20</v>
      </c>
      <c r="AX92" s="4">
        <v>103.15502057951949</v>
      </c>
      <c r="AY92" s="4">
        <v>96.292134831460672</v>
      </c>
      <c r="BD92" s="159" t="e">
        <v>#N/A</v>
      </c>
      <c r="BE92" s="159" t="e">
        <v>#N/A</v>
      </c>
      <c r="BF92" s="159" t="e">
        <v>#N/A</v>
      </c>
      <c r="BG92" s="159" t="e">
        <v>#N/A</v>
      </c>
      <c r="BH92" s="14" t="e">
        <v>#N/A</v>
      </c>
      <c r="BI92" s="159" t="e">
        <v>#N/A</v>
      </c>
      <c r="BJ92" s="159" t="e">
        <v>#N/A</v>
      </c>
      <c r="BK92" s="14" t="e">
        <v>#N/A</v>
      </c>
      <c r="BL92" s="14" t="e">
        <v>#N/A</v>
      </c>
      <c r="BM92" s="14" t="e">
        <v>#N/A</v>
      </c>
      <c r="BN92" s="14" t="e">
        <v>#N/A</v>
      </c>
      <c r="BO92" s="14" t="e">
        <v>#N/A</v>
      </c>
      <c r="BP92" s="182" t="e">
        <v>#N/A</v>
      </c>
      <c r="BQ92" s="183" t="e">
        <v>#N/A</v>
      </c>
    </row>
    <row r="93" spans="2:69" x14ac:dyDescent="0.35">
      <c r="B93" s="11">
        <v>74</v>
      </c>
      <c r="C93" s="4" t="str">
        <v>Product 3</v>
      </c>
      <c r="D93" s="94">
        <v>98.229918462075631</v>
      </c>
      <c r="E93" s="94">
        <v>97.695167286245351</v>
      </c>
      <c r="F93" s="94">
        <v>101.89599678767544</v>
      </c>
      <c r="G93" s="94">
        <v>98.676464474521836</v>
      </c>
      <c r="H93" s="4">
        <v>360.36182156133827</v>
      </c>
      <c r="I93" s="174">
        <v>120.20267865667887</v>
      </c>
      <c r="J93" s="95">
        <v>25.880676682935128</v>
      </c>
      <c r="K93" s="4">
        <v>432.43418587360594</v>
      </c>
      <c r="L93" s="11">
        <v>12</v>
      </c>
      <c r="M93" s="4">
        <v>0</v>
      </c>
      <c r="N93" s="11">
        <v>0</v>
      </c>
      <c r="O93" s="11">
        <v>28</v>
      </c>
      <c r="P93" s="137">
        <v>41663</v>
      </c>
      <c r="Q93" s="11">
        <v>84</v>
      </c>
      <c r="R93" s="95">
        <f>CHOOSE($D$4,D93,E93,F93,G93,H93,I93,J93,K93,L93,M93,N93,O93,P93,101-B93)+0.000001*ROWS($A$20:A93)</f>
        <v>98.676538474521834</v>
      </c>
      <c r="S93" s="4">
        <f t="shared" si="33"/>
        <v>116</v>
      </c>
      <c r="T93" s="4"/>
      <c r="U93" s="14">
        <f>ROWS($U$20:U93)</f>
        <v>74</v>
      </c>
      <c r="V93" s="4">
        <v>148</v>
      </c>
      <c r="W93" s="4" t="str">
        <v>Product 11</v>
      </c>
      <c r="X93" s="94">
        <v>84.184308841843091</v>
      </c>
      <c r="Y93" s="94">
        <v>88.219178082191775</v>
      </c>
      <c r="Z93" s="94">
        <v>96.367400715226808</v>
      </c>
      <c r="AA93" s="94">
        <v>99.0234375</v>
      </c>
      <c r="AB93" s="4">
        <v>280.54794520547944</v>
      </c>
      <c r="AC93" s="94">
        <v>113.24301907658281</v>
      </c>
      <c r="AD93" s="94">
        <v>63.136975132490825</v>
      </c>
      <c r="AE93" s="4">
        <v>336.65753424657538</v>
      </c>
      <c r="AF93" s="4">
        <v>12</v>
      </c>
      <c r="AG93" s="4">
        <v>0</v>
      </c>
      <c r="AH93" s="4">
        <v>0</v>
      </c>
      <c r="AI93" s="4">
        <v>16</v>
      </c>
      <c r="AJ93" s="139">
        <v>41696</v>
      </c>
      <c r="AK93" s="94">
        <v>111</v>
      </c>
      <c r="AL93" s="162">
        <v>87.494399999999999</v>
      </c>
      <c r="AM93" s="162">
        <v>90</v>
      </c>
      <c r="AN93" s="162">
        <v>98</v>
      </c>
      <c r="AO93" s="162">
        <v>99.2</v>
      </c>
      <c r="AP93" s="17">
        <v>330</v>
      </c>
      <c r="AQ93" s="162">
        <v>0</v>
      </c>
      <c r="AR93" s="162">
        <v>40</v>
      </c>
      <c r="AS93" s="17">
        <v>396.00000000000006</v>
      </c>
      <c r="AT93" s="17">
        <v>12</v>
      </c>
      <c r="AU93" s="17">
        <v>0</v>
      </c>
      <c r="AV93" s="17">
        <v>0</v>
      </c>
      <c r="AW93" s="17">
        <v>20</v>
      </c>
      <c r="AX93" s="4">
        <v>96.367400715226808</v>
      </c>
      <c r="AY93" s="4">
        <v>88.219178082191775</v>
      </c>
      <c r="BD93" s="159" t="e">
        <v>#N/A</v>
      </c>
      <c r="BE93" s="159" t="e">
        <v>#N/A</v>
      </c>
      <c r="BF93" s="159" t="e">
        <v>#N/A</v>
      </c>
      <c r="BG93" s="159" t="e">
        <v>#N/A</v>
      </c>
      <c r="BH93" s="14" t="e">
        <v>#N/A</v>
      </c>
      <c r="BI93" s="159" t="e">
        <v>#N/A</v>
      </c>
      <c r="BJ93" s="159" t="e">
        <v>#N/A</v>
      </c>
      <c r="BK93" s="14" t="e">
        <v>#N/A</v>
      </c>
      <c r="BL93" s="14" t="e">
        <v>#N/A</v>
      </c>
      <c r="BM93" s="14" t="e">
        <v>#N/A</v>
      </c>
      <c r="BN93" s="14" t="e">
        <v>#N/A</v>
      </c>
      <c r="BO93" s="14" t="e">
        <v>#N/A</v>
      </c>
      <c r="BP93" s="182" t="e">
        <v>#N/A</v>
      </c>
      <c r="BQ93" s="183" t="e">
        <v>#N/A</v>
      </c>
    </row>
    <row r="94" spans="2:69" x14ac:dyDescent="0.35">
      <c r="B94" s="11">
        <v>75</v>
      </c>
      <c r="C94" s="4" t="str">
        <v>Product 17</v>
      </c>
      <c r="D94" s="94">
        <v>92.20779220779221</v>
      </c>
      <c r="E94" s="94">
        <v>97.959183673469397</v>
      </c>
      <c r="F94" s="94">
        <v>94.367108585858588</v>
      </c>
      <c r="G94" s="94">
        <v>99.747453630145003</v>
      </c>
      <c r="H94" s="4">
        <v>305.05612244897958</v>
      </c>
      <c r="I94" s="174">
        <v>102.19181453666641</v>
      </c>
      <c r="J94" s="95">
        <v>71.562259934352952</v>
      </c>
      <c r="K94" s="4">
        <v>366.06734693877553</v>
      </c>
      <c r="L94" s="11">
        <v>12</v>
      </c>
      <c r="M94" s="4">
        <v>0</v>
      </c>
      <c r="N94" s="11">
        <v>0</v>
      </c>
      <c r="O94" s="11">
        <v>15</v>
      </c>
      <c r="P94" s="137">
        <v>41663</v>
      </c>
      <c r="Q94" s="11">
        <v>96</v>
      </c>
      <c r="R94" s="95">
        <f>CHOOSE($D$4,D94,E94,F94,G94,H94,I94,J94,K94,L94,M94,N94,O94,P94,101-B94)+0.000001*ROWS($A$20:A94)</f>
        <v>99.747528630144998</v>
      </c>
      <c r="S94" s="4">
        <f t="shared" si="33"/>
        <v>17</v>
      </c>
      <c r="T94" s="4"/>
      <c r="U94" s="14">
        <f>ROWS($U$20:U94)</f>
        <v>75</v>
      </c>
      <c r="V94" s="4">
        <v>110</v>
      </c>
      <c r="W94" s="4" t="str">
        <v>Product 3</v>
      </c>
      <c r="X94" s="94">
        <v>101.65729517903854</v>
      </c>
      <c r="Y94" s="94">
        <v>99.432463110102148</v>
      </c>
      <c r="Z94" s="94">
        <v>103.25346588866277</v>
      </c>
      <c r="AA94" s="94">
        <v>99.016076605464292</v>
      </c>
      <c r="AB94" s="4">
        <v>355.31498297389334</v>
      </c>
      <c r="AC94" s="94">
        <v>119.97834481569139</v>
      </c>
      <c r="AD94" s="94">
        <v>0</v>
      </c>
      <c r="AE94" s="4">
        <v>426.377979568672</v>
      </c>
      <c r="AF94" s="4">
        <v>12</v>
      </c>
      <c r="AG94" s="4">
        <v>0</v>
      </c>
      <c r="AH94" s="4">
        <v>0</v>
      </c>
      <c r="AI94" s="4">
        <v>25</v>
      </c>
      <c r="AJ94" s="139">
        <v>41680</v>
      </c>
      <c r="AK94" s="94">
        <v>107</v>
      </c>
      <c r="AL94" s="162">
        <v>87.494399999999999</v>
      </c>
      <c r="AM94" s="162">
        <v>90</v>
      </c>
      <c r="AN94" s="162">
        <v>98</v>
      </c>
      <c r="AO94" s="162">
        <v>99.2</v>
      </c>
      <c r="AP94" s="17">
        <v>346.08333333333331</v>
      </c>
      <c r="AQ94" s="162">
        <v>0</v>
      </c>
      <c r="AR94" s="162">
        <v>40</v>
      </c>
      <c r="AS94" s="17">
        <v>415.3</v>
      </c>
      <c r="AT94" s="17">
        <v>12</v>
      </c>
      <c r="AU94" s="17">
        <v>0</v>
      </c>
      <c r="AV94" s="17">
        <v>0</v>
      </c>
      <c r="AW94" s="17">
        <v>20</v>
      </c>
      <c r="AX94" s="4">
        <v>103.25346588866277</v>
      </c>
      <c r="AY94" s="4">
        <v>99.432463110102148</v>
      </c>
      <c r="BD94" s="159" t="e">
        <v>#N/A</v>
      </c>
      <c r="BE94" s="159" t="e">
        <v>#N/A</v>
      </c>
      <c r="BF94" s="159" t="e">
        <v>#N/A</v>
      </c>
      <c r="BG94" s="159" t="e">
        <v>#N/A</v>
      </c>
      <c r="BH94" s="14" t="e">
        <v>#N/A</v>
      </c>
      <c r="BI94" s="159" t="e">
        <v>#N/A</v>
      </c>
      <c r="BJ94" s="159" t="e">
        <v>#N/A</v>
      </c>
      <c r="BK94" s="14" t="e">
        <v>#N/A</v>
      </c>
      <c r="BL94" s="14" t="e">
        <v>#N/A</v>
      </c>
      <c r="BM94" s="14" t="e">
        <v>#N/A</v>
      </c>
      <c r="BN94" s="14" t="e">
        <v>#N/A</v>
      </c>
      <c r="BO94" s="14" t="e">
        <v>#N/A</v>
      </c>
      <c r="BP94" s="182" t="e">
        <v>#N/A</v>
      </c>
      <c r="BQ94" s="183" t="e">
        <v>#N/A</v>
      </c>
    </row>
    <row r="95" spans="2:69" x14ac:dyDescent="0.35">
      <c r="B95" s="11">
        <v>76</v>
      </c>
      <c r="C95" s="4" t="str">
        <v>Product 3</v>
      </c>
      <c r="D95" s="94">
        <v>96.035621839634018</v>
      </c>
      <c r="E95" s="94">
        <v>94.791666666666657</v>
      </c>
      <c r="F95" s="94">
        <v>103.05273825620564</v>
      </c>
      <c r="G95" s="94">
        <v>98.311123093514098</v>
      </c>
      <c r="H95" s="4">
        <v>338.07291666666663</v>
      </c>
      <c r="I95" s="174">
        <v>122.49481034157388</v>
      </c>
      <c r="J95" s="95">
        <v>0</v>
      </c>
      <c r="K95" s="4">
        <v>405.6875</v>
      </c>
      <c r="L95" s="11">
        <v>12</v>
      </c>
      <c r="M95" s="4">
        <v>0</v>
      </c>
      <c r="N95" s="11">
        <v>0</v>
      </c>
      <c r="O95" s="11">
        <v>18</v>
      </c>
      <c r="P95" s="137">
        <v>41664</v>
      </c>
      <c r="Q95" s="11">
        <v>87</v>
      </c>
      <c r="R95" s="95">
        <f>CHOOSE($D$4,D95,E95,F95,G95,H95,I95,J95,K95,L95,M95,N95,O95,P95,101-B95)+0.000001*ROWS($A$20:A95)</f>
        <v>98.311199093514105</v>
      </c>
      <c r="S95" s="4">
        <f t="shared" si="33"/>
        <v>169</v>
      </c>
      <c r="T95" s="4"/>
      <c r="U95" s="14">
        <f>ROWS($U$20:U95)</f>
        <v>76</v>
      </c>
      <c r="V95" s="4">
        <v>161</v>
      </c>
      <c r="W95" s="4" t="str">
        <v>Product 3</v>
      </c>
      <c r="X95" s="94">
        <v>97.749433676439295</v>
      </c>
      <c r="Y95" s="94">
        <v>95.145631067961162</v>
      </c>
      <c r="Z95" s="94">
        <v>103.76532987382288</v>
      </c>
      <c r="AA95" s="94">
        <v>99.008647498413509</v>
      </c>
      <c r="AB95" s="4">
        <v>341.6817691477886</v>
      </c>
      <c r="AC95" s="94">
        <v>183.14302854210484</v>
      </c>
      <c r="AD95" s="94">
        <v>37.755102040816325</v>
      </c>
      <c r="AE95" s="4">
        <v>410.01812297734631</v>
      </c>
      <c r="AF95" s="4">
        <v>12</v>
      </c>
      <c r="AG95" s="4">
        <v>0</v>
      </c>
      <c r="AH95" s="4">
        <v>0</v>
      </c>
      <c r="AI95" s="4">
        <v>26</v>
      </c>
      <c r="AJ95" s="139">
        <v>41702</v>
      </c>
      <c r="AK95" s="94">
        <v>41</v>
      </c>
      <c r="AL95" s="162">
        <v>87.494399999999999</v>
      </c>
      <c r="AM95" s="162">
        <v>90</v>
      </c>
      <c r="AN95" s="162">
        <v>98</v>
      </c>
      <c r="AO95" s="162">
        <v>99.2</v>
      </c>
      <c r="AP95" s="17">
        <v>346.08333333333331</v>
      </c>
      <c r="AQ95" s="162">
        <v>0</v>
      </c>
      <c r="AR95" s="162">
        <v>40</v>
      </c>
      <c r="AS95" s="17">
        <v>415.3</v>
      </c>
      <c r="AT95" s="17">
        <v>12</v>
      </c>
      <c r="AU95" s="17">
        <v>0</v>
      </c>
      <c r="AV95" s="17">
        <v>0</v>
      </c>
      <c r="AW95" s="17">
        <v>20</v>
      </c>
      <c r="AX95" s="4">
        <v>103.76532987382288</v>
      </c>
      <c r="AY95" s="4">
        <v>95.145631067961162</v>
      </c>
      <c r="BD95" s="159" t="e">
        <v>#N/A</v>
      </c>
      <c r="BE95" s="159" t="e">
        <v>#N/A</v>
      </c>
      <c r="BF95" s="159" t="e">
        <v>#N/A</v>
      </c>
      <c r="BG95" s="159" t="e">
        <v>#N/A</v>
      </c>
      <c r="BH95" s="14" t="e">
        <v>#N/A</v>
      </c>
      <c r="BI95" s="159" t="e">
        <v>#N/A</v>
      </c>
      <c r="BJ95" s="159" t="e">
        <v>#N/A</v>
      </c>
      <c r="BK95" s="14" t="e">
        <v>#N/A</v>
      </c>
      <c r="BL95" s="14" t="e">
        <v>#N/A</v>
      </c>
      <c r="BM95" s="14" t="e">
        <v>#N/A</v>
      </c>
      <c r="BN95" s="14" t="e">
        <v>#N/A</v>
      </c>
      <c r="BO95" s="14" t="e">
        <v>#N/A</v>
      </c>
      <c r="BP95" s="182" t="e">
        <v>#N/A</v>
      </c>
      <c r="BQ95" s="183" t="e">
        <v>#N/A</v>
      </c>
    </row>
    <row r="96" spans="2:69" x14ac:dyDescent="0.35">
      <c r="B96" s="11">
        <v>77</v>
      </c>
      <c r="C96" s="4" t="str">
        <v>Product 3</v>
      </c>
      <c r="D96" s="94">
        <v>75.46789834292845</v>
      </c>
      <c r="E96" s="94">
        <v>76.969696969696969</v>
      </c>
      <c r="F96" s="94">
        <v>102.63333023656176</v>
      </c>
      <c r="G96" s="94">
        <v>95.533141210374637</v>
      </c>
      <c r="H96" s="4">
        <v>273.39393939393938</v>
      </c>
      <c r="I96" s="174">
        <v>121.49041892783561</v>
      </c>
      <c r="J96" s="95">
        <v>0</v>
      </c>
      <c r="K96" s="4">
        <v>328.07272727272726</v>
      </c>
      <c r="L96" s="11">
        <v>12</v>
      </c>
      <c r="M96" s="4">
        <v>0</v>
      </c>
      <c r="N96" s="11">
        <v>0</v>
      </c>
      <c r="O96" s="11">
        <v>23</v>
      </c>
      <c r="P96" s="137">
        <v>41664</v>
      </c>
      <c r="Q96" s="11">
        <v>75</v>
      </c>
      <c r="R96" s="95">
        <f>CHOOSE($D$4,D96,E96,F96,G96,H96,I96,J96,K96,L96,M96,N96,O96,P96,101-B96)+0.000001*ROWS($A$20:A96)</f>
        <v>95.533218210374642</v>
      </c>
      <c r="S96" s="4">
        <f t="shared" si="33"/>
        <v>242</v>
      </c>
      <c r="T96" s="4"/>
      <c r="U96" s="14">
        <f>ROWS($U$20:U96)</f>
        <v>77</v>
      </c>
      <c r="V96" s="4">
        <v>158</v>
      </c>
      <c r="W96" s="4" t="str">
        <v>Product 2</v>
      </c>
      <c r="X96" s="94">
        <v>88.959218559218556</v>
      </c>
      <c r="Y96" s="94">
        <v>89.010989010989022</v>
      </c>
      <c r="Z96" s="94">
        <v>100.94549611339734</v>
      </c>
      <c r="AA96" s="94">
        <v>99.00574268530103</v>
      </c>
      <c r="AB96" s="4">
        <v>242.601978021978</v>
      </c>
      <c r="AC96" s="94">
        <v>106.50447451576332</v>
      </c>
      <c r="AD96" s="94">
        <v>0</v>
      </c>
      <c r="AE96" s="4">
        <v>291.12237362637359</v>
      </c>
      <c r="AF96" s="4">
        <v>12</v>
      </c>
      <c r="AG96" s="4">
        <v>0</v>
      </c>
      <c r="AH96" s="4">
        <v>0</v>
      </c>
      <c r="AI96" s="4">
        <v>23</v>
      </c>
      <c r="AJ96" s="139">
        <v>41701</v>
      </c>
      <c r="AK96" s="94">
        <v>82</v>
      </c>
      <c r="AL96" s="162">
        <v>87.317999999999998</v>
      </c>
      <c r="AM96" s="162">
        <v>90</v>
      </c>
      <c r="AN96" s="162">
        <v>98</v>
      </c>
      <c r="AO96" s="162">
        <v>99</v>
      </c>
      <c r="AP96" s="17">
        <v>270</v>
      </c>
      <c r="AQ96" s="162">
        <v>0</v>
      </c>
      <c r="AR96" s="162">
        <v>40</v>
      </c>
      <c r="AS96" s="17">
        <v>324</v>
      </c>
      <c r="AT96" s="17">
        <v>12</v>
      </c>
      <c r="AU96" s="17">
        <v>0</v>
      </c>
      <c r="AV96" s="17">
        <v>0</v>
      </c>
      <c r="AW96" s="17">
        <v>20</v>
      </c>
      <c r="AX96" s="4">
        <v>100.94549611339734</v>
      </c>
      <c r="AY96" s="4">
        <v>89.010989010989022</v>
      </c>
      <c r="BD96" s="159">
        <v>88.959218559218556</v>
      </c>
      <c r="BE96" s="159">
        <v>89.010989010989022</v>
      </c>
      <c r="BF96" s="159">
        <v>100.94549611339734</v>
      </c>
      <c r="BG96" s="159">
        <v>99.00574268530103</v>
      </c>
      <c r="BH96" s="14">
        <v>242.601978021978</v>
      </c>
      <c r="BI96" s="159">
        <v>106.50447451576332</v>
      </c>
      <c r="BJ96" s="159">
        <v>0</v>
      </c>
      <c r="BK96" s="14">
        <v>291.12237362637359</v>
      </c>
      <c r="BL96" s="14">
        <v>12</v>
      </c>
      <c r="BM96" s="14">
        <v>0</v>
      </c>
      <c r="BN96" s="14">
        <v>0</v>
      </c>
      <c r="BO96" s="14">
        <v>23</v>
      </c>
      <c r="BP96" s="182">
        <v>41701</v>
      </c>
      <c r="BQ96" s="183">
        <v>82</v>
      </c>
    </row>
    <row r="97" spans="2:69" x14ac:dyDescent="0.35">
      <c r="B97" s="11">
        <v>78</v>
      </c>
      <c r="C97" s="4" t="str">
        <v>Product 3</v>
      </c>
      <c r="D97" s="94">
        <v>82.134886097025657</v>
      </c>
      <c r="E97" s="94">
        <v>85.06849315068493</v>
      </c>
      <c r="F97" s="94">
        <v>97.951597405717038</v>
      </c>
      <c r="G97" s="94">
        <v>98.570599119925035</v>
      </c>
      <c r="H97" s="4">
        <v>301.63993150684934</v>
      </c>
      <c r="I97" s="174">
        <v>123.51370756264812</v>
      </c>
      <c r="J97" s="95">
        <v>0</v>
      </c>
      <c r="K97" s="4">
        <v>361.96791780821917</v>
      </c>
      <c r="L97" s="11">
        <v>12</v>
      </c>
      <c r="M97" s="4">
        <v>0</v>
      </c>
      <c r="N97" s="11">
        <v>0</v>
      </c>
      <c r="O97" s="11">
        <v>22</v>
      </c>
      <c r="P97" s="137">
        <v>41664</v>
      </c>
      <c r="Q97" s="11">
        <v>89</v>
      </c>
      <c r="R97" s="95">
        <f>CHOOSE($D$4,D97,E97,F97,G97,H97,I97,J97,K97,L97,M97,N97,O97,P97,101-B97)+0.000001*ROWS($A$20:A97)</f>
        <v>98.570677119925037</v>
      </c>
      <c r="S97" s="4">
        <f t="shared" si="33"/>
        <v>134</v>
      </c>
      <c r="T97" s="4"/>
      <c r="U97" s="14">
        <f>ROWS($U$20:U97)</f>
        <v>78</v>
      </c>
      <c r="V97" s="4">
        <v>167</v>
      </c>
      <c r="W97" s="4" t="str">
        <v>Product 7</v>
      </c>
      <c r="X97" s="94">
        <v>90.458715596330279</v>
      </c>
      <c r="Y97" s="94">
        <v>88.073394495412842</v>
      </c>
      <c r="Z97" s="94">
        <v>103.74109686609687</v>
      </c>
      <c r="AA97" s="94">
        <v>99.004479840716769</v>
      </c>
      <c r="AB97" s="4">
        <v>213.80183486238533</v>
      </c>
      <c r="AC97" s="94">
        <v>151.60685940305498</v>
      </c>
      <c r="AD97" s="94">
        <v>16.572768177865164</v>
      </c>
      <c r="AE97" s="4">
        <v>256.56220183486238</v>
      </c>
      <c r="AF97" s="4">
        <v>12</v>
      </c>
      <c r="AG97" s="4">
        <v>0</v>
      </c>
      <c r="AH97" s="4">
        <v>0</v>
      </c>
      <c r="AI97" s="4">
        <v>22</v>
      </c>
      <c r="AJ97" s="139">
        <v>41702</v>
      </c>
      <c r="AK97" s="94">
        <v>126</v>
      </c>
      <c r="AL97" s="162">
        <v>86.87700000000001</v>
      </c>
      <c r="AM97" s="162">
        <v>90</v>
      </c>
      <c r="AN97" s="162">
        <v>98</v>
      </c>
      <c r="AO97" s="162">
        <v>98.5</v>
      </c>
      <c r="AP97" s="17">
        <v>234</v>
      </c>
      <c r="AQ97" s="162">
        <v>0</v>
      </c>
      <c r="AR97" s="162">
        <v>40</v>
      </c>
      <c r="AS97" s="17">
        <v>280.8</v>
      </c>
      <c r="AT97" s="17">
        <v>12</v>
      </c>
      <c r="AU97" s="17">
        <v>0</v>
      </c>
      <c r="AV97" s="17">
        <v>0</v>
      </c>
      <c r="AW97" s="17">
        <v>20</v>
      </c>
      <c r="AX97" s="4">
        <v>103.74109686609687</v>
      </c>
      <c r="AY97" s="4">
        <v>88.073394495412842</v>
      </c>
      <c r="BD97" s="159" t="e">
        <v>#N/A</v>
      </c>
      <c r="BE97" s="159" t="e">
        <v>#N/A</v>
      </c>
      <c r="BF97" s="159" t="e">
        <v>#N/A</v>
      </c>
      <c r="BG97" s="159" t="e">
        <v>#N/A</v>
      </c>
      <c r="BH97" s="14" t="e">
        <v>#N/A</v>
      </c>
      <c r="BI97" s="159" t="e">
        <v>#N/A</v>
      </c>
      <c r="BJ97" s="159" t="e">
        <v>#N/A</v>
      </c>
      <c r="BK97" s="14" t="e">
        <v>#N/A</v>
      </c>
      <c r="BL97" s="14" t="e">
        <v>#N/A</v>
      </c>
      <c r="BM97" s="14" t="e">
        <v>#N/A</v>
      </c>
      <c r="BN97" s="14" t="e">
        <v>#N/A</v>
      </c>
      <c r="BO97" s="14" t="e">
        <v>#N/A</v>
      </c>
      <c r="BP97" s="182" t="e">
        <v>#N/A</v>
      </c>
      <c r="BQ97" s="183" t="e">
        <v>#N/A</v>
      </c>
    </row>
    <row r="98" spans="2:69" x14ac:dyDescent="0.35">
      <c r="B98" s="11">
        <v>79</v>
      </c>
      <c r="C98" s="4" t="str">
        <v>Product 9</v>
      </c>
      <c r="D98" s="94">
        <v>55.940740740740736</v>
      </c>
      <c r="E98" s="94">
        <v>64.166666666666657</v>
      </c>
      <c r="F98" s="94">
        <v>92.832130832130829</v>
      </c>
      <c r="G98" s="94">
        <v>93.911854008849843</v>
      </c>
      <c r="H98" s="4">
        <v>160.83166666666668</v>
      </c>
      <c r="I98" s="174">
        <v>85.55824005319738</v>
      </c>
      <c r="J98" s="95">
        <v>0</v>
      </c>
      <c r="K98" s="4">
        <v>192.99799999999999</v>
      </c>
      <c r="L98" s="11">
        <v>12</v>
      </c>
      <c r="M98" s="4">
        <v>0</v>
      </c>
      <c r="N98" s="11">
        <v>0</v>
      </c>
      <c r="O98" s="11">
        <v>14</v>
      </c>
      <c r="P98" s="137">
        <v>41666</v>
      </c>
      <c r="Q98" s="11">
        <v>56</v>
      </c>
      <c r="R98" s="95">
        <f>CHOOSE($D$4,D98,E98,F98,G98,H98,I98,J98,K98,L98,M98,N98,O98,P98,101-B98)+0.000001*ROWS($A$20:A98)</f>
        <v>93.911933008849843</v>
      </c>
      <c r="S98" s="4">
        <f t="shared" si="33"/>
        <v>247</v>
      </c>
      <c r="T98" s="4"/>
      <c r="U98" s="14">
        <f>ROWS($U$20:U98)</f>
        <v>79</v>
      </c>
      <c r="V98" s="4">
        <v>147</v>
      </c>
      <c r="W98" s="4" t="str">
        <v>Product 2</v>
      </c>
      <c r="X98" s="94">
        <v>91.116426454052956</v>
      </c>
      <c r="Y98" s="94">
        <v>93.836246550137986</v>
      </c>
      <c r="Z98" s="94">
        <v>98.08645606390705</v>
      </c>
      <c r="AA98" s="94">
        <v>98.995854219874062</v>
      </c>
      <c r="AB98" s="4">
        <v>248.50975160993559</v>
      </c>
      <c r="AC98" s="94">
        <v>99.76183177915243</v>
      </c>
      <c r="AD98" s="94">
        <v>5.4607950030491752</v>
      </c>
      <c r="AE98" s="4">
        <v>298.21170193192268</v>
      </c>
      <c r="AF98" s="4">
        <v>12</v>
      </c>
      <c r="AG98" s="4">
        <v>0</v>
      </c>
      <c r="AH98" s="4">
        <v>0</v>
      </c>
      <c r="AI98" s="4">
        <v>27</v>
      </c>
      <c r="AJ98" s="139">
        <v>41696</v>
      </c>
      <c r="AK98" s="94">
        <v>80</v>
      </c>
      <c r="AL98" s="162">
        <v>87.317999999999998</v>
      </c>
      <c r="AM98" s="162">
        <v>90</v>
      </c>
      <c r="AN98" s="162">
        <v>98</v>
      </c>
      <c r="AO98" s="162">
        <v>99</v>
      </c>
      <c r="AP98" s="17">
        <v>270</v>
      </c>
      <c r="AQ98" s="162">
        <v>0</v>
      </c>
      <c r="AR98" s="162">
        <v>40</v>
      </c>
      <c r="AS98" s="17">
        <v>324</v>
      </c>
      <c r="AT98" s="17">
        <v>12</v>
      </c>
      <c r="AU98" s="17">
        <v>0</v>
      </c>
      <c r="AV98" s="17">
        <v>0</v>
      </c>
      <c r="AW98" s="17">
        <v>20</v>
      </c>
      <c r="AX98" s="4">
        <v>98.08645606390705</v>
      </c>
      <c r="AY98" s="4">
        <v>93.836246550137986</v>
      </c>
      <c r="BD98" s="159">
        <v>91.116426454052956</v>
      </c>
      <c r="BE98" s="159">
        <v>93.836246550137986</v>
      </c>
      <c r="BF98" s="159">
        <v>98.08645606390705</v>
      </c>
      <c r="BG98" s="159">
        <v>98.995854219874062</v>
      </c>
      <c r="BH98" s="14">
        <v>248.50975160993559</v>
      </c>
      <c r="BI98" s="159">
        <v>99.76183177915243</v>
      </c>
      <c r="BJ98" s="159">
        <v>5.4607950030491752</v>
      </c>
      <c r="BK98" s="14">
        <v>298.21170193192268</v>
      </c>
      <c r="BL98" s="14">
        <v>12</v>
      </c>
      <c r="BM98" s="14">
        <v>0</v>
      </c>
      <c r="BN98" s="14">
        <v>0</v>
      </c>
      <c r="BO98" s="14">
        <v>27</v>
      </c>
      <c r="BP98" s="182">
        <v>41696</v>
      </c>
      <c r="BQ98" s="183">
        <v>80</v>
      </c>
    </row>
    <row r="99" spans="2:69" x14ac:dyDescent="0.35">
      <c r="B99" s="11">
        <v>80</v>
      </c>
      <c r="C99" s="4" t="str">
        <v>Product 10</v>
      </c>
      <c r="D99" s="94">
        <v>68.356544009806711</v>
      </c>
      <c r="E99" s="94">
        <v>67.272727272727266</v>
      </c>
      <c r="F99" s="94">
        <v>103.88231236292877</v>
      </c>
      <c r="G99" s="94">
        <v>97.813647600086711</v>
      </c>
      <c r="H99" s="4">
        <v>241.85848484848484</v>
      </c>
      <c r="I99" s="174">
        <v>101.25379004123056</v>
      </c>
      <c r="J99" s="95">
        <v>0</v>
      </c>
      <c r="K99" s="4">
        <v>290.23018181818185</v>
      </c>
      <c r="L99" s="11">
        <v>12</v>
      </c>
      <c r="M99" s="4">
        <v>0</v>
      </c>
      <c r="N99" s="11">
        <v>0</v>
      </c>
      <c r="O99" s="11">
        <v>15</v>
      </c>
      <c r="P99" s="137">
        <v>41666</v>
      </c>
      <c r="Q99" s="11">
        <v>86</v>
      </c>
      <c r="R99" s="95">
        <f>CHOOSE($D$4,D99,E99,F99,G99,H99,I99,J99,K99,L99,M99,N99,O99,P99,101-B99)+0.000001*ROWS($A$20:A99)</f>
        <v>97.813727600086708</v>
      </c>
      <c r="S99" s="4">
        <f t="shared" si="33"/>
        <v>201</v>
      </c>
      <c r="T99" s="4"/>
      <c r="U99" s="14">
        <f>ROWS($U$20:U99)</f>
        <v>80</v>
      </c>
      <c r="V99" s="4">
        <v>43</v>
      </c>
      <c r="W99" s="4" t="str">
        <v>Product 3</v>
      </c>
      <c r="X99" s="94">
        <v>96.223448787425554</v>
      </c>
      <c r="Y99" s="94">
        <v>96.670247046186887</v>
      </c>
      <c r="Z99" s="94">
        <v>100.54752387832092</v>
      </c>
      <c r="AA99" s="94">
        <v>98.995786454069275</v>
      </c>
      <c r="AB99" s="4">
        <v>336.39140708915141</v>
      </c>
      <c r="AC99" s="94">
        <v>121.2082885030691</v>
      </c>
      <c r="AD99" s="94">
        <v>7.5379386115498184</v>
      </c>
      <c r="AE99" s="4">
        <v>403.66968850698174</v>
      </c>
      <c r="AF99" s="4">
        <v>12</v>
      </c>
      <c r="AG99" s="4">
        <v>0</v>
      </c>
      <c r="AH99" s="4">
        <v>0</v>
      </c>
      <c r="AI99" s="4">
        <v>15</v>
      </c>
      <c r="AJ99" s="139">
        <v>41653</v>
      </c>
      <c r="AK99" s="94">
        <v>108</v>
      </c>
      <c r="AL99" s="162">
        <v>87.494399999999999</v>
      </c>
      <c r="AM99" s="162">
        <v>90</v>
      </c>
      <c r="AN99" s="162">
        <v>98</v>
      </c>
      <c r="AO99" s="162">
        <v>99.2</v>
      </c>
      <c r="AP99" s="17">
        <v>346.08333333333331</v>
      </c>
      <c r="AQ99" s="162">
        <v>0</v>
      </c>
      <c r="AR99" s="162">
        <v>40</v>
      </c>
      <c r="AS99" s="17">
        <v>415.3</v>
      </c>
      <c r="AT99" s="17">
        <v>12</v>
      </c>
      <c r="AU99" s="17">
        <v>0</v>
      </c>
      <c r="AV99" s="17">
        <v>0</v>
      </c>
      <c r="AW99" s="17">
        <v>20</v>
      </c>
      <c r="AX99" s="4">
        <v>100.54752387832092</v>
      </c>
      <c r="AY99" s="4">
        <v>96.670247046186887</v>
      </c>
      <c r="BD99" s="159" t="e">
        <v>#N/A</v>
      </c>
      <c r="BE99" s="159" t="e">
        <v>#N/A</v>
      </c>
      <c r="BF99" s="159" t="e">
        <v>#N/A</v>
      </c>
      <c r="BG99" s="159" t="e">
        <v>#N/A</v>
      </c>
      <c r="BH99" s="14" t="e">
        <v>#N/A</v>
      </c>
      <c r="BI99" s="159" t="e">
        <v>#N/A</v>
      </c>
      <c r="BJ99" s="159" t="e">
        <v>#N/A</v>
      </c>
      <c r="BK99" s="14" t="e">
        <v>#N/A</v>
      </c>
      <c r="BL99" s="14" t="e">
        <v>#N/A</v>
      </c>
      <c r="BM99" s="14" t="e">
        <v>#N/A</v>
      </c>
      <c r="BN99" s="14" t="e">
        <v>#N/A</v>
      </c>
      <c r="BO99" s="14" t="e">
        <v>#N/A</v>
      </c>
      <c r="BP99" s="182" t="e">
        <v>#N/A</v>
      </c>
      <c r="BQ99" s="183" t="e">
        <v>#N/A</v>
      </c>
    </row>
    <row r="100" spans="2:69" x14ac:dyDescent="0.35">
      <c r="B100" s="11">
        <v>81</v>
      </c>
      <c r="C100" s="4" t="str">
        <v>Product 4</v>
      </c>
      <c r="D100" s="94">
        <v>72.65886287625419</v>
      </c>
      <c r="E100" s="94">
        <v>80.724637681159422</v>
      </c>
      <c r="F100" s="94">
        <v>91.48598259908853</v>
      </c>
      <c r="G100" s="94">
        <v>98.384783757264699</v>
      </c>
      <c r="H100" s="4">
        <v>192.01449275362319</v>
      </c>
      <c r="I100" s="174">
        <v>91.21043663838357</v>
      </c>
      <c r="J100" s="95">
        <v>0</v>
      </c>
      <c r="K100" s="4">
        <v>230.41739130434786</v>
      </c>
      <c r="L100" s="11">
        <v>12</v>
      </c>
      <c r="M100" s="4">
        <v>0</v>
      </c>
      <c r="N100" s="11">
        <v>0</v>
      </c>
      <c r="O100" s="11">
        <v>22</v>
      </c>
      <c r="P100" s="137">
        <v>41666</v>
      </c>
      <c r="Q100" s="11">
        <v>95</v>
      </c>
      <c r="R100" s="95">
        <f>CHOOSE($D$4,D100,E100,F100,G100,H100,I100,J100,K100,L100,M100,N100,O100,P100,101-B100)+0.000001*ROWS($A$20:A100)</f>
        <v>98.384864757264694</v>
      </c>
      <c r="S100" s="4">
        <f t="shared" si="33"/>
        <v>157</v>
      </c>
      <c r="T100" s="4"/>
      <c r="U100" s="14">
        <f>ROWS($U$20:U100)</f>
        <v>81</v>
      </c>
      <c r="V100" s="4">
        <v>196</v>
      </c>
      <c r="W100" s="4" t="str">
        <v>Product 3</v>
      </c>
      <c r="X100" s="94">
        <v>94.16268411236311</v>
      </c>
      <c r="Y100" s="94">
        <v>94.915254237288138</v>
      </c>
      <c r="Z100" s="94">
        <v>100.21585084792403</v>
      </c>
      <c r="AA100" s="94">
        <v>98.993435448577685</v>
      </c>
      <c r="AB100" s="4">
        <v>329.19491525423729</v>
      </c>
      <c r="AC100" s="94">
        <v>179.97127501853225</v>
      </c>
      <c r="AD100" s="94">
        <v>0</v>
      </c>
      <c r="AE100" s="4">
        <v>395.03389830508473</v>
      </c>
      <c r="AF100" s="4">
        <v>12</v>
      </c>
      <c r="AG100" s="4">
        <v>0</v>
      </c>
      <c r="AH100" s="4">
        <v>0</v>
      </c>
      <c r="AI100" s="4">
        <v>19</v>
      </c>
      <c r="AJ100" s="139">
        <v>41713</v>
      </c>
      <c r="AK100" s="94">
        <v>83</v>
      </c>
      <c r="AL100" s="162">
        <v>87.494399999999999</v>
      </c>
      <c r="AM100" s="162">
        <v>90</v>
      </c>
      <c r="AN100" s="162">
        <v>98</v>
      </c>
      <c r="AO100" s="162">
        <v>99.2</v>
      </c>
      <c r="AP100" s="17">
        <v>346.08333333333331</v>
      </c>
      <c r="AQ100" s="162">
        <v>0</v>
      </c>
      <c r="AR100" s="162">
        <v>40</v>
      </c>
      <c r="AS100" s="17">
        <v>415.3</v>
      </c>
      <c r="AT100" s="17">
        <v>12</v>
      </c>
      <c r="AU100" s="17">
        <v>0</v>
      </c>
      <c r="AV100" s="17">
        <v>0</v>
      </c>
      <c r="AW100" s="17">
        <v>20</v>
      </c>
      <c r="AX100" s="4">
        <v>100.21585084792403</v>
      </c>
      <c r="AY100" s="4">
        <v>94.915254237288138</v>
      </c>
      <c r="BD100" s="159" t="e">
        <v>#N/A</v>
      </c>
      <c r="BE100" s="159" t="e">
        <v>#N/A</v>
      </c>
      <c r="BF100" s="159" t="e">
        <v>#N/A</v>
      </c>
      <c r="BG100" s="159" t="e">
        <v>#N/A</v>
      </c>
      <c r="BH100" s="14" t="e">
        <v>#N/A</v>
      </c>
      <c r="BI100" s="159" t="e">
        <v>#N/A</v>
      </c>
      <c r="BJ100" s="159" t="e">
        <v>#N/A</v>
      </c>
      <c r="BK100" s="14" t="e">
        <v>#N/A</v>
      </c>
      <c r="BL100" s="14" t="e">
        <v>#N/A</v>
      </c>
      <c r="BM100" s="14" t="e">
        <v>#N/A</v>
      </c>
      <c r="BN100" s="14" t="e">
        <v>#N/A</v>
      </c>
      <c r="BO100" s="14" t="e">
        <v>#N/A</v>
      </c>
      <c r="BP100" s="182" t="e">
        <v>#N/A</v>
      </c>
      <c r="BQ100" s="183" t="e">
        <v>#N/A</v>
      </c>
    </row>
    <row r="101" spans="2:69" x14ac:dyDescent="0.35">
      <c r="B101" s="11">
        <v>82</v>
      </c>
      <c r="C101" s="4" t="str">
        <v>Product 2</v>
      </c>
      <c r="D101" s="94">
        <v>96.927830687830692</v>
      </c>
      <c r="E101" s="94">
        <v>96.190476190476176</v>
      </c>
      <c r="F101" s="94">
        <v>101.83916391639166</v>
      </c>
      <c r="G101" s="94">
        <v>98.946763485208237</v>
      </c>
      <c r="H101" s="4">
        <v>264.49085714285712</v>
      </c>
      <c r="I101" s="174">
        <v>100.88983020060599</v>
      </c>
      <c r="J101" s="95">
        <v>0</v>
      </c>
      <c r="K101" s="4">
        <v>317.38902857142858</v>
      </c>
      <c r="L101" s="11">
        <v>12</v>
      </c>
      <c r="M101" s="4">
        <v>0</v>
      </c>
      <c r="N101" s="11">
        <v>0</v>
      </c>
      <c r="O101" s="11">
        <v>20</v>
      </c>
      <c r="P101" s="137">
        <v>41666</v>
      </c>
      <c r="Q101" s="11">
        <v>99</v>
      </c>
      <c r="R101" s="95">
        <f>CHOOSE($D$4,D101,E101,F101,G101,H101,I101,J101,K101,L101,M101,N101,O101,P101,101-B101)+0.000001*ROWS($A$20:A101)</f>
        <v>98.946845485208243</v>
      </c>
      <c r="S101" s="4">
        <f t="shared" si="33"/>
        <v>87</v>
      </c>
      <c r="T101" s="4"/>
      <c r="U101" s="14">
        <f>ROWS($U$20:U101)</f>
        <v>82</v>
      </c>
      <c r="V101" s="4">
        <v>87</v>
      </c>
      <c r="W101" s="4" t="str">
        <v>Product 3</v>
      </c>
      <c r="X101" s="94">
        <v>88.841680712737769</v>
      </c>
      <c r="Y101" s="94">
        <v>90.416666666666657</v>
      </c>
      <c r="Z101" s="94">
        <v>99.25874471954647</v>
      </c>
      <c r="AA101" s="94">
        <v>98.991862458648257</v>
      </c>
      <c r="AB101" s="4">
        <v>310.59749999999997</v>
      </c>
      <c r="AC101" s="94">
        <v>142.79989195671371</v>
      </c>
      <c r="AD101" s="94">
        <v>40.09451058016672</v>
      </c>
      <c r="AE101" s="4">
        <v>372.71699999999998</v>
      </c>
      <c r="AF101" s="4">
        <v>12</v>
      </c>
      <c r="AG101" s="4">
        <v>0</v>
      </c>
      <c r="AH101" s="4">
        <v>0</v>
      </c>
      <c r="AI101" s="4">
        <v>20</v>
      </c>
      <c r="AJ101" s="139">
        <v>41668</v>
      </c>
      <c r="AK101" s="94">
        <v>77</v>
      </c>
      <c r="AL101" s="162">
        <v>87.494399999999999</v>
      </c>
      <c r="AM101" s="162">
        <v>90</v>
      </c>
      <c r="AN101" s="162">
        <v>98</v>
      </c>
      <c r="AO101" s="162">
        <v>99.2</v>
      </c>
      <c r="AP101" s="17">
        <v>346.08333333333331</v>
      </c>
      <c r="AQ101" s="162">
        <v>0</v>
      </c>
      <c r="AR101" s="162">
        <v>40</v>
      </c>
      <c r="AS101" s="17">
        <v>415.3</v>
      </c>
      <c r="AT101" s="17">
        <v>12</v>
      </c>
      <c r="AU101" s="17">
        <v>0</v>
      </c>
      <c r="AV101" s="17">
        <v>0</v>
      </c>
      <c r="AW101" s="17">
        <v>20</v>
      </c>
      <c r="AX101" s="4">
        <v>99.25874471954647</v>
      </c>
      <c r="AY101" s="4">
        <v>90.416666666666657</v>
      </c>
      <c r="BD101" s="159" t="e">
        <v>#N/A</v>
      </c>
      <c r="BE101" s="159" t="e">
        <v>#N/A</v>
      </c>
      <c r="BF101" s="159" t="e">
        <v>#N/A</v>
      </c>
      <c r="BG101" s="159" t="e">
        <v>#N/A</v>
      </c>
      <c r="BH101" s="14" t="e">
        <v>#N/A</v>
      </c>
      <c r="BI101" s="159" t="e">
        <v>#N/A</v>
      </c>
      <c r="BJ101" s="159" t="e">
        <v>#N/A</v>
      </c>
      <c r="BK101" s="14" t="e">
        <v>#N/A</v>
      </c>
      <c r="BL101" s="14" t="e">
        <v>#N/A</v>
      </c>
      <c r="BM101" s="14" t="e">
        <v>#N/A</v>
      </c>
      <c r="BN101" s="14" t="e">
        <v>#N/A</v>
      </c>
      <c r="BO101" s="14" t="e">
        <v>#N/A</v>
      </c>
      <c r="BP101" s="182" t="e">
        <v>#N/A</v>
      </c>
      <c r="BQ101" s="183" t="e">
        <v>#N/A</v>
      </c>
    </row>
    <row r="102" spans="2:69" x14ac:dyDescent="0.35">
      <c r="B102" s="11">
        <v>83</v>
      </c>
      <c r="C102" s="4" t="str">
        <v>Product 3</v>
      </c>
      <c r="D102" s="94">
        <v>99.810808021739888</v>
      </c>
      <c r="E102" s="94">
        <v>98.067226890756302</v>
      </c>
      <c r="F102" s="94">
        <v>102.75472186303207</v>
      </c>
      <c r="G102" s="94">
        <v>99.049409043264532</v>
      </c>
      <c r="H102" s="4">
        <v>348.74369747899158</v>
      </c>
      <c r="I102" s="174">
        <v>119.48177205167885</v>
      </c>
      <c r="J102" s="95">
        <v>0</v>
      </c>
      <c r="K102" s="4">
        <v>418.49243697478994</v>
      </c>
      <c r="L102" s="11">
        <v>12</v>
      </c>
      <c r="M102" s="4">
        <v>0</v>
      </c>
      <c r="N102" s="11">
        <v>0</v>
      </c>
      <c r="O102" s="11">
        <v>16</v>
      </c>
      <c r="P102" s="137">
        <v>41666</v>
      </c>
      <c r="Q102" s="11">
        <v>84</v>
      </c>
      <c r="R102" s="95">
        <f>CHOOSE($D$4,D102,E102,F102,G102,H102,I102,J102,K102,L102,M102,N102,O102,P102,101-B102)+0.000001*ROWS($A$20:A102)</f>
        <v>99.049492043264536</v>
      </c>
      <c r="S102" s="4">
        <f t="shared" si="33"/>
        <v>70</v>
      </c>
      <c r="T102" s="4"/>
      <c r="U102" s="14">
        <f>ROWS($U$20:U102)</f>
        <v>83</v>
      </c>
      <c r="V102" s="4">
        <v>216</v>
      </c>
      <c r="W102" s="4" t="str">
        <v>Product 6</v>
      </c>
      <c r="X102" s="94">
        <v>78.402188782489759</v>
      </c>
      <c r="Y102" s="94">
        <v>100</v>
      </c>
      <c r="Z102" s="94">
        <v>79.20398236814107</v>
      </c>
      <c r="AA102" s="94">
        <v>98.987685263192233</v>
      </c>
      <c r="AB102" s="4">
        <v>242.36418604651163</v>
      </c>
      <c r="AC102" s="94">
        <v>143.6281697905182</v>
      </c>
      <c r="AD102" s="94">
        <v>45.677381476588877</v>
      </c>
      <c r="AE102" s="4">
        <v>290.83702325581396</v>
      </c>
      <c r="AF102" s="4">
        <v>12</v>
      </c>
      <c r="AG102" s="4">
        <v>0</v>
      </c>
      <c r="AH102" s="4">
        <v>0</v>
      </c>
      <c r="AI102" s="4">
        <v>15</v>
      </c>
      <c r="AJ102" s="139">
        <v>41719</v>
      </c>
      <c r="AK102" s="94">
        <v>61</v>
      </c>
      <c r="AL102" s="162">
        <v>86.87700000000001</v>
      </c>
      <c r="AM102" s="162">
        <v>90</v>
      </c>
      <c r="AN102" s="162">
        <v>98</v>
      </c>
      <c r="AO102" s="162">
        <v>98.5</v>
      </c>
      <c r="AP102" s="17">
        <v>306</v>
      </c>
      <c r="AQ102" s="162">
        <v>0</v>
      </c>
      <c r="AR102" s="162">
        <v>40</v>
      </c>
      <c r="AS102" s="17">
        <v>367.2</v>
      </c>
      <c r="AT102" s="17">
        <v>12</v>
      </c>
      <c r="AU102" s="17">
        <v>0</v>
      </c>
      <c r="AV102" s="17">
        <v>0</v>
      </c>
      <c r="AW102" s="17">
        <v>20</v>
      </c>
      <c r="AX102" s="4">
        <v>79.20398236814107</v>
      </c>
      <c r="AY102" s="4">
        <v>100</v>
      </c>
      <c r="BD102" s="159" t="e">
        <v>#N/A</v>
      </c>
      <c r="BE102" s="159" t="e">
        <v>#N/A</v>
      </c>
      <c r="BF102" s="159" t="e">
        <v>#N/A</v>
      </c>
      <c r="BG102" s="159" t="e">
        <v>#N/A</v>
      </c>
      <c r="BH102" s="14" t="e">
        <v>#N/A</v>
      </c>
      <c r="BI102" s="159" t="e">
        <v>#N/A</v>
      </c>
      <c r="BJ102" s="159" t="e">
        <v>#N/A</v>
      </c>
      <c r="BK102" s="14" t="e">
        <v>#N/A</v>
      </c>
      <c r="BL102" s="14" t="e">
        <v>#N/A</v>
      </c>
      <c r="BM102" s="14" t="e">
        <v>#N/A</v>
      </c>
      <c r="BN102" s="14" t="e">
        <v>#N/A</v>
      </c>
      <c r="BO102" s="14" t="e">
        <v>#N/A</v>
      </c>
      <c r="BP102" s="182" t="e">
        <v>#N/A</v>
      </c>
      <c r="BQ102" s="183" t="e">
        <v>#N/A</v>
      </c>
    </row>
    <row r="103" spans="2:69" x14ac:dyDescent="0.35">
      <c r="B103" s="11">
        <v>84</v>
      </c>
      <c r="C103" s="4" t="str">
        <v>Product 3</v>
      </c>
      <c r="D103" s="94">
        <v>96.321296982594518</v>
      </c>
      <c r="E103" s="94">
        <v>95.754189944134069</v>
      </c>
      <c r="F103" s="94">
        <v>102.83522251702036</v>
      </c>
      <c r="G103" s="94">
        <v>97.818870337128388</v>
      </c>
      <c r="H103" s="4">
        <v>340.78491620111731</v>
      </c>
      <c r="I103" s="174">
        <v>117.87194574070317</v>
      </c>
      <c r="J103" s="95">
        <v>0</v>
      </c>
      <c r="K103" s="4">
        <v>408.94189944134075</v>
      </c>
      <c r="L103" s="11">
        <v>12</v>
      </c>
      <c r="M103" s="4">
        <v>0</v>
      </c>
      <c r="N103" s="11">
        <v>0</v>
      </c>
      <c r="O103" s="11">
        <v>24</v>
      </c>
      <c r="P103" s="137">
        <v>41667</v>
      </c>
      <c r="Q103" s="11">
        <v>49</v>
      </c>
      <c r="R103" s="95">
        <f>CHOOSE($D$4,D103,E103,F103,G103,H103,I103,J103,K103,L103,M103,N103,O103,P103,101-B103)+0.000001*ROWS($A$20:A103)</f>
        <v>97.818954337128389</v>
      </c>
      <c r="S103" s="4">
        <f t="shared" si="33"/>
        <v>200</v>
      </c>
      <c r="T103" s="4"/>
      <c r="U103" s="14">
        <f>ROWS($U$20:U103)</f>
        <v>84</v>
      </c>
      <c r="V103" s="4">
        <v>156</v>
      </c>
      <c r="W103" s="4" t="str">
        <v>Product 3</v>
      </c>
      <c r="X103" s="94">
        <v>86.878453038674024</v>
      </c>
      <c r="Y103" s="94">
        <v>89.743589743589737</v>
      </c>
      <c r="Z103" s="94">
        <v>97.801894238358329</v>
      </c>
      <c r="AA103" s="94">
        <v>98.983173949885</v>
      </c>
      <c r="AB103" s="4">
        <v>317.73076923076923</v>
      </c>
      <c r="AC103" s="94">
        <v>92.542942494398801</v>
      </c>
      <c r="AD103" s="94">
        <v>0</v>
      </c>
      <c r="AE103" s="4">
        <v>381.27692307692308</v>
      </c>
      <c r="AF103" s="4">
        <v>12</v>
      </c>
      <c r="AG103" s="4">
        <v>0</v>
      </c>
      <c r="AH103" s="4">
        <v>0</v>
      </c>
      <c r="AI103" s="4">
        <v>28</v>
      </c>
      <c r="AJ103" s="139">
        <v>41698</v>
      </c>
      <c r="AK103" s="94">
        <v>61</v>
      </c>
      <c r="AL103" s="162">
        <v>87.494399999999999</v>
      </c>
      <c r="AM103" s="162">
        <v>90</v>
      </c>
      <c r="AN103" s="162">
        <v>98</v>
      </c>
      <c r="AO103" s="162">
        <v>99.2</v>
      </c>
      <c r="AP103" s="17">
        <v>362</v>
      </c>
      <c r="AQ103" s="162">
        <v>0</v>
      </c>
      <c r="AR103" s="162">
        <v>40</v>
      </c>
      <c r="AS103" s="17">
        <v>434.4</v>
      </c>
      <c r="AT103" s="17">
        <v>12</v>
      </c>
      <c r="AU103" s="17">
        <v>0</v>
      </c>
      <c r="AV103" s="17">
        <v>0</v>
      </c>
      <c r="AW103" s="17">
        <v>20</v>
      </c>
      <c r="AX103" s="4">
        <v>97.801894238358329</v>
      </c>
      <c r="AY103" s="4">
        <v>89.743589743589737</v>
      </c>
      <c r="BD103" s="159" t="e">
        <v>#N/A</v>
      </c>
      <c r="BE103" s="159" t="e">
        <v>#N/A</v>
      </c>
      <c r="BF103" s="159" t="e">
        <v>#N/A</v>
      </c>
      <c r="BG103" s="159" t="e">
        <v>#N/A</v>
      </c>
      <c r="BH103" s="14" t="e">
        <v>#N/A</v>
      </c>
      <c r="BI103" s="159" t="e">
        <v>#N/A</v>
      </c>
      <c r="BJ103" s="159" t="e">
        <v>#N/A</v>
      </c>
      <c r="BK103" s="14" t="e">
        <v>#N/A</v>
      </c>
      <c r="BL103" s="14" t="e">
        <v>#N/A</v>
      </c>
      <c r="BM103" s="14" t="e">
        <v>#N/A</v>
      </c>
      <c r="BN103" s="14" t="e">
        <v>#N/A</v>
      </c>
      <c r="BO103" s="14" t="e">
        <v>#N/A</v>
      </c>
      <c r="BP103" s="182" t="e">
        <v>#N/A</v>
      </c>
      <c r="BQ103" s="183" t="e">
        <v>#N/A</v>
      </c>
    </row>
    <row r="104" spans="2:69" x14ac:dyDescent="0.35">
      <c r="B104" s="11">
        <v>85</v>
      </c>
      <c r="C104" s="4" t="str">
        <v>Product 3</v>
      </c>
      <c r="D104" s="94">
        <v>82.003394794648202</v>
      </c>
      <c r="E104" s="94">
        <v>86.626506024096358</v>
      </c>
      <c r="F104" s="94">
        <v>96.649505528703941</v>
      </c>
      <c r="G104" s="94">
        <v>97.944803054889263</v>
      </c>
      <c r="H104" s="4">
        <v>303.08120481927705</v>
      </c>
      <c r="I104" s="174">
        <v>124.28878815202758</v>
      </c>
      <c r="J104" s="95">
        <v>0</v>
      </c>
      <c r="K104" s="4">
        <v>363.69744578313248</v>
      </c>
      <c r="L104" s="11">
        <v>12</v>
      </c>
      <c r="M104" s="4">
        <v>0</v>
      </c>
      <c r="N104" s="11">
        <v>0</v>
      </c>
      <c r="O104" s="11">
        <v>23</v>
      </c>
      <c r="P104" s="137">
        <v>41667</v>
      </c>
      <c r="Q104" s="11">
        <v>44</v>
      </c>
      <c r="R104" s="95">
        <f>CHOOSE($D$4,D104,E104,F104,G104,H104,I104,J104,K104,L104,M104,N104,O104,P104,101-B104)+0.000001*ROWS($A$20:A104)</f>
        <v>97.944888054889262</v>
      </c>
      <c r="S104" s="4">
        <f t="shared" si="33"/>
        <v>193</v>
      </c>
      <c r="T104" s="4"/>
      <c r="U104" s="14">
        <f>ROWS($U$20:U104)</f>
        <v>85</v>
      </c>
      <c r="V104" s="4">
        <v>25</v>
      </c>
      <c r="W104" s="4" t="str">
        <v>Product 3</v>
      </c>
      <c r="X104" s="94">
        <v>99.804794207760068</v>
      </c>
      <c r="Y104" s="94">
        <v>99.080459770114942</v>
      </c>
      <c r="Z104" s="94">
        <v>101.77103404968759</v>
      </c>
      <c r="AA104" s="94">
        <v>98.97812058177135</v>
      </c>
      <c r="AB104" s="4">
        <v>348.97385057471263</v>
      </c>
      <c r="AC104" s="94">
        <v>119.82951540459257</v>
      </c>
      <c r="AD104" s="94">
        <v>40.17757465810773</v>
      </c>
      <c r="AE104" s="4">
        <v>418.76862068965511</v>
      </c>
      <c r="AF104" s="4">
        <v>12</v>
      </c>
      <c r="AG104" s="4">
        <v>0</v>
      </c>
      <c r="AH104" s="4">
        <v>0</v>
      </c>
      <c r="AI104" s="4">
        <v>21</v>
      </c>
      <c r="AJ104" s="139">
        <v>41648</v>
      </c>
      <c r="AK104" s="94">
        <v>92</v>
      </c>
      <c r="AL104" s="162">
        <v>87.494399999999999</v>
      </c>
      <c r="AM104" s="162">
        <v>90</v>
      </c>
      <c r="AN104" s="162">
        <v>98</v>
      </c>
      <c r="AO104" s="162">
        <v>99.2</v>
      </c>
      <c r="AP104" s="17">
        <v>346.08333333333331</v>
      </c>
      <c r="AQ104" s="162">
        <v>0</v>
      </c>
      <c r="AR104" s="162">
        <v>40</v>
      </c>
      <c r="AS104" s="17">
        <v>415.3</v>
      </c>
      <c r="AT104" s="17">
        <v>12</v>
      </c>
      <c r="AU104" s="17">
        <v>0</v>
      </c>
      <c r="AV104" s="17">
        <v>0</v>
      </c>
      <c r="AW104" s="17">
        <v>20</v>
      </c>
      <c r="AX104" s="4">
        <v>101.77103404968759</v>
      </c>
      <c r="AY104" s="4">
        <v>99.080459770114942</v>
      </c>
      <c r="BD104" s="159" t="e">
        <v>#N/A</v>
      </c>
      <c r="BE104" s="159" t="e">
        <v>#N/A</v>
      </c>
      <c r="BF104" s="159" t="e">
        <v>#N/A</v>
      </c>
      <c r="BG104" s="159" t="e">
        <v>#N/A</v>
      </c>
      <c r="BH104" s="14" t="e">
        <v>#N/A</v>
      </c>
      <c r="BI104" s="159" t="e">
        <v>#N/A</v>
      </c>
      <c r="BJ104" s="159" t="e">
        <v>#N/A</v>
      </c>
      <c r="BK104" s="14" t="e">
        <v>#N/A</v>
      </c>
      <c r="BL104" s="14" t="e">
        <v>#N/A</v>
      </c>
      <c r="BM104" s="14" t="e">
        <v>#N/A</v>
      </c>
      <c r="BN104" s="14" t="e">
        <v>#N/A</v>
      </c>
      <c r="BO104" s="14" t="e">
        <v>#N/A</v>
      </c>
      <c r="BP104" s="182" t="e">
        <v>#N/A</v>
      </c>
      <c r="BQ104" s="183" t="e">
        <v>#N/A</v>
      </c>
    </row>
    <row r="105" spans="2:69" x14ac:dyDescent="0.35">
      <c r="B105" s="11">
        <v>86</v>
      </c>
      <c r="C105" s="4" t="str">
        <v>Product 3</v>
      </c>
      <c r="D105" s="94">
        <v>77.637588446253758</v>
      </c>
      <c r="E105" s="94">
        <v>78.94736842105263</v>
      </c>
      <c r="F105" s="94">
        <v>100.24855739717617</v>
      </c>
      <c r="G105" s="94">
        <v>98.097117722738275</v>
      </c>
      <c r="H105" s="4">
        <v>286.4998245614035</v>
      </c>
      <c r="I105" s="174">
        <v>122.84198015631229</v>
      </c>
      <c r="J105" s="95">
        <v>41.966993328438726</v>
      </c>
      <c r="K105" s="4">
        <v>343.7997894736842</v>
      </c>
      <c r="L105" s="11">
        <v>12</v>
      </c>
      <c r="M105" s="4">
        <v>0</v>
      </c>
      <c r="N105" s="11">
        <v>0</v>
      </c>
      <c r="O105" s="11">
        <v>27</v>
      </c>
      <c r="P105" s="137">
        <v>41668</v>
      </c>
      <c r="Q105" s="11">
        <v>95</v>
      </c>
      <c r="R105" s="95">
        <f>CHOOSE($D$4,D105,E105,F105,G105,H105,I105,J105,K105,L105,M105,N105,O105,P105,101-B105)+0.000001*ROWS($A$20:A105)</f>
        <v>98.097203722738271</v>
      </c>
      <c r="S105" s="4">
        <f t="shared" si="33"/>
        <v>184</v>
      </c>
      <c r="T105" s="4"/>
      <c r="U105" s="14">
        <f>ROWS($U$20:U105)</f>
        <v>86</v>
      </c>
      <c r="V105" s="4">
        <v>114</v>
      </c>
      <c r="W105" s="4" t="str">
        <v>Product 3</v>
      </c>
      <c r="X105" s="94">
        <v>92.926496974592794</v>
      </c>
      <c r="Y105" s="94">
        <v>94.3010752688172</v>
      </c>
      <c r="Z105" s="94">
        <v>99.576072688315051</v>
      </c>
      <c r="AA105" s="94">
        <v>98.961877838085371</v>
      </c>
      <c r="AB105" s="4">
        <v>324.97677419354841</v>
      </c>
      <c r="AC105" s="94">
        <v>115.0789522783263</v>
      </c>
      <c r="AD105" s="94">
        <v>0</v>
      </c>
      <c r="AE105" s="4">
        <v>389.97212903225807</v>
      </c>
      <c r="AF105" s="4">
        <v>12</v>
      </c>
      <c r="AG105" s="4">
        <v>0</v>
      </c>
      <c r="AH105" s="4">
        <v>0</v>
      </c>
      <c r="AI105" s="4">
        <v>20</v>
      </c>
      <c r="AJ105" s="139">
        <v>41681</v>
      </c>
      <c r="AK105" s="94">
        <v>112</v>
      </c>
      <c r="AL105" s="162">
        <v>87.494399999999999</v>
      </c>
      <c r="AM105" s="162">
        <v>90</v>
      </c>
      <c r="AN105" s="162">
        <v>98</v>
      </c>
      <c r="AO105" s="162">
        <v>99.2</v>
      </c>
      <c r="AP105" s="17">
        <v>346.08333333333331</v>
      </c>
      <c r="AQ105" s="162">
        <v>0</v>
      </c>
      <c r="AR105" s="162">
        <v>40</v>
      </c>
      <c r="AS105" s="17">
        <v>415.3</v>
      </c>
      <c r="AT105" s="17">
        <v>12</v>
      </c>
      <c r="AU105" s="17">
        <v>0</v>
      </c>
      <c r="AV105" s="17">
        <v>0</v>
      </c>
      <c r="AW105" s="17">
        <v>20</v>
      </c>
      <c r="AX105" s="4">
        <v>99.576072688315051</v>
      </c>
      <c r="AY105" s="4">
        <v>94.3010752688172</v>
      </c>
      <c r="BD105" s="159" t="e">
        <v>#N/A</v>
      </c>
      <c r="BE105" s="159" t="e">
        <v>#N/A</v>
      </c>
      <c r="BF105" s="159" t="e">
        <v>#N/A</v>
      </c>
      <c r="BG105" s="159" t="e">
        <v>#N/A</v>
      </c>
      <c r="BH105" s="14" t="e">
        <v>#N/A</v>
      </c>
      <c r="BI105" s="159" t="e">
        <v>#N/A</v>
      </c>
      <c r="BJ105" s="159" t="e">
        <v>#N/A</v>
      </c>
      <c r="BK105" s="14" t="e">
        <v>#N/A</v>
      </c>
      <c r="BL105" s="14" t="e">
        <v>#N/A</v>
      </c>
      <c r="BM105" s="14" t="e">
        <v>#N/A</v>
      </c>
      <c r="BN105" s="14" t="e">
        <v>#N/A</v>
      </c>
      <c r="BO105" s="14" t="e">
        <v>#N/A</v>
      </c>
      <c r="BP105" s="182" t="e">
        <v>#N/A</v>
      </c>
      <c r="BQ105" s="183" t="e">
        <v>#N/A</v>
      </c>
    </row>
    <row r="106" spans="2:69" x14ac:dyDescent="0.35">
      <c r="B106" s="11">
        <v>87</v>
      </c>
      <c r="C106" s="4" t="str">
        <v>Product 3</v>
      </c>
      <c r="D106" s="94">
        <v>88.841680712737769</v>
      </c>
      <c r="E106" s="94">
        <v>90.416666666666657</v>
      </c>
      <c r="F106" s="94">
        <v>99.25874471954647</v>
      </c>
      <c r="G106" s="94">
        <v>98.991862458648257</v>
      </c>
      <c r="H106" s="4">
        <v>310.59749999999997</v>
      </c>
      <c r="I106" s="174">
        <v>142.79989195671371</v>
      </c>
      <c r="J106" s="95">
        <v>40.09451058016672</v>
      </c>
      <c r="K106" s="4">
        <v>372.71699999999998</v>
      </c>
      <c r="L106" s="11">
        <v>12</v>
      </c>
      <c r="M106" s="4">
        <v>0</v>
      </c>
      <c r="N106" s="11">
        <v>0</v>
      </c>
      <c r="O106" s="11">
        <v>20</v>
      </c>
      <c r="P106" s="137">
        <v>41668</v>
      </c>
      <c r="Q106" s="11">
        <v>77</v>
      </c>
      <c r="R106" s="95">
        <f>CHOOSE($D$4,D106,E106,F106,G106,H106,I106,J106,K106,L106,M106,N106,O106,P106,101-B106)+0.000001*ROWS($A$20:A106)</f>
        <v>98.99194945864825</v>
      </c>
      <c r="S106" s="4">
        <f t="shared" si="33"/>
        <v>82</v>
      </c>
      <c r="T106" s="4"/>
      <c r="U106" s="14">
        <f>ROWS($U$20:U106)</f>
        <v>87</v>
      </c>
      <c r="V106" s="4">
        <v>82</v>
      </c>
      <c r="W106" s="4" t="str">
        <v>Product 2</v>
      </c>
      <c r="X106" s="94">
        <v>96.927830687830692</v>
      </c>
      <c r="Y106" s="94">
        <v>96.190476190476176</v>
      </c>
      <c r="Z106" s="94">
        <v>101.83916391639166</v>
      </c>
      <c r="AA106" s="94">
        <v>98.946763485208237</v>
      </c>
      <c r="AB106" s="4">
        <v>264.49085714285712</v>
      </c>
      <c r="AC106" s="94">
        <v>100.88983020060599</v>
      </c>
      <c r="AD106" s="94">
        <v>0</v>
      </c>
      <c r="AE106" s="4">
        <v>317.38902857142858</v>
      </c>
      <c r="AF106" s="4">
        <v>12</v>
      </c>
      <c r="AG106" s="4">
        <v>0</v>
      </c>
      <c r="AH106" s="4">
        <v>0</v>
      </c>
      <c r="AI106" s="4">
        <v>20</v>
      </c>
      <c r="AJ106" s="139">
        <v>41666</v>
      </c>
      <c r="AK106" s="94">
        <v>99</v>
      </c>
      <c r="AL106" s="162">
        <v>87.317999999999998</v>
      </c>
      <c r="AM106" s="162">
        <v>90</v>
      </c>
      <c r="AN106" s="162">
        <v>98</v>
      </c>
      <c r="AO106" s="162">
        <v>99</v>
      </c>
      <c r="AP106" s="17">
        <v>270</v>
      </c>
      <c r="AQ106" s="162">
        <v>0</v>
      </c>
      <c r="AR106" s="162">
        <v>40</v>
      </c>
      <c r="AS106" s="17">
        <v>324</v>
      </c>
      <c r="AT106" s="17">
        <v>12</v>
      </c>
      <c r="AU106" s="17">
        <v>0</v>
      </c>
      <c r="AV106" s="17">
        <v>0</v>
      </c>
      <c r="AW106" s="17">
        <v>20</v>
      </c>
      <c r="AX106" s="4">
        <v>101.83916391639166</v>
      </c>
      <c r="AY106" s="4">
        <v>96.190476190476176</v>
      </c>
      <c r="BD106" s="159">
        <v>96.927830687830692</v>
      </c>
      <c r="BE106" s="159">
        <v>96.190476190476176</v>
      </c>
      <c r="BF106" s="159">
        <v>101.83916391639166</v>
      </c>
      <c r="BG106" s="159">
        <v>98.946763485208237</v>
      </c>
      <c r="BH106" s="14">
        <v>264.49085714285712</v>
      </c>
      <c r="BI106" s="159">
        <v>100.88983020060599</v>
      </c>
      <c r="BJ106" s="159">
        <v>0</v>
      </c>
      <c r="BK106" s="14">
        <v>317.38902857142858</v>
      </c>
      <c r="BL106" s="14">
        <v>12</v>
      </c>
      <c r="BM106" s="14">
        <v>0</v>
      </c>
      <c r="BN106" s="14">
        <v>0</v>
      </c>
      <c r="BO106" s="14">
        <v>20</v>
      </c>
      <c r="BP106" s="182">
        <v>41666</v>
      </c>
      <c r="BQ106" s="183">
        <v>99</v>
      </c>
    </row>
    <row r="107" spans="2:69" x14ac:dyDescent="0.35">
      <c r="B107" s="11">
        <v>88</v>
      </c>
      <c r="C107" s="4" t="str">
        <v>Product 2</v>
      </c>
      <c r="D107" s="94">
        <v>88.516402116402119</v>
      </c>
      <c r="E107" s="94">
        <v>92.5</v>
      </c>
      <c r="F107" s="94">
        <v>97.032842366175714</v>
      </c>
      <c r="G107" s="94">
        <v>98.619606887621259</v>
      </c>
      <c r="H107" s="4">
        <v>242.33952380952383</v>
      </c>
      <c r="I107" s="174">
        <v>102.88865301996462</v>
      </c>
      <c r="J107" s="95">
        <v>0</v>
      </c>
      <c r="K107" s="4">
        <v>290.8074285714286</v>
      </c>
      <c r="L107" s="11">
        <v>12</v>
      </c>
      <c r="M107" s="4">
        <v>0</v>
      </c>
      <c r="N107" s="11">
        <v>0</v>
      </c>
      <c r="O107" s="11">
        <v>24</v>
      </c>
      <c r="P107" s="137">
        <v>41668</v>
      </c>
      <c r="Q107" s="11">
        <v>93</v>
      </c>
      <c r="R107" s="95">
        <f>CHOOSE($D$4,D107,E107,F107,G107,H107,I107,J107,K107,L107,M107,N107,O107,P107,101-B107)+0.000001*ROWS($A$20:A107)</f>
        <v>98.619694887621264</v>
      </c>
      <c r="S107" s="4">
        <f t="shared" si="33"/>
        <v>125</v>
      </c>
      <c r="T107" s="4"/>
      <c r="U107" s="14">
        <f>ROWS($U$20:U107)</f>
        <v>88</v>
      </c>
      <c r="V107" s="4">
        <v>61</v>
      </c>
      <c r="W107" s="4" t="str">
        <v>Product 4</v>
      </c>
      <c r="X107" s="94">
        <v>79.411764705882362</v>
      </c>
      <c r="Y107" s="94">
        <v>89.243697478991606</v>
      </c>
      <c r="Z107" s="94">
        <v>89.968129798638273</v>
      </c>
      <c r="AA107" s="94">
        <v>98.90508010627164</v>
      </c>
      <c r="AB107" s="4">
        <v>208.75630252100839</v>
      </c>
      <c r="AC107" s="94">
        <v>90.085581665216125</v>
      </c>
      <c r="AD107" s="94">
        <v>0</v>
      </c>
      <c r="AE107" s="4">
        <v>250.50756302521009</v>
      </c>
      <c r="AF107" s="4">
        <v>12</v>
      </c>
      <c r="AG107" s="4">
        <v>0</v>
      </c>
      <c r="AH107" s="4">
        <v>0</v>
      </c>
      <c r="AI107" s="4">
        <v>19</v>
      </c>
      <c r="AJ107" s="139">
        <v>41659</v>
      </c>
      <c r="AK107" s="94">
        <v>73</v>
      </c>
      <c r="AL107" s="162">
        <v>87.097500000000011</v>
      </c>
      <c r="AM107" s="162">
        <v>90</v>
      </c>
      <c r="AN107" s="162">
        <v>98</v>
      </c>
      <c r="AO107" s="162">
        <v>98.75</v>
      </c>
      <c r="AP107" s="17">
        <v>260</v>
      </c>
      <c r="AQ107" s="162">
        <v>0</v>
      </c>
      <c r="AR107" s="162">
        <v>40</v>
      </c>
      <c r="AS107" s="17">
        <v>312</v>
      </c>
      <c r="AT107" s="17">
        <v>12</v>
      </c>
      <c r="AU107" s="17">
        <v>0</v>
      </c>
      <c r="AV107" s="17">
        <v>0</v>
      </c>
      <c r="AW107" s="17">
        <v>20</v>
      </c>
      <c r="AX107" s="4">
        <v>89.968129798638273</v>
      </c>
      <c r="AY107" s="4">
        <v>89.243697478991606</v>
      </c>
      <c r="BD107" s="159" t="e">
        <v>#N/A</v>
      </c>
      <c r="BE107" s="159" t="e">
        <v>#N/A</v>
      </c>
      <c r="BF107" s="159" t="e">
        <v>#N/A</v>
      </c>
      <c r="BG107" s="159" t="e">
        <v>#N/A</v>
      </c>
      <c r="BH107" s="14" t="e">
        <v>#N/A</v>
      </c>
      <c r="BI107" s="159" t="e">
        <v>#N/A</v>
      </c>
      <c r="BJ107" s="159" t="e">
        <v>#N/A</v>
      </c>
      <c r="BK107" s="14" t="e">
        <v>#N/A</v>
      </c>
      <c r="BL107" s="14" t="e">
        <v>#N/A</v>
      </c>
      <c r="BM107" s="14" t="e">
        <v>#N/A</v>
      </c>
      <c r="BN107" s="14" t="e">
        <v>#N/A</v>
      </c>
      <c r="BO107" s="14" t="e">
        <v>#N/A</v>
      </c>
      <c r="BP107" s="182" t="e">
        <v>#N/A</v>
      </c>
      <c r="BQ107" s="183" t="e">
        <v>#N/A</v>
      </c>
    </row>
    <row r="108" spans="2:69" x14ac:dyDescent="0.35">
      <c r="B108" s="11">
        <v>89</v>
      </c>
      <c r="C108" s="4" t="str">
        <v>Product 17</v>
      </c>
      <c r="D108" s="94">
        <v>89.836614997905329</v>
      </c>
      <c r="E108" s="94">
        <v>93.824884792626733</v>
      </c>
      <c r="F108" s="94">
        <v>95.884681788414611</v>
      </c>
      <c r="G108" s="94">
        <v>99.858746099995344</v>
      </c>
      <c r="H108" s="4">
        <v>296.88018433179724</v>
      </c>
      <c r="I108" s="174">
        <v>116.33467142673983</v>
      </c>
      <c r="J108" s="95">
        <v>78.348494994202085</v>
      </c>
      <c r="K108" s="4">
        <v>356.25622119815671</v>
      </c>
      <c r="L108" s="11">
        <v>12</v>
      </c>
      <c r="M108" s="4">
        <v>0</v>
      </c>
      <c r="N108" s="11">
        <v>0</v>
      </c>
      <c r="O108" s="11">
        <v>22</v>
      </c>
      <c r="P108" s="137">
        <v>41669</v>
      </c>
      <c r="Q108" s="11">
        <v>120</v>
      </c>
      <c r="R108" s="95">
        <f>CHOOSE($D$4,D108,E108,F108,G108,H108,I108,J108,K108,L108,M108,N108,O108,P108,101-B108)+0.000001*ROWS($A$20:A108)</f>
        <v>99.858835099995346</v>
      </c>
      <c r="S108" s="4">
        <f t="shared" si="33"/>
        <v>10</v>
      </c>
      <c r="T108" s="4"/>
      <c r="U108" s="14">
        <f>ROWS($U$20:U108)</f>
        <v>89</v>
      </c>
      <c r="V108" s="4">
        <v>230</v>
      </c>
      <c r="W108" s="4" t="str">
        <v>Product 13</v>
      </c>
      <c r="X108" s="94">
        <v>60.146103896103888</v>
      </c>
      <c r="Y108" s="94">
        <v>57.142857142857139</v>
      </c>
      <c r="Z108" s="94">
        <v>106.42755681818181</v>
      </c>
      <c r="AA108" s="94">
        <v>98.898898898898906</v>
      </c>
      <c r="AB108" s="4">
        <v>214.07142857142858</v>
      </c>
      <c r="AC108" s="94">
        <v>170.87633274417013</v>
      </c>
      <c r="AD108" s="94">
        <v>77.411402157164872</v>
      </c>
      <c r="AE108" s="4">
        <v>256.88571428571424</v>
      </c>
      <c r="AF108" s="4">
        <v>12</v>
      </c>
      <c r="AG108" s="4">
        <v>0</v>
      </c>
      <c r="AH108" s="4">
        <v>0</v>
      </c>
      <c r="AI108" s="4">
        <v>30</v>
      </c>
      <c r="AJ108" s="139">
        <v>41723</v>
      </c>
      <c r="AK108" s="94">
        <v>87</v>
      </c>
      <c r="AL108" s="162">
        <v>87.494399999999999</v>
      </c>
      <c r="AM108" s="162">
        <v>90</v>
      </c>
      <c r="AN108" s="162">
        <v>98</v>
      </c>
      <c r="AO108" s="162">
        <v>99.2</v>
      </c>
      <c r="AP108" s="17">
        <v>352</v>
      </c>
      <c r="AQ108" s="162">
        <v>0</v>
      </c>
      <c r="AR108" s="162">
        <v>40</v>
      </c>
      <c r="AS108" s="17">
        <v>422.4</v>
      </c>
      <c r="AT108" s="17">
        <v>12</v>
      </c>
      <c r="AU108" s="17">
        <v>0</v>
      </c>
      <c r="AV108" s="17">
        <v>0</v>
      </c>
      <c r="AW108" s="17">
        <v>20</v>
      </c>
      <c r="AX108" s="4">
        <v>106.42755681818181</v>
      </c>
      <c r="AY108" s="4">
        <v>57.142857142857139</v>
      </c>
      <c r="BD108" s="159" t="e">
        <v>#N/A</v>
      </c>
      <c r="BE108" s="159" t="e">
        <v>#N/A</v>
      </c>
      <c r="BF108" s="159" t="e">
        <v>#N/A</v>
      </c>
      <c r="BG108" s="159" t="e">
        <v>#N/A</v>
      </c>
      <c r="BH108" s="14" t="e">
        <v>#N/A</v>
      </c>
      <c r="BI108" s="159" t="e">
        <v>#N/A</v>
      </c>
      <c r="BJ108" s="159" t="e">
        <v>#N/A</v>
      </c>
      <c r="BK108" s="14" t="e">
        <v>#N/A</v>
      </c>
      <c r="BL108" s="14" t="e">
        <v>#N/A</v>
      </c>
      <c r="BM108" s="14" t="e">
        <v>#N/A</v>
      </c>
      <c r="BN108" s="14" t="e">
        <v>#N/A</v>
      </c>
      <c r="BO108" s="14" t="e">
        <v>#N/A</v>
      </c>
      <c r="BP108" s="182" t="e">
        <v>#N/A</v>
      </c>
      <c r="BQ108" s="183" t="e">
        <v>#N/A</v>
      </c>
    </row>
    <row r="109" spans="2:69" x14ac:dyDescent="0.35">
      <c r="B109" s="11">
        <v>90</v>
      </c>
      <c r="C109" s="4" t="str">
        <v>Product 3</v>
      </c>
      <c r="D109" s="94">
        <v>92.554340620580817</v>
      </c>
      <c r="E109" s="94">
        <v>92.390524048815507</v>
      </c>
      <c r="F109" s="94">
        <v>101.45759209086924</v>
      </c>
      <c r="G109" s="94">
        <v>98.738109964228926</v>
      </c>
      <c r="H109" s="4">
        <v>324.40882986360378</v>
      </c>
      <c r="I109" s="174">
        <v>120.92142407984694</v>
      </c>
      <c r="J109" s="95">
        <v>12.248749329998214</v>
      </c>
      <c r="K109" s="4">
        <v>389.29059583632454</v>
      </c>
      <c r="L109" s="11">
        <v>12</v>
      </c>
      <c r="M109" s="4">
        <v>0</v>
      </c>
      <c r="N109" s="11">
        <v>0</v>
      </c>
      <c r="O109" s="11">
        <v>14</v>
      </c>
      <c r="P109" s="137">
        <v>41670</v>
      </c>
      <c r="Q109" s="11">
        <v>64</v>
      </c>
      <c r="R109" s="95">
        <f>CHOOSE($D$4,D109,E109,F109,G109,H109,I109,J109,K109,L109,M109,N109,O109,P109,101-B109)+0.000001*ROWS($A$20:A109)</f>
        <v>98.738199964228926</v>
      </c>
      <c r="S109" s="4">
        <f t="shared" si="33"/>
        <v>107</v>
      </c>
      <c r="T109" s="4"/>
      <c r="U109" s="14">
        <f>ROWS($U$20:U109)</f>
        <v>90</v>
      </c>
      <c r="V109" s="4">
        <v>138</v>
      </c>
      <c r="W109" s="4" t="str">
        <v>Product 21</v>
      </c>
      <c r="X109" s="94">
        <v>79.710144927536248</v>
      </c>
      <c r="Y109" s="94">
        <v>87.318840579710155</v>
      </c>
      <c r="Z109" s="94">
        <v>92.314221048660897</v>
      </c>
      <c r="AA109" s="94">
        <v>98.886505261007258</v>
      </c>
      <c r="AB109" s="4">
        <v>266.00543478260869</v>
      </c>
      <c r="AC109" s="94">
        <v>108.01377067992732</v>
      </c>
      <c r="AD109" s="94">
        <v>53.197517539125741</v>
      </c>
      <c r="AE109" s="4">
        <v>319.20652173913044</v>
      </c>
      <c r="AF109" s="4">
        <v>12</v>
      </c>
      <c r="AG109" s="4">
        <v>0</v>
      </c>
      <c r="AH109" s="4">
        <v>0</v>
      </c>
      <c r="AI109" s="4">
        <v>27</v>
      </c>
      <c r="AJ109" s="139">
        <v>41691</v>
      </c>
      <c r="AK109" s="94">
        <v>100</v>
      </c>
      <c r="AL109" s="162">
        <v>87.494399999999999</v>
      </c>
      <c r="AM109" s="162">
        <v>90</v>
      </c>
      <c r="AN109" s="162">
        <v>98</v>
      </c>
      <c r="AO109" s="162">
        <v>99.2</v>
      </c>
      <c r="AP109" s="17">
        <v>330</v>
      </c>
      <c r="AQ109" s="162">
        <v>0</v>
      </c>
      <c r="AR109" s="162">
        <v>40</v>
      </c>
      <c r="AS109" s="17">
        <v>396</v>
      </c>
      <c r="AT109" s="17">
        <v>12</v>
      </c>
      <c r="AU109" s="17">
        <v>0</v>
      </c>
      <c r="AV109" s="17">
        <v>0</v>
      </c>
      <c r="AW109" s="17">
        <v>20</v>
      </c>
      <c r="AX109" s="4">
        <v>92.314221048660897</v>
      </c>
      <c r="AY109" s="4">
        <v>87.318840579710155</v>
      </c>
      <c r="BD109" s="159">
        <v>79.710144927536248</v>
      </c>
      <c r="BE109" s="159">
        <v>87.318840579710155</v>
      </c>
      <c r="BF109" s="159">
        <v>92.314221048660897</v>
      </c>
      <c r="BG109" s="159">
        <v>98.886505261007258</v>
      </c>
      <c r="BH109" s="14">
        <v>266.00543478260869</v>
      </c>
      <c r="BI109" s="159">
        <v>108.01377067992732</v>
      </c>
      <c r="BJ109" s="159">
        <v>53.197517539125741</v>
      </c>
      <c r="BK109" s="14">
        <v>319.20652173913044</v>
      </c>
      <c r="BL109" s="14">
        <v>12</v>
      </c>
      <c r="BM109" s="14">
        <v>0</v>
      </c>
      <c r="BN109" s="14">
        <v>0</v>
      </c>
      <c r="BO109" s="14">
        <v>27</v>
      </c>
      <c r="BP109" s="182">
        <v>41691</v>
      </c>
      <c r="BQ109" s="183">
        <v>100</v>
      </c>
    </row>
    <row r="110" spans="2:69" x14ac:dyDescent="0.35">
      <c r="B110" s="11">
        <v>91</v>
      </c>
      <c r="C110" s="4" t="str">
        <v>Product 3</v>
      </c>
      <c r="D110" s="94">
        <v>88.375116518176839</v>
      </c>
      <c r="E110" s="94">
        <v>93.700217233888495</v>
      </c>
      <c r="F110" s="94">
        <v>96.046062575251696</v>
      </c>
      <c r="G110" s="94">
        <v>98.19962652252417</v>
      </c>
      <c r="H110" s="4">
        <v>325.78323678493848</v>
      </c>
      <c r="I110" s="174">
        <v>115.41394746293162</v>
      </c>
      <c r="J110" s="95">
        <v>10.259729657231494</v>
      </c>
      <c r="K110" s="4">
        <v>390.9398841419262</v>
      </c>
      <c r="L110" s="11">
        <v>12</v>
      </c>
      <c r="M110" s="4">
        <v>0</v>
      </c>
      <c r="N110" s="11">
        <v>0</v>
      </c>
      <c r="O110" s="11">
        <v>21</v>
      </c>
      <c r="P110" s="137">
        <v>41670</v>
      </c>
      <c r="Q110" s="11">
        <v>104</v>
      </c>
      <c r="R110" s="95">
        <f>CHOOSE($D$4,D110,E110,F110,G110,H110,I110,J110,K110,L110,M110,N110,O110,P110,101-B110)+0.000001*ROWS($A$20:A110)</f>
        <v>98.199717522524168</v>
      </c>
      <c r="S110" s="4">
        <f t="shared" si="33"/>
        <v>180</v>
      </c>
      <c r="T110" s="4"/>
      <c r="U110" s="14">
        <f>ROWS($U$20:U110)</f>
        <v>91</v>
      </c>
      <c r="V110" s="4">
        <v>112</v>
      </c>
      <c r="W110" s="4" t="str">
        <v>Product 10</v>
      </c>
      <c r="X110" s="94">
        <v>86.207560799422112</v>
      </c>
      <c r="Y110" s="94">
        <v>100</v>
      </c>
      <c r="Z110" s="94">
        <v>87.182759450999285</v>
      </c>
      <c r="AA110" s="94">
        <v>98.881431767337816</v>
      </c>
      <c r="AB110" s="4">
        <v>301.72500000000002</v>
      </c>
      <c r="AC110" s="94">
        <v>95.948674733277144</v>
      </c>
      <c r="AD110" s="94">
        <v>0</v>
      </c>
      <c r="AE110" s="4">
        <v>362.07000000000005</v>
      </c>
      <c r="AF110" s="4">
        <v>12</v>
      </c>
      <c r="AG110" s="4">
        <v>0</v>
      </c>
      <c r="AH110" s="4">
        <v>0</v>
      </c>
      <c r="AI110" s="4">
        <v>16</v>
      </c>
      <c r="AJ110" s="139">
        <v>41680</v>
      </c>
      <c r="AK110" s="94">
        <v>81</v>
      </c>
      <c r="AL110" s="162">
        <v>87.494399999999999</v>
      </c>
      <c r="AM110" s="162">
        <v>90</v>
      </c>
      <c r="AN110" s="162">
        <v>98</v>
      </c>
      <c r="AO110" s="162">
        <v>99.2</v>
      </c>
      <c r="AP110" s="17">
        <v>346.08333333333331</v>
      </c>
      <c r="AQ110" s="162">
        <v>0</v>
      </c>
      <c r="AR110" s="162">
        <v>40</v>
      </c>
      <c r="AS110" s="17">
        <v>415.3</v>
      </c>
      <c r="AT110" s="17">
        <v>12</v>
      </c>
      <c r="AU110" s="17">
        <v>0</v>
      </c>
      <c r="AV110" s="17">
        <v>0</v>
      </c>
      <c r="AW110" s="17">
        <v>20</v>
      </c>
      <c r="AX110" s="4">
        <v>87.182759450999285</v>
      </c>
      <c r="AY110" s="4">
        <v>100</v>
      </c>
      <c r="BD110" s="159" t="e">
        <v>#N/A</v>
      </c>
      <c r="BE110" s="159" t="e">
        <v>#N/A</v>
      </c>
      <c r="BF110" s="159" t="e">
        <v>#N/A</v>
      </c>
      <c r="BG110" s="159" t="e">
        <v>#N/A</v>
      </c>
      <c r="BH110" s="14" t="e">
        <v>#N/A</v>
      </c>
      <c r="BI110" s="159" t="e">
        <v>#N/A</v>
      </c>
      <c r="BJ110" s="159" t="e">
        <v>#N/A</v>
      </c>
      <c r="BK110" s="14" t="e">
        <v>#N/A</v>
      </c>
      <c r="BL110" s="14" t="e">
        <v>#N/A</v>
      </c>
      <c r="BM110" s="14" t="e">
        <v>#N/A</v>
      </c>
      <c r="BN110" s="14" t="e">
        <v>#N/A</v>
      </c>
      <c r="BO110" s="14" t="e">
        <v>#N/A</v>
      </c>
      <c r="BP110" s="182" t="e">
        <v>#N/A</v>
      </c>
      <c r="BQ110" s="183" t="e">
        <v>#N/A</v>
      </c>
    </row>
    <row r="111" spans="2:69" x14ac:dyDescent="0.35">
      <c r="B111" s="11">
        <v>92</v>
      </c>
      <c r="C111" s="4" t="str">
        <v>Product 3</v>
      </c>
      <c r="D111" s="94">
        <v>89.958563535911608</v>
      </c>
      <c r="E111" s="94">
        <v>96.235294117647058</v>
      </c>
      <c r="F111" s="94">
        <v>94.25782463629119</v>
      </c>
      <c r="G111" s="94">
        <v>99.172376729813251</v>
      </c>
      <c r="H111" s="4">
        <v>328.36764705882354</v>
      </c>
      <c r="I111" s="174">
        <v>120.83315295034419</v>
      </c>
      <c r="J111" s="95">
        <v>40.698709390298177</v>
      </c>
      <c r="K111" s="4">
        <v>394.0411764705882</v>
      </c>
      <c r="L111" s="11">
        <v>12</v>
      </c>
      <c r="M111" s="4">
        <v>0</v>
      </c>
      <c r="N111" s="11">
        <v>0</v>
      </c>
      <c r="O111" s="11">
        <v>28</v>
      </c>
      <c r="P111" s="137">
        <v>41669</v>
      </c>
      <c r="Q111" s="11">
        <v>122</v>
      </c>
      <c r="R111" s="95">
        <f>CHOOSE($D$4,D111,E111,F111,G111,H111,I111,J111,K111,L111,M111,N111,O111,P111,101-B111)+0.000001*ROWS($A$20:A111)</f>
        <v>99.172468729813247</v>
      </c>
      <c r="S111" s="4">
        <f t="shared" si="33"/>
        <v>52</v>
      </c>
      <c r="T111" s="4"/>
      <c r="U111" s="14">
        <f>ROWS($U$20:U111)</f>
        <v>92</v>
      </c>
      <c r="V111" s="4">
        <v>143</v>
      </c>
      <c r="W111" s="4" t="str">
        <v>Product 16</v>
      </c>
      <c r="X111" s="94">
        <v>81.405137814820534</v>
      </c>
      <c r="Y111" s="94">
        <v>100</v>
      </c>
      <c r="Z111" s="94">
        <v>82.340684389377572</v>
      </c>
      <c r="AA111" s="94">
        <v>98.863810057573758</v>
      </c>
      <c r="AB111" s="4">
        <v>228.22093023255815</v>
      </c>
      <c r="AC111" s="94">
        <v>91.136619025065244</v>
      </c>
      <c r="AD111" s="94">
        <v>100</v>
      </c>
      <c r="AE111" s="4">
        <v>273.86511627906981</v>
      </c>
      <c r="AF111" s="4">
        <v>12</v>
      </c>
      <c r="AG111" s="4">
        <v>0</v>
      </c>
      <c r="AH111" s="4">
        <v>0</v>
      </c>
      <c r="AI111" s="4">
        <v>24</v>
      </c>
      <c r="AJ111" s="139">
        <v>41694</v>
      </c>
      <c r="AK111" s="94">
        <v>106</v>
      </c>
      <c r="AL111" s="162">
        <v>86.87700000000001</v>
      </c>
      <c r="AM111" s="162">
        <v>90</v>
      </c>
      <c r="AN111" s="162">
        <v>98</v>
      </c>
      <c r="AO111" s="162">
        <v>98.5</v>
      </c>
      <c r="AP111" s="17">
        <v>277.16666666666669</v>
      </c>
      <c r="AQ111" s="162">
        <v>0</v>
      </c>
      <c r="AR111" s="162">
        <v>40</v>
      </c>
      <c r="AS111" s="17">
        <v>332.6</v>
      </c>
      <c r="AT111" s="17">
        <v>12</v>
      </c>
      <c r="AU111" s="17">
        <v>0</v>
      </c>
      <c r="AV111" s="17">
        <v>0</v>
      </c>
      <c r="AW111" s="17">
        <v>20</v>
      </c>
      <c r="AX111" s="4">
        <v>82.340684389377572</v>
      </c>
      <c r="AY111" s="4">
        <v>100</v>
      </c>
      <c r="BD111" s="159" t="e">
        <v>#N/A</v>
      </c>
      <c r="BE111" s="159" t="e">
        <v>#N/A</v>
      </c>
      <c r="BF111" s="159" t="e">
        <v>#N/A</v>
      </c>
      <c r="BG111" s="159" t="e">
        <v>#N/A</v>
      </c>
      <c r="BH111" s="14" t="e">
        <v>#N/A</v>
      </c>
      <c r="BI111" s="159" t="e">
        <v>#N/A</v>
      </c>
      <c r="BJ111" s="159" t="e">
        <v>#N/A</v>
      </c>
      <c r="BK111" s="14" t="e">
        <v>#N/A</v>
      </c>
      <c r="BL111" s="14" t="e">
        <v>#N/A</v>
      </c>
      <c r="BM111" s="14" t="e">
        <v>#N/A</v>
      </c>
      <c r="BN111" s="14" t="e">
        <v>#N/A</v>
      </c>
      <c r="BO111" s="14" t="e">
        <v>#N/A</v>
      </c>
      <c r="BP111" s="182" t="e">
        <v>#N/A</v>
      </c>
      <c r="BQ111" s="183" t="e">
        <v>#N/A</v>
      </c>
    </row>
    <row r="112" spans="2:69" x14ac:dyDescent="0.35">
      <c r="B112" s="11">
        <v>93</v>
      </c>
      <c r="C112" s="4" t="str">
        <v>Product 3</v>
      </c>
      <c r="D112" s="94">
        <v>82.558361678561823</v>
      </c>
      <c r="E112" s="94">
        <v>85.765124555160142</v>
      </c>
      <c r="F112" s="94">
        <v>97.50370616599038</v>
      </c>
      <c r="G112" s="94">
        <v>98.725472197366258</v>
      </c>
      <c r="H112" s="4">
        <v>302.71951364175561</v>
      </c>
      <c r="I112" s="174">
        <v>118.2969516321933</v>
      </c>
      <c r="J112" s="95">
        <v>0</v>
      </c>
      <c r="K112" s="4">
        <v>363.26341637010677</v>
      </c>
      <c r="L112" s="11">
        <v>12</v>
      </c>
      <c r="M112" s="4">
        <v>0</v>
      </c>
      <c r="N112" s="11">
        <v>0</v>
      </c>
      <c r="O112" s="11">
        <v>27</v>
      </c>
      <c r="P112" s="137">
        <v>41661</v>
      </c>
      <c r="Q112" s="11">
        <v>84</v>
      </c>
      <c r="R112" s="95">
        <f>CHOOSE($D$4,D112,E112,F112,G112,H112,I112,J112,K112,L112,M112,N112,O112,P112,101-B112)+0.000001*ROWS($A$20:A112)</f>
        <v>98.725565197366265</v>
      </c>
      <c r="S112" s="4">
        <f t="shared" si="33"/>
        <v>108</v>
      </c>
      <c r="T112" s="4"/>
      <c r="U112" s="14">
        <f>ROWS($U$20:U112)</f>
        <v>93</v>
      </c>
      <c r="V112" s="4">
        <v>125</v>
      </c>
      <c r="W112" s="4" t="str">
        <v>Product 3</v>
      </c>
      <c r="X112" s="94">
        <v>93.000906804104702</v>
      </c>
      <c r="Y112" s="94">
        <v>92.695035460992912</v>
      </c>
      <c r="Z112" s="94">
        <v>101.48952527565088</v>
      </c>
      <c r="AA112" s="94">
        <v>98.857468983387008</v>
      </c>
      <c r="AB112" s="4">
        <v>325.58049645390071</v>
      </c>
      <c r="AC112" s="94">
        <v>117.57797342724507</v>
      </c>
      <c r="AD112" s="94">
        <v>34.287084755594229</v>
      </c>
      <c r="AE112" s="4">
        <v>390.69659574468085</v>
      </c>
      <c r="AF112" s="4">
        <v>12</v>
      </c>
      <c r="AG112" s="4">
        <v>0</v>
      </c>
      <c r="AH112" s="4">
        <v>0</v>
      </c>
      <c r="AI112" s="4">
        <v>29</v>
      </c>
      <c r="AJ112" s="139">
        <v>41687</v>
      </c>
      <c r="AK112" s="94">
        <v>113</v>
      </c>
      <c r="AL112" s="162">
        <v>87.494399999999999</v>
      </c>
      <c r="AM112" s="162">
        <v>90</v>
      </c>
      <c r="AN112" s="162">
        <v>98</v>
      </c>
      <c r="AO112" s="162">
        <v>99.2</v>
      </c>
      <c r="AP112" s="17">
        <v>346.08333333333331</v>
      </c>
      <c r="AQ112" s="162">
        <v>0</v>
      </c>
      <c r="AR112" s="162">
        <v>40</v>
      </c>
      <c r="AS112" s="17">
        <v>415.3</v>
      </c>
      <c r="AT112" s="17">
        <v>12</v>
      </c>
      <c r="AU112" s="17">
        <v>0</v>
      </c>
      <c r="AV112" s="17">
        <v>0</v>
      </c>
      <c r="AW112" s="17">
        <v>20</v>
      </c>
      <c r="AX112" s="4">
        <v>101.48952527565088</v>
      </c>
      <c r="AY112" s="4">
        <v>92.695035460992912</v>
      </c>
      <c r="BD112" s="159" t="e">
        <v>#N/A</v>
      </c>
      <c r="BE112" s="159" t="e">
        <v>#N/A</v>
      </c>
      <c r="BF112" s="159" t="e">
        <v>#N/A</v>
      </c>
      <c r="BG112" s="159" t="e">
        <v>#N/A</v>
      </c>
      <c r="BH112" s="14" t="e">
        <v>#N/A</v>
      </c>
      <c r="BI112" s="159" t="e">
        <v>#N/A</v>
      </c>
      <c r="BJ112" s="159" t="e">
        <v>#N/A</v>
      </c>
      <c r="BK112" s="14" t="e">
        <v>#N/A</v>
      </c>
      <c r="BL112" s="14" t="e">
        <v>#N/A</v>
      </c>
      <c r="BM112" s="14" t="e">
        <v>#N/A</v>
      </c>
      <c r="BN112" s="14" t="e">
        <v>#N/A</v>
      </c>
      <c r="BO112" s="14" t="e">
        <v>#N/A</v>
      </c>
      <c r="BP112" s="182" t="e">
        <v>#N/A</v>
      </c>
      <c r="BQ112" s="183" t="e">
        <v>#N/A</v>
      </c>
    </row>
    <row r="113" spans="2:69" x14ac:dyDescent="0.35">
      <c r="B113" s="11">
        <v>94</v>
      </c>
      <c r="C113" s="4" t="str">
        <v>Product 3</v>
      </c>
      <c r="D113" s="94">
        <v>70.502024736313402</v>
      </c>
      <c r="E113" s="94">
        <v>76.704545454545453</v>
      </c>
      <c r="F113" s="94">
        <v>93.945927972171063</v>
      </c>
      <c r="G113" s="94">
        <v>97.836865047060769</v>
      </c>
      <c r="H113" s="4">
        <v>260.86008522727275</v>
      </c>
      <c r="I113" s="174">
        <v>110.02204688557786</v>
      </c>
      <c r="J113" s="95">
        <v>0</v>
      </c>
      <c r="K113" s="4">
        <v>313.03210227272729</v>
      </c>
      <c r="L113" s="11">
        <v>12</v>
      </c>
      <c r="M113" s="4">
        <v>0</v>
      </c>
      <c r="N113" s="11">
        <v>0</v>
      </c>
      <c r="O113" s="11">
        <v>24</v>
      </c>
      <c r="P113" s="137">
        <v>41671</v>
      </c>
      <c r="Q113" s="11">
        <v>95</v>
      </c>
      <c r="R113" s="95">
        <f>CHOOSE($D$4,D113,E113,F113,G113,H113,I113,J113,K113,L113,M113,N113,O113,P113,101-B113)+0.000001*ROWS($A$20:A113)</f>
        <v>97.836959047060773</v>
      </c>
      <c r="S113" s="4">
        <f t="shared" si="33"/>
        <v>198</v>
      </c>
      <c r="T113" s="4"/>
      <c r="U113" s="14">
        <f>ROWS($U$20:U113)</f>
        <v>94</v>
      </c>
      <c r="V113" s="4">
        <v>122</v>
      </c>
      <c r="W113" s="4" t="str">
        <v>Product 3</v>
      </c>
      <c r="X113" s="94">
        <v>100.34561232843728</v>
      </c>
      <c r="Y113" s="94">
        <v>99.04</v>
      </c>
      <c r="Z113" s="94">
        <v>102.49226380135894</v>
      </c>
      <c r="AA113" s="94">
        <v>98.854551495425142</v>
      </c>
      <c r="AB113" s="4">
        <v>351.30344000000002</v>
      </c>
      <c r="AC113" s="94">
        <v>112.71372726176023</v>
      </c>
      <c r="AD113" s="94">
        <v>44.642938522535658</v>
      </c>
      <c r="AE113" s="4">
        <v>421.56412799999998</v>
      </c>
      <c r="AF113" s="4">
        <v>12</v>
      </c>
      <c r="AG113" s="4">
        <v>0</v>
      </c>
      <c r="AH113" s="4">
        <v>0</v>
      </c>
      <c r="AI113" s="4">
        <v>23</v>
      </c>
      <c r="AJ113" s="139">
        <v>41684</v>
      </c>
      <c r="AK113" s="94">
        <v>61</v>
      </c>
      <c r="AL113" s="162">
        <v>87.494399999999999</v>
      </c>
      <c r="AM113" s="162">
        <v>90</v>
      </c>
      <c r="AN113" s="162">
        <v>98</v>
      </c>
      <c r="AO113" s="162">
        <v>99.2</v>
      </c>
      <c r="AP113" s="17">
        <v>346.08333333333331</v>
      </c>
      <c r="AQ113" s="162">
        <v>0</v>
      </c>
      <c r="AR113" s="162">
        <v>40</v>
      </c>
      <c r="AS113" s="17">
        <v>415.3</v>
      </c>
      <c r="AT113" s="17">
        <v>12</v>
      </c>
      <c r="AU113" s="17">
        <v>0</v>
      </c>
      <c r="AV113" s="17">
        <v>0</v>
      </c>
      <c r="AW113" s="17">
        <v>20</v>
      </c>
      <c r="AX113" s="4">
        <v>102.49226380135894</v>
      </c>
      <c r="AY113" s="4">
        <v>99.04</v>
      </c>
      <c r="BD113" s="159" t="e">
        <v>#N/A</v>
      </c>
      <c r="BE113" s="159" t="e">
        <v>#N/A</v>
      </c>
      <c r="BF113" s="159" t="e">
        <v>#N/A</v>
      </c>
      <c r="BG113" s="159" t="e">
        <v>#N/A</v>
      </c>
      <c r="BH113" s="14" t="e">
        <v>#N/A</v>
      </c>
      <c r="BI113" s="159" t="e">
        <v>#N/A</v>
      </c>
      <c r="BJ113" s="159" t="e">
        <v>#N/A</v>
      </c>
      <c r="BK113" s="14" t="e">
        <v>#N/A</v>
      </c>
      <c r="BL113" s="14" t="e">
        <v>#N/A</v>
      </c>
      <c r="BM113" s="14" t="e">
        <v>#N/A</v>
      </c>
      <c r="BN113" s="14" t="e">
        <v>#N/A</v>
      </c>
      <c r="BO113" s="14" t="e">
        <v>#N/A</v>
      </c>
      <c r="BP113" s="182" t="e">
        <v>#N/A</v>
      </c>
      <c r="BQ113" s="183" t="e">
        <v>#N/A</v>
      </c>
    </row>
    <row r="114" spans="2:69" x14ac:dyDescent="0.35">
      <c r="B114" s="11">
        <v>95</v>
      </c>
      <c r="C114" s="4" t="str">
        <v>Product 3</v>
      </c>
      <c r="D114" s="94">
        <v>84.089744999436306</v>
      </c>
      <c r="E114" s="94">
        <v>83.815028901734095</v>
      </c>
      <c r="F114" s="94">
        <v>102.18724312296055</v>
      </c>
      <c r="G114" s="94">
        <v>98.180322374234436</v>
      </c>
      <c r="H114" s="4">
        <v>296.41437861271675</v>
      </c>
      <c r="I114" s="174">
        <v>125.04648426545715</v>
      </c>
      <c r="J114" s="95">
        <v>0</v>
      </c>
      <c r="K114" s="4">
        <v>355.69725433526014</v>
      </c>
      <c r="L114" s="11">
        <v>12</v>
      </c>
      <c r="M114" s="4">
        <v>0</v>
      </c>
      <c r="N114" s="11">
        <v>0</v>
      </c>
      <c r="O114" s="11">
        <v>29</v>
      </c>
      <c r="P114" s="137">
        <v>41671</v>
      </c>
      <c r="Q114" s="11">
        <v>86</v>
      </c>
      <c r="R114" s="95">
        <f>CHOOSE($D$4,D114,E114,F114,G114,H114,I114,J114,K114,L114,M114,N114,O114,P114,101-B114)+0.000001*ROWS($A$20:A114)</f>
        <v>98.180417374234437</v>
      </c>
      <c r="S114" s="4">
        <f t="shared" si="33"/>
        <v>181</v>
      </c>
      <c r="T114" s="4"/>
      <c r="U114" s="14">
        <f>ROWS($U$20:U114)</f>
        <v>95</v>
      </c>
      <c r="V114" s="4">
        <v>104</v>
      </c>
      <c r="W114" s="4" t="str">
        <v>Product 4</v>
      </c>
      <c r="X114" s="94">
        <v>94.780219780219781</v>
      </c>
      <c r="Y114" s="94">
        <v>98.660714285714306</v>
      </c>
      <c r="Z114" s="94">
        <v>97.183547975403172</v>
      </c>
      <c r="AA114" s="94">
        <v>98.850917773466648</v>
      </c>
      <c r="AB114" s="4">
        <v>249.29315476190482</v>
      </c>
      <c r="AC114" s="94">
        <v>49.14248166232273</v>
      </c>
      <c r="AD114" s="94">
        <v>2.9343733189887038</v>
      </c>
      <c r="AE114" s="4">
        <v>299.15178571428572</v>
      </c>
      <c r="AF114" s="4">
        <v>12</v>
      </c>
      <c r="AG114" s="4">
        <v>0</v>
      </c>
      <c r="AH114" s="4">
        <v>0</v>
      </c>
      <c r="AI114" s="4">
        <v>22</v>
      </c>
      <c r="AJ114" s="139">
        <v>41674</v>
      </c>
      <c r="AK114" s="94">
        <v>79</v>
      </c>
      <c r="AL114" s="162">
        <v>87.097500000000011</v>
      </c>
      <c r="AM114" s="162">
        <v>90</v>
      </c>
      <c r="AN114" s="162">
        <v>98</v>
      </c>
      <c r="AO114" s="162">
        <v>98.75</v>
      </c>
      <c r="AP114" s="17">
        <v>260</v>
      </c>
      <c r="AQ114" s="162">
        <v>0</v>
      </c>
      <c r="AR114" s="162">
        <v>40</v>
      </c>
      <c r="AS114" s="17">
        <v>312</v>
      </c>
      <c r="AT114" s="17">
        <v>12</v>
      </c>
      <c r="AU114" s="17">
        <v>0</v>
      </c>
      <c r="AV114" s="17">
        <v>0</v>
      </c>
      <c r="AW114" s="17">
        <v>20</v>
      </c>
      <c r="AX114" s="4">
        <v>97.183547975403172</v>
      </c>
      <c r="AY114" s="4">
        <v>98.660714285714306</v>
      </c>
      <c r="BD114" s="159" t="e">
        <v>#N/A</v>
      </c>
      <c r="BE114" s="159" t="e">
        <v>#N/A</v>
      </c>
      <c r="BF114" s="159" t="e">
        <v>#N/A</v>
      </c>
      <c r="BG114" s="159" t="e">
        <v>#N/A</v>
      </c>
      <c r="BH114" s="14" t="e">
        <v>#N/A</v>
      </c>
      <c r="BI114" s="159" t="e">
        <v>#N/A</v>
      </c>
      <c r="BJ114" s="159" t="e">
        <v>#N/A</v>
      </c>
      <c r="BK114" s="14" t="e">
        <v>#N/A</v>
      </c>
      <c r="BL114" s="14" t="e">
        <v>#N/A</v>
      </c>
      <c r="BM114" s="14" t="e">
        <v>#N/A</v>
      </c>
      <c r="BN114" s="14" t="e">
        <v>#N/A</v>
      </c>
      <c r="BO114" s="14" t="e">
        <v>#N/A</v>
      </c>
      <c r="BP114" s="182" t="e">
        <v>#N/A</v>
      </c>
      <c r="BQ114" s="183" t="e">
        <v>#N/A</v>
      </c>
    </row>
    <row r="115" spans="2:69" x14ac:dyDescent="0.35">
      <c r="B115" s="11">
        <v>96</v>
      </c>
      <c r="C115" s="4" t="str">
        <v>Product 2</v>
      </c>
      <c r="D115" s="94">
        <v>89.130075370775614</v>
      </c>
      <c r="E115" s="94">
        <v>87.199124726477038</v>
      </c>
      <c r="F115" s="94">
        <v>103.10200288117477</v>
      </c>
      <c r="G115" s="94">
        <v>99.139116905219922</v>
      </c>
      <c r="H115" s="4">
        <v>242.74091903719915</v>
      </c>
      <c r="I115" s="174">
        <v>101.99292051671034</v>
      </c>
      <c r="J115" s="95">
        <v>0</v>
      </c>
      <c r="K115" s="4">
        <v>291.28910284463893</v>
      </c>
      <c r="L115" s="11">
        <v>12</v>
      </c>
      <c r="M115" s="4">
        <v>0</v>
      </c>
      <c r="N115" s="11">
        <v>0</v>
      </c>
      <c r="O115" s="11">
        <v>24</v>
      </c>
      <c r="P115" s="137">
        <v>41673</v>
      </c>
      <c r="Q115" s="11">
        <v>119</v>
      </c>
      <c r="R115" s="95">
        <f>CHOOSE($D$4,D115,E115,F115,G115,H115,I115,J115,K115,L115,M115,N115,O115,P115,101-B115)+0.000001*ROWS($A$20:A115)</f>
        <v>99.139212905219921</v>
      </c>
      <c r="S115" s="4">
        <f t="shared" si="33"/>
        <v>60</v>
      </c>
      <c r="T115" s="4"/>
      <c r="U115" s="14">
        <f>ROWS($U$20:U115)</f>
        <v>96</v>
      </c>
      <c r="V115" s="4">
        <v>160</v>
      </c>
      <c r="W115" s="4" t="str">
        <v>Product 4</v>
      </c>
      <c r="X115" s="94">
        <v>82.816377171215876</v>
      </c>
      <c r="Y115" s="94">
        <v>91.505376344086017</v>
      </c>
      <c r="Z115" s="94">
        <v>91.561963301093726</v>
      </c>
      <c r="AA115" s="94">
        <v>98.844957796534871</v>
      </c>
      <c r="AB115" s="4">
        <v>217.83870967741936</v>
      </c>
      <c r="AC115" s="94">
        <v>93.857932104842533</v>
      </c>
      <c r="AD115" s="94">
        <v>16.917797672730472</v>
      </c>
      <c r="AE115" s="4">
        <v>261.4064516129032</v>
      </c>
      <c r="AF115" s="4">
        <v>12</v>
      </c>
      <c r="AG115" s="4">
        <v>0</v>
      </c>
      <c r="AH115" s="4">
        <v>0</v>
      </c>
      <c r="AI115" s="4">
        <v>25</v>
      </c>
      <c r="AJ115" s="139">
        <v>41701</v>
      </c>
      <c r="AK115" s="94">
        <v>87</v>
      </c>
      <c r="AL115" s="162">
        <v>87.097500000000011</v>
      </c>
      <c r="AM115" s="162">
        <v>90</v>
      </c>
      <c r="AN115" s="162">
        <v>98</v>
      </c>
      <c r="AO115" s="162">
        <v>98.75</v>
      </c>
      <c r="AP115" s="17">
        <v>260</v>
      </c>
      <c r="AQ115" s="162">
        <v>0</v>
      </c>
      <c r="AR115" s="162">
        <v>40</v>
      </c>
      <c r="AS115" s="17">
        <v>312</v>
      </c>
      <c r="AT115" s="17">
        <v>12</v>
      </c>
      <c r="AU115" s="17">
        <v>0</v>
      </c>
      <c r="AV115" s="17">
        <v>0</v>
      </c>
      <c r="AW115" s="17">
        <v>20</v>
      </c>
      <c r="AX115" s="4">
        <v>91.561963301093726</v>
      </c>
      <c r="AY115" s="4">
        <v>91.505376344086017</v>
      </c>
      <c r="BD115" s="159" t="e">
        <v>#N/A</v>
      </c>
      <c r="BE115" s="159" t="e">
        <v>#N/A</v>
      </c>
      <c r="BF115" s="159" t="e">
        <v>#N/A</v>
      </c>
      <c r="BG115" s="159" t="e">
        <v>#N/A</v>
      </c>
      <c r="BH115" s="14" t="e">
        <v>#N/A</v>
      </c>
      <c r="BI115" s="159" t="e">
        <v>#N/A</v>
      </c>
      <c r="BJ115" s="159" t="e">
        <v>#N/A</v>
      </c>
      <c r="BK115" s="14" t="e">
        <v>#N/A</v>
      </c>
      <c r="BL115" s="14" t="e">
        <v>#N/A</v>
      </c>
      <c r="BM115" s="14" t="e">
        <v>#N/A</v>
      </c>
      <c r="BN115" s="14" t="e">
        <v>#N/A</v>
      </c>
      <c r="BO115" s="14" t="e">
        <v>#N/A</v>
      </c>
      <c r="BP115" s="182" t="e">
        <v>#N/A</v>
      </c>
      <c r="BQ115" s="183" t="e">
        <v>#N/A</v>
      </c>
    </row>
    <row r="116" spans="2:69" x14ac:dyDescent="0.35">
      <c r="B116" s="11">
        <v>97</v>
      </c>
      <c r="C116" s="4" t="str">
        <v>Product 3</v>
      </c>
      <c r="D116" s="94">
        <v>89.530550487731432</v>
      </c>
      <c r="E116" s="94">
        <v>89.864158829676072</v>
      </c>
      <c r="F116" s="94">
        <v>101.33053158546079</v>
      </c>
      <c r="G116" s="94">
        <v>98.320577403062245</v>
      </c>
      <c r="H116" s="4">
        <v>315.14289446186001</v>
      </c>
      <c r="I116" s="174">
        <v>118.89910842941256</v>
      </c>
      <c r="J116" s="95">
        <v>33.915729854972973</v>
      </c>
      <c r="K116" s="4">
        <v>378.17147335423198</v>
      </c>
      <c r="L116" s="11">
        <v>12</v>
      </c>
      <c r="M116" s="4">
        <v>0</v>
      </c>
      <c r="N116" s="11">
        <v>0</v>
      </c>
      <c r="O116" s="11">
        <v>26</v>
      </c>
      <c r="P116" s="137">
        <v>41673</v>
      </c>
      <c r="Q116" s="11">
        <v>89</v>
      </c>
      <c r="R116" s="95">
        <f>CHOOSE($D$4,D116,E116,F116,G116,H116,I116,J116,K116,L116,M116,N116,O116,P116,101-B116)+0.000001*ROWS($A$20:A116)</f>
        <v>98.320674403062242</v>
      </c>
      <c r="S116" s="4">
        <f t="shared" si="33"/>
        <v>166</v>
      </c>
      <c r="T116" s="4"/>
      <c r="U116" s="14">
        <f>ROWS($U$20:U116)</f>
        <v>97</v>
      </c>
      <c r="V116" s="4">
        <v>144</v>
      </c>
      <c r="W116" s="4" t="str">
        <v>Product 3</v>
      </c>
      <c r="X116" s="94">
        <v>81.317776853534127</v>
      </c>
      <c r="Y116" s="94">
        <v>83.07692307692308</v>
      </c>
      <c r="Z116" s="94">
        <v>99.02808484556617</v>
      </c>
      <c r="AA116" s="94">
        <v>98.843181031116217</v>
      </c>
      <c r="AB116" s="4">
        <v>284.72097902097903</v>
      </c>
      <c r="AC116" s="94">
        <v>115.11765495889674</v>
      </c>
      <c r="AD116" s="94">
        <v>0</v>
      </c>
      <c r="AE116" s="4">
        <v>341.66517482517486</v>
      </c>
      <c r="AF116" s="4">
        <v>12</v>
      </c>
      <c r="AG116" s="4">
        <v>0</v>
      </c>
      <c r="AH116" s="4">
        <v>0</v>
      </c>
      <c r="AI116" s="4">
        <v>22</v>
      </c>
      <c r="AJ116" s="139">
        <v>41694</v>
      </c>
      <c r="AK116" s="94">
        <v>56</v>
      </c>
      <c r="AL116" s="162">
        <v>87.494399999999999</v>
      </c>
      <c r="AM116" s="162">
        <v>90</v>
      </c>
      <c r="AN116" s="162">
        <v>98</v>
      </c>
      <c r="AO116" s="162">
        <v>99.2</v>
      </c>
      <c r="AP116" s="17">
        <v>346.08333333333331</v>
      </c>
      <c r="AQ116" s="162">
        <v>0</v>
      </c>
      <c r="AR116" s="162">
        <v>40</v>
      </c>
      <c r="AS116" s="17">
        <v>415.3</v>
      </c>
      <c r="AT116" s="17">
        <v>12</v>
      </c>
      <c r="AU116" s="17">
        <v>0</v>
      </c>
      <c r="AV116" s="17">
        <v>0</v>
      </c>
      <c r="AW116" s="17">
        <v>20</v>
      </c>
      <c r="AX116" s="4">
        <v>99.02808484556617</v>
      </c>
      <c r="AY116" s="4">
        <v>83.07692307692308</v>
      </c>
      <c r="BD116" s="159" t="e">
        <v>#N/A</v>
      </c>
      <c r="BE116" s="159" t="e">
        <v>#N/A</v>
      </c>
      <c r="BF116" s="159" t="e">
        <v>#N/A</v>
      </c>
      <c r="BG116" s="159" t="e">
        <v>#N/A</v>
      </c>
      <c r="BH116" s="14" t="e">
        <v>#N/A</v>
      </c>
      <c r="BI116" s="159" t="e">
        <v>#N/A</v>
      </c>
      <c r="BJ116" s="159" t="e">
        <v>#N/A</v>
      </c>
      <c r="BK116" s="14" t="e">
        <v>#N/A</v>
      </c>
      <c r="BL116" s="14" t="e">
        <v>#N/A</v>
      </c>
      <c r="BM116" s="14" t="e">
        <v>#N/A</v>
      </c>
      <c r="BN116" s="14" t="e">
        <v>#N/A</v>
      </c>
      <c r="BO116" s="14" t="e">
        <v>#N/A</v>
      </c>
      <c r="BP116" s="182" t="e">
        <v>#N/A</v>
      </c>
      <c r="BQ116" s="183" t="e">
        <v>#N/A</v>
      </c>
    </row>
    <row r="117" spans="2:69" x14ac:dyDescent="0.35">
      <c r="B117" s="11">
        <v>98</v>
      </c>
      <c r="C117" s="4" t="str">
        <v>Product 8</v>
      </c>
      <c r="D117" s="94">
        <v>50.167224080267545</v>
      </c>
      <c r="E117" s="94">
        <v>74.637681159420296</v>
      </c>
      <c r="F117" s="94">
        <v>68.698655713218798</v>
      </c>
      <c r="G117" s="94">
        <v>97.839380350591114</v>
      </c>
      <c r="H117" s="4">
        <v>133.31521739130434</v>
      </c>
      <c r="I117" s="174">
        <v>75.611861167622223</v>
      </c>
      <c r="J117" s="95">
        <v>24.842342342342342</v>
      </c>
      <c r="K117" s="4">
        <v>159.97826086956522</v>
      </c>
      <c r="L117" s="11">
        <v>12</v>
      </c>
      <c r="M117" s="4">
        <v>0</v>
      </c>
      <c r="N117" s="11">
        <v>0</v>
      </c>
      <c r="O117" s="11">
        <v>16</v>
      </c>
      <c r="P117" s="137">
        <v>41674</v>
      </c>
      <c r="Q117" s="11">
        <v>92</v>
      </c>
      <c r="R117" s="95">
        <f>CHOOSE($D$4,D117,E117,F117,G117,H117,I117,J117,K117,L117,M117,N117,O117,P117,101-B117)+0.000001*ROWS($A$20:A117)</f>
        <v>97.839478350591108</v>
      </c>
      <c r="S117" s="4">
        <f t="shared" si="33"/>
        <v>197</v>
      </c>
      <c r="T117" s="4"/>
      <c r="U117" s="14">
        <f>ROWS($U$20:U117)</f>
        <v>98</v>
      </c>
      <c r="V117" s="4">
        <v>134</v>
      </c>
      <c r="W117" s="4" t="str">
        <v>Product 3</v>
      </c>
      <c r="X117" s="94">
        <v>94.189742354924149</v>
      </c>
      <c r="Y117" s="94">
        <v>95.833333333333343</v>
      </c>
      <c r="Z117" s="94">
        <v>99.438047478960783</v>
      </c>
      <c r="AA117" s="94">
        <v>98.840384577205114</v>
      </c>
      <c r="AB117" s="4">
        <v>329.79940476190478</v>
      </c>
      <c r="AC117" s="94">
        <v>117.90330474751561</v>
      </c>
      <c r="AD117" s="94">
        <v>0</v>
      </c>
      <c r="AE117" s="4">
        <v>395.75928571428574</v>
      </c>
      <c r="AF117" s="4">
        <v>12</v>
      </c>
      <c r="AG117" s="4">
        <v>0</v>
      </c>
      <c r="AH117" s="4">
        <v>0</v>
      </c>
      <c r="AI117" s="4">
        <v>29</v>
      </c>
      <c r="AJ117" s="139">
        <v>41690</v>
      </c>
      <c r="AK117" s="94">
        <v>64</v>
      </c>
      <c r="AL117" s="162">
        <v>87.494399999999999</v>
      </c>
      <c r="AM117" s="162">
        <v>90</v>
      </c>
      <c r="AN117" s="162">
        <v>98</v>
      </c>
      <c r="AO117" s="162">
        <v>99.2</v>
      </c>
      <c r="AP117" s="17">
        <v>346.08333333333331</v>
      </c>
      <c r="AQ117" s="162">
        <v>0</v>
      </c>
      <c r="AR117" s="162">
        <v>40</v>
      </c>
      <c r="AS117" s="17">
        <v>415.3</v>
      </c>
      <c r="AT117" s="17">
        <v>12</v>
      </c>
      <c r="AU117" s="17">
        <v>0</v>
      </c>
      <c r="AV117" s="17">
        <v>0</v>
      </c>
      <c r="AW117" s="17">
        <v>20</v>
      </c>
      <c r="AX117" s="4">
        <v>99.438047478960783</v>
      </c>
      <c r="AY117" s="4">
        <v>95.833333333333343</v>
      </c>
      <c r="BD117" s="159" t="e">
        <v>#N/A</v>
      </c>
      <c r="BE117" s="159" t="e">
        <v>#N/A</v>
      </c>
      <c r="BF117" s="159" t="e">
        <v>#N/A</v>
      </c>
      <c r="BG117" s="159" t="e">
        <v>#N/A</v>
      </c>
      <c r="BH117" s="14" t="e">
        <v>#N/A</v>
      </c>
      <c r="BI117" s="159" t="e">
        <v>#N/A</v>
      </c>
      <c r="BJ117" s="159" t="e">
        <v>#N/A</v>
      </c>
      <c r="BK117" s="14" t="e">
        <v>#N/A</v>
      </c>
      <c r="BL117" s="14" t="e">
        <v>#N/A</v>
      </c>
      <c r="BM117" s="14" t="e">
        <v>#N/A</v>
      </c>
      <c r="BN117" s="14" t="e">
        <v>#N/A</v>
      </c>
      <c r="BO117" s="14" t="e">
        <v>#N/A</v>
      </c>
      <c r="BP117" s="182" t="e">
        <v>#N/A</v>
      </c>
      <c r="BQ117" s="183" t="e">
        <v>#N/A</v>
      </c>
    </row>
    <row r="118" spans="2:69" x14ac:dyDescent="0.35">
      <c r="B118" s="11">
        <v>99</v>
      </c>
      <c r="C118" s="4" t="str">
        <v>Product 13</v>
      </c>
      <c r="D118" s="94">
        <v>82.191242882387584</v>
      </c>
      <c r="E118" s="94">
        <v>83.801295896328298</v>
      </c>
      <c r="F118" s="94">
        <v>98.328647297719456</v>
      </c>
      <c r="G118" s="94">
        <v>99.745830023828432</v>
      </c>
      <c r="H118" s="4">
        <v>271.92224622030238</v>
      </c>
      <c r="I118" s="174">
        <v>110.17957783456436</v>
      </c>
      <c r="J118" s="95">
        <v>74.559270516717319</v>
      </c>
      <c r="K118" s="4">
        <v>326.30669546436286</v>
      </c>
      <c r="L118" s="11">
        <v>12</v>
      </c>
      <c r="M118" s="4">
        <v>0</v>
      </c>
      <c r="N118" s="11">
        <v>0</v>
      </c>
      <c r="O118" s="11">
        <v>27</v>
      </c>
      <c r="P118" s="137">
        <v>41675</v>
      </c>
      <c r="Q118" s="11">
        <v>44</v>
      </c>
      <c r="R118" s="95">
        <f>CHOOSE($D$4,D118,E118,F118,G118,H118,I118,J118,K118,L118,M118,N118,O118,P118,101-B118)+0.000001*ROWS($A$20:A118)</f>
        <v>99.745929023828438</v>
      </c>
      <c r="S118" s="4">
        <f t="shared" si="33"/>
        <v>18</v>
      </c>
      <c r="T118" s="4"/>
      <c r="U118" s="14">
        <f>ROWS($U$20:U118)</f>
        <v>99</v>
      </c>
      <c r="V118" s="4">
        <v>59</v>
      </c>
      <c r="W118" s="4" t="str">
        <v>Product 2</v>
      </c>
      <c r="X118" s="94">
        <v>86.755555555555546</v>
      </c>
      <c r="Y118" s="94">
        <v>89</v>
      </c>
      <c r="Z118" s="94">
        <v>98.627756970453589</v>
      </c>
      <c r="AA118" s="94">
        <v>98.834400481007592</v>
      </c>
      <c r="AB118" s="4">
        <v>237.0025</v>
      </c>
      <c r="AC118" s="94">
        <v>53.70469245465528</v>
      </c>
      <c r="AD118" s="94">
        <v>0</v>
      </c>
      <c r="AE118" s="4">
        <v>284.40300000000002</v>
      </c>
      <c r="AF118" s="4">
        <v>12</v>
      </c>
      <c r="AG118" s="4">
        <v>0</v>
      </c>
      <c r="AH118" s="4">
        <v>0</v>
      </c>
      <c r="AI118" s="4">
        <v>18</v>
      </c>
      <c r="AJ118" s="139">
        <v>41659</v>
      </c>
      <c r="AK118" s="94">
        <v>76</v>
      </c>
      <c r="AL118" s="162">
        <v>87.317999999999998</v>
      </c>
      <c r="AM118" s="162">
        <v>90</v>
      </c>
      <c r="AN118" s="162">
        <v>98</v>
      </c>
      <c r="AO118" s="162">
        <v>99</v>
      </c>
      <c r="AP118" s="17">
        <v>270</v>
      </c>
      <c r="AQ118" s="162">
        <v>0</v>
      </c>
      <c r="AR118" s="162">
        <v>40</v>
      </c>
      <c r="AS118" s="17">
        <v>324</v>
      </c>
      <c r="AT118" s="17">
        <v>12</v>
      </c>
      <c r="AU118" s="17">
        <v>0</v>
      </c>
      <c r="AV118" s="17">
        <v>0</v>
      </c>
      <c r="AW118" s="17">
        <v>20</v>
      </c>
      <c r="AX118" s="4">
        <v>98.627756970453589</v>
      </c>
      <c r="AY118" s="4">
        <v>89</v>
      </c>
      <c r="BD118" s="159">
        <v>86.755555555555546</v>
      </c>
      <c r="BE118" s="159">
        <v>89</v>
      </c>
      <c r="BF118" s="159">
        <v>98.627756970453589</v>
      </c>
      <c r="BG118" s="159">
        <v>98.834400481007592</v>
      </c>
      <c r="BH118" s="14">
        <v>237.0025</v>
      </c>
      <c r="BI118" s="159">
        <v>53.70469245465528</v>
      </c>
      <c r="BJ118" s="159">
        <v>0</v>
      </c>
      <c r="BK118" s="14">
        <v>284.40300000000002</v>
      </c>
      <c r="BL118" s="14">
        <v>12</v>
      </c>
      <c r="BM118" s="14">
        <v>0</v>
      </c>
      <c r="BN118" s="14">
        <v>0</v>
      </c>
      <c r="BO118" s="14">
        <v>18</v>
      </c>
      <c r="BP118" s="182">
        <v>41659</v>
      </c>
      <c r="BQ118" s="183">
        <v>76</v>
      </c>
    </row>
    <row r="119" spans="2:69" x14ac:dyDescent="0.35">
      <c r="B119" s="11">
        <v>100</v>
      </c>
      <c r="C119" s="4" t="str">
        <v>Product 16</v>
      </c>
      <c r="D119" s="94">
        <v>92.695962991090369</v>
      </c>
      <c r="E119" s="94">
        <v>98.007968127490031</v>
      </c>
      <c r="F119" s="94">
        <v>95.808339322118428</v>
      </c>
      <c r="G119" s="94">
        <v>98.71794871794873</v>
      </c>
      <c r="H119" s="4">
        <v>260.25896414342628</v>
      </c>
      <c r="I119" s="174">
        <v>98.234559918194265</v>
      </c>
      <c r="J119" s="95">
        <v>0</v>
      </c>
      <c r="K119" s="4">
        <v>312.31075697211156</v>
      </c>
      <c r="L119" s="11">
        <v>12</v>
      </c>
      <c r="M119" s="4">
        <v>0</v>
      </c>
      <c r="N119" s="11">
        <v>0</v>
      </c>
      <c r="O119" s="11">
        <v>23</v>
      </c>
      <c r="P119" s="137">
        <v>41675</v>
      </c>
      <c r="Q119" s="11">
        <v>86</v>
      </c>
      <c r="R119" s="95">
        <f>CHOOSE($D$4,D119,E119,F119,G119,H119,I119,J119,K119,L119,M119,N119,O119,P119,101-B119)+0.000001*ROWS($A$20:A119)</f>
        <v>98.718048717948733</v>
      </c>
      <c r="S119" s="4">
        <f t="shared" si="33"/>
        <v>111</v>
      </c>
      <c r="T119" s="4"/>
      <c r="U119" s="14">
        <f>ROWS($U$20:U119)</f>
        <v>100</v>
      </c>
      <c r="V119" s="4">
        <v>241</v>
      </c>
      <c r="W119" s="4" t="str">
        <v>Product 2</v>
      </c>
      <c r="X119" s="94">
        <v>74.628796844181451</v>
      </c>
      <c r="Y119" s="94">
        <v>81.65680473372781</v>
      </c>
      <c r="Z119" s="94">
        <v>92.482877079978536</v>
      </c>
      <c r="AA119" s="94">
        <v>98.821792315067825</v>
      </c>
      <c r="AB119" s="4">
        <v>203.90011834319529</v>
      </c>
      <c r="AC119" s="94">
        <v>175.81183673469388</v>
      </c>
      <c r="AD119" s="94">
        <v>0</v>
      </c>
      <c r="AE119" s="4">
        <v>244.68014201183433</v>
      </c>
      <c r="AF119" s="4">
        <v>12</v>
      </c>
      <c r="AG119" s="4">
        <v>0</v>
      </c>
      <c r="AH119" s="4">
        <v>0</v>
      </c>
      <c r="AI119" s="4">
        <v>26</v>
      </c>
      <c r="AJ119" s="139">
        <v>41729</v>
      </c>
      <c r="AK119" s="94">
        <v>118</v>
      </c>
      <c r="AL119" s="162">
        <v>87.317999999999998</v>
      </c>
      <c r="AM119" s="162">
        <v>90</v>
      </c>
      <c r="AN119" s="162">
        <v>98</v>
      </c>
      <c r="AO119" s="162">
        <v>99</v>
      </c>
      <c r="AP119" s="17">
        <v>270</v>
      </c>
      <c r="AQ119" s="162">
        <v>0</v>
      </c>
      <c r="AR119" s="162">
        <v>40</v>
      </c>
      <c r="AS119" s="17">
        <v>324</v>
      </c>
      <c r="AT119" s="17">
        <v>12</v>
      </c>
      <c r="AU119" s="17">
        <v>0</v>
      </c>
      <c r="AV119" s="17">
        <v>0</v>
      </c>
      <c r="AW119" s="17">
        <v>20</v>
      </c>
      <c r="AX119" s="4">
        <v>92.482877079978536</v>
      </c>
      <c r="AY119" s="4">
        <v>81.65680473372781</v>
      </c>
      <c r="BD119" s="159">
        <v>74.628796844181451</v>
      </c>
      <c r="BE119" s="159">
        <v>81.65680473372781</v>
      </c>
      <c r="BF119" s="159">
        <v>92.482877079978536</v>
      </c>
      <c r="BG119" s="159">
        <v>98.821792315067825</v>
      </c>
      <c r="BH119" s="14">
        <v>203.90011834319529</v>
      </c>
      <c r="BI119" s="159">
        <v>175.81183673469388</v>
      </c>
      <c r="BJ119" s="159">
        <v>0</v>
      </c>
      <c r="BK119" s="14">
        <v>244.68014201183433</v>
      </c>
      <c r="BL119" s="14">
        <v>12</v>
      </c>
      <c r="BM119" s="14">
        <v>0</v>
      </c>
      <c r="BN119" s="14">
        <v>0</v>
      </c>
      <c r="BO119" s="14">
        <v>26</v>
      </c>
      <c r="BP119" s="182">
        <v>41729</v>
      </c>
      <c r="BQ119" s="183">
        <v>118</v>
      </c>
    </row>
    <row r="120" spans="2:69" x14ac:dyDescent="0.35">
      <c r="B120" s="11">
        <v>101</v>
      </c>
      <c r="C120" s="4" t="str">
        <v>Product 17</v>
      </c>
      <c r="D120" s="94">
        <v>90.668802563075687</v>
      </c>
      <c r="E120" s="94">
        <v>93.392070484581495</v>
      </c>
      <c r="F120" s="94">
        <v>97.369925671812467</v>
      </c>
      <c r="G120" s="94">
        <v>99.706400469759245</v>
      </c>
      <c r="H120" s="4">
        <v>300.08810572687224</v>
      </c>
      <c r="I120" s="174">
        <v>99.236641221374057</v>
      </c>
      <c r="J120" s="95">
        <v>77.611603787764921</v>
      </c>
      <c r="K120" s="4">
        <v>360.10572687224669</v>
      </c>
      <c r="L120" s="11">
        <v>12</v>
      </c>
      <c r="M120" s="4">
        <v>0</v>
      </c>
      <c r="N120" s="11">
        <v>0</v>
      </c>
      <c r="O120" s="11">
        <v>14</v>
      </c>
      <c r="P120" s="137">
        <v>41675</v>
      </c>
      <c r="Q120" s="11">
        <v>58</v>
      </c>
      <c r="R120" s="95">
        <f>CHOOSE($D$4,D120,E120,F120,G120,H120,I120,J120,K120,L120,M120,N120,O120,P120,101-B120)+0.000001*ROWS($A$20:A120)</f>
        <v>99.706501469759246</v>
      </c>
      <c r="S120" s="4">
        <f t="shared" si="33"/>
        <v>20</v>
      </c>
      <c r="T120" s="4"/>
      <c r="U120" s="14">
        <f>ROWS($U$20:U120)</f>
        <v>101</v>
      </c>
      <c r="V120" s="4">
        <v>159</v>
      </c>
      <c r="W120" s="4" t="str">
        <v>Product 3</v>
      </c>
      <c r="X120" s="94">
        <v>96.862427864519233</v>
      </c>
      <c r="Y120" s="94">
        <v>98.12734082397003</v>
      </c>
      <c r="Z120" s="94">
        <v>99.892655543771369</v>
      </c>
      <c r="AA120" s="94">
        <v>98.817022075262344</v>
      </c>
      <c r="AB120" s="4">
        <v>339.23782771535582</v>
      </c>
      <c r="AC120" s="94">
        <v>121.71512346674407</v>
      </c>
      <c r="AD120" s="94">
        <v>25.686629153269024</v>
      </c>
      <c r="AE120" s="4">
        <v>407.08539325842696</v>
      </c>
      <c r="AF120" s="4">
        <v>12</v>
      </c>
      <c r="AG120" s="4">
        <v>0</v>
      </c>
      <c r="AH120" s="4">
        <v>0</v>
      </c>
      <c r="AI120" s="4">
        <v>26</v>
      </c>
      <c r="AJ120" s="139">
        <v>41701</v>
      </c>
      <c r="AK120" s="94">
        <v>53</v>
      </c>
      <c r="AL120" s="162">
        <v>87.494399999999999</v>
      </c>
      <c r="AM120" s="162">
        <v>90</v>
      </c>
      <c r="AN120" s="162">
        <v>98</v>
      </c>
      <c r="AO120" s="162">
        <v>99.2</v>
      </c>
      <c r="AP120" s="17">
        <v>346.08333333333331</v>
      </c>
      <c r="AQ120" s="162">
        <v>0</v>
      </c>
      <c r="AR120" s="162">
        <v>40</v>
      </c>
      <c r="AS120" s="17">
        <v>415.3</v>
      </c>
      <c r="AT120" s="17">
        <v>12</v>
      </c>
      <c r="AU120" s="17">
        <v>0</v>
      </c>
      <c r="AV120" s="17">
        <v>0</v>
      </c>
      <c r="AW120" s="17">
        <v>20</v>
      </c>
      <c r="AX120" s="4">
        <v>99.892655543771369</v>
      </c>
      <c r="AY120" s="4">
        <v>98.12734082397003</v>
      </c>
      <c r="BD120" s="159" t="e">
        <v>#N/A</v>
      </c>
      <c r="BE120" s="159" t="e">
        <v>#N/A</v>
      </c>
      <c r="BF120" s="159" t="e">
        <v>#N/A</v>
      </c>
      <c r="BG120" s="159" t="e">
        <v>#N/A</v>
      </c>
      <c r="BH120" s="14" t="e">
        <v>#N/A</v>
      </c>
      <c r="BI120" s="159" t="e">
        <v>#N/A</v>
      </c>
      <c r="BJ120" s="159" t="e">
        <v>#N/A</v>
      </c>
      <c r="BK120" s="14" t="e">
        <v>#N/A</v>
      </c>
      <c r="BL120" s="14" t="e">
        <v>#N/A</v>
      </c>
      <c r="BM120" s="14" t="e">
        <v>#N/A</v>
      </c>
      <c r="BN120" s="14" t="e">
        <v>#N/A</v>
      </c>
      <c r="BO120" s="14" t="e">
        <v>#N/A</v>
      </c>
      <c r="BP120" s="182" t="e">
        <v>#N/A</v>
      </c>
      <c r="BQ120" s="183" t="e">
        <v>#N/A</v>
      </c>
    </row>
    <row r="121" spans="2:69" x14ac:dyDescent="0.35">
      <c r="B121" s="11">
        <v>102</v>
      </c>
      <c r="C121" s="4" t="str">
        <v>Product 2</v>
      </c>
      <c r="D121" s="94">
        <v>74.78575225943645</v>
      </c>
      <c r="E121" s="94">
        <v>83.014354066985646</v>
      </c>
      <c r="F121" s="94">
        <v>91.630056569537828</v>
      </c>
      <c r="G121" s="94">
        <v>98.316796391770595</v>
      </c>
      <c r="H121" s="4">
        <v>205.37846889952155</v>
      </c>
      <c r="I121" s="174">
        <v>103.04050891196064</v>
      </c>
      <c r="J121" s="95">
        <v>0</v>
      </c>
      <c r="K121" s="4">
        <v>246.45416267942582</v>
      </c>
      <c r="L121" s="11">
        <v>12</v>
      </c>
      <c r="M121" s="4">
        <v>0</v>
      </c>
      <c r="N121" s="11">
        <v>0</v>
      </c>
      <c r="O121" s="11">
        <v>16</v>
      </c>
      <c r="P121" s="137">
        <v>41675</v>
      </c>
      <c r="Q121" s="11">
        <v>77</v>
      </c>
      <c r="R121" s="95">
        <f>CHOOSE($D$4,D121,E121,F121,G121,H121,I121,J121,K121,L121,M121,N121,O121,P121,101-B121)+0.000001*ROWS($A$20:A121)</f>
        <v>98.316898391770593</v>
      </c>
      <c r="S121" s="4">
        <f t="shared" si="33"/>
        <v>167</v>
      </c>
      <c r="T121" s="4"/>
      <c r="U121" s="14">
        <f>ROWS($U$20:U121)</f>
        <v>102</v>
      </c>
      <c r="V121" s="4">
        <v>246</v>
      </c>
      <c r="W121" s="4" t="str">
        <v>Product 2</v>
      </c>
      <c r="X121" s="94">
        <v>87.656964006259784</v>
      </c>
      <c r="Y121" s="94">
        <v>97.183098591549282</v>
      </c>
      <c r="Z121" s="94">
        <v>91.284702093397755</v>
      </c>
      <c r="AA121" s="94">
        <v>98.809267602552936</v>
      </c>
      <c r="AB121" s="4">
        <v>239.52591549295775</v>
      </c>
      <c r="AC121" s="94">
        <v>185.08791119092319</v>
      </c>
      <c r="AD121" s="94">
        <v>0</v>
      </c>
      <c r="AE121" s="4">
        <v>287.4310985915493</v>
      </c>
      <c r="AF121" s="4">
        <v>12</v>
      </c>
      <c r="AG121" s="4">
        <v>0</v>
      </c>
      <c r="AH121" s="4">
        <v>0</v>
      </c>
      <c r="AI121" s="4">
        <v>23</v>
      </c>
      <c r="AJ121" s="139">
        <v>41731</v>
      </c>
      <c r="AK121" s="94">
        <v>61</v>
      </c>
      <c r="AL121" s="162">
        <v>87.317999999999998</v>
      </c>
      <c r="AM121" s="162">
        <v>90</v>
      </c>
      <c r="AN121" s="162">
        <v>98</v>
      </c>
      <c r="AO121" s="162">
        <v>99</v>
      </c>
      <c r="AP121" s="17">
        <v>270</v>
      </c>
      <c r="AQ121" s="162">
        <v>0</v>
      </c>
      <c r="AR121" s="162">
        <v>40</v>
      </c>
      <c r="AS121" s="17">
        <v>324</v>
      </c>
      <c r="AT121" s="17">
        <v>12</v>
      </c>
      <c r="AU121" s="17">
        <v>0</v>
      </c>
      <c r="AV121" s="17">
        <v>0</v>
      </c>
      <c r="AW121" s="17">
        <v>20</v>
      </c>
      <c r="AX121" s="4">
        <v>91.284702093397755</v>
      </c>
      <c r="AY121" s="4">
        <v>97.183098591549282</v>
      </c>
      <c r="BD121" s="159">
        <v>87.656964006259784</v>
      </c>
      <c r="BE121" s="159">
        <v>97.183098591549282</v>
      </c>
      <c r="BF121" s="159">
        <v>91.284702093397755</v>
      </c>
      <c r="BG121" s="159">
        <v>98.809267602552936</v>
      </c>
      <c r="BH121" s="14">
        <v>239.52591549295775</v>
      </c>
      <c r="BI121" s="159">
        <v>185.08791119092319</v>
      </c>
      <c r="BJ121" s="159">
        <v>0</v>
      </c>
      <c r="BK121" s="14">
        <v>287.4310985915493</v>
      </c>
      <c r="BL121" s="14">
        <v>12</v>
      </c>
      <c r="BM121" s="14">
        <v>0</v>
      </c>
      <c r="BN121" s="14">
        <v>0</v>
      </c>
      <c r="BO121" s="14">
        <v>23</v>
      </c>
      <c r="BP121" s="182">
        <v>41731</v>
      </c>
      <c r="BQ121" s="183">
        <v>61</v>
      </c>
    </row>
    <row r="122" spans="2:69" x14ac:dyDescent="0.35">
      <c r="B122" s="11">
        <v>103</v>
      </c>
      <c r="C122" s="4" t="str">
        <v>Product 3</v>
      </c>
      <c r="D122" s="94">
        <v>99.236860878837845</v>
      </c>
      <c r="E122" s="94">
        <v>99.627329192546583</v>
      </c>
      <c r="F122" s="94">
        <v>100.43131996639751</v>
      </c>
      <c r="G122" s="94">
        <v>99.180286702349008</v>
      </c>
      <c r="H122" s="4">
        <v>346.28074534161487</v>
      </c>
      <c r="I122" s="174">
        <v>122.34323396131184</v>
      </c>
      <c r="J122" s="95">
        <v>0</v>
      </c>
      <c r="K122" s="4">
        <v>415.53689440993787</v>
      </c>
      <c r="L122" s="11">
        <v>12</v>
      </c>
      <c r="M122" s="4">
        <v>0</v>
      </c>
      <c r="N122" s="11">
        <v>0</v>
      </c>
      <c r="O122" s="11">
        <v>24</v>
      </c>
      <c r="P122" s="137">
        <v>41674</v>
      </c>
      <c r="Q122" s="11">
        <v>46</v>
      </c>
      <c r="R122" s="95">
        <f>CHOOSE($D$4,D122,E122,F122,G122,H122,I122,J122,K122,L122,M122,N122,O122,P122,101-B122)+0.000001*ROWS($A$20:A122)</f>
        <v>99.180389702349004</v>
      </c>
      <c r="S122" s="4">
        <f t="shared" si="33"/>
        <v>51</v>
      </c>
      <c r="T122" s="4"/>
      <c r="U122" s="14">
        <f>ROWS($U$20:U122)</f>
        <v>103</v>
      </c>
      <c r="V122" s="4">
        <v>170</v>
      </c>
      <c r="W122" s="4" t="str">
        <v>Product 3</v>
      </c>
      <c r="X122" s="94">
        <v>85.913001935642768</v>
      </c>
      <c r="Y122" s="94">
        <v>88.610478359908868</v>
      </c>
      <c r="Z122" s="94">
        <v>98.144278271290261</v>
      </c>
      <c r="AA122" s="94">
        <v>98.789054185094955</v>
      </c>
      <c r="AB122" s="4">
        <v>300.97522779043283</v>
      </c>
      <c r="AC122" s="94">
        <v>184.26883437465136</v>
      </c>
      <c r="AD122" s="94">
        <v>0</v>
      </c>
      <c r="AE122" s="4">
        <v>361.17027334851934</v>
      </c>
      <c r="AF122" s="4">
        <v>12</v>
      </c>
      <c r="AG122" s="4">
        <v>0</v>
      </c>
      <c r="AH122" s="4">
        <v>0</v>
      </c>
      <c r="AI122" s="4">
        <v>18</v>
      </c>
      <c r="AJ122" s="139">
        <v>41704</v>
      </c>
      <c r="AK122" s="94">
        <v>65</v>
      </c>
      <c r="AL122" s="162">
        <v>87.494399999999999</v>
      </c>
      <c r="AM122" s="162">
        <v>90</v>
      </c>
      <c r="AN122" s="162">
        <v>98</v>
      </c>
      <c r="AO122" s="162">
        <v>99.2</v>
      </c>
      <c r="AP122" s="17">
        <v>346.08333333333331</v>
      </c>
      <c r="AQ122" s="162">
        <v>0</v>
      </c>
      <c r="AR122" s="162">
        <v>40</v>
      </c>
      <c r="AS122" s="17">
        <v>415.3</v>
      </c>
      <c r="AT122" s="17">
        <v>12</v>
      </c>
      <c r="AU122" s="17">
        <v>0</v>
      </c>
      <c r="AV122" s="17">
        <v>0</v>
      </c>
      <c r="AW122" s="17">
        <v>20</v>
      </c>
      <c r="AX122" s="4">
        <v>98.144278271290261</v>
      </c>
      <c r="AY122" s="4">
        <v>88.610478359908868</v>
      </c>
      <c r="BD122" s="159" t="e">
        <v>#N/A</v>
      </c>
      <c r="BE122" s="159" t="e">
        <v>#N/A</v>
      </c>
      <c r="BF122" s="159" t="e">
        <v>#N/A</v>
      </c>
      <c r="BG122" s="159" t="e">
        <v>#N/A</v>
      </c>
      <c r="BH122" s="14" t="e">
        <v>#N/A</v>
      </c>
      <c r="BI122" s="159" t="e">
        <v>#N/A</v>
      </c>
      <c r="BJ122" s="159" t="e">
        <v>#N/A</v>
      </c>
      <c r="BK122" s="14" t="e">
        <v>#N/A</v>
      </c>
      <c r="BL122" s="14" t="e">
        <v>#N/A</v>
      </c>
      <c r="BM122" s="14" t="e">
        <v>#N/A</v>
      </c>
      <c r="BN122" s="14" t="e">
        <v>#N/A</v>
      </c>
      <c r="BO122" s="14" t="e">
        <v>#N/A</v>
      </c>
      <c r="BP122" s="182" t="e">
        <v>#N/A</v>
      </c>
      <c r="BQ122" s="183" t="e">
        <v>#N/A</v>
      </c>
    </row>
    <row r="123" spans="2:69" x14ac:dyDescent="0.35">
      <c r="B123" s="11">
        <v>104</v>
      </c>
      <c r="C123" s="4" t="str">
        <v>Product 4</v>
      </c>
      <c r="D123" s="94">
        <v>94.780219780219781</v>
      </c>
      <c r="E123" s="94">
        <v>98.660714285714306</v>
      </c>
      <c r="F123" s="94">
        <v>97.183547975403172</v>
      </c>
      <c r="G123" s="94">
        <v>98.850917773466648</v>
      </c>
      <c r="H123" s="4">
        <v>249.29315476190482</v>
      </c>
      <c r="I123" s="174">
        <v>49.14248166232273</v>
      </c>
      <c r="J123" s="95">
        <v>2.9343733189887038</v>
      </c>
      <c r="K123" s="4">
        <v>299.15178571428572</v>
      </c>
      <c r="L123" s="11">
        <v>12</v>
      </c>
      <c r="M123" s="4">
        <v>0</v>
      </c>
      <c r="N123" s="11">
        <v>0</v>
      </c>
      <c r="O123" s="11">
        <v>22</v>
      </c>
      <c r="P123" s="137">
        <v>41674</v>
      </c>
      <c r="Q123" s="11">
        <v>79</v>
      </c>
      <c r="R123" s="95">
        <f>CHOOSE($D$4,D123,E123,F123,G123,H123,I123,J123,K123,L123,M123,N123,O123,P123,101-B123)+0.000001*ROWS($A$20:A123)</f>
        <v>98.851021773466641</v>
      </c>
      <c r="S123" s="4">
        <f t="shared" si="33"/>
        <v>95</v>
      </c>
      <c r="T123" s="4"/>
      <c r="U123" s="14">
        <f>ROWS($U$20:U123)</f>
        <v>104</v>
      </c>
      <c r="V123" s="4">
        <v>207</v>
      </c>
      <c r="W123" s="4" t="str">
        <v>Product 22</v>
      </c>
      <c r="X123" s="94">
        <v>120.56451612903226</v>
      </c>
      <c r="Y123" s="94">
        <v>84.3010752688172</v>
      </c>
      <c r="Z123" s="94">
        <v>144.77765538033395</v>
      </c>
      <c r="AA123" s="94">
        <v>98.783601141312502</v>
      </c>
      <c r="AB123" s="4">
        <v>214.80645161290323</v>
      </c>
      <c r="AC123" s="94">
        <v>179.66543753934707</v>
      </c>
      <c r="AD123" s="94">
        <v>53.17220543806647</v>
      </c>
      <c r="AE123" s="4">
        <v>257.76774193548385</v>
      </c>
      <c r="AF123" s="4">
        <v>12</v>
      </c>
      <c r="AG123" s="4">
        <v>0</v>
      </c>
      <c r="AH123" s="4">
        <v>0</v>
      </c>
      <c r="AI123" s="4">
        <v>18</v>
      </c>
      <c r="AJ123" s="139">
        <v>41717</v>
      </c>
      <c r="AK123" s="94">
        <v>78</v>
      </c>
      <c r="AL123" s="162">
        <v>87.494399999999999</v>
      </c>
      <c r="AM123" s="162">
        <v>90</v>
      </c>
      <c r="AN123" s="162">
        <v>98</v>
      </c>
      <c r="AO123" s="162">
        <v>99.2</v>
      </c>
      <c r="AP123" s="17">
        <v>176</v>
      </c>
      <c r="AQ123" s="162">
        <v>0</v>
      </c>
      <c r="AR123" s="162">
        <v>40</v>
      </c>
      <c r="AS123" s="17">
        <v>211.2</v>
      </c>
      <c r="AT123" s="17">
        <v>12</v>
      </c>
      <c r="AU123" s="17">
        <v>0</v>
      </c>
      <c r="AV123" s="17">
        <v>0</v>
      </c>
      <c r="AW123" s="17">
        <v>20</v>
      </c>
      <c r="AX123" s="4">
        <v>144.77765538033395</v>
      </c>
      <c r="AY123" s="4">
        <v>84.3010752688172</v>
      </c>
      <c r="BD123" s="159">
        <v>120.56451612903226</v>
      </c>
      <c r="BE123" s="159">
        <v>84.3010752688172</v>
      </c>
      <c r="BF123" s="159">
        <v>144.77765538033395</v>
      </c>
      <c r="BG123" s="159">
        <v>98.783601141312502</v>
      </c>
      <c r="BH123" s="14">
        <v>214.80645161290323</v>
      </c>
      <c r="BI123" s="159">
        <v>179.66543753934707</v>
      </c>
      <c r="BJ123" s="159">
        <v>53.17220543806647</v>
      </c>
      <c r="BK123" s="14">
        <v>257.76774193548385</v>
      </c>
      <c r="BL123" s="14">
        <v>12</v>
      </c>
      <c r="BM123" s="14">
        <v>0</v>
      </c>
      <c r="BN123" s="14">
        <v>0</v>
      </c>
      <c r="BO123" s="14">
        <v>18</v>
      </c>
      <c r="BP123" s="182">
        <v>41717</v>
      </c>
      <c r="BQ123" s="183">
        <v>78</v>
      </c>
    </row>
    <row r="124" spans="2:69" x14ac:dyDescent="0.35">
      <c r="B124" s="11">
        <v>105</v>
      </c>
      <c r="C124" s="4" t="str">
        <v>Product 3</v>
      </c>
      <c r="D124" s="94">
        <v>86.911524394988717</v>
      </c>
      <c r="E124" s="94">
        <v>91.874322860238351</v>
      </c>
      <c r="F124" s="94">
        <v>96.756423954967161</v>
      </c>
      <c r="G124" s="94">
        <v>97.769502961090026</v>
      </c>
      <c r="H124" s="4">
        <v>321.79739978331531</v>
      </c>
      <c r="I124" s="174">
        <v>117.20979606010862</v>
      </c>
      <c r="J124" s="95">
        <v>11.453210500796564</v>
      </c>
      <c r="K124" s="4">
        <v>386.15687973997836</v>
      </c>
      <c r="L124" s="11">
        <v>12</v>
      </c>
      <c r="M124" s="4">
        <v>0</v>
      </c>
      <c r="N124" s="11">
        <v>0</v>
      </c>
      <c r="O124" s="11">
        <v>17</v>
      </c>
      <c r="P124" s="137">
        <v>41676</v>
      </c>
      <c r="Q124" s="11">
        <v>104</v>
      </c>
      <c r="R124" s="95">
        <f>CHOOSE($D$4,D124,E124,F124,G124,H124,I124,J124,K124,L124,M124,N124,O124,P124,101-B124)+0.000001*ROWS($A$20:A124)</f>
        <v>97.769607961090031</v>
      </c>
      <c r="S124" s="4">
        <f t="shared" si="33"/>
        <v>204</v>
      </c>
      <c r="T124" s="4"/>
      <c r="U124" s="14">
        <f>ROWS($U$20:U124)</f>
        <v>105</v>
      </c>
      <c r="V124" s="4">
        <v>124</v>
      </c>
      <c r="W124" s="4" t="str">
        <v>Product 16</v>
      </c>
      <c r="X124" s="94">
        <v>88.354182883324924</v>
      </c>
      <c r="Y124" s="94">
        <v>94.355828220858911</v>
      </c>
      <c r="Z124" s="94">
        <v>94.812280124205643</v>
      </c>
      <c r="AA124" s="94">
        <v>98.762890679123544</v>
      </c>
      <c r="AB124" s="4">
        <v>247.9558282208589</v>
      </c>
      <c r="AC124" s="94">
        <v>98.403554689877666</v>
      </c>
      <c r="AD124" s="94">
        <v>0</v>
      </c>
      <c r="AE124" s="4">
        <v>297.54699386503069</v>
      </c>
      <c r="AF124" s="4">
        <v>12</v>
      </c>
      <c r="AG124" s="4">
        <v>0</v>
      </c>
      <c r="AH124" s="4">
        <v>0</v>
      </c>
      <c r="AI124" s="4">
        <v>18</v>
      </c>
      <c r="AJ124" s="139">
        <v>41687</v>
      </c>
      <c r="AK124" s="94">
        <v>99</v>
      </c>
      <c r="AL124" s="162">
        <v>86.87700000000001</v>
      </c>
      <c r="AM124" s="162">
        <v>90</v>
      </c>
      <c r="AN124" s="162">
        <v>98</v>
      </c>
      <c r="AO124" s="162">
        <v>98.5</v>
      </c>
      <c r="AP124" s="17">
        <v>277.16666666666669</v>
      </c>
      <c r="AQ124" s="162">
        <v>0</v>
      </c>
      <c r="AR124" s="162">
        <v>40</v>
      </c>
      <c r="AS124" s="17">
        <v>332.6</v>
      </c>
      <c r="AT124" s="17">
        <v>12</v>
      </c>
      <c r="AU124" s="17">
        <v>0</v>
      </c>
      <c r="AV124" s="17">
        <v>0</v>
      </c>
      <c r="AW124" s="17">
        <v>20</v>
      </c>
      <c r="AX124" s="4">
        <v>94.812280124205643</v>
      </c>
      <c r="AY124" s="4">
        <v>94.355828220858911</v>
      </c>
      <c r="BD124" s="159" t="e">
        <v>#N/A</v>
      </c>
      <c r="BE124" s="159" t="e">
        <v>#N/A</v>
      </c>
      <c r="BF124" s="159" t="e">
        <v>#N/A</v>
      </c>
      <c r="BG124" s="159" t="e">
        <v>#N/A</v>
      </c>
      <c r="BH124" s="14" t="e">
        <v>#N/A</v>
      </c>
      <c r="BI124" s="159" t="e">
        <v>#N/A</v>
      </c>
      <c r="BJ124" s="159" t="e">
        <v>#N/A</v>
      </c>
      <c r="BK124" s="14" t="e">
        <v>#N/A</v>
      </c>
      <c r="BL124" s="14" t="e">
        <v>#N/A</v>
      </c>
      <c r="BM124" s="14" t="e">
        <v>#N/A</v>
      </c>
      <c r="BN124" s="14" t="e">
        <v>#N/A</v>
      </c>
      <c r="BO124" s="14" t="e">
        <v>#N/A</v>
      </c>
      <c r="BP124" s="182" t="e">
        <v>#N/A</v>
      </c>
      <c r="BQ124" s="183" t="e">
        <v>#N/A</v>
      </c>
    </row>
    <row r="125" spans="2:69" x14ac:dyDescent="0.35">
      <c r="B125" s="11">
        <v>106</v>
      </c>
      <c r="C125" s="4" t="str">
        <v>Product 3</v>
      </c>
      <c r="D125" s="94">
        <v>74.093426438719007</v>
      </c>
      <c r="E125" s="94">
        <v>78.82352941176471</v>
      </c>
      <c r="F125" s="94">
        <v>97.578625054357403</v>
      </c>
      <c r="G125" s="94">
        <v>96.331674115651708</v>
      </c>
      <c r="H125" s="4">
        <v>266.18970588235294</v>
      </c>
      <c r="I125" s="174">
        <v>111.1575779906657</v>
      </c>
      <c r="J125" s="95">
        <v>24.186097668279807</v>
      </c>
      <c r="K125" s="4">
        <v>319.42764705882354</v>
      </c>
      <c r="L125" s="11">
        <v>12</v>
      </c>
      <c r="M125" s="4">
        <v>0</v>
      </c>
      <c r="N125" s="11">
        <v>0</v>
      </c>
      <c r="O125" s="11">
        <v>20</v>
      </c>
      <c r="P125" s="137">
        <v>41676</v>
      </c>
      <c r="Q125" s="11">
        <v>99</v>
      </c>
      <c r="R125" s="95">
        <f>CHOOSE($D$4,D125,E125,F125,G125,H125,I125,J125,K125,L125,M125,N125,O125,P125,101-B125)+0.000001*ROWS($A$20:A125)</f>
        <v>96.331780115651711</v>
      </c>
      <c r="S125" s="4">
        <f t="shared" si="33"/>
        <v>235</v>
      </c>
      <c r="T125" s="4"/>
      <c r="U125" s="14">
        <f>ROWS($U$20:U125)</f>
        <v>106</v>
      </c>
      <c r="V125" s="4">
        <v>194</v>
      </c>
      <c r="W125" s="4" t="str">
        <v>Product 3</v>
      </c>
      <c r="X125" s="94">
        <v>91.67559717257069</v>
      </c>
      <c r="Y125" s="94">
        <v>94.85294117647058</v>
      </c>
      <c r="Z125" s="94">
        <v>97.877275258041038</v>
      </c>
      <c r="AA125" s="94">
        <v>98.74635529603627</v>
      </c>
      <c r="AB125" s="4">
        <v>336.07889705882354</v>
      </c>
      <c r="AC125" s="94">
        <v>186.59540071279562</v>
      </c>
      <c r="AD125" s="94">
        <v>0</v>
      </c>
      <c r="AE125" s="4">
        <v>403.29467647058823</v>
      </c>
      <c r="AF125" s="4">
        <v>12</v>
      </c>
      <c r="AG125" s="4">
        <v>0</v>
      </c>
      <c r="AH125" s="4">
        <v>0</v>
      </c>
      <c r="AI125" s="4">
        <v>24</v>
      </c>
      <c r="AJ125" s="139">
        <v>41713</v>
      </c>
      <c r="AK125" s="94">
        <v>73</v>
      </c>
      <c r="AL125" s="162">
        <v>87.494399999999999</v>
      </c>
      <c r="AM125" s="162">
        <v>90</v>
      </c>
      <c r="AN125" s="162">
        <v>98</v>
      </c>
      <c r="AO125" s="162">
        <v>99.2</v>
      </c>
      <c r="AP125" s="17">
        <v>362</v>
      </c>
      <c r="AQ125" s="162">
        <v>0</v>
      </c>
      <c r="AR125" s="162">
        <v>40</v>
      </c>
      <c r="AS125" s="17">
        <v>434.4</v>
      </c>
      <c r="AT125" s="17">
        <v>12</v>
      </c>
      <c r="AU125" s="17">
        <v>0</v>
      </c>
      <c r="AV125" s="17">
        <v>0</v>
      </c>
      <c r="AW125" s="17">
        <v>20</v>
      </c>
      <c r="AX125" s="4">
        <v>97.877275258041038</v>
      </c>
      <c r="AY125" s="4">
        <v>94.85294117647058</v>
      </c>
      <c r="BD125" s="159" t="e">
        <v>#N/A</v>
      </c>
      <c r="BE125" s="159" t="e">
        <v>#N/A</v>
      </c>
      <c r="BF125" s="159" t="e">
        <v>#N/A</v>
      </c>
      <c r="BG125" s="159" t="e">
        <v>#N/A</v>
      </c>
      <c r="BH125" s="14" t="e">
        <v>#N/A</v>
      </c>
      <c r="BI125" s="159" t="e">
        <v>#N/A</v>
      </c>
      <c r="BJ125" s="159" t="e">
        <v>#N/A</v>
      </c>
      <c r="BK125" s="14" t="e">
        <v>#N/A</v>
      </c>
      <c r="BL125" s="14" t="e">
        <v>#N/A</v>
      </c>
      <c r="BM125" s="14" t="e">
        <v>#N/A</v>
      </c>
      <c r="BN125" s="14" t="e">
        <v>#N/A</v>
      </c>
      <c r="BO125" s="14" t="e">
        <v>#N/A</v>
      </c>
      <c r="BP125" s="182" t="e">
        <v>#N/A</v>
      </c>
      <c r="BQ125" s="183" t="e">
        <v>#N/A</v>
      </c>
    </row>
    <row r="126" spans="2:69" x14ac:dyDescent="0.35">
      <c r="B126" s="11">
        <v>107</v>
      </c>
      <c r="C126" s="4" t="str">
        <v>Product 21</v>
      </c>
      <c r="D126" s="94">
        <v>95.34545454545453</v>
      </c>
      <c r="E126" s="94">
        <v>99.066666666666663</v>
      </c>
      <c r="F126" s="94">
        <v>96.637301684408001</v>
      </c>
      <c r="G126" s="94">
        <v>99.592732490662399</v>
      </c>
      <c r="H126" s="4">
        <v>315.92666666666668</v>
      </c>
      <c r="I126" s="174">
        <v>112.07710045527108</v>
      </c>
      <c r="J126" s="95">
        <v>82.419273294792603</v>
      </c>
      <c r="K126" s="4">
        <v>379.11199999999997</v>
      </c>
      <c r="L126" s="11">
        <v>12</v>
      </c>
      <c r="M126" s="4">
        <v>0</v>
      </c>
      <c r="N126" s="11">
        <v>0</v>
      </c>
      <c r="O126" s="11">
        <v>29</v>
      </c>
      <c r="P126" s="137">
        <v>41676</v>
      </c>
      <c r="Q126" s="11">
        <v>106</v>
      </c>
      <c r="R126" s="95">
        <f>CHOOSE($D$4,D126,E126,F126,G126,H126,I126,J126,K126,L126,M126,N126,O126,P126,101-B126)+0.000001*ROWS($A$20:A126)</f>
        <v>99.592839490662399</v>
      </c>
      <c r="S126" s="4">
        <f t="shared" si="33"/>
        <v>24</v>
      </c>
      <c r="T126" s="4"/>
      <c r="U126" s="14">
        <f>ROWS($U$20:U126)</f>
        <v>107</v>
      </c>
      <c r="V126" s="4">
        <v>90</v>
      </c>
      <c r="W126" s="4" t="str">
        <v>Product 3</v>
      </c>
      <c r="X126" s="94">
        <v>92.554340620580817</v>
      </c>
      <c r="Y126" s="94">
        <v>92.390524048815507</v>
      </c>
      <c r="Z126" s="94">
        <v>101.45759209086924</v>
      </c>
      <c r="AA126" s="94">
        <v>98.738109964228926</v>
      </c>
      <c r="AB126" s="4">
        <v>324.40882986360378</v>
      </c>
      <c r="AC126" s="94">
        <v>120.92142407984694</v>
      </c>
      <c r="AD126" s="94">
        <v>12.248749329998214</v>
      </c>
      <c r="AE126" s="4">
        <v>389.29059583632454</v>
      </c>
      <c r="AF126" s="4">
        <v>12</v>
      </c>
      <c r="AG126" s="4">
        <v>0</v>
      </c>
      <c r="AH126" s="4">
        <v>0</v>
      </c>
      <c r="AI126" s="4">
        <v>14</v>
      </c>
      <c r="AJ126" s="139">
        <v>41670</v>
      </c>
      <c r="AK126" s="94">
        <v>64</v>
      </c>
      <c r="AL126" s="162">
        <v>87.494399999999999</v>
      </c>
      <c r="AM126" s="162">
        <v>90</v>
      </c>
      <c r="AN126" s="162">
        <v>98</v>
      </c>
      <c r="AO126" s="162">
        <v>99.2</v>
      </c>
      <c r="AP126" s="17">
        <v>346.08333333333331</v>
      </c>
      <c r="AQ126" s="162">
        <v>0</v>
      </c>
      <c r="AR126" s="162">
        <v>40</v>
      </c>
      <c r="AS126" s="17">
        <v>415.3</v>
      </c>
      <c r="AT126" s="17">
        <v>12</v>
      </c>
      <c r="AU126" s="17">
        <v>0</v>
      </c>
      <c r="AV126" s="17">
        <v>0</v>
      </c>
      <c r="AW126" s="17">
        <v>20</v>
      </c>
      <c r="AX126" s="4">
        <v>101.45759209086924</v>
      </c>
      <c r="AY126" s="4">
        <v>92.390524048815507</v>
      </c>
      <c r="BD126" s="159" t="e">
        <v>#N/A</v>
      </c>
      <c r="BE126" s="159" t="e">
        <v>#N/A</v>
      </c>
      <c r="BF126" s="159" t="e">
        <v>#N/A</v>
      </c>
      <c r="BG126" s="159" t="e">
        <v>#N/A</v>
      </c>
      <c r="BH126" s="14" t="e">
        <v>#N/A</v>
      </c>
      <c r="BI126" s="159" t="e">
        <v>#N/A</v>
      </c>
      <c r="BJ126" s="159" t="e">
        <v>#N/A</v>
      </c>
      <c r="BK126" s="14" t="e">
        <v>#N/A</v>
      </c>
      <c r="BL126" s="14" t="e">
        <v>#N/A</v>
      </c>
      <c r="BM126" s="14" t="e">
        <v>#N/A</v>
      </c>
      <c r="BN126" s="14" t="e">
        <v>#N/A</v>
      </c>
      <c r="BO126" s="14" t="e">
        <v>#N/A</v>
      </c>
      <c r="BP126" s="182" t="e">
        <v>#N/A</v>
      </c>
      <c r="BQ126" s="183" t="e">
        <v>#N/A</v>
      </c>
    </row>
    <row r="127" spans="2:69" x14ac:dyDescent="0.35">
      <c r="B127" s="11">
        <v>108</v>
      </c>
      <c r="C127" s="4" t="str">
        <v>Product 3</v>
      </c>
      <c r="D127" s="94">
        <v>95.90034574429157</v>
      </c>
      <c r="E127" s="94">
        <v>96.066746126340902</v>
      </c>
      <c r="F127" s="94">
        <v>100.73198901329361</v>
      </c>
      <c r="G127" s="94">
        <v>99.101375518266096</v>
      </c>
      <c r="H127" s="4">
        <v>334.9046483909417</v>
      </c>
      <c r="I127" s="174">
        <v>117.75071555188642</v>
      </c>
      <c r="J127" s="95">
        <v>29.899194333086832</v>
      </c>
      <c r="K127" s="4">
        <v>401.88557806913002</v>
      </c>
      <c r="L127" s="11">
        <v>12</v>
      </c>
      <c r="M127" s="4">
        <v>0</v>
      </c>
      <c r="N127" s="11">
        <v>0</v>
      </c>
      <c r="O127" s="11">
        <v>17</v>
      </c>
      <c r="P127" s="137">
        <v>41677</v>
      </c>
      <c r="Q127" s="11">
        <v>96</v>
      </c>
      <c r="R127" s="95">
        <f>CHOOSE($D$4,D127,E127,F127,G127,H127,I127,J127,K127,L127,M127,N127,O127,P127,101-B127)+0.000001*ROWS($A$20:A127)</f>
        <v>99.101483518266093</v>
      </c>
      <c r="S127" s="4">
        <f t="shared" si="33"/>
        <v>63</v>
      </c>
      <c r="T127" s="4"/>
      <c r="U127" s="14">
        <f>ROWS($U$20:U127)</f>
        <v>108</v>
      </c>
      <c r="V127" s="4">
        <v>93</v>
      </c>
      <c r="W127" s="4" t="str">
        <v>Product 3</v>
      </c>
      <c r="X127" s="94">
        <v>82.558361678561823</v>
      </c>
      <c r="Y127" s="94">
        <v>85.765124555160142</v>
      </c>
      <c r="Z127" s="94">
        <v>97.50370616599038</v>
      </c>
      <c r="AA127" s="94">
        <v>98.725472197366258</v>
      </c>
      <c r="AB127" s="4">
        <v>302.71951364175561</v>
      </c>
      <c r="AC127" s="94">
        <v>118.2969516321933</v>
      </c>
      <c r="AD127" s="94">
        <v>0</v>
      </c>
      <c r="AE127" s="4">
        <v>363.26341637010677</v>
      </c>
      <c r="AF127" s="4">
        <v>12</v>
      </c>
      <c r="AG127" s="4">
        <v>0</v>
      </c>
      <c r="AH127" s="4">
        <v>0</v>
      </c>
      <c r="AI127" s="4">
        <v>27</v>
      </c>
      <c r="AJ127" s="139">
        <v>41661</v>
      </c>
      <c r="AK127" s="94">
        <v>84</v>
      </c>
      <c r="AL127" s="162">
        <v>87.494399999999999</v>
      </c>
      <c r="AM127" s="162">
        <v>90</v>
      </c>
      <c r="AN127" s="162">
        <v>98</v>
      </c>
      <c r="AO127" s="162">
        <v>99.2</v>
      </c>
      <c r="AP127" s="17">
        <v>362</v>
      </c>
      <c r="AQ127" s="162">
        <v>0</v>
      </c>
      <c r="AR127" s="162">
        <v>40</v>
      </c>
      <c r="AS127" s="17">
        <v>434.4</v>
      </c>
      <c r="AT127" s="17">
        <v>12</v>
      </c>
      <c r="AU127" s="17">
        <v>0</v>
      </c>
      <c r="AV127" s="17">
        <v>0</v>
      </c>
      <c r="AW127" s="17">
        <v>20</v>
      </c>
      <c r="AX127" s="4">
        <v>97.50370616599038</v>
      </c>
      <c r="AY127" s="4">
        <v>85.765124555160142</v>
      </c>
      <c r="BD127" s="159" t="e">
        <v>#N/A</v>
      </c>
      <c r="BE127" s="159" t="e">
        <v>#N/A</v>
      </c>
      <c r="BF127" s="159" t="e">
        <v>#N/A</v>
      </c>
      <c r="BG127" s="159" t="e">
        <v>#N/A</v>
      </c>
      <c r="BH127" s="14" t="e">
        <v>#N/A</v>
      </c>
      <c r="BI127" s="159" t="e">
        <v>#N/A</v>
      </c>
      <c r="BJ127" s="159" t="e">
        <v>#N/A</v>
      </c>
      <c r="BK127" s="14" t="e">
        <v>#N/A</v>
      </c>
      <c r="BL127" s="14" t="e">
        <v>#N/A</v>
      </c>
      <c r="BM127" s="14" t="e">
        <v>#N/A</v>
      </c>
      <c r="BN127" s="14" t="e">
        <v>#N/A</v>
      </c>
      <c r="BO127" s="14" t="e">
        <v>#N/A</v>
      </c>
      <c r="BP127" s="182" t="e">
        <v>#N/A</v>
      </c>
      <c r="BQ127" s="183" t="e">
        <v>#N/A</v>
      </c>
    </row>
    <row r="128" spans="2:69" x14ac:dyDescent="0.35">
      <c r="B128" s="11">
        <v>109</v>
      </c>
      <c r="C128" s="4" t="str">
        <v>Product 3</v>
      </c>
      <c r="D128" s="94">
        <v>73.819088287733052</v>
      </c>
      <c r="E128" s="94">
        <v>79.681274900398407</v>
      </c>
      <c r="F128" s="94">
        <v>95.946362799263355</v>
      </c>
      <c r="G128" s="94">
        <v>96.55702738302891</v>
      </c>
      <c r="H128" s="4">
        <v>276.75365205843286</v>
      </c>
      <c r="I128" s="174">
        <v>110.68676138627008</v>
      </c>
      <c r="J128" s="95">
        <v>36.656005685856428</v>
      </c>
      <c r="K128" s="4">
        <v>332.1043824701195</v>
      </c>
      <c r="L128" s="11">
        <v>12</v>
      </c>
      <c r="M128" s="4">
        <v>0</v>
      </c>
      <c r="N128" s="11">
        <v>0</v>
      </c>
      <c r="O128" s="11">
        <v>27</v>
      </c>
      <c r="P128" s="137">
        <v>41677</v>
      </c>
      <c r="Q128" s="11">
        <v>77</v>
      </c>
      <c r="R128" s="95">
        <f>CHOOSE($D$4,D128,E128,F128,G128,H128,I128,J128,K128,L128,M128,N128,O128,P128,101-B128)+0.000001*ROWS($A$20:A128)</f>
        <v>96.557136383028904</v>
      </c>
      <c r="S128" s="4">
        <f t="shared" si="33"/>
        <v>232</v>
      </c>
      <c r="T128" s="4"/>
      <c r="U128" s="14">
        <f>ROWS($U$20:U128)</f>
        <v>109</v>
      </c>
      <c r="V128" s="4">
        <v>237</v>
      </c>
      <c r="W128" s="4" t="str">
        <v>Product 5</v>
      </c>
      <c r="X128" s="94">
        <v>81.991728987584125</v>
      </c>
      <c r="Y128" s="94">
        <v>81.229773462783172</v>
      </c>
      <c r="Z128" s="94">
        <v>102.24462132207984</v>
      </c>
      <c r="AA128" s="94">
        <v>98.722087894456848</v>
      </c>
      <c r="AB128" s="4">
        <v>287.43284789644008</v>
      </c>
      <c r="AC128" s="94">
        <v>182.38461933364135</v>
      </c>
      <c r="AD128" s="94">
        <v>100</v>
      </c>
      <c r="AE128" s="4">
        <v>344.9194174757281</v>
      </c>
      <c r="AF128" s="4">
        <v>12</v>
      </c>
      <c r="AG128" s="4">
        <v>0</v>
      </c>
      <c r="AH128" s="4">
        <v>0</v>
      </c>
      <c r="AI128" s="4">
        <v>29</v>
      </c>
      <c r="AJ128" s="139">
        <v>41726</v>
      </c>
      <c r="AK128" s="94">
        <v>69</v>
      </c>
      <c r="AL128" s="162">
        <v>87.494399999999999</v>
      </c>
      <c r="AM128" s="162">
        <v>90</v>
      </c>
      <c r="AN128" s="162">
        <v>98</v>
      </c>
      <c r="AO128" s="162">
        <v>99.2</v>
      </c>
      <c r="AP128" s="17">
        <v>346.08333333333331</v>
      </c>
      <c r="AQ128" s="162">
        <v>0</v>
      </c>
      <c r="AR128" s="162">
        <v>40</v>
      </c>
      <c r="AS128" s="17">
        <v>415.3</v>
      </c>
      <c r="AT128" s="17">
        <v>12</v>
      </c>
      <c r="AU128" s="17">
        <v>0</v>
      </c>
      <c r="AV128" s="17">
        <v>0</v>
      </c>
      <c r="AW128" s="17">
        <v>20</v>
      </c>
      <c r="AX128" s="4">
        <v>102.24462132207984</v>
      </c>
      <c r="AY128" s="4">
        <v>81.229773462783172</v>
      </c>
      <c r="BD128" s="159" t="e">
        <v>#N/A</v>
      </c>
      <c r="BE128" s="159" t="e">
        <v>#N/A</v>
      </c>
      <c r="BF128" s="159" t="e">
        <v>#N/A</v>
      </c>
      <c r="BG128" s="159" t="e">
        <v>#N/A</v>
      </c>
      <c r="BH128" s="14" t="e">
        <v>#N/A</v>
      </c>
      <c r="BI128" s="159" t="e">
        <v>#N/A</v>
      </c>
      <c r="BJ128" s="159" t="e">
        <v>#N/A</v>
      </c>
      <c r="BK128" s="14" t="e">
        <v>#N/A</v>
      </c>
      <c r="BL128" s="14" t="e">
        <v>#N/A</v>
      </c>
      <c r="BM128" s="14" t="e">
        <v>#N/A</v>
      </c>
      <c r="BN128" s="14" t="e">
        <v>#N/A</v>
      </c>
      <c r="BO128" s="14" t="e">
        <v>#N/A</v>
      </c>
      <c r="BP128" s="182" t="e">
        <v>#N/A</v>
      </c>
      <c r="BQ128" s="183" t="e">
        <v>#N/A</v>
      </c>
    </row>
    <row r="129" spans="2:69" x14ac:dyDescent="0.35">
      <c r="B129" s="11">
        <v>110</v>
      </c>
      <c r="C129" s="4" t="str">
        <v>Product 3</v>
      </c>
      <c r="D129" s="94">
        <v>101.65729517903854</v>
      </c>
      <c r="E129" s="94">
        <v>99.432463110102148</v>
      </c>
      <c r="F129" s="94">
        <v>103.25346588866277</v>
      </c>
      <c r="G129" s="94">
        <v>99.016076605464292</v>
      </c>
      <c r="H129" s="4">
        <v>355.31498297389334</v>
      </c>
      <c r="I129" s="174">
        <v>119.97834481569139</v>
      </c>
      <c r="J129" s="95">
        <v>0</v>
      </c>
      <c r="K129" s="4">
        <v>426.377979568672</v>
      </c>
      <c r="L129" s="11">
        <v>12</v>
      </c>
      <c r="M129" s="4">
        <v>0</v>
      </c>
      <c r="N129" s="11">
        <v>0</v>
      </c>
      <c r="O129" s="11">
        <v>25</v>
      </c>
      <c r="P129" s="137">
        <v>41680</v>
      </c>
      <c r="Q129" s="11">
        <v>107</v>
      </c>
      <c r="R129" s="95">
        <f>CHOOSE($D$4,D129,E129,F129,G129,H129,I129,J129,K129,L129,M129,N129,O129,P129,101-B129)+0.000001*ROWS($A$20:A129)</f>
        <v>99.016186605464299</v>
      </c>
      <c r="S129" s="4">
        <f t="shared" si="33"/>
        <v>75</v>
      </c>
      <c r="T129" s="4"/>
      <c r="U129" s="14">
        <f>ROWS($U$20:U129)</f>
        <v>110</v>
      </c>
      <c r="V129" s="4">
        <v>240</v>
      </c>
      <c r="W129" s="4" t="str">
        <v>Product 3</v>
      </c>
      <c r="X129" s="94">
        <v>86.15474285066783</v>
      </c>
      <c r="Y129" s="94">
        <v>90.14705882352942</v>
      </c>
      <c r="Z129" s="94">
        <v>96.811024008666863</v>
      </c>
      <c r="AA129" s="94">
        <v>98.719469948199389</v>
      </c>
      <c r="AB129" s="4">
        <v>302.03485294117644</v>
      </c>
      <c r="AC129" s="94">
        <v>178.39208550297272</v>
      </c>
      <c r="AD129" s="94">
        <v>37.772909641371498</v>
      </c>
      <c r="AE129" s="4">
        <v>362.44182352941175</v>
      </c>
      <c r="AF129" s="4">
        <v>12</v>
      </c>
      <c r="AG129" s="4">
        <v>0</v>
      </c>
      <c r="AH129" s="4">
        <v>0</v>
      </c>
      <c r="AI129" s="4">
        <v>17</v>
      </c>
      <c r="AJ129" s="139">
        <v>41729</v>
      </c>
      <c r="AK129" s="94">
        <v>115</v>
      </c>
      <c r="AL129" s="162">
        <v>87.494399999999999</v>
      </c>
      <c r="AM129" s="162">
        <v>90</v>
      </c>
      <c r="AN129" s="162">
        <v>98</v>
      </c>
      <c r="AO129" s="162">
        <v>99.2</v>
      </c>
      <c r="AP129" s="17">
        <v>346.08333333333331</v>
      </c>
      <c r="AQ129" s="162">
        <v>0</v>
      </c>
      <c r="AR129" s="162">
        <v>40</v>
      </c>
      <c r="AS129" s="17">
        <v>415.3</v>
      </c>
      <c r="AT129" s="17">
        <v>12</v>
      </c>
      <c r="AU129" s="17">
        <v>0</v>
      </c>
      <c r="AV129" s="17">
        <v>0</v>
      </c>
      <c r="AW129" s="17">
        <v>20</v>
      </c>
      <c r="AX129" s="4">
        <v>96.811024008666863</v>
      </c>
      <c r="AY129" s="4">
        <v>90.14705882352942</v>
      </c>
      <c r="BD129" s="159" t="e">
        <v>#N/A</v>
      </c>
      <c r="BE129" s="159" t="e">
        <v>#N/A</v>
      </c>
      <c r="BF129" s="159" t="e">
        <v>#N/A</v>
      </c>
      <c r="BG129" s="159" t="e">
        <v>#N/A</v>
      </c>
      <c r="BH129" s="14" t="e">
        <v>#N/A</v>
      </c>
      <c r="BI129" s="159" t="e">
        <v>#N/A</v>
      </c>
      <c r="BJ129" s="159" t="e">
        <v>#N/A</v>
      </c>
      <c r="BK129" s="14" t="e">
        <v>#N/A</v>
      </c>
      <c r="BL129" s="14" t="e">
        <v>#N/A</v>
      </c>
      <c r="BM129" s="14" t="e">
        <v>#N/A</v>
      </c>
      <c r="BN129" s="14" t="e">
        <v>#N/A</v>
      </c>
      <c r="BO129" s="14" t="e">
        <v>#N/A</v>
      </c>
      <c r="BP129" s="182" t="e">
        <v>#N/A</v>
      </c>
      <c r="BQ129" s="183" t="e">
        <v>#N/A</v>
      </c>
    </row>
    <row r="130" spans="2:69" x14ac:dyDescent="0.35">
      <c r="B130" s="11">
        <v>111</v>
      </c>
      <c r="C130" s="4" t="str">
        <v>Product 2</v>
      </c>
      <c r="D130" s="94">
        <v>94.248238482384835</v>
      </c>
      <c r="E130" s="94">
        <v>95.609756097560989</v>
      </c>
      <c r="F130" s="94">
        <v>100.005007558579</v>
      </c>
      <c r="G130" s="94">
        <v>98.571027716866027</v>
      </c>
      <c r="H130" s="4">
        <v>258.15926829268295</v>
      </c>
      <c r="I130" s="174">
        <v>102.49896503889275</v>
      </c>
      <c r="J130" s="95">
        <v>0</v>
      </c>
      <c r="K130" s="4">
        <v>309.79112195121957</v>
      </c>
      <c r="L130" s="11">
        <v>12</v>
      </c>
      <c r="M130" s="4">
        <v>0</v>
      </c>
      <c r="N130" s="11">
        <v>0</v>
      </c>
      <c r="O130" s="11">
        <v>15</v>
      </c>
      <c r="P130" s="137">
        <v>41680</v>
      </c>
      <c r="Q130" s="11">
        <v>116</v>
      </c>
      <c r="R130" s="95">
        <f>CHOOSE($D$4,D130,E130,F130,G130,H130,I130,J130,K130,L130,M130,N130,O130,P130,101-B130)+0.000001*ROWS($A$20:A130)</f>
        <v>98.571138716866031</v>
      </c>
      <c r="S130" s="4">
        <f t="shared" si="33"/>
        <v>133</v>
      </c>
      <c r="T130" s="4"/>
      <c r="U130" s="14">
        <f>ROWS($U$20:U130)</f>
        <v>111</v>
      </c>
      <c r="V130" s="4">
        <v>100</v>
      </c>
      <c r="W130" s="4" t="str">
        <v>Product 16</v>
      </c>
      <c r="X130" s="94">
        <v>92.695962991090369</v>
      </c>
      <c r="Y130" s="94">
        <v>98.007968127490031</v>
      </c>
      <c r="Z130" s="94">
        <v>95.808339322118428</v>
      </c>
      <c r="AA130" s="94">
        <v>98.71794871794873</v>
      </c>
      <c r="AB130" s="4">
        <v>260.25896414342628</v>
      </c>
      <c r="AC130" s="94">
        <v>98.234559918194265</v>
      </c>
      <c r="AD130" s="94">
        <v>0</v>
      </c>
      <c r="AE130" s="4">
        <v>312.31075697211156</v>
      </c>
      <c r="AF130" s="4">
        <v>12</v>
      </c>
      <c r="AG130" s="4">
        <v>0</v>
      </c>
      <c r="AH130" s="4">
        <v>0</v>
      </c>
      <c r="AI130" s="4">
        <v>23</v>
      </c>
      <c r="AJ130" s="139">
        <v>41675</v>
      </c>
      <c r="AK130" s="94">
        <v>86</v>
      </c>
      <c r="AL130" s="162">
        <v>86.87700000000001</v>
      </c>
      <c r="AM130" s="162">
        <v>90</v>
      </c>
      <c r="AN130" s="162">
        <v>98</v>
      </c>
      <c r="AO130" s="162">
        <v>98.5</v>
      </c>
      <c r="AP130" s="17">
        <v>277.16666666666669</v>
      </c>
      <c r="AQ130" s="162">
        <v>0</v>
      </c>
      <c r="AR130" s="162">
        <v>40</v>
      </c>
      <c r="AS130" s="17">
        <v>332.6</v>
      </c>
      <c r="AT130" s="17">
        <v>12</v>
      </c>
      <c r="AU130" s="17">
        <v>0</v>
      </c>
      <c r="AV130" s="17">
        <v>0</v>
      </c>
      <c r="AW130" s="17">
        <v>20</v>
      </c>
      <c r="AX130" s="4">
        <v>95.808339322118428</v>
      </c>
      <c r="AY130" s="4">
        <v>98.007968127490031</v>
      </c>
      <c r="BD130" s="159" t="e">
        <v>#N/A</v>
      </c>
      <c r="BE130" s="159" t="e">
        <v>#N/A</v>
      </c>
      <c r="BF130" s="159" t="e">
        <v>#N/A</v>
      </c>
      <c r="BG130" s="159" t="e">
        <v>#N/A</v>
      </c>
      <c r="BH130" s="14" t="e">
        <v>#N/A</v>
      </c>
      <c r="BI130" s="159" t="e">
        <v>#N/A</v>
      </c>
      <c r="BJ130" s="159" t="e">
        <v>#N/A</v>
      </c>
      <c r="BK130" s="14" t="e">
        <v>#N/A</v>
      </c>
      <c r="BL130" s="14" t="e">
        <v>#N/A</v>
      </c>
      <c r="BM130" s="14" t="e">
        <v>#N/A</v>
      </c>
      <c r="BN130" s="14" t="e">
        <v>#N/A</v>
      </c>
      <c r="BO130" s="14" t="e">
        <v>#N/A</v>
      </c>
      <c r="BP130" s="182" t="e">
        <v>#N/A</v>
      </c>
      <c r="BQ130" s="183" t="e">
        <v>#N/A</v>
      </c>
    </row>
    <row r="131" spans="2:69" x14ac:dyDescent="0.35">
      <c r="B131" s="11">
        <v>112</v>
      </c>
      <c r="C131" s="4" t="str">
        <v>Product 10</v>
      </c>
      <c r="D131" s="94">
        <v>86.207560799422112</v>
      </c>
      <c r="E131" s="94">
        <v>100</v>
      </c>
      <c r="F131" s="94">
        <v>87.182759450999285</v>
      </c>
      <c r="G131" s="94">
        <v>98.881431767337816</v>
      </c>
      <c r="H131" s="4">
        <v>301.72500000000002</v>
      </c>
      <c r="I131" s="174">
        <v>95.948674733277144</v>
      </c>
      <c r="J131" s="95">
        <v>0</v>
      </c>
      <c r="K131" s="4">
        <v>362.07000000000005</v>
      </c>
      <c r="L131" s="11">
        <v>12</v>
      </c>
      <c r="M131" s="4">
        <v>0</v>
      </c>
      <c r="N131" s="11">
        <v>0</v>
      </c>
      <c r="O131" s="11">
        <v>16</v>
      </c>
      <c r="P131" s="137">
        <v>41680</v>
      </c>
      <c r="Q131" s="11">
        <v>81</v>
      </c>
      <c r="R131" s="95">
        <f>CHOOSE($D$4,D131,E131,F131,G131,H131,I131,J131,K131,L131,M131,N131,O131,P131,101-B131)+0.000001*ROWS($A$20:A131)</f>
        <v>98.881543767337817</v>
      </c>
      <c r="S131" s="4">
        <f t="shared" si="33"/>
        <v>91</v>
      </c>
      <c r="T131" s="4"/>
      <c r="U131" s="14">
        <f>ROWS($U$20:U131)</f>
        <v>112</v>
      </c>
      <c r="V131" s="4">
        <v>182</v>
      </c>
      <c r="W131" s="4" t="str">
        <v>Product 3</v>
      </c>
      <c r="X131" s="94">
        <v>86.885813748073232</v>
      </c>
      <c r="Y131" s="94">
        <v>89.864158829676072</v>
      </c>
      <c r="Z131" s="94">
        <v>97.94809199537454</v>
      </c>
      <c r="AA131" s="94">
        <v>98.711188068159458</v>
      </c>
      <c r="AB131" s="4">
        <v>318.63322884012541</v>
      </c>
      <c r="AC131" s="94">
        <v>176.79779678214234</v>
      </c>
      <c r="AD131" s="94">
        <v>24.976120681136983</v>
      </c>
      <c r="AE131" s="4">
        <v>382.35987460815051</v>
      </c>
      <c r="AF131" s="4">
        <v>12</v>
      </c>
      <c r="AG131" s="4">
        <v>0</v>
      </c>
      <c r="AH131" s="4">
        <v>0</v>
      </c>
      <c r="AI131" s="4">
        <v>22</v>
      </c>
      <c r="AJ131" s="139">
        <v>41709</v>
      </c>
      <c r="AK131" s="94">
        <v>86</v>
      </c>
      <c r="AL131" s="162">
        <v>87.494399999999999</v>
      </c>
      <c r="AM131" s="162">
        <v>90</v>
      </c>
      <c r="AN131" s="162">
        <v>98</v>
      </c>
      <c r="AO131" s="162">
        <v>99.2</v>
      </c>
      <c r="AP131" s="17">
        <v>362</v>
      </c>
      <c r="AQ131" s="162">
        <v>0</v>
      </c>
      <c r="AR131" s="162">
        <v>40</v>
      </c>
      <c r="AS131" s="17">
        <v>434.4</v>
      </c>
      <c r="AT131" s="17">
        <v>12</v>
      </c>
      <c r="AU131" s="17">
        <v>0</v>
      </c>
      <c r="AV131" s="17">
        <v>0</v>
      </c>
      <c r="AW131" s="17">
        <v>20</v>
      </c>
      <c r="AX131" s="4">
        <v>97.94809199537454</v>
      </c>
      <c r="AY131" s="4">
        <v>89.864158829676072</v>
      </c>
      <c r="BD131" s="159" t="e">
        <v>#N/A</v>
      </c>
      <c r="BE131" s="159" t="e">
        <v>#N/A</v>
      </c>
      <c r="BF131" s="159" t="e">
        <v>#N/A</v>
      </c>
      <c r="BG131" s="159" t="e">
        <v>#N/A</v>
      </c>
      <c r="BH131" s="14" t="e">
        <v>#N/A</v>
      </c>
      <c r="BI131" s="159" t="e">
        <v>#N/A</v>
      </c>
      <c r="BJ131" s="159" t="e">
        <v>#N/A</v>
      </c>
      <c r="BK131" s="14" t="e">
        <v>#N/A</v>
      </c>
      <c r="BL131" s="14" t="e">
        <v>#N/A</v>
      </c>
      <c r="BM131" s="14" t="e">
        <v>#N/A</v>
      </c>
      <c r="BN131" s="14" t="e">
        <v>#N/A</v>
      </c>
      <c r="BO131" s="14" t="e">
        <v>#N/A</v>
      </c>
      <c r="BP131" s="182" t="e">
        <v>#N/A</v>
      </c>
      <c r="BQ131" s="183" t="e">
        <v>#N/A</v>
      </c>
    </row>
    <row r="132" spans="2:69" x14ac:dyDescent="0.35">
      <c r="B132" s="11">
        <v>113</v>
      </c>
      <c r="C132" s="4" t="str">
        <v>Product 16</v>
      </c>
      <c r="D132" s="94">
        <v>89.479624404459059</v>
      </c>
      <c r="E132" s="94">
        <v>95.604395604395606</v>
      </c>
      <c r="F132" s="94">
        <v>95.846517510937872</v>
      </c>
      <c r="G132" s="94">
        <v>97.649484357659134</v>
      </c>
      <c r="H132" s="4">
        <v>253.97747252747254</v>
      </c>
      <c r="I132" s="174">
        <v>98.37593376891482</v>
      </c>
      <c r="J132" s="95">
        <v>0</v>
      </c>
      <c r="K132" s="4">
        <v>304.77296703296707</v>
      </c>
      <c r="L132" s="11">
        <v>12</v>
      </c>
      <c r="M132" s="4">
        <v>0</v>
      </c>
      <c r="N132" s="11">
        <v>0</v>
      </c>
      <c r="O132" s="11">
        <v>21</v>
      </c>
      <c r="P132" s="137">
        <v>41681</v>
      </c>
      <c r="Q132" s="11">
        <v>78</v>
      </c>
      <c r="R132" s="95">
        <f>CHOOSE($D$4,D132,E132,F132,G132,H132,I132,J132,K132,L132,M132,N132,O132,P132,101-B132)+0.000001*ROWS($A$20:A132)</f>
        <v>97.649597357659133</v>
      </c>
      <c r="S132" s="4">
        <f t="shared" si="33"/>
        <v>209</v>
      </c>
      <c r="T132" s="4"/>
      <c r="U132" s="14">
        <f>ROWS($U$20:U132)</f>
        <v>113</v>
      </c>
      <c r="V132" s="4">
        <v>231</v>
      </c>
      <c r="W132" s="4" t="str">
        <v>Product 3</v>
      </c>
      <c r="X132" s="94">
        <v>87.691213266470541</v>
      </c>
      <c r="Y132" s="94">
        <v>93.369565217391298</v>
      </c>
      <c r="Z132" s="94">
        <v>95.147869879327601</v>
      </c>
      <c r="AA132" s="94">
        <v>98.707845446295337</v>
      </c>
      <c r="AB132" s="4">
        <v>307.45749999999998</v>
      </c>
      <c r="AC132" s="94">
        <v>182.09733801139473</v>
      </c>
      <c r="AD132" s="94">
        <v>0</v>
      </c>
      <c r="AE132" s="4">
        <v>368.94899999999996</v>
      </c>
      <c r="AF132" s="4">
        <v>12</v>
      </c>
      <c r="AG132" s="4">
        <v>0</v>
      </c>
      <c r="AH132" s="4">
        <v>0</v>
      </c>
      <c r="AI132" s="4">
        <v>30</v>
      </c>
      <c r="AJ132" s="139">
        <v>41723</v>
      </c>
      <c r="AK132" s="94">
        <v>110</v>
      </c>
      <c r="AL132" s="162">
        <v>87.494399999999999</v>
      </c>
      <c r="AM132" s="162">
        <v>90</v>
      </c>
      <c r="AN132" s="162">
        <v>98</v>
      </c>
      <c r="AO132" s="162">
        <v>99.2</v>
      </c>
      <c r="AP132" s="17">
        <v>346.08333333333331</v>
      </c>
      <c r="AQ132" s="162">
        <v>0</v>
      </c>
      <c r="AR132" s="162">
        <v>40</v>
      </c>
      <c r="AS132" s="17">
        <v>415.3</v>
      </c>
      <c r="AT132" s="17">
        <v>12</v>
      </c>
      <c r="AU132" s="17">
        <v>0</v>
      </c>
      <c r="AV132" s="17">
        <v>0</v>
      </c>
      <c r="AW132" s="17">
        <v>20</v>
      </c>
      <c r="AX132" s="4">
        <v>95.147869879327601</v>
      </c>
      <c r="AY132" s="4">
        <v>93.369565217391298</v>
      </c>
      <c r="BD132" s="159" t="e">
        <v>#N/A</v>
      </c>
      <c r="BE132" s="159" t="e">
        <v>#N/A</v>
      </c>
      <c r="BF132" s="159" t="e">
        <v>#N/A</v>
      </c>
      <c r="BG132" s="159" t="e">
        <v>#N/A</v>
      </c>
      <c r="BH132" s="14" t="e">
        <v>#N/A</v>
      </c>
      <c r="BI132" s="159" t="e">
        <v>#N/A</v>
      </c>
      <c r="BJ132" s="159" t="e">
        <v>#N/A</v>
      </c>
      <c r="BK132" s="14" t="e">
        <v>#N/A</v>
      </c>
      <c r="BL132" s="14" t="e">
        <v>#N/A</v>
      </c>
      <c r="BM132" s="14" t="e">
        <v>#N/A</v>
      </c>
      <c r="BN132" s="14" t="e">
        <v>#N/A</v>
      </c>
      <c r="BO132" s="14" t="e">
        <v>#N/A</v>
      </c>
      <c r="BP132" s="182" t="e">
        <v>#N/A</v>
      </c>
      <c r="BQ132" s="183" t="e">
        <v>#N/A</v>
      </c>
    </row>
    <row r="133" spans="2:69" x14ac:dyDescent="0.35">
      <c r="B133" s="11">
        <v>114</v>
      </c>
      <c r="C133" s="4" t="str">
        <v>Product 3</v>
      </c>
      <c r="D133" s="94">
        <v>92.926496974592794</v>
      </c>
      <c r="E133" s="94">
        <v>94.3010752688172</v>
      </c>
      <c r="F133" s="94">
        <v>99.576072688315051</v>
      </c>
      <c r="G133" s="94">
        <v>98.961877838085371</v>
      </c>
      <c r="H133" s="4">
        <v>324.97677419354841</v>
      </c>
      <c r="I133" s="174">
        <v>115.0789522783263</v>
      </c>
      <c r="J133" s="95">
        <v>0</v>
      </c>
      <c r="K133" s="4">
        <v>389.97212903225807</v>
      </c>
      <c r="L133" s="11">
        <v>12</v>
      </c>
      <c r="M133" s="4">
        <v>0</v>
      </c>
      <c r="N133" s="11">
        <v>0</v>
      </c>
      <c r="O133" s="11">
        <v>20</v>
      </c>
      <c r="P133" s="137">
        <v>41681</v>
      </c>
      <c r="Q133" s="11">
        <v>112</v>
      </c>
      <c r="R133" s="95">
        <f>CHOOSE($D$4,D133,E133,F133,G133,H133,I133,J133,K133,L133,M133,N133,O133,P133,101-B133)+0.000001*ROWS($A$20:A133)</f>
        <v>98.961991838085368</v>
      </c>
      <c r="S133" s="4">
        <f t="shared" si="33"/>
        <v>86</v>
      </c>
      <c r="T133" s="4"/>
      <c r="U133" s="14">
        <f>ROWS($U$20:U133)</f>
        <v>114</v>
      </c>
      <c r="V133" s="4">
        <v>6</v>
      </c>
      <c r="W133" s="4" t="str">
        <v>Product 3</v>
      </c>
      <c r="X133" s="94">
        <v>100.85312869690846</v>
      </c>
      <c r="Y133" s="94">
        <v>97.101449275362313</v>
      </c>
      <c r="Z133" s="94">
        <v>105.22646818879355</v>
      </c>
      <c r="AA133" s="94">
        <v>98.704890166694156</v>
      </c>
      <c r="AB133" s="4">
        <v>353.61557971014491</v>
      </c>
      <c r="AC133" s="94">
        <v>122.93165558242643</v>
      </c>
      <c r="AD133" s="94">
        <v>43.715755222000631</v>
      </c>
      <c r="AE133" s="4">
        <v>424.3386956521739</v>
      </c>
      <c r="AF133" s="4">
        <v>12</v>
      </c>
      <c r="AG133" s="4">
        <v>0</v>
      </c>
      <c r="AH133" s="4">
        <v>0</v>
      </c>
      <c r="AI133" s="4">
        <v>20</v>
      </c>
      <c r="AJ133" s="139">
        <v>41643</v>
      </c>
      <c r="AK133" s="94">
        <v>67</v>
      </c>
      <c r="AL133" s="162">
        <v>87.494399999999999</v>
      </c>
      <c r="AM133" s="162">
        <v>90</v>
      </c>
      <c r="AN133" s="162">
        <v>98</v>
      </c>
      <c r="AO133" s="162">
        <v>99.2</v>
      </c>
      <c r="AP133" s="17">
        <v>346.08333333333331</v>
      </c>
      <c r="AQ133" s="162">
        <v>0</v>
      </c>
      <c r="AR133" s="162">
        <v>40</v>
      </c>
      <c r="AS133" s="17">
        <v>415.3</v>
      </c>
      <c r="AT133" s="17">
        <v>12</v>
      </c>
      <c r="AU133" s="17">
        <v>0</v>
      </c>
      <c r="AV133" s="17">
        <v>0</v>
      </c>
      <c r="AW133" s="17">
        <v>20</v>
      </c>
      <c r="AX133" s="4">
        <v>105.22646818879355</v>
      </c>
      <c r="AY133" s="4">
        <v>97.101449275362313</v>
      </c>
      <c r="BD133" s="159" t="e">
        <v>#N/A</v>
      </c>
      <c r="BE133" s="159" t="e">
        <v>#N/A</v>
      </c>
      <c r="BF133" s="159" t="e">
        <v>#N/A</v>
      </c>
      <c r="BG133" s="159" t="e">
        <v>#N/A</v>
      </c>
      <c r="BH133" s="14" t="e">
        <v>#N/A</v>
      </c>
      <c r="BI133" s="159" t="e">
        <v>#N/A</v>
      </c>
      <c r="BJ133" s="159" t="e">
        <v>#N/A</v>
      </c>
      <c r="BK133" s="14" t="e">
        <v>#N/A</v>
      </c>
      <c r="BL133" s="14" t="e">
        <v>#N/A</v>
      </c>
      <c r="BM133" s="14" t="e">
        <v>#N/A</v>
      </c>
      <c r="BN133" s="14" t="e">
        <v>#N/A</v>
      </c>
      <c r="BO133" s="14" t="e">
        <v>#N/A</v>
      </c>
      <c r="BP133" s="182" t="e">
        <v>#N/A</v>
      </c>
      <c r="BQ133" s="183" t="e">
        <v>#N/A</v>
      </c>
    </row>
    <row r="134" spans="2:69" x14ac:dyDescent="0.35">
      <c r="B134" s="11">
        <v>115</v>
      </c>
      <c r="C134" s="4" t="str">
        <v>Product 2</v>
      </c>
      <c r="D134" s="94">
        <v>97.376832151300235</v>
      </c>
      <c r="E134" s="94">
        <v>100</v>
      </c>
      <c r="F134" s="94">
        <v>98.024980299448387</v>
      </c>
      <c r="G134" s="94">
        <v>99.338792880989956</v>
      </c>
      <c r="H134" s="4">
        <v>264.66744680851065</v>
      </c>
      <c r="I134" s="174">
        <v>98.852647263335655</v>
      </c>
      <c r="J134" s="95">
        <v>0</v>
      </c>
      <c r="K134" s="4">
        <v>317.60093617021278</v>
      </c>
      <c r="L134" s="11">
        <v>12</v>
      </c>
      <c r="M134" s="4">
        <v>0</v>
      </c>
      <c r="N134" s="11">
        <v>0</v>
      </c>
      <c r="O134" s="11">
        <v>23</v>
      </c>
      <c r="P134" s="137">
        <v>41682</v>
      </c>
      <c r="Q134" s="11">
        <v>138</v>
      </c>
      <c r="R134" s="95">
        <f>CHOOSE($D$4,D134,E134,F134,G134,H134,I134,J134,K134,L134,M134,N134,O134,P134,101-B134)+0.000001*ROWS($A$20:A134)</f>
        <v>99.33890788098995</v>
      </c>
      <c r="S134" s="4">
        <f t="shared" si="33"/>
        <v>41</v>
      </c>
      <c r="T134" s="4"/>
      <c r="U134" s="14">
        <f>ROWS($U$20:U134)</f>
        <v>115</v>
      </c>
      <c r="V134" s="4">
        <v>164</v>
      </c>
      <c r="W134" s="4" t="str">
        <v>Product 26</v>
      </c>
      <c r="X134" s="94">
        <v>61.005847953216353</v>
      </c>
      <c r="Y134" s="94">
        <v>69.473684210526315</v>
      </c>
      <c r="Z134" s="94">
        <v>88.968855218855197</v>
      </c>
      <c r="AA134" s="94">
        <v>98.699086995600553</v>
      </c>
      <c r="AB134" s="4">
        <v>133.50947368421052</v>
      </c>
      <c r="AC134" s="94">
        <v>216.71764203331909</v>
      </c>
      <c r="AD134" s="94">
        <v>94.630240226095154</v>
      </c>
      <c r="AE134" s="4">
        <v>160.21136842105261</v>
      </c>
      <c r="AF134" s="4">
        <v>12</v>
      </c>
      <c r="AG134" s="4">
        <v>0</v>
      </c>
      <c r="AH134" s="4">
        <v>0</v>
      </c>
      <c r="AI134" s="4">
        <v>14</v>
      </c>
      <c r="AJ134" s="139">
        <v>41703</v>
      </c>
      <c r="AK134" s="94">
        <v>65</v>
      </c>
      <c r="AL134" s="162">
        <v>86.87700000000001</v>
      </c>
      <c r="AM134" s="162">
        <v>90</v>
      </c>
      <c r="AN134" s="162">
        <v>98</v>
      </c>
      <c r="AO134" s="162">
        <v>98.5</v>
      </c>
      <c r="AP134" s="17">
        <v>216</v>
      </c>
      <c r="AQ134" s="162">
        <v>0</v>
      </c>
      <c r="AR134" s="162">
        <v>40</v>
      </c>
      <c r="AS134" s="17">
        <v>259.2</v>
      </c>
      <c r="AT134" s="17">
        <v>12</v>
      </c>
      <c r="AU134" s="17">
        <v>0</v>
      </c>
      <c r="AV134" s="17">
        <v>0</v>
      </c>
      <c r="AW134" s="17">
        <v>20</v>
      </c>
      <c r="AX134" s="4">
        <v>88.968855218855197</v>
      </c>
      <c r="AY134" s="4">
        <v>69.473684210526315</v>
      </c>
      <c r="BD134" s="159">
        <v>61.005847953216353</v>
      </c>
      <c r="BE134" s="159">
        <v>69.473684210526315</v>
      </c>
      <c r="BF134" s="159">
        <v>88.968855218855197</v>
      </c>
      <c r="BG134" s="159">
        <v>98.699086995600553</v>
      </c>
      <c r="BH134" s="14">
        <v>133.50947368421052</v>
      </c>
      <c r="BI134" s="159">
        <v>216.71764203331909</v>
      </c>
      <c r="BJ134" s="159">
        <v>94.630240226095154</v>
      </c>
      <c r="BK134" s="14">
        <v>160.21136842105261</v>
      </c>
      <c r="BL134" s="14">
        <v>12</v>
      </c>
      <c r="BM134" s="14">
        <v>0</v>
      </c>
      <c r="BN134" s="14">
        <v>0</v>
      </c>
      <c r="BO134" s="14">
        <v>14</v>
      </c>
      <c r="BP134" s="182">
        <v>41703</v>
      </c>
      <c r="BQ134" s="183">
        <v>65</v>
      </c>
    </row>
    <row r="135" spans="2:69" x14ac:dyDescent="0.35">
      <c r="B135" s="11">
        <v>116</v>
      </c>
      <c r="C135" s="4" t="str">
        <v>Product 4</v>
      </c>
      <c r="D135" s="94">
        <v>60.519230769230766</v>
      </c>
      <c r="E135" s="94">
        <v>78.199999999999974</v>
      </c>
      <c r="F135" s="94">
        <v>78.671552232933323</v>
      </c>
      <c r="G135" s="94">
        <v>98.371416961020287</v>
      </c>
      <c r="H135" s="4">
        <v>159.95500000000001</v>
      </c>
      <c r="I135" s="174">
        <v>90.280795823338508</v>
      </c>
      <c r="J135" s="95">
        <v>0</v>
      </c>
      <c r="K135" s="4">
        <v>191.94599999999997</v>
      </c>
      <c r="L135" s="11">
        <v>12</v>
      </c>
      <c r="M135" s="4">
        <v>0</v>
      </c>
      <c r="N135" s="11">
        <v>0</v>
      </c>
      <c r="O135" s="11">
        <v>22</v>
      </c>
      <c r="P135" s="137">
        <v>41683</v>
      </c>
      <c r="Q135" s="11">
        <v>90</v>
      </c>
      <c r="R135" s="95">
        <f>CHOOSE($D$4,D135,E135,F135,G135,H135,I135,J135,K135,L135,M135,N135,O135,P135,101-B135)+0.000001*ROWS($A$20:A135)</f>
        <v>98.371532961020293</v>
      </c>
      <c r="S135" s="4">
        <f t="shared" si="33"/>
        <v>160</v>
      </c>
      <c r="T135" s="4"/>
      <c r="U135" s="14">
        <f>ROWS($U$20:U135)</f>
        <v>116</v>
      </c>
      <c r="V135" s="4">
        <v>74</v>
      </c>
      <c r="W135" s="4" t="str">
        <v>Product 3</v>
      </c>
      <c r="X135" s="94">
        <v>98.229918462075631</v>
      </c>
      <c r="Y135" s="94">
        <v>97.695167286245351</v>
      </c>
      <c r="Z135" s="94">
        <v>101.89599678767544</v>
      </c>
      <c r="AA135" s="94">
        <v>98.676464474521836</v>
      </c>
      <c r="AB135" s="4">
        <v>360.36182156133827</v>
      </c>
      <c r="AC135" s="94">
        <v>120.20267865667887</v>
      </c>
      <c r="AD135" s="94">
        <v>25.880676682935128</v>
      </c>
      <c r="AE135" s="4">
        <v>432.43418587360594</v>
      </c>
      <c r="AF135" s="4">
        <v>12</v>
      </c>
      <c r="AG135" s="4">
        <v>0</v>
      </c>
      <c r="AH135" s="4">
        <v>0</v>
      </c>
      <c r="AI135" s="4">
        <v>28</v>
      </c>
      <c r="AJ135" s="139">
        <v>41663</v>
      </c>
      <c r="AK135" s="94">
        <v>84</v>
      </c>
      <c r="AL135" s="162">
        <v>87.494399999999999</v>
      </c>
      <c r="AM135" s="162">
        <v>90</v>
      </c>
      <c r="AN135" s="162">
        <v>98</v>
      </c>
      <c r="AO135" s="162">
        <v>99.2</v>
      </c>
      <c r="AP135" s="17">
        <v>362</v>
      </c>
      <c r="AQ135" s="162">
        <v>0</v>
      </c>
      <c r="AR135" s="162">
        <v>40</v>
      </c>
      <c r="AS135" s="17">
        <v>434.4</v>
      </c>
      <c r="AT135" s="17">
        <v>12</v>
      </c>
      <c r="AU135" s="17">
        <v>0</v>
      </c>
      <c r="AV135" s="17">
        <v>0</v>
      </c>
      <c r="AW135" s="17">
        <v>20</v>
      </c>
      <c r="AX135" s="4">
        <v>101.89599678767544</v>
      </c>
      <c r="AY135" s="4">
        <v>97.695167286245351</v>
      </c>
      <c r="BD135" s="159" t="e">
        <v>#N/A</v>
      </c>
      <c r="BE135" s="159" t="e">
        <v>#N/A</v>
      </c>
      <c r="BF135" s="159" t="e">
        <v>#N/A</v>
      </c>
      <c r="BG135" s="159" t="e">
        <v>#N/A</v>
      </c>
      <c r="BH135" s="14" t="e">
        <v>#N/A</v>
      </c>
      <c r="BI135" s="159" t="e">
        <v>#N/A</v>
      </c>
      <c r="BJ135" s="159" t="e">
        <v>#N/A</v>
      </c>
      <c r="BK135" s="14" t="e">
        <v>#N/A</v>
      </c>
      <c r="BL135" s="14" t="e">
        <v>#N/A</v>
      </c>
      <c r="BM135" s="14" t="e">
        <v>#N/A</v>
      </c>
      <c r="BN135" s="14" t="e">
        <v>#N/A</v>
      </c>
      <c r="BO135" s="14" t="e">
        <v>#N/A</v>
      </c>
      <c r="BP135" s="182" t="e">
        <v>#N/A</v>
      </c>
      <c r="BQ135" s="183" t="e">
        <v>#N/A</v>
      </c>
    </row>
    <row r="136" spans="2:69" x14ac:dyDescent="0.35">
      <c r="B136" s="11">
        <v>117</v>
      </c>
      <c r="C136" s="4" t="str">
        <v>Product 17</v>
      </c>
      <c r="D136" s="94">
        <v>89.958407605466419</v>
      </c>
      <c r="E136" s="94">
        <v>94.008714596949886</v>
      </c>
      <c r="F136" s="94">
        <v>95.868008005899085</v>
      </c>
      <c r="G136" s="94">
        <v>99.815949234953166</v>
      </c>
      <c r="H136" s="4">
        <v>297.41013071895424</v>
      </c>
      <c r="I136" s="174">
        <v>112.68301742728315</v>
      </c>
      <c r="J136" s="95">
        <v>52.26463588767254</v>
      </c>
      <c r="K136" s="4">
        <v>356.89215686274508</v>
      </c>
      <c r="L136" s="11">
        <v>12</v>
      </c>
      <c r="M136" s="4">
        <v>0</v>
      </c>
      <c r="N136" s="11">
        <v>0</v>
      </c>
      <c r="O136" s="11">
        <v>25</v>
      </c>
      <c r="P136" s="137">
        <v>41682</v>
      </c>
      <c r="Q136" s="11">
        <v>83</v>
      </c>
      <c r="R136" s="95">
        <f>CHOOSE($D$4,D136,E136,F136,G136,H136,I136,J136,K136,L136,M136,N136,O136,P136,101-B136)+0.000001*ROWS($A$20:A136)</f>
        <v>99.816066234953169</v>
      </c>
      <c r="S136" s="4">
        <f t="shared" si="33"/>
        <v>11</v>
      </c>
      <c r="T136" s="4"/>
      <c r="U136" s="14">
        <f>ROWS($U$20:U136)</f>
        <v>117</v>
      </c>
      <c r="V136" s="4">
        <v>2</v>
      </c>
      <c r="W136" s="4" t="str">
        <v>Product 2</v>
      </c>
      <c r="X136" s="94">
        <v>76.578947368421041</v>
      </c>
      <c r="Y136" s="94">
        <v>84.1796875</v>
      </c>
      <c r="Z136" s="94">
        <v>92.20417633410672</v>
      </c>
      <c r="AA136" s="94">
        <v>98.66235795830795</v>
      </c>
      <c r="AB136" s="4">
        <v>221.20898437499997</v>
      </c>
      <c r="AC136" s="94">
        <v>184.06819326843379</v>
      </c>
      <c r="AD136" s="94">
        <v>0</v>
      </c>
      <c r="AE136" s="4">
        <v>265.45078124999998</v>
      </c>
      <c r="AF136" s="4">
        <v>12</v>
      </c>
      <c r="AG136" s="4">
        <v>0</v>
      </c>
      <c r="AH136" s="4">
        <v>0</v>
      </c>
      <c r="AI136" s="4">
        <v>19</v>
      </c>
      <c r="AJ136" s="139">
        <v>41641</v>
      </c>
      <c r="AK136" s="94">
        <v>113</v>
      </c>
      <c r="AL136" s="162">
        <v>87.317999999999998</v>
      </c>
      <c r="AM136" s="162">
        <v>90</v>
      </c>
      <c r="AN136" s="162">
        <v>98</v>
      </c>
      <c r="AO136" s="162">
        <v>99</v>
      </c>
      <c r="AP136" s="17">
        <v>285</v>
      </c>
      <c r="AQ136" s="162">
        <v>0</v>
      </c>
      <c r="AR136" s="162">
        <v>40</v>
      </c>
      <c r="AS136" s="17">
        <v>342</v>
      </c>
      <c r="AT136" s="17">
        <v>12</v>
      </c>
      <c r="AU136" s="17">
        <v>0</v>
      </c>
      <c r="AV136" s="17">
        <v>0</v>
      </c>
      <c r="AW136" s="17">
        <v>20</v>
      </c>
      <c r="AX136" s="4">
        <v>92.20417633410672</v>
      </c>
      <c r="AY136" s="4">
        <v>84.1796875</v>
      </c>
      <c r="BD136" s="159">
        <v>76.578947368421041</v>
      </c>
      <c r="BE136" s="159">
        <v>84.1796875</v>
      </c>
      <c r="BF136" s="159">
        <v>92.20417633410672</v>
      </c>
      <c r="BG136" s="159">
        <v>98.66235795830795</v>
      </c>
      <c r="BH136" s="14">
        <v>221.20898437499997</v>
      </c>
      <c r="BI136" s="159">
        <v>184.06819326843379</v>
      </c>
      <c r="BJ136" s="159">
        <v>0</v>
      </c>
      <c r="BK136" s="14">
        <v>265.45078124999998</v>
      </c>
      <c r="BL136" s="14">
        <v>12</v>
      </c>
      <c r="BM136" s="14">
        <v>0</v>
      </c>
      <c r="BN136" s="14">
        <v>0</v>
      </c>
      <c r="BO136" s="14">
        <v>19</v>
      </c>
      <c r="BP136" s="182">
        <v>41641</v>
      </c>
      <c r="BQ136" s="183">
        <v>113</v>
      </c>
    </row>
    <row r="137" spans="2:69" x14ac:dyDescent="0.35">
      <c r="B137" s="11">
        <v>118</v>
      </c>
      <c r="C137" s="4" t="str">
        <v>Product 22</v>
      </c>
      <c r="D137" s="94">
        <v>75.160714285714278</v>
      </c>
      <c r="E137" s="94">
        <v>81.919642857142847</v>
      </c>
      <c r="F137" s="94">
        <v>92.242259103294529</v>
      </c>
      <c r="G137" s="94">
        <v>99.465602526437905</v>
      </c>
      <c r="H137" s="4">
        <v>207.80245535714286</v>
      </c>
      <c r="I137" s="174">
        <v>99.447192163481574</v>
      </c>
      <c r="J137" s="95">
        <v>81.644161622432605</v>
      </c>
      <c r="K137" s="4">
        <v>249.36294642857143</v>
      </c>
      <c r="L137" s="11">
        <v>12</v>
      </c>
      <c r="M137" s="4">
        <v>0</v>
      </c>
      <c r="N137" s="11">
        <v>0</v>
      </c>
      <c r="O137" s="11">
        <v>23</v>
      </c>
      <c r="P137" s="137">
        <v>41683</v>
      </c>
      <c r="Q137" s="11">
        <v>108</v>
      </c>
      <c r="R137" s="95">
        <f>CHOOSE($D$4,D137,E137,F137,G137,H137,I137,J137,K137,L137,M137,N137,O137,P137,101-B137)+0.000001*ROWS($A$20:A137)</f>
        <v>99.465720526437906</v>
      </c>
      <c r="S137" s="4">
        <f t="shared" si="33"/>
        <v>31</v>
      </c>
      <c r="T137" s="4"/>
      <c r="U137" s="14">
        <f>ROWS($U$20:U137)</f>
        <v>118</v>
      </c>
      <c r="V137" s="4">
        <v>192</v>
      </c>
      <c r="W137" s="4" t="str">
        <v>Product 3</v>
      </c>
      <c r="X137" s="94">
        <v>90.677582470503239</v>
      </c>
      <c r="Y137" s="94">
        <v>94.733333333333334</v>
      </c>
      <c r="Z137" s="94">
        <v>97.022757092242145</v>
      </c>
      <c r="AA137" s="94">
        <v>98.655999839041897</v>
      </c>
      <c r="AB137" s="4">
        <v>318.09519999999998</v>
      </c>
      <c r="AC137" s="94">
        <v>177.95933895024223</v>
      </c>
      <c r="AD137" s="94">
        <v>1.1655061141304348</v>
      </c>
      <c r="AE137" s="4">
        <v>381.71423999999996</v>
      </c>
      <c r="AF137" s="4">
        <v>12</v>
      </c>
      <c r="AG137" s="4">
        <v>0</v>
      </c>
      <c r="AH137" s="4">
        <v>0</v>
      </c>
      <c r="AI137" s="4">
        <v>19</v>
      </c>
      <c r="AJ137" s="139">
        <v>41712</v>
      </c>
      <c r="AK137" s="94">
        <v>58</v>
      </c>
      <c r="AL137" s="162">
        <v>87.494399999999999</v>
      </c>
      <c r="AM137" s="162">
        <v>90</v>
      </c>
      <c r="AN137" s="162">
        <v>98</v>
      </c>
      <c r="AO137" s="162">
        <v>99.2</v>
      </c>
      <c r="AP137" s="17">
        <v>346.08333333333331</v>
      </c>
      <c r="AQ137" s="162">
        <v>0</v>
      </c>
      <c r="AR137" s="162">
        <v>40</v>
      </c>
      <c r="AS137" s="17">
        <v>415.3</v>
      </c>
      <c r="AT137" s="17">
        <v>12</v>
      </c>
      <c r="AU137" s="17">
        <v>0</v>
      </c>
      <c r="AV137" s="17">
        <v>0</v>
      </c>
      <c r="AW137" s="17">
        <v>20</v>
      </c>
      <c r="AX137" s="4">
        <v>97.022757092242145</v>
      </c>
      <c r="AY137" s="4">
        <v>94.733333333333334</v>
      </c>
      <c r="BD137" s="159" t="e">
        <v>#N/A</v>
      </c>
      <c r="BE137" s="159" t="e">
        <v>#N/A</v>
      </c>
      <c r="BF137" s="159" t="e">
        <v>#N/A</v>
      </c>
      <c r="BG137" s="159" t="e">
        <v>#N/A</v>
      </c>
      <c r="BH137" s="14" t="e">
        <v>#N/A</v>
      </c>
      <c r="BI137" s="159" t="e">
        <v>#N/A</v>
      </c>
      <c r="BJ137" s="159" t="e">
        <v>#N/A</v>
      </c>
      <c r="BK137" s="14" t="e">
        <v>#N/A</v>
      </c>
      <c r="BL137" s="14" t="e">
        <v>#N/A</v>
      </c>
      <c r="BM137" s="14" t="e">
        <v>#N/A</v>
      </c>
      <c r="BN137" s="14" t="e">
        <v>#N/A</v>
      </c>
      <c r="BO137" s="14" t="e">
        <v>#N/A</v>
      </c>
      <c r="BP137" s="182" t="e">
        <v>#N/A</v>
      </c>
      <c r="BQ137" s="183" t="e">
        <v>#N/A</v>
      </c>
    </row>
    <row r="138" spans="2:69" x14ac:dyDescent="0.35">
      <c r="B138" s="11">
        <v>119</v>
      </c>
      <c r="C138" s="4" t="str">
        <v>Product 3</v>
      </c>
      <c r="D138" s="94">
        <v>90.442318172025281</v>
      </c>
      <c r="E138" s="94">
        <v>90</v>
      </c>
      <c r="F138" s="94">
        <v>101.29916652937423</v>
      </c>
      <c r="G138" s="94">
        <v>99.202656920620996</v>
      </c>
      <c r="H138" s="4">
        <v>315.52157894736843</v>
      </c>
      <c r="I138" s="174">
        <v>119.60922411453927</v>
      </c>
      <c r="J138" s="95">
        <v>36.065372542830588</v>
      </c>
      <c r="K138" s="4">
        <v>378.6258947368421</v>
      </c>
      <c r="L138" s="11">
        <v>12</v>
      </c>
      <c r="M138" s="4">
        <v>0</v>
      </c>
      <c r="N138" s="11">
        <v>0</v>
      </c>
      <c r="O138" s="11">
        <v>23</v>
      </c>
      <c r="P138" s="137">
        <v>41683</v>
      </c>
      <c r="Q138" s="11">
        <v>90</v>
      </c>
      <c r="R138" s="95">
        <f>CHOOSE($D$4,D138,E138,F138,G138,H138,I138,J138,K138,L138,M138,N138,O138,P138,101-B138)+0.000001*ROWS($A$20:A138)</f>
        <v>99.202775920620994</v>
      </c>
      <c r="S138" s="4">
        <f t="shared" si="33"/>
        <v>48</v>
      </c>
      <c r="T138" s="4"/>
      <c r="U138" s="14">
        <f>ROWS($U$20:U138)</f>
        <v>119</v>
      </c>
      <c r="V138" s="4">
        <v>129</v>
      </c>
      <c r="W138" s="4" t="str">
        <v>Product 2</v>
      </c>
      <c r="X138" s="94">
        <v>85.52188663801924</v>
      </c>
      <c r="Y138" s="94">
        <v>86.408839779005518</v>
      </c>
      <c r="Z138" s="94">
        <v>100.3221701240883</v>
      </c>
      <c r="AA138" s="94">
        <v>98.655699694028272</v>
      </c>
      <c r="AB138" s="4">
        <v>234.05550276243096</v>
      </c>
      <c r="AC138" s="94">
        <v>98.219526105907448</v>
      </c>
      <c r="AD138" s="94">
        <v>49.563318777292572</v>
      </c>
      <c r="AE138" s="4">
        <v>280.86660331491714</v>
      </c>
      <c r="AF138" s="4">
        <v>12</v>
      </c>
      <c r="AG138" s="4">
        <v>0</v>
      </c>
      <c r="AH138" s="4">
        <v>0</v>
      </c>
      <c r="AI138" s="4">
        <v>24</v>
      </c>
      <c r="AJ138" s="139">
        <v>41689</v>
      </c>
      <c r="AK138" s="94">
        <v>66</v>
      </c>
      <c r="AL138" s="162">
        <v>87.317999999999998</v>
      </c>
      <c r="AM138" s="162">
        <v>90</v>
      </c>
      <c r="AN138" s="162">
        <v>98</v>
      </c>
      <c r="AO138" s="162">
        <v>99</v>
      </c>
      <c r="AP138" s="17">
        <v>270</v>
      </c>
      <c r="AQ138" s="162">
        <v>0</v>
      </c>
      <c r="AR138" s="162">
        <v>40</v>
      </c>
      <c r="AS138" s="17">
        <v>324</v>
      </c>
      <c r="AT138" s="17">
        <v>12</v>
      </c>
      <c r="AU138" s="17">
        <v>0</v>
      </c>
      <c r="AV138" s="17">
        <v>0</v>
      </c>
      <c r="AW138" s="17">
        <v>20</v>
      </c>
      <c r="AX138" s="4">
        <v>100.3221701240883</v>
      </c>
      <c r="AY138" s="4">
        <v>86.408839779005518</v>
      </c>
      <c r="BD138" s="159">
        <v>85.52188663801924</v>
      </c>
      <c r="BE138" s="159">
        <v>86.408839779005518</v>
      </c>
      <c r="BF138" s="159">
        <v>100.3221701240883</v>
      </c>
      <c r="BG138" s="159">
        <v>98.655699694028272</v>
      </c>
      <c r="BH138" s="14">
        <v>234.05550276243096</v>
      </c>
      <c r="BI138" s="159">
        <v>98.219526105907448</v>
      </c>
      <c r="BJ138" s="159">
        <v>49.563318777292572</v>
      </c>
      <c r="BK138" s="14">
        <v>280.86660331491714</v>
      </c>
      <c r="BL138" s="14">
        <v>12</v>
      </c>
      <c r="BM138" s="14">
        <v>0</v>
      </c>
      <c r="BN138" s="14">
        <v>0</v>
      </c>
      <c r="BO138" s="14">
        <v>24</v>
      </c>
      <c r="BP138" s="182">
        <v>41689</v>
      </c>
      <c r="BQ138" s="183">
        <v>66</v>
      </c>
    </row>
    <row r="139" spans="2:69" x14ac:dyDescent="0.35">
      <c r="B139" s="11">
        <v>120</v>
      </c>
      <c r="C139" s="4" t="str">
        <v>Product 21</v>
      </c>
      <c r="D139" s="94">
        <v>71.204061895551249</v>
      </c>
      <c r="E139" s="94">
        <v>76.832151300236404</v>
      </c>
      <c r="F139" s="94">
        <v>93.210227272727266</v>
      </c>
      <c r="G139" s="94">
        <v>99.425597261622869</v>
      </c>
      <c r="H139" s="4">
        <v>252.08628841607563</v>
      </c>
      <c r="I139" s="174">
        <v>120.1723146968997</v>
      </c>
      <c r="J139" s="95">
        <v>82.205918317437025</v>
      </c>
      <c r="K139" s="4">
        <v>302.50354609929076</v>
      </c>
      <c r="L139" s="11">
        <v>12</v>
      </c>
      <c r="M139" s="4">
        <v>0</v>
      </c>
      <c r="N139" s="11">
        <v>0</v>
      </c>
      <c r="O139" s="11">
        <v>28</v>
      </c>
      <c r="P139" s="137">
        <v>41683</v>
      </c>
      <c r="Q139" s="11">
        <v>64</v>
      </c>
      <c r="R139" s="95">
        <f>CHOOSE($D$4,D139,E139,F139,G139,H139,I139,J139,K139,L139,M139,N139,O139,P139,101-B139)+0.000001*ROWS($A$20:A139)</f>
        <v>99.425717261622864</v>
      </c>
      <c r="S139" s="4">
        <f t="shared" si="33"/>
        <v>34</v>
      </c>
      <c r="T139" s="4"/>
      <c r="U139" s="14">
        <f>ROWS($U$20:U139)</f>
        <v>120</v>
      </c>
      <c r="V139" s="4">
        <v>198</v>
      </c>
      <c r="W139" s="4" t="str">
        <v>Product 3</v>
      </c>
      <c r="X139" s="94">
        <v>91.269064659743535</v>
      </c>
      <c r="Y139" s="94">
        <v>92.907801418439703</v>
      </c>
      <c r="Z139" s="94">
        <v>99.575585018096007</v>
      </c>
      <c r="AA139" s="94">
        <v>98.654874901704531</v>
      </c>
      <c r="AB139" s="4">
        <v>320.1737588652482</v>
      </c>
      <c r="AC139" s="94">
        <v>177.34918081409853</v>
      </c>
      <c r="AD139" s="94">
        <v>20.784151693486248</v>
      </c>
      <c r="AE139" s="4">
        <v>384.20851063829787</v>
      </c>
      <c r="AF139" s="4">
        <v>12</v>
      </c>
      <c r="AG139" s="4">
        <v>0</v>
      </c>
      <c r="AH139" s="4">
        <v>0</v>
      </c>
      <c r="AI139" s="4">
        <v>15</v>
      </c>
      <c r="AJ139" s="139">
        <v>41715</v>
      </c>
      <c r="AK139" s="94">
        <v>99</v>
      </c>
      <c r="AL139" s="162">
        <v>87.494399999999999</v>
      </c>
      <c r="AM139" s="162">
        <v>90</v>
      </c>
      <c r="AN139" s="162">
        <v>98</v>
      </c>
      <c r="AO139" s="162">
        <v>99.2</v>
      </c>
      <c r="AP139" s="17">
        <v>346.08333333333331</v>
      </c>
      <c r="AQ139" s="162">
        <v>0</v>
      </c>
      <c r="AR139" s="162">
        <v>40</v>
      </c>
      <c r="AS139" s="17">
        <v>415.3</v>
      </c>
      <c r="AT139" s="17">
        <v>12</v>
      </c>
      <c r="AU139" s="17">
        <v>0</v>
      </c>
      <c r="AV139" s="17">
        <v>0</v>
      </c>
      <c r="AW139" s="17">
        <v>20</v>
      </c>
      <c r="AX139" s="4">
        <v>99.575585018096007</v>
      </c>
      <c r="AY139" s="4">
        <v>92.907801418439703</v>
      </c>
      <c r="BD139" s="159" t="e">
        <v>#N/A</v>
      </c>
      <c r="BE139" s="159" t="e">
        <v>#N/A</v>
      </c>
      <c r="BF139" s="159" t="e">
        <v>#N/A</v>
      </c>
      <c r="BG139" s="159" t="e">
        <v>#N/A</v>
      </c>
      <c r="BH139" s="14" t="e">
        <v>#N/A</v>
      </c>
      <c r="BI139" s="159" t="e">
        <v>#N/A</v>
      </c>
      <c r="BJ139" s="159" t="e">
        <v>#N/A</v>
      </c>
      <c r="BK139" s="14" t="e">
        <v>#N/A</v>
      </c>
      <c r="BL139" s="14" t="e">
        <v>#N/A</v>
      </c>
      <c r="BM139" s="14" t="e">
        <v>#N/A</v>
      </c>
      <c r="BN139" s="14" t="e">
        <v>#N/A</v>
      </c>
      <c r="BO139" s="14" t="e">
        <v>#N/A</v>
      </c>
      <c r="BP139" s="182" t="e">
        <v>#N/A</v>
      </c>
      <c r="BQ139" s="183" t="e">
        <v>#N/A</v>
      </c>
    </row>
    <row r="140" spans="2:69" x14ac:dyDescent="0.35">
      <c r="B140" s="11">
        <v>121</v>
      </c>
      <c r="C140" s="4" t="str">
        <v>Product 3</v>
      </c>
      <c r="D140" s="94">
        <v>90.533974312979836</v>
      </c>
      <c r="E140" s="94">
        <v>95.194805194805184</v>
      </c>
      <c r="F140" s="94">
        <v>96.595350975707191</v>
      </c>
      <c r="G140" s="94">
        <v>98.455982730415556</v>
      </c>
      <c r="H140" s="4">
        <v>332.87259740259736</v>
      </c>
      <c r="I140" s="174">
        <v>120.50904833772937</v>
      </c>
      <c r="J140" s="95">
        <v>39.859263153637727</v>
      </c>
      <c r="K140" s="4">
        <v>399.44711688311691</v>
      </c>
      <c r="L140" s="11">
        <v>12</v>
      </c>
      <c r="M140" s="4">
        <v>0</v>
      </c>
      <c r="N140" s="11">
        <v>0</v>
      </c>
      <c r="O140" s="11">
        <v>19</v>
      </c>
      <c r="P140" s="137">
        <v>41684</v>
      </c>
      <c r="Q140" s="11">
        <v>96</v>
      </c>
      <c r="R140" s="95">
        <f>CHOOSE($D$4,D140,E140,F140,G140,H140,I140,J140,K140,L140,M140,N140,O140,P140,101-B140)+0.000001*ROWS($A$20:A140)</f>
        <v>98.456103730415549</v>
      </c>
      <c r="S140" s="4">
        <f t="shared" si="33"/>
        <v>149</v>
      </c>
      <c r="T140" s="4"/>
      <c r="U140" s="14">
        <f>ROWS($U$20:U140)</f>
        <v>121</v>
      </c>
      <c r="V140" s="4">
        <v>166</v>
      </c>
      <c r="W140" s="4" t="str">
        <v>Product 2</v>
      </c>
      <c r="X140" s="94">
        <v>92.295260295260277</v>
      </c>
      <c r="Y140" s="94">
        <v>91.328671328671334</v>
      </c>
      <c r="Z140" s="94">
        <v>102.44228914979297</v>
      </c>
      <c r="AA140" s="94">
        <v>98.649067635203963</v>
      </c>
      <c r="AB140" s="4">
        <v>252.60979020979019</v>
      </c>
      <c r="AC140" s="94">
        <v>180.96526295750797</v>
      </c>
      <c r="AD140" s="94">
        <v>0</v>
      </c>
      <c r="AE140" s="4">
        <v>303.13174825174826</v>
      </c>
      <c r="AF140" s="4">
        <v>12</v>
      </c>
      <c r="AG140" s="4">
        <v>0</v>
      </c>
      <c r="AH140" s="4">
        <v>0</v>
      </c>
      <c r="AI140" s="4">
        <v>30</v>
      </c>
      <c r="AJ140" s="139">
        <v>41703</v>
      </c>
      <c r="AK140" s="94">
        <v>90</v>
      </c>
      <c r="AL140" s="162">
        <v>87.317999999999998</v>
      </c>
      <c r="AM140" s="162">
        <v>90</v>
      </c>
      <c r="AN140" s="162">
        <v>98</v>
      </c>
      <c r="AO140" s="162">
        <v>99</v>
      </c>
      <c r="AP140" s="17">
        <v>270</v>
      </c>
      <c r="AQ140" s="162">
        <v>0</v>
      </c>
      <c r="AR140" s="162">
        <v>40</v>
      </c>
      <c r="AS140" s="17">
        <v>324</v>
      </c>
      <c r="AT140" s="17">
        <v>12</v>
      </c>
      <c r="AU140" s="17">
        <v>0</v>
      </c>
      <c r="AV140" s="17">
        <v>0</v>
      </c>
      <c r="AW140" s="17">
        <v>20</v>
      </c>
      <c r="AX140" s="4">
        <v>102.44228914979297</v>
      </c>
      <c r="AY140" s="4">
        <v>91.328671328671334</v>
      </c>
      <c r="BD140" s="159">
        <v>92.295260295260277</v>
      </c>
      <c r="BE140" s="159">
        <v>91.328671328671334</v>
      </c>
      <c r="BF140" s="159">
        <v>102.44228914979297</v>
      </c>
      <c r="BG140" s="159">
        <v>98.649067635203963</v>
      </c>
      <c r="BH140" s="14">
        <v>252.60979020979019</v>
      </c>
      <c r="BI140" s="159">
        <v>180.96526295750797</v>
      </c>
      <c r="BJ140" s="159">
        <v>0</v>
      </c>
      <c r="BK140" s="14">
        <v>303.13174825174826</v>
      </c>
      <c r="BL140" s="14">
        <v>12</v>
      </c>
      <c r="BM140" s="14">
        <v>0</v>
      </c>
      <c r="BN140" s="14">
        <v>0</v>
      </c>
      <c r="BO140" s="14">
        <v>30</v>
      </c>
      <c r="BP140" s="182">
        <v>41703</v>
      </c>
      <c r="BQ140" s="183">
        <v>90</v>
      </c>
    </row>
    <row r="141" spans="2:69" x14ac:dyDescent="0.35">
      <c r="B141" s="11">
        <v>122</v>
      </c>
      <c r="C141" s="4" t="str">
        <v>Product 3</v>
      </c>
      <c r="D141" s="94">
        <v>100.34561232843728</v>
      </c>
      <c r="E141" s="94">
        <v>99.04</v>
      </c>
      <c r="F141" s="94">
        <v>102.49226380135894</v>
      </c>
      <c r="G141" s="94">
        <v>98.854551495425142</v>
      </c>
      <c r="H141" s="4">
        <v>351.30344000000002</v>
      </c>
      <c r="I141" s="174">
        <v>112.71372726176023</v>
      </c>
      <c r="J141" s="95">
        <v>44.642938522535658</v>
      </c>
      <c r="K141" s="4">
        <v>421.56412799999998</v>
      </c>
      <c r="L141" s="11">
        <v>12</v>
      </c>
      <c r="M141" s="4">
        <v>0</v>
      </c>
      <c r="N141" s="11">
        <v>0</v>
      </c>
      <c r="O141" s="11">
        <v>23</v>
      </c>
      <c r="P141" s="137">
        <v>41684</v>
      </c>
      <c r="Q141" s="11">
        <v>61</v>
      </c>
      <c r="R141" s="95">
        <f>CHOOSE($D$4,D141,E141,F141,G141,H141,I141,J141,K141,L141,M141,N141,O141,P141,101-B141)+0.000001*ROWS($A$20:A141)</f>
        <v>98.854673495425146</v>
      </c>
      <c r="S141" s="4">
        <f t="shared" si="33"/>
        <v>94</v>
      </c>
      <c r="T141" s="4"/>
      <c r="U141" s="14">
        <f>ROWS($U$20:U141)</f>
        <v>122</v>
      </c>
      <c r="V141" s="4">
        <v>200</v>
      </c>
      <c r="W141" s="4" t="str">
        <v>Product 16</v>
      </c>
      <c r="X141" s="94">
        <v>75.335856531427964</v>
      </c>
      <c r="Y141" s="94">
        <v>82.35294117647058</v>
      </c>
      <c r="Z141" s="94">
        <v>92.735589725968566</v>
      </c>
      <c r="AA141" s="94">
        <v>98.645250038210889</v>
      </c>
      <c r="AB141" s="4">
        <v>211.67352941176469</v>
      </c>
      <c r="AC141" s="94">
        <v>148.77312661498706</v>
      </c>
      <c r="AD141" s="94">
        <v>0</v>
      </c>
      <c r="AE141" s="4">
        <v>254.00823529411764</v>
      </c>
      <c r="AF141" s="4">
        <v>12</v>
      </c>
      <c r="AG141" s="4">
        <v>0</v>
      </c>
      <c r="AH141" s="4">
        <v>0</v>
      </c>
      <c r="AI141" s="4">
        <v>29</v>
      </c>
      <c r="AJ141" s="139">
        <v>41715</v>
      </c>
      <c r="AK141" s="94">
        <v>85</v>
      </c>
      <c r="AL141" s="162">
        <v>86.87700000000001</v>
      </c>
      <c r="AM141" s="162">
        <v>90</v>
      </c>
      <c r="AN141" s="162">
        <v>98</v>
      </c>
      <c r="AO141" s="162">
        <v>98.5</v>
      </c>
      <c r="AP141" s="17">
        <v>277.16666666666669</v>
      </c>
      <c r="AQ141" s="162">
        <v>0</v>
      </c>
      <c r="AR141" s="162">
        <v>40</v>
      </c>
      <c r="AS141" s="17">
        <v>332.6</v>
      </c>
      <c r="AT141" s="17">
        <v>12</v>
      </c>
      <c r="AU141" s="17">
        <v>0</v>
      </c>
      <c r="AV141" s="17">
        <v>0</v>
      </c>
      <c r="AW141" s="17">
        <v>20</v>
      </c>
      <c r="AX141" s="4">
        <v>92.735589725968566</v>
      </c>
      <c r="AY141" s="4">
        <v>82.35294117647058</v>
      </c>
      <c r="BD141" s="159" t="e">
        <v>#N/A</v>
      </c>
      <c r="BE141" s="159" t="e">
        <v>#N/A</v>
      </c>
      <c r="BF141" s="159" t="e">
        <v>#N/A</v>
      </c>
      <c r="BG141" s="159" t="e">
        <v>#N/A</v>
      </c>
      <c r="BH141" s="14" t="e">
        <v>#N/A</v>
      </c>
      <c r="BI141" s="159" t="e">
        <v>#N/A</v>
      </c>
      <c r="BJ141" s="159" t="e">
        <v>#N/A</v>
      </c>
      <c r="BK141" s="14" t="e">
        <v>#N/A</v>
      </c>
      <c r="BL141" s="14" t="e">
        <v>#N/A</v>
      </c>
      <c r="BM141" s="14" t="e">
        <v>#N/A</v>
      </c>
      <c r="BN141" s="14" t="e">
        <v>#N/A</v>
      </c>
      <c r="BO141" s="14" t="e">
        <v>#N/A</v>
      </c>
      <c r="BP141" s="182" t="e">
        <v>#N/A</v>
      </c>
      <c r="BQ141" s="183" t="e">
        <v>#N/A</v>
      </c>
    </row>
    <row r="142" spans="2:69" x14ac:dyDescent="0.35">
      <c r="B142" s="11">
        <v>123</v>
      </c>
      <c r="C142" s="4" t="str">
        <v>Product 2</v>
      </c>
      <c r="D142" s="94">
        <v>93.489085545722745</v>
      </c>
      <c r="E142" s="94">
        <v>90.619469026548686</v>
      </c>
      <c r="F142" s="94">
        <v>104.79788773148148</v>
      </c>
      <c r="G142" s="94">
        <v>98.443459977939241</v>
      </c>
      <c r="H142" s="4">
        <v>256.41168141592919</v>
      </c>
      <c r="I142" s="174">
        <v>101.86692917538278</v>
      </c>
      <c r="J142" s="95">
        <v>0</v>
      </c>
      <c r="K142" s="4">
        <v>307.69401769911508</v>
      </c>
      <c r="L142" s="11">
        <v>12</v>
      </c>
      <c r="M142" s="4">
        <v>0</v>
      </c>
      <c r="N142" s="11">
        <v>0</v>
      </c>
      <c r="O142" s="11">
        <v>17</v>
      </c>
      <c r="P142" s="137">
        <v>41687</v>
      </c>
      <c r="Q142" s="11">
        <v>79</v>
      </c>
      <c r="R142" s="95">
        <f>CHOOSE($D$4,D142,E142,F142,G142,H142,I142,J142,K142,L142,M142,N142,O142,P142,101-B142)+0.000001*ROWS($A$20:A142)</f>
        <v>98.443582977939244</v>
      </c>
      <c r="S142" s="4">
        <f t="shared" si="33"/>
        <v>150</v>
      </c>
      <c r="T142" s="4"/>
      <c r="U142" s="14">
        <f>ROWS($U$20:U142)</f>
        <v>123</v>
      </c>
      <c r="V142" s="4">
        <v>31</v>
      </c>
      <c r="W142" s="4" t="str">
        <v>Product 3</v>
      </c>
      <c r="X142" s="94">
        <v>96.585270509746678</v>
      </c>
      <c r="Y142" s="94">
        <v>96.226415094339629</v>
      </c>
      <c r="Z142" s="94">
        <v>101.75504640161772</v>
      </c>
      <c r="AA142" s="94">
        <v>98.641720215656861</v>
      </c>
      <c r="AB142" s="4">
        <v>354.45314465408808</v>
      </c>
      <c r="AC142" s="94">
        <v>123.80724855450696</v>
      </c>
      <c r="AD142" s="94">
        <v>0</v>
      </c>
      <c r="AE142" s="4">
        <v>425.34377358490565</v>
      </c>
      <c r="AF142" s="4">
        <v>12</v>
      </c>
      <c r="AG142" s="4">
        <v>0</v>
      </c>
      <c r="AH142" s="4">
        <v>0</v>
      </c>
      <c r="AI142" s="4">
        <v>27</v>
      </c>
      <c r="AJ142" s="139">
        <v>41650</v>
      </c>
      <c r="AK142" s="94">
        <v>89</v>
      </c>
      <c r="AL142" s="162">
        <v>87.494399999999999</v>
      </c>
      <c r="AM142" s="162">
        <v>90</v>
      </c>
      <c r="AN142" s="162">
        <v>98</v>
      </c>
      <c r="AO142" s="162">
        <v>99.2</v>
      </c>
      <c r="AP142" s="17">
        <v>362</v>
      </c>
      <c r="AQ142" s="162">
        <v>0</v>
      </c>
      <c r="AR142" s="162">
        <v>40</v>
      </c>
      <c r="AS142" s="17">
        <v>434.4</v>
      </c>
      <c r="AT142" s="17">
        <v>12</v>
      </c>
      <c r="AU142" s="17">
        <v>0</v>
      </c>
      <c r="AV142" s="17">
        <v>0</v>
      </c>
      <c r="AW142" s="17">
        <v>20</v>
      </c>
      <c r="AX142" s="4">
        <v>101.75504640161772</v>
      </c>
      <c r="AY142" s="4">
        <v>96.226415094339629</v>
      </c>
      <c r="BD142" s="159" t="e">
        <v>#N/A</v>
      </c>
      <c r="BE142" s="159" t="e">
        <v>#N/A</v>
      </c>
      <c r="BF142" s="159" t="e">
        <v>#N/A</v>
      </c>
      <c r="BG142" s="159" t="e">
        <v>#N/A</v>
      </c>
      <c r="BH142" s="14" t="e">
        <v>#N/A</v>
      </c>
      <c r="BI142" s="159" t="e">
        <v>#N/A</v>
      </c>
      <c r="BJ142" s="159" t="e">
        <v>#N/A</v>
      </c>
      <c r="BK142" s="14" t="e">
        <v>#N/A</v>
      </c>
      <c r="BL142" s="14" t="e">
        <v>#N/A</v>
      </c>
      <c r="BM142" s="14" t="e">
        <v>#N/A</v>
      </c>
      <c r="BN142" s="14" t="e">
        <v>#N/A</v>
      </c>
      <c r="BO142" s="14" t="e">
        <v>#N/A</v>
      </c>
      <c r="BP142" s="182" t="e">
        <v>#N/A</v>
      </c>
      <c r="BQ142" s="183" t="e">
        <v>#N/A</v>
      </c>
    </row>
    <row r="143" spans="2:69" x14ac:dyDescent="0.35">
      <c r="B143" s="11">
        <v>124</v>
      </c>
      <c r="C143" s="4" t="str">
        <v>Product 16</v>
      </c>
      <c r="D143" s="94">
        <v>88.354182883324924</v>
      </c>
      <c r="E143" s="94">
        <v>94.355828220858911</v>
      </c>
      <c r="F143" s="94">
        <v>94.812280124205643</v>
      </c>
      <c r="G143" s="94">
        <v>98.762890679123544</v>
      </c>
      <c r="H143" s="4">
        <v>247.9558282208589</v>
      </c>
      <c r="I143" s="174">
        <v>98.403554689877666</v>
      </c>
      <c r="J143" s="95">
        <v>0</v>
      </c>
      <c r="K143" s="4">
        <v>297.54699386503069</v>
      </c>
      <c r="L143" s="11">
        <v>12</v>
      </c>
      <c r="M143" s="4">
        <v>0</v>
      </c>
      <c r="N143" s="11">
        <v>0</v>
      </c>
      <c r="O143" s="11">
        <v>18</v>
      </c>
      <c r="P143" s="137">
        <v>41687</v>
      </c>
      <c r="Q143" s="11">
        <v>99</v>
      </c>
      <c r="R143" s="95">
        <f>CHOOSE($D$4,D143,E143,F143,G143,H143,I143,J143,K143,L143,M143,N143,O143,P143,101-B143)+0.000001*ROWS($A$20:A143)</f>
        <v>98.763014679123543</v>
      </c>
      <c r="S143" s="4">
        <f t="shared" si="33"/>
        <v>105</v>
      </c>
      <c r="T143" s="4"/>
      <c r="U143" s="14">
        <f>ROWS($U$20:U143)</f>
        <v>124</v>
      </c>
      <c r="V143" s="4">
        <v>236</v>
      </c>
      <c r="W143" s="4" t="str">
        <v>Product 6</v>
      </c>
      <c r="X143" s="94">
        <v>71.924369747899149</v>
      </c>
      <c r="Y143" s="94">
        <v>88.214285714285694</v>
      </c>
      <c r="Z143" s="94">
        <v>82.674843216638877</v>
      </c>
      <c r="AA143" s="94">
        <v>98.619719527007888</v>
      </c>
      <c r="AB143" s="4">
        <v>223.16892857142855</v>
      </c>
      <c r="AC143" s="94">
        <v>144.92329100713167</v>
      </c>
      <c r="AD143" s="94">
        <v>45.960436309853947</v>
      </c>
      <c r="AE143" s="4">
        <v>267.80271428571422</v>
      </c>
      <c r="AF143" s="4">
        <v>12</v>
      </c>
      <c r="AG143" s="4">
        <v>0</v>
      </c>
      <c r="AH143" s="4">
        <v>0</v>
      </c>
      <c r="AI143" s="4">
        <v>22</v>
      </c>
      <c r="AJ143" s="139">
        <v>41726</v>
      </c>
      <c r="AK143" s="94">
        <v>70</v>
      </c>
      <c r="AL143" s="162">
        <v>86.87700000000001</v>
      </c>
      <c r="AM143" s="162">
        <v>90</v>
      </c>
      <c r="AN143" s="162">
        <v>98</v>
      </c>
      <c r="AO143" s="162">
        <v>98.5</v>
      </c>
      <c r="AP143" s="17">
        <v>306</v>
      </c>
      <c r="AQ143" s="162">
        <v>0</v>
      </c>
      <c r="AR143" s="162">
        <v>40</v>
      </c>
      <c r="AS143" s="17">
        <v>367.2</v>
      </c>
      <c r="AT143" s="17">
        <v>12</v>
      </c>
      <c r="AU143" s="17">
        <v>0</v>
      </c>
      <c r="AV143" s="17">
        <v>0</v>
      </c>
      <c r="AW143" s="17">
        <v>20</v>
      </c>
      <c r="AX143" s="4">
        <v>82.674843216638877</v>
      </c>
      <c r="AY143" s="4">
        <v>88.214285714285694</v>
      </c>
      <c r="BD143" s="159" t="e">
        <v>#N/A</v>
      </c>
      <c r="BE143" s="159" t="e">
        <v>#N/A</v>
      </c>
      <c r="BF143" s="159" t="e">
        <v>#N/A</v>
      </c>
      <c r="BG143" s="159" t="e">
        <v>#N/A</v>
      </c>
      <c r="BH143" s="14" t="e">
        <v>#N/A</v>
      </c>
      <c r="BI143" s="159" t="e">
        <v>#N/A</v>
      </c>
      <c r="BJ143" s="159" t="e">
        <v>#N/A</v>
      </c>
      <c r="BK143" s="14" t="e">
        <v>#N/A</v>
      </c>
      <c r="BL143" s="14" t="e">
        <v>#N/A</v>
      </c>
      <c r="BM143" s="14" t="e">
        <v>#N/A</v>
      </c>
      <c r="BN143" s="14" t="e">
        <v>#N/A</v>
      </c>
      <c r="BO143" s="14" t="e">
        <v>#N/A</v>
      </c>
      <c r="BP143" s="182" t="e">
        <v>#N/A</v>
      </c>
      <c r="BQ143" s="183" t="e">
        <v>#N/A</v>
      </c>
    </row>
    <row r="144" spans="2:69" x14ac:dyDescent="0.35">
      <c r="B144" s="11">
        <v>125</v>
      </c>
      <c r="C144" s="4" t="str">
        <v>Product 3</v>
      </c>
      <c r="D144" s="94">
        <v>93.000906804104702</v>
      </c>
      <c r="E144" s="94">
        <v>92.695035460992912</v>
      </c>
      <c r="F144" s="94">
        <v>101.48952527565088</v>
      </c>
      <c r="G144" s="94">
        <v>98.857468983387008</v>
      </c>
      <c r="H144" s="4">
        <v>325.58049645390071</v>
      </c>
      <c r="I144" s="174">
        <v>117.57797342724507</v>
      </c>
      <c r="J144" s="95">
        <v>34.287084755594229</v>
      </c>
      <c r="K144" s="4">
        <v>390.69659574468085</v>
      </c>
      <c r="L144" s="11">
        <v>12</v>
      </c>
      <c r="M144" s="4">
        <v>0</v>
      </c>
      <c r="N144" s="11">
        <v>0</v>
      </c>
      <c r="O144" s="11">
        <v>29</v>
      </c>
      <c r="P144" s="137">
        <v>41687</v>
      </c>
      <c r="Q144" s="11">
        <v>113</v>
      </c>
      <c r="R144" s="95">
        <f>CHOOSE($D$4,D144,E144,F144,G144,H144,I144,J144,K144,L144,M144,N144,O144,P144,101-B144)+0.000001*ROWS($A$20:A144)</f>
        <v>98.857593983387005</v>
      </c>
      <c r="S144" s="4">
        <f t="shared" si="33"/>
        <v>93</v>
      </c>
      <c r="T144" s="4"/>
      <c r="U144" s="14">
        <f>ROWS($U$20:U144)</f>
        <v>125</v>
      </c>
      <c r="V144" s="4">
        <v>88</v>
      </c>
      <c r="W144" s="4" t="str">
        <v>Product 2</v>
      </c>
      <c r="X144" s="94">
        <v>88.516402116402119</v>
      </c>
      <c r="Y144" s="94">
        <v>92.5</v>
      </c>
      <c r="Z144" s="94">
        <v>97.032842366175714</v>
      </c>
      <c r="AA144" s="94">
        <v>98.619606887621259</v>
      </c>
      <c r="AB144" s="4">
        <v>242.33952380952383</v>
      </c>
      <c r="AC144" s="94">
        <v>102.88865301996462</v>
      </c>
      <c r="AD144" s="94">
        <v>0</v>
      </c>
      <c r="AE144" s="4">
        <v>290.8074285714286</v>
      </c>
      <c r="AF144" s="4">
        <v>12</v>
      </c>
      <c r="AG144" s="4">
        <v>0</v>
      </c>
      <c r="AH144" s="4">
        <v>0</v>
      </c>
      <c r="AI144" s="4">
        <v>24</v>
      </c>
      <c r="AJ144" s="139">
        <v>41668</v>
      </c>
      <c r="AK144" s="94">
        <v>93</v>
      </c>
      <c r="AL144" s="162">
        <v>87.317999999999998</v>
      </c>
      <c r="AM144" s="162">
        <v>90</v>
      </c>
      <c r="AN144" s="162">
        <v>98</v>
      </c>
      <c r="AO144" s="162">
        <v>99</v>
      </c>
      <c r="AP144" s="17">
        <v>270</v>
      </c>
      <c r="AQ144" s="162">
        <v>0</v>
      </c>
      <c r="AR144" s="162">
        <v>40</v>
      </c>
      <c r="AS144" s="17">
        <v>324</v>
      </c>
      <c r="AT144" s="17">
        <v>12</v>
      </c>
      <c r="AU144" s="17">
        <v>0</v>
      </c>
      <c r="AV144" s="17">
        <v>0</v>
      </c>
      <c r="AW144" s="17">
        <v>20</v>
      </c>
      <c r="AX144" s="4">
        <v>97.032842366175714</v>
      </c>
      <c r="AY144" s="4">
        <v>92.5</v>
      </c>
      <c r="BD144" s="159">
        <v>88.516402116402119</v>
      </c>
      <c r="BE144" s="159">
        <v>92.5</v>
      </c>
      <c r="BF144" s="159">
        <v>97.032842366175714</v>
      </c>
      <c r="BG144" s="159">
        <v>98.619606887621259</v>
      </c>
      <c r="BH144" s="14">
        <v>242.33952380952383</v>
      </c>
      <c r="BI144" s="159">
        <v>102.88865301996462</v>
      </c>
      <c r="BJ144" s="159">
        <v>0</v>
      </c>
      <c r="BK144" s="14">
        <v>290.8074285714286</v>
      </c>
      <c r="BL144" s="14">
        <v>12</v>
      </c>
      <c r="BM144" s="14">
        <v>0</v>
      </c>
      <c r="BN144" s="14">
        <v>0</v>
      </c>
      <c r="BO144" s="14">
        <v>24</v>
      </c>
      <c r="BP144" s="182">
        <v>41668</v>
      </c>
      <c r="BQ144" s="183">
        <v>93</v>
      </c>
    </row>
    <row r="145" spans="2:69" x14ac:dyDescent="0.35">
      <c r="B145" s="11">
        <v>126</v>
      </c>
      <c r="C145" s="4" t="str">
        <v>Product 3</v>
      </c>
      <c r="D145" s="94">
        <v>96.88650357210345</v>
      </c>
      <c r="E145" s="94">
        <v>97.09794437726724</v>
      </c>
      <c r="F145" s="94">
        <v>100.30400085880693</v>
      </c>
      <c r="G145" s="94">
        <v>99.479820161273693</v>
      </c>
      <c r="H145" s="4">
        <v>337.06136638452239</v>
      </c>
      <c r="I145" s="174">
        <v>121.20977245154864</v>
      </c>
      <c r="J145" s="95">
        <v>12.335918574299075</v>
      </c>
      <c r="K145" s="4">
        <v>404.47363966142689</v>
      </c>
      <c r="L145" s="11">
        <v>12</v>
      </c>
      <c r="M145" s="4">
        <v>0</v>
      </c>
      <c r="N145" s="11">
        <v>0</v>
      </c>
      <c r="O145" s="11">
        <v>28</v>
      </c>
      <c r="P145" s="137">
        <v>41688</v>
      </c>
      <c r="Q145" s="11">
        <v>77</v>
      </c>
      <c r="R145" s="95">
        <f>CHOOSE($D$4,D145,E145,F145,G145,H145,I145,J145,K145,L145,M145,N145,O145,P145,101-B145)+0.000001*ROWS($A$20:A145)</f>
        <v>99.479946161273688</v>
      </c>
      <c r="S145" s="4">
        <f t="shared" si="33"/>
        <v>30</v>
      </c>
      <c r="T145" s="4"/>
      <c r="U145" s="14">
        <f>ROWS($U$20:U145)</f>
        <v>126</v>
      </c>
      <c r="V145" s="4">
        <v>146</v>
      </c>
      <c r="W145" s="4" t="str">
        <v>Product 12</v>
      </c>
      <c r="X145" s="94">
        <v>59.500000000000007</v>
      </c>
      <c r="Y145" s="94">
        <v>87.500000000000014</v>
      </c>
      <c r="Z145" s="94">
        <v>68.955687830687822</v>
      </c>
      <c r="AA145" s="94">
        <v>98.61405511169086</v>
      </c>
      <c r="AB145" s="4">
        <v>162.90781250000001</v>
      </c>
      <c r="AC145" s="94">
        <v>102.15677475362483</v>
      </c>
      <c r="AD145" s="94">
        <v>82.313470205307965</v>
      </c>
      <c r="AE145" s="4">
        <v>195.48937500000002</v>
      </c>
      <c r="AF145" s="4">
        <v>12</v>
      </c>
      <c r="AG145" s="4">
        <v>0</v>
      </c>
      <c r="AH145" s="4">
        <v>0</v>
      </c>
      <c r="AI145" s="4">
        <v>14</v>
      </c>
      <c r="AJ145" s="139">
        <v>41696</v>
      </c>
      <c r="AK145" s="94">
        <v>61</v>
      </c>
      <c r="AL145" s="162">
        <v>86.87700000000001</v>
      </c>
      <c r="AM145" s="162">
        <v>90</v>
      </c>
      <c r="AN145" s="162">
        <v>98</v>
      </c>
      <c r="AO145" s="162">
        <v>98.5</v>
      </c>
      <c r="AP145" s="17">
        <v>270</v>
      </c>
      <c r="AQ145" s="162">
        <v>0</v>
      </c>
      <c r="AR145" s="162">
        <v>40</v>
      </c>
      <c r="AS145" s="17">
        <v>324</v>
      </c>
      <c r="AT145" s="17">
        <v>12</v>
      </c>
      <c r="AU145" s="17">
        <v>0</v>
      </c>
      <c r="AV145" s="17">
        <v>0</v>
      </c>
      <c r="AW145" s="17">
        <v>20</v>
      </c>
      <c r="AX145" s="4">
        <v>68.955687830687822</v>
      </c>
      <c r="AY145" s="4">
        <v>87.500000000000014</v>
      </c>
      <c r="BD145" s="159" t="e">
        <v>#N/A</v>
      </c>
      <c r="BE145" s="159" t="e">
        <v>#N/A</v>
      </c>
      <c r="BF145" s="159" t="e">
        <v>#N/A</v>
      </c>
      <c r="BG145" s="159" t="e">
        <v>#N/A</v>
      </c>
      <c r="BH145" s="14" t="e">
        <v>#N/A</v>
      </c>
      <c r="BI145" s="159" t="e">
        <v>#N/A</v>
      </c>
      <c r="BJ145" s="159" t="e">
        <v>#N/A</v>
      </c>
      <c r="BK145" s="14" t="e">
        <v>#N/A</v>
      </c>
      <c r="BL145" s="14" t="e">
        <v>#N/A</v>
      </c>
      <c r="BM145" s="14" t="e">
        <v>#N/A</v>
      </c>
      <c r="BN145" s="14" t="e">
        <v>#N/A</v>
      </c>
      <c r="BO145" s="14" t="e">
        <v>#N/A</v>
      </c>
      <c r="BP145" s="182" t="e">
        <v>#N/A</v>
      </c>
      <c r="BQ145" s="183" t="e">
        <v>#N/A</v>
      </c>
    </row>
    <row r="146" spans="2:69" x14ac:dyDescent="0.35">
      <c r="B146" s="11">
        <v>127</v>
      </c>
      <c r="C146" s="4" t="str">
        <v>Product 3</v>
      </c>
      <c r="D146" s="94">
        <v>87.127989577802168</v>
      </c>
      <c r="E146" s="94">
        <v>86.102062975027167</v>
      </c>
      <c r="F146" s="94">
        <v>104.49092088886349</v>
      </c>
      <c r="G146" s="94">
        <v>96.842407908940004</v>
      </c>
      <c r="H146" s="4">
        <v>311.36715526601523</v>
      </c>
      <c r="I146" s="174">
        <v>116.76268322475572</v>
      </c>
      <c r="J146" s="95">
        <v>16.083517292126565</v>
      </c>
      <c r="K146" s="4">
        <v>373.6405863192183</v>
      </c>
      <c r="L146" s="11">
        <v>12</v>
      </c>
      <c r="M146" s="4">
        <v>0</v>
      </c>
      <c r="N146" s="11">
        <v>0</v>
      </c>
      <c r="O146" s="11">
        <v>20</v>
      </c>
      <c r="P146" s="137">
        <v>41688</v>
      </c>
      <c r="Q146" s="11">
        <v>104</v>
      </c>
      <c r="R146" s="95">
        <f>CHOOSE($D$4,D146,E146,F146,G146,H146,I146,J146,K146,L146,M146,N146,O146,P146,101-B146)+0.000001*ROWS($A$20:A146)</f>
        <v>96.84253490894001</v>
      </c>
      <c r="S146" s="4">
        <f t="shared" si="33"/>
        <v>228</v>
      </c>
      <c r="T146" s="4"/>
      <c r="U146" s="14">
        <f>ROWS($U$20:U146)</f>
        <v>127</v>
      </c>
      <c r="V146" s="4">
        <v>173</v>
      </c>
      <c r="W146" s="4" t="str">
        <v>Product 3</v>
      </c>
      <c r="X146" s="94">
        <v>97.482623418285513</v>
      </c>
      <c r="Y146" s="94">
        <v>96.451612903225808</v>
      </c>
      <c r="Z146" s="94">
        <v>102.51174880048288</v>
      </c>
      <c r="AA146" s="94">
        <v>98.592543635653556</v>
      </c>
      <c r="AB146" s="4">
        <v>357.92473118279571</v>
      </c>
      <c r="AC146" s="94">
        <v>180.83586403220463</v>
      </c>
      <c r="AD146" s="94">
        <v>0</v>
      </c>
      <c r="AE146" s="4">
        <v>429.50967741935483</v>
      </c>
      <c r="AF146" s="4">
        <v>12</v>
      </c>
      <c r="AG146" s="4">
        <v>0</v>
      </c>
      <c r="AH146" s="4">
        <v>0</v>
      </c>
      <c r="AI146" s="4">
        <v>30</v>
      </c>
      <c r="AJ146" s="139">
        <v>41705</v>
      </c>
      <c r="AK146" s="94">
        <v>71</v>
      </c>
      <c r="AL146" s="162">
        <v>87.494399999999999</v>
      </c>
      <c r="AM146" s="162">
        <v>90</v>
      </c>
      <c r="AN146" s="162">
        <v>98</v>
      </c>
      <c r="AO146" s="162">
        <v>99.2</v>
      </c>
      <c r="AP146" s="17">
        <v>362</v>
      </c>
      <c r="AQ146" s="162">
        <v>0</v>
      </c>
      <c r="AR146" s="162">
        <v>40</v>
      </c>
      <c r="AS146" s="17">
        <v>434.4</v>
      </c>
      <c r="AT146" s="17">
        <v>12</v>
      </c>
      <c r="AU146" s="17">
        <v>0</v>
      </c>
      <c r="AV146" s="17">
        <v>0</v>
      </c>
      <c r="AW146" s="17">
        <v>20</v>
      </c>
      <c r="AX146" s="4">
        <v>102.51174880048288</v>
      </c>
      <c r="AY146" s="4">
        <v>96.451612903225808</v>
      </c>
      <c r="BD146" s="159" t="e">
        <v>#N/A</v>
      </c>
      <c r="BE146" s="159" t="e">
        <v>#N/A</v>
      </c>
      <c r="BF146" s="159" t="e">
        <v>#N/A</v>
      </c>
      <c r="BG146" s="159" t="e">
        <v>#N/A</v>
      </c>
      <c r="BH146" s="14" t="e">
        <v>#N/A</v>
      </c>
      <c r="BI146" s="159" t="e">
        <v>#N/A</v>
      </c>
      <c r="BJ146" s="159" t="e">
        <v>#N/A</v>
      </c>
      <c r="BK146" s="14" t="e">
        <v>#N/A</v>
      </c>
      <c r="BL146" s="14" t="e">
        <v>#N/A</v>
      </c>
      <c r="BM146" s="14" t="e">
        <v>#N/A</v>
      </c>
      <c r="BN146" s="14" t="e">
        <v>#N/A</v>
      </c>
      <c r="BO146" s="14" t="e">
        <v>#N/A</v>
      </c>
      <c r="BP146" s="182" t="e">
        <v>#N/A</v>
      </c>
      <c r="BQ146" s="183" t="e">
        <v>#N/A</v>
      </c>
    </row>
    <row r="147" spans="2:69" x14ac:dyDescent="0.35">
      <c r="B147" s="11">
        <v>128</v>
      </c>
      <c r="C147" s="4" t="str">
        <v>Product 4</v>
      </c>
      <c r="D147" s="94">
        <v>78.369639210347174</v>
      </c>
      <c r="E147" s="94">
        <v>86.194690265486742</v>
      </c>
      <c r="F147" s="94">
        <v>91.508055599431358</v>
      </c>
      <c r="G147" s="94">
        <v>99.359181824066283</v>
      </c>
      <c r="H147" s="4">
        <v>205.07522123893804</v>
      </c>
      <c r="I147" s="174">
        <v>90.081632653061234</v>
      </c>
      <c r="J147" s="95">
        <v>0</v>
      </c>
      <c r="K147" s="4">
        <v>246.09026548672568</v>
      </c>
      <c r="L147" s="11">
        <v>12</v>
      </c>
      <c r="M147" s="4">
        <v>0</v>
      </c>
      <c r="N147" s="11">
        <v>0</v>
      </c>
      <c r="O147" s="11">
        <v>24</v>
      </c>
      <c r="P147" s="137">
        <v>41689</v>
      </c>
      <c r="Q147" s="11">
        <v>115</v>
      </c>
      <c r="R147" s="95">
        <f>CHOOSE($D$4,D147,E147,F147,G147,H147,I147,J147,K147,L147,M147,N147,O147,P147,101-B147)+0.000001*ROWS($A$20:A147)</f>
        <v>99.359309824066287</v>
      </c>
      <c r="S147" s="4">
        <f t="shared" si="33"/>
        <v>39</v>
      </c>
      <c r="T147" s="4"/>
      <c r="U147" s="14">
        <f>ROWS($U$20:U147)</f>
        <v>128</v>
      </c>
      <c r="V147" s="4">
        <v>15</v>
      </c>
      <c r="W147" s="4" t="str">
        <v>Product 3</v>
      </c>
      <c r="X147" s="94">
        <v>98.674968181349115</v>
      </c>
      <c r="Y147" s="94">
        <v>98.888888888888886</v>
      </c>
      <c r="Z147" s="94">
        <v>101.21334091389582</v>
      </c>
      <c r="AA147" s="94">
        <v>98.58747353660884</v>
      </c>
      <c r="AB147" s="4">
        <v>346.39047619047619</v>
      </c>
      <c r="AC147" s="94">
        <v>114.12001568832525</v>
      </c>
      <c r="AD147" s="94">
        <v>41.661731892537205</v>
      </c>
      <c r="AE147" s="4">
        <v>415.66857142857145</v>
      </c>
      <c r="AF147" s="4">
        <v>12</v>
      </c>
      <c r="AG147" s="4">
        <v>0</v>
      </c>
      <c r="AH147" s="4">
        <v>0</v>
      </c>
      <c r="AI147" s="4">
        <v>15</v>
      </c>
      <c r="AJ147" s="139">
        <v>41645</v>
      </c>
      <c r="AK147" s="94">
        <v>108</v>
      </c>
      <c r="AL147" s="162">
        <v>87.494399999999999</v>
      </c>
      <c r="AM147" s="162">
        <v>90</v>
      </c>
      <c r="AN147" s="162">
        <v>98</v>
      </c>
      <c r="AO147" s="162">
        <v>99.2</v>
      </c>
      <c r="AP147" s="17">
        <v>346.08333333333331</v>
      </c>
      <c r="AQ147" s="162">
        <v>0</v>
      </c>
      <c r="AR147" s="162">
        <v>40</v>
      </c>
      <c r="AS147" s="17">
        <v>415.3</v>
      </c>
      <c r="AT147" s="17">
        <v>12</v>
      </c>
      <c r="AU147" s="17">
        <v>0</v>
      </c>
      <c r="AV147" s="17">
        <v>0</v>
      </c>
      <c r="AW147" s="17">
        <v>20</v>
      </c>
      <c r="AX147" s="4">
        <v>101.21334091389582</v>
      </c>
      <c r="AY147" s="4">
        <v>98.888888888888886</v>
      </c>
      <c r="BD147" s="159" t="e">
        <v>#N/A</v>
      </c>
      <c r="BE147" s="159" t="e">
        <v>#N/A</v>
      </c>
      <c r="BF147" s="159" t="e">
        <v>#N/A</v>
      </c>
      <c r="BG147" s="159" t="e">
        <v>#N/A</v>
      </c>
      <c r="BH147" s="14" t="e">
        <v>#N/A</v>
      </c>
      <c r="BI147" s="159" t="e">
        <v>#N/A</v>
      </c>
      <c r="BJ147" s="159" t="e">
        <v>#N/A</v>
      </c>
      <c r="BK147" s="14" t="e">
        <v>#N/A</v>
      </c>
      <c r="BL147" s="14" t="e">
        <v>#N/A</v>
      </c>
      <c r="BM147" s="14" t="e">
        <v>#N/A</v>
      </c>
      <c r="BN147" s="14" t="e">
        <v>#N/A</v>
      </c>
      <c r="BO147" s="14" t="e">
        <v>#N/A</v>
      </c>
      <c r="BP147" s="182" t="e">
        <v>#N/A</v>
      </c>
      <c r="BQ147" s="183" t="e">
        <v>#N/A</v>
      </c>
    </row>
    <row r="148" spans="2:69" x14ac:dyDescent="0.35">
      <c r="B148" s="11">
        <v>129</v>
      </c>
      <c r="C148" s="4" t="str">
        <v>Product 2</v>
      </c>
      <c r="D148" s="94">
        <v>85.52188663801924</v>
      </c>
      <c r="E148" s="94">
        <v>86.408839779005518</v>
      </c>
      <c r="F148" s="94">
        <v>100.3221701240883</v>
      </c>
      <c r="G148" s="94">
        <v>98.655699694028272</v>
      </c>
      <c r="H148" s="4">
        <v>234.05550276243096</v>
      </c>
      <c r="I148" s="174">
        <v>98.219526105907448</v>
      </c>
      <c r="J148" s="95">
        <v>49.563318777292572</v>
      </c>
      <c r="K148" s="4">
        <v>280.86660331491714</v>
      </c>
      <c r="L148" s="11">
        <v>12</v>
      </c>
      <c r="M148" s="4">
        <v>0</v>
      </c>
      <c r="N148" s="11">
        <v>0</v>
      </c>
      <c r="O148" s="11">
        <v>24</v>
      </c>
      <c r="P148" s="137">
        <v>41689</v>
      </c>
      <c r="Q148" s="11">
        <v>66</v>
      </c>
      <c r="R148" s="95">
        <f>CHOOSE($D$4,D148,E148,F148,G148,H148,I148,J148,K148,L148,M148,N148,O148,P148,101-B148)+0.000001*ROWS($A$20:A148)</f>
        <v>98.655828694028273</v>
      </c>
      <c r="S148" s="4">
        <f t="shared" ref="S148:S211" si="34">RANK(R148,$R$20:$R$379)</f>
        <v>119</v>
      </c>
      <c r="T148" s="4"/>
      <c r="U148" s="14">
        <f>ROWS($U$20:U148)</f>
        <v>129</v>
      </c>
      <c r="V148" s="4">
        <v>239</v>
      </c>
      <c r="W148" s="4" t="str">
        <v>Product 4</v>
      </c>
      <c r="X148" s="94">
        <v>63.360323886639677</v>
      </c>
      <c r="Y148" s="94">
        <v>78.596491228070178</v>
      </c>
      <c r="Z148" s="94">
        <v>81.77584134615384</v>
      </c>
      <c r="AA148" s="94">
        <v>98.580089761423579</v>
      </c>
      <c r="AB148" s="4">
        <v>167.10964912280701</v>
      </c>
      <c r="AC148" s="94">
        <v>158.73432487605717</v>
      </c>
      <c r="AD148" s="94">
        <v>0</v>
      </c>
      <c r="AE148" s="4">
        <v>200.53157894736842</v>
      </c>
      <c r="AF148" s="4">
        <v>12</v>
      </c>
      <c r="AG148" s="4">
        <v>0</v>
      </c>
      <c r="AH148" s="4">
        <v>0</v>
      </c>
      <c r="AI148" s="4">
        <v>21</v>
      </c>
      <c r="AJ148" s="139">
        <v>41729</v>
      </c>
      <c r="AK148" s="94">
        <v>62</v>
      </c>
      <c r="AL148" s="162">
        <v>87.097500000000011</v>
      </c>
      <c r="AM148" s="162">
        <v>90</v>
      </c>
      <c r="AN148" s="162">
        <v>98</v>
      </c>
      <c r="AO148" s="162">
        <v>98.75</v>
      </c>
      <c r="AP148" s="17">
        <v>260</v>
      </c>
      <c r="AQ148" s="162">
        <v>0</v>
      </c>
      <c r="AR148" s="162">
        <v>40</v>
      </c>
      <c r="AS148" s="17">
        <v>312</v>
      </c>
      <c r="AT148" s="17">
        <v>12</v>
      </c>
      <c r="AU148" s="17">
        <v>0</v>
      </c>
      <c r="AV148" s="17">
        <v>0</v>
      </c>
      <c r="AW148" s="17">
        <v>20</v>
      </c>
      <c r="AX148" s="4">
        <v>81.77584134615384</v>
      </c>
      <c r="AY148" s="4">
        <v>78.596491228070178</v>
      </c>
      <c r="BD148" s="159" t="e">
        <v>#N/A</v>
      </c>
      <c r="BE148" s="159" t="e">
        <v>#N/A</v>
      </c>
      <c r="BF148" s="159" t="e">
        <v>#N/A</v>
      </c>
      <c r="BG148" s="159" t="e">
        <v>#N/A</v>
      </c>
      <c r="BH148" s="14" t="e">
        <v>#N/A</v>
      </c>
      <c r="BI148" s="159" t="e">
        <v>#N/A</v>
      </c>
      <c r="BJ148" s="159" t="e">
        <v>#N/A</v>
      </c>
      <c r="BK148" s="14" t="e">
        <v>#N/A</v>
      </c>
      <c r="BL148" s="14" t="e">
        <v>#N/A</v>
      </c>
      <c r="BM148" s="14" t="e">
        <v>#N/A</v>
      </c>
      <c r="BN148" s="14" t="e">
        <v>#N/A</v>
      </c>
      <c r="BO148" s="14" t="e">
        <v>#N/A</v>
      </c>
      <c r="BP148" s="182" t="e">
        <v>#N/A</v>
      </c>
      <c r="BQ148" s="183" t="e">
        <v>#N/A</v>
      </c>
    </row>
    <row r="149" spans="2:69" x14ac:dyDescent="0.35">
      <c r="B149" s="11">
        <v>130</v>
      </c>
      <c r="C149" s="4" t="str">
        <v>Product 2</v>
      </c>
      <c r="D149" s="94">
        <v>96.599564270152513</v>
      </c>
      <c r="E149" s="94">
        <v>98.039215686274517</v>
      </c>
      <c r="F149" s="94">
        <v>99.972296296296292</v>
      </c>
      <c r="G149" s="94">
        <v>98.558860010106514</v>
      </c>
      <c r="H149" s="4">
        <v>264.63254901960784</v>
      </c>
      <c r="I149" s="174">
        <v>109.06950056570228</v>
      </c>
      <c r="J149" s="95">
        <v>0</v>
      </c>
      <c r="K149" s="4">
        <v>317.55905882352943</v>
      </c>
      <c r="L149" s="11">
        <v>12</v>
      </c>
      <c r="M149" s="4">
        <v>0</v>
      </c>
      <c r="N149" s="11">
        <v>0</v>
      </c>
      <c r="O149" s="11">
        <v>18</v>
      </c>
      <c r="P149" s="137">
        <v>41660</v>
      </c>
      <c r="Q149" s="11">
        <v>128</v>
      </c>
      <c r="R149" s="95">
        <f>CHOOSE($D$4,D149,E149,F149,G149,H149,I149,J149,K149,L149,M149,N149,O149,P149,101-B149)+0.000001*ROWS($A$20:A149)</f>
        <v>98.558990010106513</v>
      </c>
      <c r="S149" s="4">
        <f t="shared" si="34"/>
        <v>135</v>
      </c>
      <c r="T149" s="4"/>
      <c r="U149" s="14">
        <f>ROWS($U$20:U149)</f>
        <v>130</v>
      </c>
      <c r="V149" s="4">
        <v>3</v>
      </c>
      <c r="W149" s="4" t="str">
        <v>Product 3</v>
      </c>
      <c r="X149" s="94">
        <v>86.117196479925866</v>
      </c>
      <c r="Y149" s="94">
        <v>86.037735849056602</v>
      </c>
      <c r="Z149" s="94">
        <v>101.5339260141686</v>
      </c>
      <c r="AA149" s="94">
        <v>98.580208100926924</v>
      </c>
      <c r="AB149" s="4">
        <v>302.32971698113209</v>
      </c>
      <c r="AC149" s="94">
        <v>135.91828858135304</v>
      </c>
      <c r="AD149" s="94">
        <v>35.268844785020356</v>
      </c>
      <c r="AE149" s="4">
        <v>362.7956603773585</v>
      </c>
      <c r="AF149" s="4">
        <v>12</v>
      </c>
      <c r="AG149" s="4">
        <v>0</v>
      </c>
      <c r="AH149" s="4">
        <v>0</v>
      </c>
      <c r="AI149" s="4">
        <v>28</v>
      </c>
      <c r="AJ149" s="139">
        <v>41641</v>
      </c>
      <c r="AK149" s="94">
        <v>106</v>
      </c>
      <c r="AL149" s="162">
        <v>87.494399999999999</v>
      </c>
      <c r="AM149" s="162">
        <v>90</v>
      </c>
      <c r="AN149" s="162">
        <v>98</v>
      </c>
      <c r="AO149" s="162">
        <v>99.2</v>
      </c>
      <c r="AP149" s="17">
        <v>346.08333333333331</v>
      </c>
      <c r="AQ149" s="162">
        <v>0</v>
      </c>
      <c r="AR149" s="162">
        <v>40</v>
      </c>
      <c r="AS149" s="17">
        <v>415.3</v>
      </c>
      <c r="AT149" s="17">
        <v>12</v>
      </c>
      <c r="AU149" s="17">
        <v>0</v>
      </c>
      <c r="AV149" s="17">
        <v>0</v>
      </c>
      <c r="AW149" s="17">
        <v>20</v>
      </c>
      <c r="AX149" s="4">
        <v>101.5339260141686</v>
      </c>
      <c r="AY149" s="4">
        <v>86.037735849056602</v>
      </c>
      <c r="BD149" s="159" t="e">
        <v>#N/A</v>
      </c>
      <c r="BE149" s="159" t="e">
        <v>#N/A</v>
      </c>
      <c r="BF149" s="159" t="e">
        <v>#N/A</v>
      </c>
      <c r="BG149" s="159" t="e">
        <v>#N/A</v>
      </c>
      <c r="BH149" s="14" t="e">
        <v>#N/A</v>
      </c>
      <c r="BI149" s="159" t="e">
        <v>#N/A</v>
      </c>
      <c r="BJ149" s="159" t="e">
        <v>#N/A</v>
      </c>
      <c r="BK149" s="14" t="e">
        <v>#N/A</v>
      </c>
      <c r="BL149" s="14" t="e">
        <v>#N/A</v>
      </c>
      <c r="BM149" s="14" t="e">
        <v>#N/A</v>
      </c>
      <c r="BN149" s="14" t="e">
        <v>#N/A</v>
      </c>
      <c r="BO149" s="14" t="e">
        <v>#N/A</v>
      </c>
      <c r="BP149" s="182" t="e">
        <v>#N/A</v>
      </c>
      <c r="BQ149" s="183" t="e">
        <v>#N/A</v>
      </c>
    </row>
    <row r="150" spans="2:69" x14ac:dyDescent="0.35">
      <c r="B150" s="11">
        <v>131</v>
      </c>
      <c r="C150" s="4" t="str">
        <v>Product 3</v>
      </c>
      <c r="D150" s="94">
        <v>91.227394820528573</v>
      </c>
      <c r="E150" s="94">
        <v>93.390804597701162</v>
      </c>
      <c r="F150" s="94">
        <v>98.530326548000502</v>
      </c>
      <c r="G150" s="94">
        <v>99.140529418087667</v>
      </c>
      <c r="H150" s="4">
        <v>318.45987787356324</v>
      </c>
      <c r="I150" s="174">
        <v>117.09893003984777</v>
      </c>
      <c r="J150" s="95">
        <v>17.876749851386478</v>
      </c>
      <c r="K150" s="4">
        <v>382.15185344827586</v>
      </c>
      <c r="L150" s="11">
        <v>12</v>
      </c>
      <c r="M150" s="4">
        <v>0</v>
      </c>
      <c r="N150" s="11">
        <v>0</v>
      </c>
      <c r="O150" s="11">
        <v>21</v>
      </c>
      <c r="P150" s="137">
        <v>41689</v>
      </c>
      <c r="Q150" s="11">
        <v>104</v>
      </c>
      <c r="R150" s="95">
        <f>CHOOSE($D$4,D150,E150,F150,G150,H150,I150,J150,K150,L150,M150,N150,O150,P150,101-B150)+0.000001*ROWS($A$20:A150)</f>
        <v>99.140660418087663</v>
      </c>
      <c r="S150" s="4">
        <f t="shared" si="34"/>
        <v>59</v>
      </c>
      <c r="T150" s="4"/>
      <c r="U150" s="14">
        <f>ROWS($U$20:U150)</f>
        <v>131</v>
      </c>
      <c r="V150" s="4">
        <v>50</v>
      </c>
      <c r="W150" s="4" t="str">
        <v>Product 3</v>
      </c>
      <c r="X150" s="94">
        <v>98.201618880426722</v>
      </c>
      <c r="Y150" s="94">
        <v>93.709327548806925</v>
      </c>
      <c r="Z150" s="94">
        <v>106.30882628354337</v>
      </c>
      <c r="AA150" s="94">
        <v>98.574935730545192</v>
      </c>
      <c r="AB150" s="4">
        <v>344.77266811279827</v>
      </c>
      <c r="AC150" s="94">
        <v>123.36294381769565</v>
      </c>
      <c r="AD150" s="94">
        <v>41.741285313067898</v>
      </c>
      <c r="AE150" s="4">
        <v>413.72720173535788</v>
      </c>
      <c r="AF150" s="4">
        <v>12</v>
      </c>
      <c r="AG150" s="4">
        <v>0</v>
      </c>
      <c r="AH150" s="4">
        <v>0</v>
      </c>
      <c r="AI150" s="4">
        <v>22</v>
      </c>
      <c r="AJ150" s="139">
        <v>41655</v>
      </c>
      <c r="AK150" s="94">
        <v>114</v>
      </c>
      <c r="AL150" s="162">
        <v>87.494399999999999</v>
      </c>
      <c r="AM150" s="162">
        <v>90</v>
      </c>
      <c r="AN150" s="162">
        <v>98</v>
      </c>
      <c r="AO150" s="162">
        <v>99.2</v>
      </c>
      <c r="AP150" s="17">
        <v>346.08333333333331</v>
      </c>
      <c r="AQ150" s="162">
        <v>0</v>
      </c>
      <c r="AR150" s="162">
        <v>40</v>
      </c>
      <c r="AS150" s="17">
        <v>415.3</v>
      </c>
      <c r="AT150" s="17">
        <v>12</v>
      </c>
      <c r="AU150" s="17">
        <v>0</v>
      </c>
      <c r="AV150" s="17">
        <v>0</v>
      </c>
      <c r="AW150" s="17">
        <v>20</v>
      </c>
      <c r="AX150" s="4">
        <v>106.30882628354337</v>
      </c>
      <c r="AY150" s="4">
        <v>93.709327548806925</v>
      </c>
      <c r="BD150" s="159" t="e">
        <v>#N/A</v>
      </c>
      <c r="BE150" s="159" t="e">
        <v>#N/A</v>
      </c>
      <c r="BF150" s="159" t="e">
        <v>#N/A</v>
      </c>
      <c r="BG150" s="159" t="e">
        <v>#N/A</v>
      </c>
      <c r="BH150" s="14" t="e">
        <v>#N/A</v>
      </c>
      <c r="BI150" s="159" t="e">
        <v>#N/A</v>
      </c>
      <c r="BJ150" s="159" t="e">
        <v>#N/A</v>
      </c>
      <c r="BK150" s="14" t="e">
        <v>#N/A</v>
      </c>
      <c r="BL150" s="14" t="e">
        <v>#N/A</v>
      </c>
      <c r="BM150" s="14" t="e">
        <v>#N/A</v>
      </c>
      <c r="BN150" s="14" t="e">
        <v>#N/A</v>
      </c>
      <c r="BO150" s="14" t="e">
        <v>#N/A</v>
      </c>
      <c r="BP150" s="182" t="e">
        <v>#N/A</v>
      </c>
      <c r="BQ150" s="183" t="e">
        <v>#N/A</v>
      </c>
    </row>
    <row r="151" spans="2:69" x14ac:dyDescent="0.35">
      <c r="B151" s="11">
        <v>132</v>
      </c>
      <c r="C151" s="4" t="str">
        <v>Product 23</v>
      </c>
      <c r="D151" s="94">
        <v>111.00628930817614</v>
      </c>
      <c r="E151" s="94">
        <v>88.836477987421375</v>
      </c>
      <c r="F151" s="94">
        <v>126.94501172377282</v>
      </c>
      <c r="G151" s="94">
        <v>98.432975440018112</v>
      </c>
      <c r="H151" s="4">
        <v>263.8899371069183</v>
      </c>
      <c r="I151" s="174">
        <v>107.11042328126746</v>
      </c>
      <c r="J151" s="95">
        <v>0</v>
      </c>
      <c r="K151" s="4">
        <v>316.66792452830191</v>
      </c>
      <c r="L151" s="11">
        <v>12</v>
      </c>
      <c r="M151" s="4">
        <v>0</v>
      </c>
      <c r="N151" s="11">
        <v>0</v>
      </c>
      <c r="O151" s="11">
        <v>24</v>
      </c>
      <c r="P151" s="137">
        <v>41690</v>
      </c>
      <c r="Q151" s="11">
        <v>41</v>
      </c>
      <c r="R151" s="95">
        <f>CHOOSE($D$4,D151,E151,F151,G151,H151,I151,J151,K151,L151,M151,N151,O151,P151,101-B151)+0.000001*ROWS($A$20:A151)</f>
        <v>98.433107440018105</v>
      </c>
      <c r="S151" s="4">
        <f t="shared" si="34"/>
        <v>152</v>
      </c>
      <c r="T151" s="4"/>
      <c r="U151" s="14">
        <f>ROWS($U$20:U151)</f>
        <v>132</v>
      </c>
      <c r="V151" s="4">
        <v>64</v>
      </c>
      <c r="W151" s="4" t="str">
        <v>Product 7</v>
      </c>
      <c r="X151" s="94">
        <v>90.734989648033121</v>
      </c>
      <c r="Y151" s="94">
        <v>79.347826086956545</v>
      </c>
      <c r="Z151" s="94">
        <v>116.00682422600228</v>
      </c>
      <c r="AA151" s="94">
        <v>98.572602621220639</v>
      </c>
      <c r="AB151" s="4">
        <v>215.39440993788821</v>
      </c>
      <c r="AC151" s="94">
        <v>107.49356808530423</v>
      </c>
      <c r="AD151" s="94">
        <v>0</v>
      </c>
      <c r="AE151" s="4">
        <v>258.47329192546584</v>
      </c>
      <c r="AF151" s="4">
        <v>12</v>
      </c>
      <c r="AG151" s="4">
        <v>0</v>
      </c>
      <c r="AH151" s="4">
        <v>0</v>
      </c>
      <c r="AI151" s="4">
        <v>23</v>
      </c>
      <c r="AJ151" s="139">
        <v>41660</v>
      </c>
      <c r="AK151" s="94">
        <v>121</v>
      </c>
      <c r="AL151" s="162">
        <v>86.87700000000001</v>
      </c>
      <c r="AM151" s="162">
        <v>90</v>
      </c>
      <c r="AN151" s="162">
        <v>98</v>
      </c>
      <c r="AO151" s="162">
        <v>98.5</v>
      </c>
      <c r="AP151" s="17">
        <v>234</v>
      </c>
      <c r="AQ151" s="162">
        <v>0</v>
      </c>
      <c r="AR151" s="162">
        <v>40</v>
      </c>
      <c r="AS151" s="17">
        <v>280.8</v>
      </c>
      <c r="AT151" s="17">
        <v>12</v>
      </c>
      <c r="AU151" s="17">
        <v>0</v>
      </c>
      <c r="AV151" s="17">
        <v>0</v>
      </c>
      <c r="AW151" s="17">
        <v>20</v>
      </c>
      <c r="AX151" s="4">
        <v>116.00682422600228</v>
      </c>
      <c r="AY151" s="4">
        <v>79.347826086956545</v>
      </c>
      <c r="BD151" s="159" t="e">
        <v>#N/A</v>
      </c>
      <c r="BE151" s="159" t="e">
        <v>#N/A</v>
      </c>
      <c r="BF151" s="159" t="e">
        <v>#N/A</v>
      </c>
      <c r="BG151" s="159" t="e">
        <v>#N/A</v>
      </c>
      <c r="BH151" s="14" t="e">
        <v>#N/A</v>
      </c>
      <c r="BI151" s="159" t="e">
        <v>#N/A</v>
      </c>
      <c r="BJ151" s="159" t="e">
        <v>#N/A</v>
      </c>
      <c r="BK151" s="14" t="e">
        <v>#N/A</v>
      </c>
      <c r="BL151" s="14" t="e">
        <v>#N/A</v>
      </c>
      <c r="BM151" s="14" t="e">
        <v>#N/A</v>
      </c>
      <c r="BN151" s="14" t="e">
        <v>#N/A</v>
      </c>
      <c r="BO151" s="14" t="e">
        <v>#N/A</v>
      </c>
      <c r="BP151" s="182" t="e">
        <v>#N/A</v>
      </c>
      <c r="BQ151" s="183" t="e">
        <v>#N/A</v>
      </c>
    </row>
    <row r="152" spans="2:69" x14ac:dyDescent="0.35">
      <c r="B152" s="11">
        <v>133</v>
      </c>
      <c r="C152" s="4" t="str">
        <v>Product 24</v>
      </c>
      <c r="D152" s="94">
        <v>45.014245014245013</v>
      </c>
      <c r="E152" s="94">
        <v>50.555555555555557</v>
      </c>
      <c r="F152" s="94">
        <v>94.733258194796662</v>
      </c>
      <c r="G152" s="94">
        <v>93.989341925889207</v>
      </c>
      <c r="H152" s="4">
        <v>112.06944444444444</v>
      </c>
      <c r="I152" s="174">
        <v>83.901759347835124</v>
      </c>
      <c r="J152" s="95">
        <v>48.894154818325433</v>
      </c>
      <c r="K152" s="4">
        <v>134.48333333333332</v>
      </c>
      <c r="L152" s="11">
        <v>12</v>
      </c>
      <c r="M152" s="4">
        <v>0</v>
      </c>
      <c r="N152" s="11">
        <v>0</v>
      </c>
      <c r="O152" s="11">
        <v>15</v>
      </c>
      <c r="P152" s="137">
        <v>41690</v>
      </c>
      <c r="Q152" s="11">
        <v>71</v>
      </c>
      <c r="R152" s="95">
        <f>CHOOSE($D$4,D152,E152,F152,G152,H152,I152,J152,K152,L152,M152,N152,O152,P152,101-B152)+0.000001*ROWS($A$20:A152)</f>
        <v>93.989474925889212</v>
      </c>
      <c r="S152" s="4">
        <f t="shared" si="34"/>
        <v>246</v>
      </c>
      <c r="T152" s="4"/>
      <c r="U152" s="14">
        <f>ROWS($U$20:U152)</f>
        <v>133</v>
      </c>
      <c r="V152" s="4">
        <v>111</v>
      </c>
      <c r="W152" s="4" t="str">
        <v>Product 2</v>
      </c>
      <c r="X152" s="94">
        <v>94.248238482384835</v>
      </c>
      <c r="Y152" s="94">
        <v>95.609756097560989</v>
      </c>
      <c r="Z152" s="94">
        <v>100.005007558579</v>
      </c>
      <c r="AA152" s="94">
        <v>98.571027716866027</v>
      </c>
      <c r="AB152" s="4">
        <v>258.15926829268295</v>
      </c>
      <c r="AC152" s="94">
        <v>102.49896503889275</v>
      </c>
      <c r="AD152" s="94">
        <v>0</v>
      </c>
      <c r="AE152" s="4">
        <v>309.79112195121957</v>
      </c>
      <c r="AF152" s="4">
        <v>12</v>
      </c>
      <c r="AG152" s="4">
        <v>0</v>
      </c>
      <c r="AH152" s="4">
        <v>0</v>
      </c>
      <c r="AI152" s="4">
        <v>15</v>
      </c>
      <c r="AJ152" s="139">
        <v>41680</v>
      </c>
      <c r="AK152" s="94">
        <v>116</v>
      </c>
      <c r="AL152" s="162">
        <v>87.317999999999998</v>
      </c>
      <c r="AM152" s="162">
        <v>90</v>
      </c>
      <c r="AN152" s="162">
        <v>98</v>
      </c>
      <c r="AO152" s="162">
        <v>99</v>
      </c>
      <c r="AP152" s="17">
        <v>270</v>
      </c>
      <c r="AQ152" s="162">
        <v>0</v>
      </c>
      <c r="AR152" s="162">
        <v>40</v>
      </c>
      <c r="AS152" s="17">
        <v>324</v>
      </c>
      <c r="AT152" s="17">
        <v>12</v>
      </c>
      <c r="AU152" s="17">
        <v>0</v>
      </c>
      <c r="AV152" s="17">
        <v>0</v>
      </c>
      <c r="AW152" s="17">
        <v>20</v>
      </c>
      <c r="AX152" s="4">
        <v>100.005007558579</v>
      </c>
      <c r="AY152" s="4">
        <v>95.609756097560989</v>
      </c>
      <c r="BD152" s="159">
        <v>94.248238482384835</v>
      </c>
      <c r="BE152" s="159">
        <v>95.609756097560989</v>
      </c>
      <c r="BF152" s="159">
        <v>100.005007558579</v>
      </c>
      <c r="BG152" s="159">
        <v>98.571027716866027</v>
      </c>
      <c r="BH152" s="14">
        <v>258.15926829268295</v>
      </c>
      <c r="BI152" s="159">
        <v>102.49896503889275</v>
      </c>
      <c r="BJ152" s="159">
        <v>0</v>
      </c>
      <c r="BK152" s="14">
        <v>309.79112195121957</v>
      </c>
      <c r="BL152" s="14">
        <v>12</v>
      </c>
      <c r="BM152" s="14">
        <v>0</v>
      </c>
      <c r="BN152" s="14">
        <v>0</v>
      </c>
      <c r="BO152" s="14">
        <v>15</v>
      </c>
      <c r="BP152" s="182">
        <v>41680</v>
      </c>
      <c r="BQ152" s="183">
        <v>116</v>
      </c>
    </row>
    <row r="153" spans="2:69" x14ac:dyDescent="0.35">
      <c r="B153" s="11">
        <v>134</v>
      </c>
      <c r="C153" s="4" t="str">
        <v>Product 3</v>
      </c>
      <c r="D153" s="94">
        <v>94.189742354924149</v>
      </c>
      <c r="E153" s="94">
        <v>95.833333333333343</v>
      </c>
      <c r="F153" s="94">
        <v>99.438047478960783</v>
      </c>
      <c r="G153" s="94">
        <v>98.840384577205114</v>
      </c>
      <c r="H153" s="4">
        <v>329.79940476190478</v>
      </c>
      <c r="I153" s="174">
        <v>117.90330474751561</v>
      </c>
      <c r="J153" s="95">
        <v>0</v>
      </c>
      <c r="K153" s="4">
        <v>395.75928571428574</v>
      </c>
      <c r="L153" s="11">
        <v>12</v>
      </c>
      <c r="M153" s="4">
        <v>0</v>
      </c>
      <c r="N153" s="11">
        <v>0</v>
      </c>
      <c r="O153" s="11">
        <v>29</v>
      </c>
      <c r="P153" s="137">
        <v>41690</v>
      </c>
      <c r="Q153" s="11">
        <v>64</v>
      </c>
      <c r="R153" s="95">
        <f>CHOOSE($D$4,D153,E153,F153,G153,H153,I153,J153,K153,L153,M153,N153,O153,P153,101-B153)+0.000001*ROWS($A$20:A153)</f>
        <v>98.840518577205117</v>
      </c>
      <c r="S153" s="4">
        <f t="shared" si="34"/>
        <v>98</v>
      </c>
      <c r="T153" s="4"/>
      <c r="U153" s="14">
        <f>ROWS($U$20:U153)</f>
        <v>134</v>
      </c>
      <c r="V153" s="4">
        <v>78</v>
      </c>
      <c r="W153" s="4" t="str">
        <v>Product 3</v>
      </c>
      <c r="X153" s="94">
        <v>82.134886097025657</v>
      </c>
      <c r="Y153" s="94">
        <v>85.06849315068493</v>
      </c>
      <c r="Z153" s="94">
        <v>97.951597405717038</v>
      </c>
      <c r="AA153" s="94">
        <v>98.570599119925035</v>
      </c>
      <c r="AB153" s="4">
        <v>301.63993150684934</v>
      </c>
      <c r="AC153" s="94">
        <v>123.51370756264812</v>
      </c>
      <c r="AD153" s="94">
        <v>0</v>
      </c>
      <c r="AE153" s="4">
        <v>361.96791780821917</v>
      </c>
      <c r="AF153" s="4">
        <v>12</v>
      </c>
      <c r="AG153" s="4">
        <v>0</v>
      </c>
      <c r="AH153" s="4">
        <v>0</v>
      </c>
      <c r="AI153" s="4">
        <v>22</v>
      </c>
      <c r="AJ153" s="139">
        <v>41664</v>
      </c>
      <c r="AK153" s="94">
        <v>89</v>
      </c>
      <c r="AL153" s="162">
        <v>87.494399999999999</v>
      </c>
      <c r="AM153" s="162">
        <v>90</v>
      </c>
      <c r="AN153" s="162">
        <v>98</v>
      </c>
      <c r="AO153" s="162">
        <v>99.2</v>
      </c>
      <c r="AP153" s="17">
        <v>362</v>
      </c>
      <c r="AQ153" s="162">
        <v>0</v>
      </c>
      <c r="AR153" s="162">
        <v>40</v>
      </c>
      <c r="AS153" s="17">
        <v>434.4</v>
      </c>
      <c r="AT153" s="17">
        <v>12</v>
      </c>
      <c r="AU153" s="17">
        <v>0</v>
      </c>
      <c r="AV153" s="17">
        <v>0</v>
      </c>
      <c r="AW153" s="17">
        <v>20</v>
      </c>
      <c r="AX153" s="4">
        <v>97.951597405717038</v>
      </c>
      <c r="AY153" s="4">
        <v>85.06849315068493</v>
      </c>
      <c r="BD153" s="159" t="e">
        <v>#N/A</v>
      </c>
      <c r="BE153" s="159" t="e">
        <v>#N/A</v>
      </c>
      <c r="BF153" s="159" t="e">
        <v>#N/A</v>
      </c>
      <c r="BG153" s="159" t="e">
        <v>#N/A</v>
      </c>
      <c r="BH153" s="14" t="e">
        <v>#N/A</v>
      </c>
      <c r="BI153" s="159" t="e">
        <v>#N/A</v>
      </c>
      <c r="BJ153" s="159" t="e">
        <v>#N/A</v>
      </c>
      <c r="BK153" s="14" t="e">
        <v>#N/A</v>
      </c>
      <c r="BL153" s="14" t="e">
        <v>#N/A</v>
      </c>
      <c r="BM153" s="14" t="e">
        <v>#N/A</v>
      </c>
      <c r="BN153" s="14" t="e">
        <v>#N/A</v>
      </c>
      <c r="BO153" s="14" t="e">
        <v>#N/A</v>
      </c>
      <c r="BP153" s="182" t="e">
        <v>#N/A</v>
      </c>
      <c r="BQ153" s="183" t="e">
        <v>#N/A</v>
      </c>
    </row>
    <row r="154" spans="2:69" x14ac:dyDescent="0.35">
      <c r="B154" s="11">
        <v>135</v>
      </c>
      <c r="C154" s="4" t="str">
        <v>Product 6</v>
      </c>
      <c r="D154" s="94">
        <v>64.770053475935825</v>
      </c>
      <c r="E154" s="94">
        <v>77.171717171717177</v>
      </c>
      <c r="F154" s="94">
        <v>86.278102864182316</v>
      </c>
      <c r="G154" s="94">
        <v>97.278195220332336</v>
      </c>
      <c r="H154" s="4">
        <v>203.74181818181816</v>
      </c>
      <c r="I154" s="174">
        <v>100.15860168334285</v>
      </c>
      <c r="J154" s="95">
        <v>95.830416180474515</v>
      </c>
      <c r="K154" s="4">
        <v>244.49018181818178</v>
      </c>
      <c r="L154" s="11">
        <v>12</v>
      </c>
      <c r="M154" s="4">
        <v>0</v>
      </c>
      <c r="N154" s="11">
        <v>0</v>
      </c>
      <c r="O154" s="11">
        <v>29</v>
      </c>
      <c r="P154" s="137">
        <v>41691</v>
      </c>
      <c r="Q154" s="11">
        <v>120</v>
      </c>
      <c r="R154" s="95">
        <f>CHOOSE($D$4,D154,E154,F154,G154,H154,I154,J154,K154,L154,M154,N154,O154,P154,101-B154)+0.000001*ROWS($A$20:A154)</f>
        <v>97.278330220332336</v>
      </c>
      <c r="S154" s="4">
        <f t="shared" si="34"/>
        <v>223</v>
      </c>
      <c r="T154" s="4"/>
      <c r="U154" s="14">
        <f>ROWS($U$20:U154)</f>
        <v>135</v>
      </c>
      <c r="V154" s="4">
        <v>130</v>
      </c>
      <c r="W154" s="4" t="str">
        <v>Product 2</v>
      </c>
      <c r="X154" s="94">
        <v>96.599564270152513</v>
      </c>
      <c r="Y154" s="94">
        <v>98.039215686274517</v>
      </c>
      <c r="Z154" s="94">
        <v>99.972296296296292</v>
      </c>
      <c r="AA154" s="94">
        <v>98.558860010106514</v>
      </c>
      <c r="AB154" s="4">
        <v>264.63254901960784</v>
      </c>
      <c r="AC154" s="94">
        <v>109.06950056570228</v>
      </c>
      <c r="AD154" s="94">
        <v>0</v>
      </c>
      <c r="AE154" s="4">
        <v>317.55905882352943</v>
      </c>
      <c r="AF154" s="4">
        <v>12</v>
      </c>
      <c r="AG154" s="4">
        <v>0</v>
      </c>
      <c r="AH154" s="4">
        <v>0</v>
      </c>
      <c r="AI154" s="4">
        <v>18</v>
      </c>
      <c r="AJ154" s="139">
        <v>41660</v>
      </c>
      <c r="AK154" s="94">
        <v>128</v>
      </c>
      <c r="AL154" s="162">
        <v>87.317999999999998</v>
      </c>
      <c r="AM154" s="162">
        <v>90</v>
      </c>
      <c r="AN154" s="162">
        <v>98</v>
      </c>
      <c r="AO154" s="162">
        <v>99</v>
      </c>
      <c r="AP154" s="17">
        <v>270</v>
      </c>
      <c r="AQ154" s="162">
        <v>0</v>
      </c>
      <c r="AR154" s="162">
        <v>40</v>
      </c>
      <c r="AS154" s="17">
        <v>324</v>
      </c>
      <c r="AT154" s="17">
        <v>12</v>
      </c>
      <c r="AU154" s="17">
        <v>0</v>
      </c>
      <c r="AV154" s="17">
        <v>0</v>
      </c>
      <c r="AW154" s="17">
        <v>20</v>
      </c>
      <c r="AX154" s="4">
        <v>99.972296296296292</v>
      </c>
      <c r="AY154" s="4">
        <v>98.039215686274517</v>
      </c>
      <c r="BD154" s="159">
        <v>96.599564270152513</v>
      </c>
      <c r="BE154" s="159">
        <v>98.039215686274517</v>
      </c>
      <c r="BF154" s="159">
        <v>99.972296296296292</v>
      </c>
      <c r="BG154" s="159">
        <v>98.558860010106514</v>
      </c>
      <c r="BH154" s="14">
        <v>264.63254901960784</v>
      </c>
      <c r="BI154" s="159">
        <v>109.06950056570228</v>
      </c>
      <c r="BJ154" s="159">
        <v>0</v>
      </c>
      <c r="BK154" s="14">
        <v>317.55905882352943</v>
      </c>
      <c r="BL154" s="14">
        <v>12</v>
      </c>
      <c r="BM154" s="14">
        <v>0</v>
      </c>
      <c r="BN154" s="14">
        <v>0</v>
      </c>
      <c r="BO154" s="14">
        <v>18</v>
      </c>
      <c r="BP154" s="182">
        <v>41660</v>
      </c>
      <c r="BQ154" s="183">
        <v>128</v>
      </c>
    </row>
    <row r="155" spans="2:69" x14ac:dyDescent="0.35">
      <c r="B155" s="11">
        <v>136</v>
      </c>
      <c r="C155" s="4" t="str">
        <v>Product 17</v>
      </c>
      <c r="D155" s="94">
        <v>77.758719268153243</v>
      </c>
      <c r="E155" s="94">
        <v>81.132075471698116</v>
      </c>
      <c r="F155" s="94">
        <v>95.842142353770271</v>
      </c>
      <c r="G155" s="94">
        <v>100</v>
      </c>
      <c r="H155" s="4">
        <v>256.6037735849057</v>
      </c>
      <c r="I155" s="174">
        <v>64.786070994736136</v>
      </c>
      <c r="J155" s="95">
        <v>50.934220629639107</v>
      </c>
      <c r="K155" s="4">
        <v>307.92452830188682</v>
      </c>
      <c r="L155" s="11">
        <v>12</v>
      </c>
      <c r="M155" s="4">
        <v>0</v>
      </c>
      <c r="N155" s="11">
        <v>0</v>
      </c>
      <c r="O155" s="11">
        <v>19</v>
      </c>
      <c r="P155" s="137">
        <v>41691</v>
      </c>
      <c r="Q155" s="11">
        <v>71</v>
      </c>
      <c r="R155" s="95">
        <f>CHOOSE($D$4,D155,E155,F155,G155,H155,I155,J155,K155,L155,M155,N155,O155,P155,101-B155)+0.000001*ROWS($A$20:A155)</f>
        <v>100.000136</v>
      </c>
      <c r="S155" s="4">
        <f t="shared" si="34"/>
        <v>4</v>
      </c>
      <c r="T155" s="4"/>
      <c r="U155" s="14">
        <f>ROWS($U$20:U155)</f>
        <v>136</v>
      </c>
      <c r="V155" s="4">
        <v>201</v>
      </c>
      <c r="W155" s="4" t="str">
        <v>Product 2</v>
      </c>
      <c r="X155" s="94">
        <v>85.560888888888897</v>
      </c>
      <c r="Y155" s="94">
        <v>92.533333333333331</v>
      </c>
      <c r="Z155" s="94">
        <v>93.82047176859858</v>
      </c>
      <c r="AA155" s="94">
        <v>98.555182911568096</v>
      </c>
      <c r="AB155" s="4">
        <v>234.40106666666668</v>
      </c>
      <c r="AC155" s="94">
        <v>183.00287827449267</v>
      </c>
      <c r="AD155" s="94">
        <v>0</v>
      </c>
      <c r="AE155" s="4">
        <v>281.28128000000004</v>
      </c>
      <c r="AF155" s="4">
        <v>12</v>
      </c>
      <c r="AG155" s="4">
        <v>0</v>
      </c>
      <c r="AH155" s="4">
        <v>0</v>
      </c>
      <c r="AI155" s="4">
        <v>27</v>
      </c>
      <c r="AJ155" s="139">
        <v>41715</v>
      </c>
      <c r="AK155" s="94">
        <v>84</v>
      </c>
      <c r="AL155" s="162">
        <v>87.317999999999998</v>
      </c>
      <c r="AM155" s="162">
        <v>90</v>
      </c>
      <c r="AN155" s="162">
        <v>98</v>
      </c>
      <c r="AO155" s="162">
        <v>99</v>
      </c>
      <c r="AP155" s="17">
        <v>270</v>
      </c>
      <c r="AQ155" s="162">
        <v>0</v>
      </c>
      <c r="AR155" s="162">
        <v>40</v>
      </c>
      <c r="AS155" s="17">
        <v>324</v>
      </c>
      <c r="AT155" s="17">
        <v>12</v>
      </c>
      <c r="AU155" s="17">
        <v>0</v>
      </c>
      <c r="AV155" s="17">
        <v>0</v>
      </c>
      <c r="AW155" s="17">
        <v>20</v>
      </c>
      <c r="AX155" s="4">
        <v>93.82047176859858</v>
      </c>
      <c r="AY155" s="4">
        <v>92.533333333333331</v>
      </c>
      <c r="BD155" s="159">
        <v>85.560888888888897</v>
      </c>
      <c r="BE155" s="159">
        <v>92.533333333333331</v>
      </c>
      <c r="BF155" s="159">
        <v>93.82047176859858</v>
      </c>
      <c r="BG155" s="159">
        <v>98.555182911568096</v>
      </c>
      <c r="BH155" s="14">
        <v>234.40106666666668</v>
      </c>
      <c r="BI155" s="159">
        <v>183.00287827449267</v>
      </c>
      <c r="BJ155" s="159">
        <v>0</v>
      </c>
      <c r="BK155" s="14">
        <v>281.28128000000004</v>
      </c>
      <c r="BL155" s="14">
        <v>12</v>
      </c>
      <c r="BM155" s="14">
        <v>0</v>
      </c>
      <c r="BN155" s="14">
        <v>0</v>
      </c>
      <c r="BO155" s="14">
        <v>27</v>
      </c>
      <c r="BP155" s="182">
        <v>41715</v>
      </c>
      <c r="BQ155" s="183">
        <v>84</v>
      </c>
    </row>
    <row r="156" spans="2:69" x14ac:dyDescent="0.35">
      <c r="B156" s="11">
        <v>137</v>
      </c>
      <c r="C156" s="4" t="str">
        <v>Product 3</v>
      </c>
      <c r="D156" s="94">
        <v>99.669402125457978</v>
      </c>
      <c r="E156" s="94">
        <v>95.49549549549549</v>
      </c>
      <c r="F156" s="94">
        <v>107.48515508225469</v>
      </c>
      <c r="G156" s="94">
        <v>97.102515168998821</v>
      </c>
      <c r="H156" s="4">
        <v>355.2319819819819</v>
      </c>
      <c r="I156" s="175">
        <v>194.20188140267928</v>
      </c>
      <c r="J156" s="95">
        <v>0</v>
      </c>
      <c r="K156" s="4">
        <v>426.27837837837831</v>
      </c>
      <c r="L156" s="11">
        <v>12</v>
      </c>
      <c r="M156" s="4">
        <v>0</v>
      </c>
      <c r="N156" s="11">
        <v>0</v>
      </c>
      <c r="O156" s="11">
        <v>16</v>
      </c>
      <c r="P156" s="137">
        <v>41691</v>
      </c>
      <c r="Q156" s="11">
        <v>96</v>
      </c>
      <c r="R156" s="95">
        <f>CHOOSE($D$4,D156,E156,F156,G156,H156,I156,J156,K156,L156,M156,N156,O156,P156,101-B156)+0.000001*ROWS($A$20:A156)</f>
        <v>97.102652168998816</v>
      </c>
      <c r="S156" s="4">
        <f t="shared" si="34"/>
        <v>226</v>
      </c>
      <c r="T156" s="4"/>
      <c r="U156" s="14">
        <f>ROWS($U$20:U156)</f>
        <v>137</v>
      </c>
      <c r="V156" s="4">
        <v>18</v>
      </c>
      <c r="W156" s="4" t="str">
        <v>Product 3</v>
      </c>
      <c r="X156" s="94">
        <v>93.526055349185782</v>
      </c>
      <c r="Y156" s="94">
        <v>91.460674157303373</v>
      </c>
      <c r="Z156" s="94">
        <v>103.75975213442106</v>
      </c>
      <c r="AA156" s="94">
        <v>98.552873982008421</v>
      </c>
      <c r="AB156" s="4">
        <v>328.43089887640446</v>
      </c>
      <c r="AC156" s="94">
        <v>117.48769066902469</v>
      </c>
      <c r="AD156" s="94">
        <v>0</v>
      </c>
      <c r="AE156" s="4">
        <v>394.11707865168535</v>
      </c>
      <c r="AF156" s="4">
        <v>12</v>
      </c>
      <c r="AG156" s="4">
        <v>0</v>
      </c>
      <c r="AH156" s="4">
        <v>0</v>
      </c>
      <c r="AI156" s="4">
        <v>28</v>
      </c>
      <c r="AJ156" s="139">
        <v>41646</v>
      </c>
      <c r="AK156" s="94">
        <v>112</v>
      </c>
      <c r="AL156" s="162">
        <v>87.494399999999999</v>
      </c>
      <c r="AM156" s="162">
        <v>90</v>
      </c>
      <c r="AN156" s="162">
        <v>98</v>
      </c>
      <c r="AO156" s="162">
        <v>99.2</v>
      </c>
      <c r="AP156" s="17">
        <v>346.08333333333331</v>
      </c>
      <c r="AQ156" s="162">
        <v>0</v>
      </c>
      <c r="AR156" s="162">
        <v>40</v>
      </c>
      <c r="AS156" s="17">
        <v>415.3</v>
      </c>
      <c r="AT156" s="17">
        <v>12</v>
      </c>
      <c r="AU156" s="17">
        <v>0</v>
      </c>
      <c r="AV156" s="17">
        <v>0</v>
      </c>
      <c r="AW156" s="17">
        <v>20</v>
      </c>
      <c r="AX156" s="4">
        <v>103.75975213442106</v>
      </c>
      <c r="AY156" s="4">
        <v>91.460674157303373</v>
      </c>
      <c r="BD156" s="159" t="e">
        <v>#N/A</v>
      </c>
      <c r="BE156" s="159" t="e">
        <v>#N/A</v>
      </c>
      <c r="BF156" s="159" t="e">
        <v>#N/A</v>
      </c>
      <c r="BG156" s="159" t="e">
        <v>#N/A</v>
      </c>
      <c r="BH156" s="14" t="e">
        <v>#N/A</v>
      </c>
      <c r="BI156" s="159" t="e">
        <v>#N/A</v>
      </c>
      <c r="BJ156" s="159" t="e">
        <v>#N/A</v>
      </c>
      <c r="BK156" s="14" t="e">
        <v>#N/A</v>
      </c>
      <c r="BL156" s="14" t="e">
        <v>#N/A</v>
      </c>
      <c r="BM156" s="14" t="e">
        <v>#N/A</v>
      </c>
      <c r="BN156" s="14" t="e">
        <v>#N/A</v>
      </c>
      <c r="BO156" s="14" t="e">
        <v>#N/A</v>
      </c>
      <c r="BP156" s="182" t="e">
        <v>#N/A</v>
      </c>
      <c r="BQ156" s="183" t="e">
        <v>#N/A</v>
      </c>
    </row>
    <row r="157" spans="2:69" x14ac:dyDescent="0.35">
      <c r="B157" s="11">
        <v>138</v>
      </c>
      <c r="C157" s="4" t="str">
        <v>Product 21</v>
      </c>
      <c r="D157" s="94">
        <v>79.710144927536248</v>
      </c>
      <c r="E157" s="94">
        <v>87.318840579710155</v>
      </c>
      <c r="F157" s="94">
        <v>92.314221048660897</v>
      </c>
      <c r="G157" s="94">
        <v>98.886505261007258</v>
      </c>
      <c r="H157" s="4">
        <v>266.00543478260869</v>
      </c>
      <c r="I157" s="175">
        <v>108.01377067992732</v>
      </c>
      <c r="J157" s="95">
        <v>53.197517539125741</v>
      </c>
      <c r="K157" s="4">
        <v>319.20652173913044</v>
      </c>
      <c r="L157" s="11">
        <v>12</v>
      </c>
      <c r="M157" s="4">
        <v>0</v>
      </c>
      <c r="N157" s="11">
        <v>0</v>
      </c>
      <c r="O157" s="11">
        <v>27</v>
      </c>
      <c r="P157" s="137">
        <v>41691</v>
      </c>
      <c r="Q157" s="11">
        <v>100</v>
      </c>
      <c r="R157" s="95">
        <f>CHOOSE($D$4,D157,E157,F157,G157,H157,I157,J157,K157,L157,M157,N157,O157,P157,101-B157)+0.000001*ROWS($A$20:A157)</f>
        <v>98.886643261007265</v>
      </c>
      <c r="S157" s="4">
        <f t="shared" si="34"/>
        <v>90</v>
      </c>
      <c r="T157" s="4"/>
      <c r="U157" s="14">
        <f>ROWS($U$20:U157)</f>
        <v>138</v>
      </c>
      <c r="V157" s="4">
        <v>219</v>
      </c>
      <c r="W157" s="4" t="str">
        <v>Product 3</v>
      </c>
      <c r="X157" s="94">
        <v>97.843807689220654</v>
      </c>
      <c r="Y157" s="94">
        <v>98.592592592592595</v>
      </c>
      <c r="Z157" s="94">
        <v>100.70480311409402</v>
      </c>
      <c r="AA157" s="94">
        <v>98.545971132838304</v>
      </c>
      <c r="AB157" s="4">
        <v>343.61740740740737</v>
      </c>
      <c r="AC157" s="94">
        <v>182.48689029547484</v>
      </c>
      <c r="AD157" s="94">
        <v>24.508545338855335</v>
      </c>
      <c r="AE157" s="4">
        <v>412.34088888888891</v>
      </c>
      <c r="AF157" s="4">
        <v>12</v>
      </c>
      <c r="AG157" s="4">
        <v>0</v>
      </c>
      <c r="AH157" s="4">
        <v>0</v>
      </c>
      <c r="AI157" s="4">
        <v>22</v>
      </c>
      <c r="AJ157" s="139">
        <v>41719</v>
      </c>
      <c r="AK157" s="94">
        <v>54</v>
      </c>
      <c r="AL157" s="162">
        <v>87.494399999999999</v>
      </c>
      <c r="AM157" s="162">
        <v>90</v>
      </c>
      <c r="AN157" s="162">
        <v>98</v>
      </c>
      <c r="AO157" s="162">
        <v>99.2</v>
      </c>
      <c r="AP157" s="17">
        <v>346.08333333333331</v>
      </c>
      <c r="AQ157" s="162">
        <v>0</v>
      </c>
      <c r="AR157" s="162">
        <v>40</v>
      </c>
      <c r="AS157" s="17">
        <v>415.3</v>
      </c>
      <c r="AT157" s="17">
        <v>12</v>
      </c>
      <c r="AU157" s="17">
        <v>0</v>
      </c>
      <c r="AV157" s="17">
        <v>0</v>
      </c>
      <c r="AW157" s="17">
        <v>20</v>
      </c>
      <c r="AX157" s="4">
        <v>100.70480311409402</v>
      </c>
      <c r="AY157" s="4">
        <v>98.592592592592595</v>
      </c>
      <c r="BD157" s="159" t="e">
        <v>#N/A</v>
      </c>
      <c r="BE157" s="159" t="e">
        <v>#N/A</v>
      </c>
      <c r="BF157" s="159" t="e">
        <v>#N/A</v>
      </c>
      <c r="BG157" s="159" t="e">
        <v>#N/A</v>
      </c>
      <c r="BH157" s="14" t="e">
        <v>#N/A</v>
      </c>
      <c r="BI157" s="159" t="e">
        <v>#N/A</v>
      </c>
      <c r="BJ157" s="159" t="e">
        <v>#N/A</v>
      </c>
      <c r="BK157" s="14" t="e">
        <v>#N/A</v>
      </c>
      <c r="BL157" s="14" t="e">
        <v>#N/A</v>
      </c>
      <c r="BM157" s="14" t="e">
        <v>#N/A</v>
      </c>
      <c r="BN157" s="14" t="e">
        <v>#N/A</v>
      </c>
      <c r="BO157" s="14" t="e">
        <v>#N/A</v>
      </c>
      <c r="BP157" s="182" t="e">
        <v>#N/A</v>
      </c>
      <c r="BQ157" s="183" t="e">
        <v>#N/A</v>
      </c>
    </row>
    <row r="158" spans="2:69" x14ac:dyDescent="0.35">
      <c r="B158" s="11">
        <v>139</v>
      </c>
      <c r="C158" s="4" t="str">
        <v>Product 5</v>
      </c>
      <c r="D158" s="94">
        <v>53.767403314917125</v>
      </c>
      <c r="E158" s="94">
        <v>78.285714285714278</v>
      </c>
      <c r="F158" s="94">
        <v>71.529116425374056</v>
      </c>
      <c r="G158" s="94">
        <v>96.018227357103697</v>
      </c>
      <c r="H158" s="4">
        <v>202.70942857142856</v>
      </c>
      <c r="I158" s="175">
        <v>107.14352592950559</v>
      </c>
      <c r="J158" s="95">
        <v>100</v>
      </c>
      <c r="K158" s="4">
        <v>243.2513142857143</v>
      </c>
      <c r="L158" s="11">
        <v>12</v>
      </c>
      <c r="M158" s="4">
        <v>0</v>
      </c>
      <c r="N158" s="11">
        <v>0</v>
      </c>
      <c r="O158" s="11">
        <v>24</v>
      </c>
      <c r="P158" s="137">
        <v>41691</v>
      </c>
      <c r="Q158" s="11">
        <v>44</v>
      </c>
      <c r="R158" s="95">
        <f>CHOOSE($D$4,D158,E158,F158,G158,H158,I158,J158,K158,L158,M158,N158,O158,P158,101-B158)+0.000001*ROWS($A$20:A158)</f>
        <v>96.018366357103702</v>
      </c>
      <c r="S158" s="4">
        <f t="shared" si="34"/>
        <v>241</v>
      </c>
      <c r="T158" s="4"/>
      <c r="U158" s="14">
        <f>ROWS($U$20:U158)</f>
        <v>139</v>
      </c>
      <c r="V158" s="4">
        <v>55</v>
      </c>
      <c r="W158" s="4" t="str">
        <v>Product 3</v>
      </c>
      <c r="X158" s="94">
        <v>89.374187935690159</v>
      </c>
      <c r="Y158" s="94">
        <v>91.206543967280169</v>
      </c>
      <c r="Z158" s="94">
        <v>99.446522805539729</v>
      </c>
      <c r="AA158" s="94">
        <v>98.536358110195422</v>
      </c>
      <c r="AB158" s="4">
        <v>328.34028629856846</v>
      </c>
      <c r="AC158" s="94">
        <v>116.87769794646692</v>
      </c>
      <c r="AD158" s="94">
        <v>0</v>
      </c>
      <c r="AE158" s="4">
        <v>394.00834355828221</v>
      </c>
      <c r="AF158" s="4">
        <v>12</v>
      </c>
      <c r="AG158" s="4">
        <v>0</v>
      </c>
      <c r="AH158" s="4">
        <v>0</v>
      </c>
      <c r="AI158" s="4">
        <v>25</v>
      </c>
      <c r="AJ158" s="139">
        <v>41656</v>
      </c>
      <c r="AK158" s="94">
        <v>112</v>
      </c>
      <c r="AL158" s="162">
        <v>87.494399999999999</v>
      </c>
      <c r="AM158" s="162">
        <v>90</v>
      </c>
      <c r="AN158" s="162">
        <v>98</v>
      </c>
      <c r="AO158" s="162">
        <v>99.2</v>
      </c>
      <c r="AP158" s="17">
        <v>362</v>
      </c>
      <c r="AQ158" s="162">
        <v>0</v>
      </c>
      <c r="AR158" s="162">
        <v>40</v>
      </c>
      <c r="AS158" s="17">
        <v>434.4</v>
      </c>
      <c r="AT158" s="17">
        <v>12</v>
      </c>
      <c r="AU158" s="17">
        <v>0</v>
      </c>
      <c r="AV158" s="17">
        <v>0</v>
      </c>
      <c r="AW158" s="17">
        <v>20</v>
      </c>
      <c r="AX158" s="4">
        <v>99.446522805539729</v>
      </c>
      <c r="AY158" s="4">
        <v>91.206543967280169</v>
      </c>
      <c r="BD158" s="159" t="e">
        <v>#N/A</v>
      </c>
      <c r="BE158" s="159" t="e">
        <v>#N/A</v>
      </c>
      <c r="BF158" s="159" t="e">
        <v>#N/A</v>
      </c>
      <c r="BG158" s="159" t="e">
        <v>#N/A</v>
      </c>
      <c r="BH158" s="14" t="e">
        <v>#N/A</v>
      </c>
      <c r="BI158" s="159" t="e">
        <v>#N/A</v>
      </c>
      <c r="BJ158" s="159" t="e">
        <v>#N/A</v>
      </c>
      <c r="BK158" s="14" t="e">
        <v>#N/A</v>
      </c>
      <c r="BL158" s="14" t="e">
        <v>#N/A</v>
      </c>
      <c r="BM158" s="14" t="e">
        <v>#N/A</v>
      </c>
      <c r="BN158" s="14" t="e">
        <v>#N/A</v>
      </c>
      <c r="BO158" s="14" t="e">
        <v>#N/A</v>
      </c>
      <c r="BP158" s="182" t="e">
        <v>#N/A</v>
      </c>
      <c r="BQ158" s="183" t="e">
        <v>#N/A</v>
      </c>
    </row>
    <row r="159" spans="2:69" x14ac:dyDescent="0.35">
      <c r="B159" s="11">
        <v>140</v>
      </c>
      <c r="C159" s="4" t="str">
        <v>Product 25</v>
      </c>
      <c r="D159" s="94">
        <v>66.493506493506487</v>
      </c>
      <c r="E159" s="94">
        <v>72.38095238095238</v>
      </c>
      <c r="F159" s="94">
        <v>94.268341307814993</v>
      </c>
      <c r="G159" s="94">
        <v>97.451623136301151</v>
      </c>
      <c r="H159" s="4">
        <v>225.16666666666666</v>
      </c>
      <c r="I159" s="175">
        <v>90.763383688120243</v>
      </c>
      <c r="J159" s="95">
        <v>52.992793764400211</v>
      </c>
      <c r="K159" s="4">
        <v>270.2</v>
      </c>
      <c r="L159" s="11">
        <v>12</v>
      </c>
      <c r="M159" s="4">
        <v>0</v>
      </c>
      <c r="N159" s="11">
        <v>0</v>
      </c>
      <c r="O159" s="11">
        <v>26</v>
      </c>
      <c r="P159" s="137">
        <v>41691</v>
      </c>
      <c r="Q159" s="11">
        <v>101</v>
      </c>
      <c r="R159" s="95">
        <f>CHOOSE($D$4,D159,E159,F159,G159,H159,I159,J159,K159,L159,M159,N159,O159,P159,101-B159)+0.000001*ROWS($A$20:A159)</f>
        <v>97.451763136301153</v>
      </c>
      <c r="S159" s="4">
        <f t="shared" si="34"/>
        <v>217</v>
      </c>
      <c r="T159" s="4"/>
      <c r="U159" s="14">
        <f>ROWS($U$20:U159)</f>
        <v>140</v>
      </c>
      <c r="V159" s="4">
        <v>72</v>
      </c>
      <c r="W159" s="4" t="str">
        <v>Product 3</v>
      </c>
      <c r="X159" s="94">
        <v>90.653994562834342</v>
      </c>
      <c r="Y159" s="94">
        <v>91.216931216931215</v>
      </c>
      <c r="Z159" s="94">
        <v>100.86502224045326</v>
      </c>
      <c r="AA159" s="94">
        <v>98.530548311997151</v>
      </c>
      <c r="AB159" s="4">
        <v>333.06164021164022</v>
      </c>
      <c r="AC159" s="94">
        <v>127.05707699884547</v>
      </c>
      <c r="AD159" s="94">
        <v>37.273637582525751</v>
      </c>
      <c r="AE159" s="4">
        <v>399.67396825396827</v>
      </c>
      <c r="AF159" s="4">
        <v>12</v>
      </c>
      <c r="AG159" s="4">
        <v>0</v>
      </c>
      <c r="AH159" s="4">
        <v>0</v>
      </c>
      <c r="AI159" s="4">
        <v>20</v>
      </c>
      <c r="AJ159" s="139">
        <v>41662</v>
      </c>
      <c r="AK159" s="94">
        <v>106</v>
      </c>
      <c r="AL159" s="162">
        <v>87.494399999999999</v>
      </c>
      <c r="AM159" s="162">
        <v>90</v>
      </c>
      <c r="AN159" s="162">
        <v>98</v>
      </c>
      <c r="AO159" s="162">
        <v>99.2</v>
      </c>
      <c r="AP159" s="17">
        <v>362</v>
      </c>
      <c r="AQ159" s="162">
        <v>0</v>
      </c>
      <c r="AR159" s="162">
        <v>40</v>
      </c>
      <c r="AS159" s="17">
        <v>434.4</v>
      </c>
      <c r="AT159" s="17">
        <v>12</v>
      </c>
      <c r="AU159" s="17">
        <v>0</v>
      </c>
      <c r="AV159" s="17">
        <v>0</v>
      </c>
      <c r="AW159" s="17">
        <v>20</v>
      </c>
      <c r="AX159" s="4">
        <v>100.86502224045326</v>
      </c>
      <c r="AY159" s="4">
        <v>91.216931216931215</v>
      </c>
      <c r="BD159" s="159" t="e">
        <v>#N/A</v>
      </c>
      <c r="BE159" s="159" t="e">
        <v>#N/A</v>
      </c>
      <c r="BF159" s="159" t="e">
        <v>#N/A</v>
      </c>
      <c r="BG159" s="159" t="e">
        <v>#N/A</v>
      </c>
      <c r="BH159" s="14" t="e">
        <v>#N/A</v>
      </c>
      <c r="BI159" s="159" t="e">
        <v>#N/A</v>
      </c>
      <c r="BJ159" s="159" t="e">
        <v>#N/A</v>
      </c>
      <c r="BK159" s="14" t="e">
        <v>#N/A</v>
      </c>
      <c r="BL159" s="14" t="e">
        <v>#N/A</v>
      </c>
      <c r="BM159" s="14" t="e">
        <v>#N/A</v>
      </c>
      <c r="BN159" s="14" t="e">
        <v>#N/A</v>
      </c>
      <c r="BO159" s="14" t="e">
        <v>#N/A</v>
      </c>
      <c r="BP159" s="182" t="e">
        <v>#N/A</v>
      </c>
      <c r="BQ159" s="183" t="e">
        <v>#N/A</v>
      </c>
    </row>
    <row r="160" spans="2:69" x14ac:dyDescent="0.35">
      <c r="B160" s="11">
        <v>141</v>
      </c>
      <c r="C160" s="4" t="str">
        <v>Product 2</v>
      </c>
      <c r="D160" s="94">
        <v>77.821790722761591</v>
      </c>
      <c r="E160" s="94">
        <v>82.330097087378633</v>
      </c>
      <c r="F160" s="94">
        <v>96.419636617749831</v>
      </c>
      <c r="G160" s="94">
        <v>98.034085514562264</v>
      </c>
      <c r="H160" s="4">
        <v>214.33242718446604</v>
      </c>
      <c r="I160" s="175">
        <v>94.03548229080144</v>
      </c>
      <c r="J160" s="95">
        <v>0</v>
      </c>
      <c r="K160" s="4">
        <v>257.19891262135923</v>
      </c>
      <c r="L160" s="11">
        <v>12</v>
      </c>
      <c r="M160" s="4">
        <v>0</v>
      </c>
      <c r="N160" s="11">
        <v>0</v>
      </c>
      <c r="O160" s="11">
        <v>21</v>
      </c>
      <c r="P160" s="137">
        <v>41694</v>
      </c>
      <c r="Q160" s="11">
        <v>121</v>
      </c>
      <c r="R160" s="95">
        <f>CHOOSE($D$4,D160,E160,F160,G160,H160,I160,J160,K160,L160,M160,N160,O160,P160,101-B160)+0.000001*ROWS($A$20:A160)</f>
        <v>98.034226514562263</v>
      </c>
      <c r="S160" s="4">
        <f t="shared" si="34"/>
        <v>189</v>
      </c>
      <c r="T160" s="4"/>
      <c r="U160" s="14">
        <f>ROWS($U$20:U160)</f>
        <v>141</v>
      </c>
      <c r="V160" s="4">
        <v>56</v>
      </c>
      <c r="W160" s="4" t="str">
        <v>Product 3</v>
      </c>
      <c r="X160" s="94">
        <v>95.042689569004963</v>
      </c>
      <c r="Y160" s="94">
        <v>94.049159120310492</v>
      </c>
      <c r="Z160" s="94">
        <v>102.58658578956033</v>
      </c>
      <c r="AA160" s="94">
        <v>98.508390786116792</v>
      </c>
      <c r="AB160" s="4">
        <v>333.90750323415267</v>
      </c>
      <c r="AC160" s="94">
        <v>121.59279612011804</v>
      </c>
      <c r="AD160" s="94">
        <v>0</v>
      </c>
      <c r="AE160" s="4">
        <v>400.68900388098319</v>
      </c>
      <c r="AF160" s="4">
        <v>12</v>
      </c>
      <c r="AG160" s="4">
        <v>0</v>
      </c>
      <c r="AH160" s="4">
        <v>0</v>
      </c>
      <c r="AI160" s="4">
        <v>19</v>
      </c>
      <c r="AJ160" s="139">
        <v>41657</v>
      </c>
      <c r="AK160" s="94">
        <v>91</v>
      </c>
      <c r="AL160" s="162">
        <v>87.494399999999999</v>
      </c>
      <c r="AM160" s="162">
        <v>90</v>
      </c>
      <c r="AN160" s="162">
        <v>98</v>
      </c>
      <c r="AO160" s="162">
        <v>99.2</v>
      </c>
      <c r="AP160" s="17">
        <v>346.08333333333331</v>
      </c>
      <c r="AQ160" s="162">
        <v>0</v>
      </c>
      <c r="AR160" s="162">
        <v>40</v>
      </c>
      <c r="AS160" s="17">
        <v>415.3</v>
      </c>
      <c r="AT160" s="17">
        <v>12</v>
      </c>
      <c r="AU160" s="17">
        <v>0</v>
      </c>
      <c r="AV160" s="17">
        <v>0</v>
      </c>
      <c r="AW160" s="17">
        <v>20</v>
      </c>
      <c r="AX160" s="4">
        <v>102.58658578956033</v>
      </c>
      <c r="AY160" s="4">
        <v>94.049159120310492</v>
      </c>
      <c r="BD160" s="159" t="e">
        <v>#N/A</v>
      </c>
      <c r="BE160" s="159" t="e">
        <v>#N/A</v>
      </c>
      <c r="BF160" s="159" t="e">
        <v>#N/A</v>
      </c>
      <c r="BG160" s="159" t="e">
        <v>#N/A</v>
      </c>
      <c r="BH160" s="14" t="e">
        <v>#N/A</v>
      </c>
      <c r="BI160" s="159" t="e">
        <v>#N/A</v>
      </c>
      <c r="BJ160" s="159" t="e">
        <v>#N/A</v>
      </c>
      <c r="BK160" s="14" t="e">
        <v>#N/A</v>
      </c>
      <c r="BL160" s="14" t="e">
        <v>#N/A</v>
      </c>
      <c r="BM160" s="14" t="e">
        <v>#N/A</v>
      </c>
      <c r="BN160" s="14" t="e">
        <v>#N/A</v>
      </c>
      <c r="BO160" s="14" t="e">
        <v>#N/A</v>
      </c>
      <c r="BP160" s="182" t="e">
        <v>#N/A</v>
      </c>
      <c r="BQ160" s="183" t="e">
        <v>#N/A</v>
      </c>
    </row>
    <row r="161" spans="2:69" x14ac:dyDescent="0.35">
      <c r="B161" s="11">
        <v>142</v>
      </c>
      <c r="C161" s="4" t="str">
        <v>Product 16</v>
      </c>
      <c r="D161" s="94">
        <v>87.657193652121606</v>
      </c>
      <c r="E161" s="94">
        <v>90.434782608695642</v>
      </c>
      <c r="F161" s="94">
        <v>97.850435793911444</v>
      </c>
      <c r="G161" s="94">
        <v>99.057941653160455</v>
      </c>
      <c r="H161" s="4">
        <v>245.26708074534162</v>
      </c>
      <c r="I161" s="175">
        <v>102.26581134381856</v>
      </c>
      <c r="J161" s="95">
        <v>0</v>
      </c>
      <c r="K161" s="4">
        <v>294.32049689440993</v>
      </c>
      <c r="L161" s="11">
        <v>12</v>
      </c>
      <c r="M161" s="4">
        <v>0</v>
      </c>
      <c r="N161" s="11">
        <v>0</v>
      </c>
      <c r="O161" s="11">
        <v>22</v>
      </c>
      <c r="P161" s="137">
        <v>41694</v>
      </c>
      <c r="Q161" s="11">
        <v>74</v>
      </c>
      <c r="R161" s="95">
        <f>CHOOSE($D$4,D161,E161,F161,G161,H161,I161,J161,K161,L161,M161,N161,O161,P161,101-B161)+0.000001*ROWS($A$20:A161)</f>
        <v>99.058083653160452</v>
      </c>
      <c r="S161" s="4">
        <f t="shared" si="34"/>
        <v>67</v>
      </c>
      <c r="T161" s="4"/>
      <c r="U161" s="14">
        <f>ROWS($U$20:U161)</f>
        <v>142</v>
      </c>
      <c r="V161" s="4">
        <v>26</v>
      </c>
      <c r="W161" s="4" t="str">
        <v>Product 3</v>
      </c>
      <c r="X161" s="94">
        <v>87.241909562658137</v>
      </c>
      <c r="Y161" s="94">
        <v>88.668224299065429</v>
      </c>
      <c r="Z161" s="94">
        <v>99.891813887129771</v>
      </c>
      <c r="AA161" s="94">
        <v>98.497963734340885</v>
      </c>
      <c r="AB161" s="4">
        <v>320.63171728971963</v>
      </c>
      <c r="AC161" s="94">
        <v>121.66676271366764</v>
      </c>
      <c r="AD161" s="94">
        <v>42.05781062570135</v>
      </c>
      <c r="AE161" s="4">
        <v>384.75806074766359</v>
      </c>
      <c r="AF161" s="4">
        <v>12</v>
      </c>
      <c r="AG161" s="4">
        <v>0</v>
      </c>
      <c r="AH161" s="4">
        <v>0</v>
      </c>
      <c r="AI161" s="4">
        <v>21</v>
      </c>
      <c r="AJ161" s="139">
        <v>41648</v>
      </c>
      <c r="AK161" s="94">
        <v>67</v>
      </c>
      <c r="AL161" s="162">
        <v>87.494399999999999</v>
      </c>
      <c r="AM161" s="162">
        <v>90</v>
      </c>
      <c r="AN161" s="162">
        <v>98</v>
      </c>
      <c r="AO161" s="162">
        <v>99.2</v>
      </c>
      <c r="AP161" s="17">
        <v>362</v>
      </c>
      <c r="AQ161" s="162">
        <v>0</v>
      </c>
      <c r="AR161" s="162">
        <v>40</v>
      </c>
      <c r="AS161" s="17">
        <v>434.4</v>
      </c>
      <c r="AT161" s="17">
        <v>12</v>
      </c>
      <c r="AU161" s="17">
        <v>0</v>
      </c>
      <c r="AV161" s="17">
        <v>0</v>
      </c>
      <c r="AW161" s="17">
        <v>20</v>
      </c>
      <c r="AX161" s="4">
        <v>99.891813887129771</v>
      </c>
      <c r="AY161" s="4">
        <v>88.668224299065429</v>
      </c>
      <c r="BD161" s="159" t="e">
        <v>#N/A</v>
      </c>
      <c r="BE161" s="159" t="e">
        <v>#N/A</v>
      </c>
      <c r="BF161" s="159" t="e">
        <v>#N/A</v>
      </c>
      <c r="BG161" s="159" t="e">
        <v>#N/A</v>
      </c>
      <c r="BH161" s="14" t="e">
        <v>#N/A</v>
      </c>
      <c r="BI161" s="159" t="e">
        <v>#N/A</v>
      </c>
      <c r="BJ161" s="159" t="e">
        <v>#N/A</v>
      </c>
      <c r="BK161" s="14" t="e">
        <v>#N/A</v>
      </c>
      <c r="BL161" s="14" t="e">
        <v>#N/A</v>
      </c>
      <c r="BM161" s="14" t="e">
        <v>#N/A</v>
      </c>
      <c r="BN161" s="14" t="e">
        <v>#N/A</v>
      </c>
      <c r="BO161" s="14" t="e">
        <v>#N/A</v>
      </c>
      <c r="BP161" s="182" t="e">
        <v>#N/A</v>
      </c>
      <c r="BQ161" s="183" t="e">
        <v>#N/A</v>
      </c>
    </row>
    <row r="162" spans="2:69" x14ac:dyDescent="0.35">
      <c r="B162" s="1">
        <v>143</v>
      </c>
      <c r="C162" t="str">
        <v>Product 16</v>
      </c>
      <c r="D162" s="113">
        <v>81.405137814820534</v>
      </c>
      <c r="E162" s="113">
        <v>100</v>
      </c>
      <c r="F162" s="113">
        <v>82.340684389377572</v>
      </c>
      <c r="G162" s="113">
        <v>98.863810057573758</v>
      </c>
      <c r="H162">
        <v>228.22093023255815</v>
      </c>
      <c r="I162" s="175">
        <v>91.136619025065244</v>
      </c>
      <c r="J162" s="113">
        <v>100</v>
      </c>
      <c r="K162">
        <v>273.86511627906981</v>
      </c>
      <c r="L162">
        <v>12</v>
      </c>
      <c r="M162">
        <v>0</v>
      </c>
      <c r="N162">
        <v>0</v>
      </c>
      <c r="O162" s="1">
        <v>24</v>
      </c>
      <c r="P162" s="138">
        <v>41694</v>
      </c>
      <c r="Q162" s="1">
        <v>106</v>
      </c>
      <c r="R162" s="95">
        <f>CHOOSE($D$4,D162,E162,F162,G162,H162,I162,J162,K162,L162,M162,N162,O162,P162,101-B162)+0.000001*ROWS($A$20:A162)</f>
        <v>98.863953057573752</v>
      </c>
      <c r="S162" s="4">
        <f t="shared" si="34"/>
        <v>92</v>
      </c>
      <c r="T162" s="4"/>
      <c r="U162" s="14">
        <f>ROWS($U$20:U162)</f>
        <v>143</v>
      </c>
      <c r="V162" s="4">
        <v>228</v>
      </c>
      <c r="W162" s="4" t="str">
        <v>Product 11</v>
      </c>
      <c r="X162" s="94">
        <v>47.503081664098609</v>
      </c>
      <c r="Y162" s="94">
        <v>73.559322033898283</v>
      </c>
      <c r="Z162" s="94">
        <v>65.563076036866377</v>
      </c>
      <c r="AA162" s="94">
        <v>98.49739515212751</v>
      </c>
      <c r="AB162" s="4">
        <v>169.76169491525425</v>
      </c>
      <c r="AC162" s="94">
        <v>180.13697398285666</v>
      </c>
      <c r="AD162" s="94">
        <v>0</v>
      </c>
      <c r="AE162" s="4">
        <v>203.7140338983051</v>
      </c>
      <c r="AF162" s="4">
        <v>12</v>
      </c>
      <c r="AG162" s="4">
        <v>0</v>
      </c>
      <c r="AH162" s="4">
        <v>0</v>
      </c>
      <c r="AI162" s="4">
        <v>23</v>
      </c>
      <c r="AJ162" s="139">
        <v>41723</v>
      </c>
      <c r="AK162" s="94">
        <v>79</v>
      </c>
      <c r="AL162" s="162">
        <v>87.494399999999999</v>
      </c>
      <c r="AM162" s="162">
        <v>90</v>
      </c>
      <c r="AN162" s="162">
        <v>98</v>
      </c>
      <c r="AO162" s="162">
        <v>99.2</v>
      </c>
      <c r="AP162" s="17">
        <v>352</v>
      </c>
      <c r="AQ162" s="162">
        <v>0</v>
      </c>
      <c r="AR162" s="162">
        <v>40</v>
      </c>
      <c r="AS162" s="17">
        <v>422.4</v>
      </c>
      <c r="AT162" s="17">
        <v>12</v>
      </c>
      <c r="AU162" s="17">
        <v>0</v>
      </c>
      <c r="AV162" s="17">
        <v>0</v>
      </c>
      <c r="AW162" s="17">
        <v>20</v>
      </c>
      <c r="AX162" s="4">
        <v>65.563076036866377</v>
      </c>
      <c r="AY162" s="4">
        <v>73.559322033898283</v>
      </c>
      <c r="BD162" s="159" t="e">
        <v>#N/A</v>
      </c>
      <c r="BE162" s="159" t="e">
        <v>#N/A</v>
      </c>
      <c r="BF162" s="159" t="e">
        <v>#N/A</v>
      </c>
      <c r="BG162" s="159" t="e">
        <v>#N/A</v>
      </c>
      <c r="BH162" s="14" t="e">
        <v>#N/A</v>
      </c>
      <c r="BI162" s="159" t="e">
        <v>#N/A</v>
      </c>
      <c r="BJ162" s="159" t="e">
        <v>#N/A</v>
      </c>
      <c r="BK162" s="14" t="e">
        <v>#N/A</v>
      </c>
      <c r="BL162" s="14" t="e">
        <v>#N/A</v>
      </c>
      <c r="BM162" s="14" t="e">
        <v>#N/A</v>
      </c>
      <c r="BN162" s="14" t="e">
        <v>#N/A</v>
      </c>
      <c r="BO162" s="14" t="e">
        <v>#N/A</v>
      </c>
      <c r="BP162" s="182" t="e">
        <v>#N/A</v>
      </c>
      <c r="BQ162" s="183" t="e">
        <v>#N/A</v>
      </c>
    </row>
    <row r="163" spans="2:69" x14ac:dyDescent="0.35">
      <c r="B163" s="1">
        <v>144</v>
      </c>
      <c r="C163" t="str">
        <v>Product 3</v>
      </c>
      <c r="D163" s="113">
        <v>81.317776853534127</v>
      </c>
      <c r="E163" s="113">
        <v>83.07692307692308</v>
      </c>
      <c r="F163" s="113">
        <v>99.02808484556617</v>
      </c>
      <c r="G163" s="113">
        <v>98.843181031116217</v>
      </c>
      <c r="H163">
        <v>284.72097902097903</v>
      </c>
      <c r="I163" s="175">
        <v>115.11765495889674</v>
      </c>
      <c r="J163" s="113">
        <v>0</v>
      </c>
      <c r="K163">
        <v>341.66517482517486</v>
      </c>
      <c r="L163">
        <v>12</v>
      </c>
      <c r="M163">
        <v>0</v>
      </c>
      <c r="N163">
        <v>0</v>
      </c>
      <c r="O163" s="1">
        <v>22</v>
      </c>
      <c r="P163" s="138">
        <v>41694</v>
      </c>
      <c r="Q163" s="1">
        <v>56</v>
      </c>
      <c r="R163" s="95">
        <f>CHOOSE($D$4,D163,E163,F163,G163,H163,I163,J163,K163,L163,M163,N163,O163,P163,101-B163)+0.000001*ROWS($A$20:A163)</f>
        <v>98.843325031116223</v>
      </c>
      <c r="S163" s="4">
        <f t="shared" si="34"/>
        <v>97</v>
      </c>
      <c r="T163" s="4"/>
      <c r="U163" s="14">
        <f>ROWS($U$20:U163)</f>
        <v>144</v>
      </c>
      <c r="V163" s="4">
        <v>220</v>
      </c>
      <c r="W163" s="4" t="str">
        <v>Product 3</v>
      </c>
      <c r="X163" s="94">
        <v>97.032711128116659</v>
      </c>
      <c r="Y163" s="94">
        <v>98.493150684931507</v>
      </c>
      <c r="Z163" s="94">
        <v>100.02424642674983</v>
      </c>
      <c r="AA163" s="94">
        <v>98.493336025239628</v>
      </c>
      <c r="AB163" s="4">
        <v>340.95102739726025</v>
      </c>
      <c r="AC163" s="94">
        <v>192.06729841727949</v>
      </c>
      <c r="AD163" s="94">
        <v>0</v>
      </c>
      <c r="AE163" s="4">
        <v>409.14123287671231</v>
      </c>
      <c r="AF163" s="4">
        <v>12</v>
      </c>
      <c r="AG163" s="4">
        <v>0</v>
      </c>
      <c r="AH163" s="4">
        <v>0</v>
      </c>
      <c r="AI163" s="4">
        <v>17</v>
      </c>
      <c r="AJ163" s="139">
        <v>41720</v>
      </c>
      <c r="AK163" s="94">
        <v>103</v>
      </c>
      <c r="AL163" s="162">
        <v>87.494399999999999</v>
      </c>
      <c r="AM163" s="162">
        <v>90</v>
      </c>
      <c r="AN163" s="162">
        <v>98</v>
      </c>
      <c r="AO163" s="162">
        <v>99.2</v>
      </c>
      <c r="AP163" s="17">
        <v>346.08333333333331</v>
      </c>
      <c r="AQ163" s="162">
        <v>0</v>
      </c>
      <c r="AR163" s="162">
        <v>40</v>
      </c>
      <c r="AS163" s="17">
        <v>415.3</v>
      </c>
      <c r="AT163" s="17">
        <v>12</v>
      </c>
      <c r="AU163" s="17">
        <v>0</v>
      </c>
      <c r="AV163" s="17">
        <v>0</v>
      </c>
      <c r="AW163" s="17">
        <v>20</v>
      </c>
      <c r="AX163" s="4">
        <v>100.02424642674983</v>
      </c>
      <c r="AY163" s="4">
        <v>98.493150684931507</v>
      </c>
      <c r="BD163" s="159" t="e">
        <v>#N/A</v>
      </c>
      <c r="BE163" s="159" t="e">
        <v>#N/A</v>
      </c>
      <c r="BF163" s="159" t="e">
        <v>#N/A</v>
      </c>
      <c r="BG163" s="159" t="e">
        <v>#N/A</v>
      </c>
      <c r="BH163" s="14" t="e">
        <v>#N/A</v>
      </c>
      <c r="BI163" s="159" t="e">
        <v>#N/A</v>
      </c>
      <c r="BJ163" s="159" t="e">
        <v>#N/A</v>
      </c>
      <c r="BK163" s="14" t="e">
        <v>#N/A</v>
      </c>
      <c r="BL163" s="14" t="e">
        <v>#N/A</v>
      </c>
      <c r="BM163" s="14" t="e">
        <v>#N/A</v>
      </c>
      <c r="BN163" s="14" t="e">
        <v>#N/A</v>
      </c>
      <c r="BO163" s="14" t="e">
        <v>#N/A</v>
      </c>
      <c r="BP163" s="182" t="e">
        <v>#N/A</v>
      </c>
      <c r="BQ163" s="183" t="e">
        <v>#N/A</v>
      </c>
    </row>
    <row r="164" spans="2:69" x14ac:dyDescent="0.35">
      <c r="B164" s="1">
        <v>145</v>
      </c>
      <c r="C164" t="str">
        <v>Product 7</v>
      </c>
      <c r="D164" s="113">
        <v>102.3474178403756</v>
      </c>
      <c r="E164" s="113">
        <v>96.056338028169009</v>
      </c>
      <c r="F164" s="113">
        <v>107.01619169361105</v>
      </c>
      <c r="G164" s="113">
        <v>99.563779020405775</v>
      </c>
      <c r="H164">
        <v>240.54225352112675</v>
      </c>
      <c r="I164" s="175">
        <v>104.32803909590716</v>
      </c>
      <c r="J164" s="113">
        <v>0</v>
      </c>
      <c r="K164">
        <v>288.65070422535211</v>
      </c>
      <c r="L164">
        <v>12</v>
      </c>
      <c r="M164">
        <v>0</v>
      </c>
      <c r="N164">
        <v>0</v>
      </c>
      <c r="O164" s="1">
        <v>29</v>
      </c>
      <c r="P164" s="138">
        <v>41695</v>
      </c>
      <c r="Q164" s="1">
        <v>86</v>
      </c>
      <c r="R164" s="95">
        <f>CHOOSE($D$4,D164,E164,F164,G164,H164,I164,J164,K164,L164,M164,N164,O164,P164,101-B164)+0.000001*ROWS($A$20:A164)</f>
        <v>99.563924020405778</v>
      </c>
      <c r="S164" s="4">
        <f t="shared" si="34"/>
        <v>27</v>
      </c>
      <c r="T164" s="4"/>
      <c r="U164" s="14">
        <f>ROWS($U$20:U164)</f>
        <v>145</v>
      </c>
      <c r="V164" s="4">
        <v>22</v>
      </c>
      <c r="W164" s="4" t="str">
        <v>Product 1</v>
      </c>
      <c r="X164" s="94">
        <v>105.36130536130537</v>
      </c>
      <c r="Y164" s="94">
        <v>97.115384615384613</v>
      </c>
      <c r="Z164" s="94">
        <v>110.17101710171018</v>
      </c>
      <c r="AA164" s="94">
        <v>98.474945533769059</v>
      </c>
      <c r="AB164" s="4">
        <v>353.07692307692309</v>
      </c>
      <c r="AC164" s="94">
        <v>110.42612696598803</v>
      </c>
      <c r="AD164" s="94">
        <v>82.421771588923605</v>
      </c>
      <c r="AE164" s="4">
        <v>423.69230769230774</v>
      </c>
      <c r="AF164" s="4">
        <v>12</v>
      </c>
      <c r="AG164" s="4">
        <v>0</v>
      </c>
      <c r="AH164" s="4">
        <v>0</v>
      </c>
      <c r="AI164" s="4">
        <v>21</v>
      </c>
      <c r="AJ164" s="139">
        <v>41647</v>
      </c>
      <c r="AK164" s="94">
        <v>109</v>
      </c>
      <c r="AL164" s="162">
        <v>87.494399999999999</v>
      </c>
      <c r="AM164" s="162">
        <v>90</v>
      </c>
      <c r="AN164" s="162">
        <v>98</v>
      </c>
      <c r="AO164" s="162">
        <v>99.2</v>
      </c>
      <c r="AP164" s="17">
        <v>330</v>
      </c>
      <c r="AQ164" s="162">
        <v>0</v>
      </c>
      <c r="AR164" s="162">
        <v>40</v>
      </c>
      <c r="AS164" s="17">
        <v>396.00000000000006</v>
      </c>
      <c r="AT164" s="17">
        <v>12</v>
      </c>
      <c r="AU164" s="17">
        <v>0</v>
      </c>
      <c r="AV164" s="17">
        <v>0</v>
      </c>
      <c r="AW164" s="17">
        <v>20</v>
      </c>
      <c r="AX164" s="4">
        <v>110.17101710171018</v>
      </c>
      <c r="AY164" s="4">
        <v>97.115384615384613</v>
      </c>
      <c r="BD164" s="159" t="e">
        <v>#N/A</v>
      </c>
      <c r="BE164" s="159" t="e">
        <v>#N/A</v>
      </c>
      <c r="BF164" s="159" t="e">
        <v>#N/A</v>
      </c>
      <c r="BG164" s="159" t="e">
        <v>#N/A</v>
      </c>
      <c r="BH164" s="14" t="e">
        <v>#N/A</v>
      </c>
      <c r="BI164" s="159" t="e">
        <v>#N/A</v>
      </c>
      <c r="BJ164" s="159" t="e">
        <v>#N/A</v>
      </c>
      <c r="BK164" s="14" t="e">
        <v>#N/A</v>
      </c>
      <c r="BL164" s="14" t="e">
        <v>#N/A</v>
      </c>
      <c r="BM164" s="14" t="e">
        <v>#N/A</v>
      </c>
      <c r="BN164" s="14" t="e">
        <v>#N/A</v>
      </c>
      <c r="BO164" s="14" t="e">
        <v>#N/A</v>
      </c>
      <c r="BP164" s="182" t="e">
        <v>#N/A</v>
      </c>
      <c r="BQ164" s="183" t="e">
        <v>#N/A</v>
      </c>
    </row>
    <row r="165" spans="2:69" x14ac:dyDescent="0.35">
      <c r="B165" s="1">
        <v>146</v>
      </c>
      <c r="C165" t="str">
        <v>Product 12</v>
      </c>
      <c r="D165" s="113">
        <v>59.500000000000007</v>
      </c>
      <c r="E165" s="113">
        <v>87.500000000000014</v>
      </c>
      <c r="F165" s="113">
        <v>68.955687830687822</v>
      </c>
      <c r="G165" s="113">
        <v>98.61405511169086</v>
      </c>
      <c r="H165">
        <v>162.90781250000001</v>
      </c>
      <c r="I165" s="175">
        <v>102.15677475362483</v>
      </c>
      <c r="J165" s="113">
        <v>82.313470205307965</v>
      </c>
      <c r="K165">
        <v>195.48937500000002</v>
      </c>
      <c r="L165">
        <v>12</v>
      </c>
      <c r="M165">
        <v>0</v>
      </c>
      <c r="N165">
        <v>0</v>
      </c>
      <c r="O165" s="1">
        <v>14</v>
      </c>
      <c r="P165" s="138">
        <v>41696</v>
      </c>
      <c r="Q165" s="1">
        <v>61</v>
      </c>
      <c r="R165" s="95">
        <f>CHOOSE($D$4,D165,E165,F165,G165,H165,I165,J165,K165,L165,M165,N165,O165,P165,101-B165)+0.000001*ROWS($A$20:A165)</f>
        <v>98.614201111690861</v>
      </c>
      <c r="S165" s="4">
        <f t="shared" si="34"/>
        <v>126</v>
      </c>
      <c r="T165" s="4"/>
      <c r="U165" s="14">
        <f>ROWS($U$20:U165)</f>
        <v>146</v>
      </c>
      <c r="V165" s="4">
        <v>152</v>
      </c>
      <c r="W165" s="4" t="str">
        <v>Product 3</v>
      </c>
      <c r="X165" s="94">
        <v>97.661712234310357</v>
      </c>
      <c r="Y165" s="94">
        <v>97.902097902097907</v>
      </c>
      <c r="Z165" s="94">
        <v>101.30858931581301</v>
      </c>
      <c r="AA165" s="94">
        <v>98.465948331184023</v>
      </c>
      <c r="AB165" s="4">
        <v>343.25664335664334</v>
      </c>
      <c r="AC165" s="94">
        <v>126.18107503663146</v>
      </c>
      <c r="AD165" s="94">
        <v>0</v>
      </c>
      <c r="AE165" s="4">
        <v>411.90797202797205</v>
      </c>
      <c r="AF165" s="4">
        <v>12</v>
      </c>
      <c r="AG165" s="4">
        <v>0</v>
      </c>
      <c r="AH165" s="4">
        <v>0</v>
      </c>
      <c r="AI165" s="4">
        <v>27</v>
      </c>
      <c r="AJ165" s="139">
        <v>41697</v>
      </c>
      <c r="AK165" s="94">
        <v>88</v>
      </c>
      <c r="AL165" s="162">
        <v>87.494399999999999</v>
      </c>
      <c r="AM165" s="162">
        <v>90</v>
      </c>
      <c r="AN165" s="162">
        <v>98</v>
      </c>
      <c r="AO165" s="162">
        <v>99.2</v>
      </c>
      <c r="AP165" s="17">
        <v>346.08333333333331</v>
      </c>
      <c r="AQ165" s="162">
        <v>0</v>
      </c>
      <c r="AR165" s="162">
        <v>40</v>
      </c>
      <c r="AS165" s="17">
        <v>415.3</v>
      </c>
      <c r="AT165" s="17">
        <v>12</v>
      </c>
      <c r="AU165" s="17">
        <v>0</v>
      </c>
      <c r="AV165" s="17">
        <v>0</v>
      </c>
      <c r="AW165" s="17">
        <v>20</v>
      </c>
      <c r="AX165" s="4">
        <v>101.30858931581301</v>
      </c>
      <c r="AY165" s="4">
        <v>97.902097902097907</v>
      </c>
      <c r="BD165" s="159" t="e">
        <v>#N/A</v>
      </c>
      <c r="BE165" s="159" t="e">
        <v>#N/A</v>
      </c>
      <c r="BF165" s="159" t="e">
        <v>#N/A</v>
      </c>
      <c r="BG165" s="159" t="e">
        <v>#N/A</v>
      </c>
      <c r="BH165" s="14" t="e">
        <v>#N/A</v>
      </c>
      <c r="BI165" s="159" t="e">
        <v>#N/A</v>
      </c>
      <c r="BJ165" s="159" t="e">
        <v>#N/A</v>
      </c>
      <c r="BK165" s="14" t="e">
        <v>#N/A</v>
      </c>
      <c r="BL165" s="14" t="e">
        <v>#N/A</v>
      </c>
      <c r="BM165" s="14" t="e">
        <v>#N/A</v>
      </c>
      <c r="BN165" s="14" t="e">
        <v>#N/A</v>
      </c>
      <c r="BO165" s="14" t="e">
        <v>#N/A</v>
      </c>
      <c r="BP165" s="182" t="e">
        <v>#N/A</v>
      </c>
      <c r="BQ165" s="183" t="e">
        <v>#N/A</v>
      </c>
    </row>
    <row r="166" spans="2:69" x14ac:dyDescent="0.35">
      <c r="B166" s="1">
        <v>147</v>
      </c>
      <c r="C166" t="str">
        <v>Product 2</v>
      </c>
      <c r="D166" s="113">
        <v>91.116426454052956</v>
      </c>
      <c r="E166" s="113">
        <v>93.836246550137986</v>
      </c>
      <c r="F166" s="113">
        <v>98.08645606390705</v>
      </c>
      <c r="G166" s="113">
        <v>98.995854219874062</v>
      </c>
      <c r="H166">
        <v>248.50975160993559</v>
      </c>
      <c r="I166" s="175">
        <v>99.76183177915243</v>
      </c>
      <c r="J166" s="113">
        <v>5.4607950030491752</v>
      </c>
      <c r="K166">
        <v>298.21170193192268</v>
      </c>
      <c r="L166">
        <v>12</v>
      </c>
      <c r="M166">
        <v>0</v>
      </c>
      <c r="N166">
        <v>0</v>
      </c>
      <c r="O166" s="1">
        <v>27</v>
      </c>
      <c r="P166" s="138">
        <v>41696</v>
      </c>
      <c r="Q166" s="1">
        <v>80</v>
      </c>
      <c r="R166" s="95">
        <f>CHOOSE($D$4,D166,E166,F166,G166,H166,I166,J166,K166,L166,M166,N166,O166,P166,101-B166)+0.000001*ROWS($A$20:A166)</f>
        <v>98.99600121987406</v>
      </c>
      <c r="S166" s="4">
        <f t="shared" si="34"/>
        <v>79</v>
      </c>
      <c r="T166" s="4"/>
      <c r="U166" s="14">
        <f>ROWS($U$20:U166)</f>
        <v>147</v>
      </c>
      <c r="V166" s="4">
        <v>154</v>
      </c>
      <c r="W166" s="4" t="str">
        <v>Product 3</v>
      </c>
      <c r="X166" s="94">
        <v>95.085304187980483</v>
      </c>
      <c r="Y166" s="94">
        <v>97.073170731707322</v>
      </c>
      <c r="Z166" s="94">
        <v>99.484056448870888</v>
      </c>
      <c r="AA166" s="94">
        <v>98.460196817496836</v>
      </c>
      <c r="AB166" s="4">
        <v>334.22073170731704</v>
      </c>
      <c r="AC166" s="94">
        <v>119.85786446830377</v>
      </c>
      <c r="AD166" s="94">
        <v>0</v>
      </c>
      <c r="AE166" s="4">
        <v>401.06487804878049</v>
      </c>
      <c r="AF166" s="4">
        <v>12</v>
      </c>
      <c r="AG166" s="4">
        <v>0</v>
      </c>
      <c r="AH166" s="4">
        <v>0</v>
      </c>
      <c r="AI166" s="4">
        <v>22</v>
      </c>
      <c r="AJ166" s="139">
        <v>41695</v>
      </c>
      <c r="AK166" s="94">
        <v>55</v>
      </c>
      <c r="AL166" s="162">
        <v>87.494399999999999</v>
      </c>
      <c r="AM166" s="162">
        <v>90</v>
      </c>
      <c r="AN166" s="162">
        <v>98</v>
      </c>
      <c r="AO166" s="162">
        <v>99.2</v>
      </c>
      <c r="AP166" s="17">
        <v>346.08333333333331</v>
      </c>
      <c r="AQ166" s="162">
        <v>0</v>
      </c>
      <c r="AR166" s="162">
        <v>40</v>
      </c>
      <c r="AS166" s="17">
        <v>415.3</v>
      </c>
      <c r="AT166" s="17">
        <v>12</v>
      </c>
      <c r="AU166" s="17">
        <v>0</v>
      </c>
      <c r="AV166" s="17">
        <v>0</v>
      </c>
      <c r="AW166" s="17">
        <v>20</v>
      </c>
      <c r="AX166" s="4">
        <v>99.484056448870888</v>
      </c>
      <c r="AY166" s="4">
        <v>97.073170731707322</v>
      </c>
      <c r="BD166" s="159" t="e">
        <v>#N/A</v>
      </c>
      <c r="BE166" s="159" t="e">
        <v>#N/A</v>
      </c>
      <c r="BF166" s="159" t="e">
        <v>#N/A</v>
      </c>
      <c r="BG166" s="159" t="e">
        <v>#N/A</v>
      </c>
      <c r="BH166" s="14" t="e">
        <v>#N/A</v>
      </c>
      <c r="BI166" s="159" t="e">
        <v>#N/A</v>
      </c>
      <c r="BJ166" s="159" t="e">
        <v>#N/A</v>
      </c>
      <c r="BK166" s="14" t="e">
        <v>#N/A</v>
      </c>
      <c r="BL166" s="14" t="e">
        <v>#N/A</v>
      </c>
      <c r="BM166" s="14" t="e">
        <v>#N/A</v>
      </c>
      <c r="BN166" s="14" t="e">
        <v>#N/A</v>
      </c>
      <c r="BO166" s="14" t="e">
        <v>#N/A</v>
      </c>
      <c r="BP166" s="182" t="e">
        <v>#N/A</v>
      </c>
      <c r="BQ166" s="183" t="e">
        <v>#N/A</v>
      </c>
    </row>
    <row r="167" spans="2:69" x14ac:dyDescent="0.35">
      <c r="B167" s="1">
        <v>148</v>
      </c>
      <c r="C167" t="str">
        <v>Product 11</v>
      </c>
      <c r="D167" s="113">
        <v>84.184308841843091</v>
      </c>
      <c r="E167" s="113">
        <v>88.219178082191775</v>
      </c>
      <c r="F167" s="113">
        <v>96.367400715226808</v>
      </c>
      <c r="G167" s="113">
        <v>99.0234375</v>
      </c>
      <c r="H167">
        <v>280.54794520547944</v>
      </c>
      <c r="I167" s="175">
        <v>113.24301907658281</v>
      </c>
      <c r="J167" s="113">
        <v>63.136975132490825</v>
      </c>
      <c r="K167">
        <v>336.65753424657538</v>
      </c>
      <c r="L167">
        <v>12</v>
      </c>
      <c r="M167">
        <v>0</v>
      </c>
      <c r="N167">
        <v>0</v>
      </c>
      <c r="O167" s="1">
        <v>16</v>
      </c>
      <c r="P167" s="138">
        <v>41696</v>
      </c>
      <c r="Q167" s="1">
        <v>111</v>
      </c>
      <c r="R167" s="95">
        <f>CHOOSE($D$4,D167,E167,F167,G167,H167,I167,J167,K167,L167,M167,N167,O167,P167,101-B167)+0.000001*ROWS($A$20:A167)</f>
        <v>99.023585499999996</v>
      </c>
      <c r="S167" s="4">
        <f t="shared" si="34"/>
        <v>74</v>
      </c>
      <c r="T167" s="4"/>
      <c r="U167" s="14">
        <f>ROWS($U$20:U167)</f>
        <v>148</v>
      </c>
      <c r="V167" s="4">
        <v>234</v>
      </c>
      <c r="W167" s="4" t="str">
        <v>Product 3</v>
      </c>
      <c r="X167" s="94">
        <v>90.267904814748874</v>
      </c>
      <c r="Y167" s="94">
        <v>92.282608695652158</v>
      </c>
      <c r="Z167" s="94">
        <v>99.346634345813271</v>
      </c>
      <c r="AA167" s="94">
        <v>98.460115448519218</v>
      </c>
      <c r="AB167" s="4">
        <v>317.28804347826082</v>
      </c>
      <c r="AC167" s="94">
        <v>181.04095213877707</v>
      </c>
      <c r="AD167" s="94">
        <v>15.260399202301326</v>
      </c>
      <c r="AE167" s="4">
        <v>380.74565217391302</v>
      </c>
      <c r="AF167" s="4">
        <v>12</v>
      </c>
      <c r="AG167" s="4">
        <v>0</v>
      </c>
      <c r="AH167" s="4">
        <v>0</v>
      </c>
      <c r="AI167" s="4">
        <v>21</v>
      </c>
      <c r="AJ167" s="139">
        <v>41725</v>
      </c>
      <c r="AK167" s="94">
        <v>68</v>
      </c>
      <c r="AL167" s="162">
        <v>87.494399999999999</v>
      </c>
      <c r="AM167" s="162">
        <v>90</v>
      </c>
      <c r="AN167" s="162">
        <v>98</v>
      </c>
      <c r="AO167" s="162">
        <v>99.2</v>
      </c>
      <c r="AP167" s="17">
        <v>346.08333333333331</v>
      </c>
      <c r="AQ167" s="162">
        <v>0</v>
      </c>
      <c r="AR167" s="162">
        <v>40</v>
      </c>
      <c r="AS167" s="17">
        <v>415.3</v>
      </c>
      <c r="AT167" s="17">
        <v>12</v>
      </c>
      <c r="AU167" s="17">
        <v>0</v>
      </c>
      <c r="AV167" s="17">
        <v>0</v>
      </c>
      <c r="AW167" s="17">
        <v>20</v>
      </c>
      <c r="AX167" s="4">
        <v>99.346634345813271</v>
      </c>
      <c r="AY167" s="4">
        <v>92.282608695652158</v>
      </c>
      <c r="BD167" s="159" t="e">
        <v>#N/A</v>
      </c>
      <c r="BE167" s="159" t="e">
        <v>#N/A</v>
      </c>
      <c r="BF167" s="159" t="e">
        <v>#N/A</v>
      </c>
      <c r="BG167" s="159" t="e">
        <v>#N/A</v>
      </c>
      <c r="BH167" s="14" t="e">
        <v>#N/A</v>
      </c>
      <c r="BI167" s="159" t="e">
        <v>#N/A</v>
      </c>
      <c r="BJ167" s="159" t="e">
        <v>#N/A</v>
      </c>
      <c r="BK167" s="14" t="e">
        <v>#N/A</v>
      </c>
      <c r="BL167" s="14" t="e">
        <v>#N/A</v>
      </c>
      <c r="BM167" s="14" t="e">
        <v>#N/A</v>
      </c>
      <c r="BN167" s="14" t="e">
        <v>#N/A</v>
      </c>
      <c r="BO167" s="14" t="e">
        <v>#N/A</v>
      </c>
      <c r="BP167" s="182" t="e">
        <v>#N/A</v>
      </c>
      <c r="BQ167" s="183" t="e">
        <v>#N/A</v>
      </c>
    </row>
    <row r="168" spans="2:69" x14ac:dyDescent="0.35">
      <c r="B168" s="1">
        <v>149</v>
      </c>
      <c r="C168" t="str">
        <v>Product 3</v>
      </c>
      <c r="D168" s="113">
        <v>92.612198781233204</v>
      </c>
      <c r="E168" s="113">
        <v>97.633136094674555</v>
      </c>
      <c r="F168" s="113">
        <v>96.55688111551342</v>
      </c>
      <c r="G168" s="113">
        <v>98.23985810046139</v>
      </c>
      <c r="H168">
        <v>326.25798816568044</v>
      </c>
      <c r="I168" s="175">
        <v>116.16426350252395</v>
      </c>
      <c r="J168" s="113">
        <v>0</v>
      </c>
      <c r="K168">
        <v>391.50958579881654</v>
      </c>
      <c r="L168">
        <v>12</v>
      </c>
      <c r="M168">
        <v>0</v>
      </c>
      <c r="N168">
        <v>0</v>
      </c>
      <c r="O168" s="1">
        <v>15</v>
      </c>
      <c r="P168" s="138">
        <v>41696</v>
      </c>
      <c r="Q168" s="1">
        <v>97</v>
      </c>
      <c r="R168" s="95">
        <f>CHOOSE($D$4,D168,E168,F168,G168,H168,I168,J168,K168,L168,M168,N168,O168,P168,101-B168)+0.000001*ROWS($A$20:A168)</f>
        <v>98.240007100461384</v>
      </c>
      <c r="S168" s="4">
        <f t="shared" si="34"/>
        <v>174</v>
      </c>
      <c r="T168" s="4"/>
      <c r="U168" s="14">
        <f>ROWS($U$20:U168)</f>
        <v>149</v>
      </c>
      <c r="V168" s="4">
        <v>121</v>
      </c>
      <c r="W168" s="4" t="str">
        <v>Product 3</v>
      </c>
      <c r="X168" s="94">
        <v>90.533974312979836</v>
      </c>
      <c r="Y168" s="94">
        <v>95.194805194805184</v>
      </c>
      <c r="Z168" s="94">
        <v>96.595350975707191</v>
      </c>
      <c r="AA168" s="94">
        <v>98.455982730415556</v>
      </c>
      <c r="AB168" s="4">
        <v>332.87259740259736</v>
      </c>
      <c r="AC168" s="94">
        <v>120.50904833772937</v>
      </c>
      <c r="AD168" s="94">
        <v>39.859263153637727</v>
      </c>
      <c r="AE168" s="4">
        <v>399.44711688311691</v>
      </c>
      <c r="AF168" s="4">
        <v>12</v>
      </c>
      <c r="AG168" s="4">
        <v>0</v>
      </c>
      <c r="AH168" s="4">
        <v>0</v>
      </c>
      <c r="AI168" s="4">
        <v>19</v>
      </c>
      <c r="AJ168" s="139">
        <v>41684</v>
      </c>
      <c r="AK168" s="94">
        <v>96</v>
      </c>
      <c r="AL168" s="162">
        <v>87.494399999999999</v>
      </c>
      <c r="AM168" s="162">
        <v>90</v>
      </c>
      <c r="AN168" s="162">
        <v>98</v>
      </c>
      <c r="AO168" s="162">
        <v>99.2</v>
      </c>
      <c r="AP168" s="17">
        <v>362</v>
      </c>
      <c r="AQ168" s="162">
        <v>0</v>
      </c>
      <c r="AR168" s="162">
        <v>40</v>
      </c>
      <c r="AS168" s="17">
        <v>434.4</v>
      </c>
      <c r="AT168" s="17">
        <v>12</v>
      </c>
      <c r="AU168" s="17">
        <v>0</v>
      </c>
      <c r="AV168" s="17">
        <v>0</v>
      </c>
      <c r="AW168" s="17">
        <v>20</v>
      </c>
      <c r="AX168" s="4">
        <v>96.595350975707191</v>
      </c>
      <c r="AY168" s="4">
        <v>95.194805194805184</v>
      </c>
      <c r="BD168" s="159" t="e">
        <v>#N/A</v>
      </c>
      <c r="BE168" s="159" t="e">
        <v>#N/A</v>
      </c>
      <c r="BF168" s="159" t="e">
        <v>#N/A</v>
      </c>
      <c r="BG168" s="159" t="e">
        <v>#N/A</v>
      </c>
      <c r="BH168" s="14" t="e">
        <v>#N/A</v>
      </c>
      <c r="BI168" s="159" t="e">
        <v>#N/A</v>
      </c>
      <c r="BJ168" s="159" t="e">
        <v>#N/A</v>
      </c>
      <c r="BK168" s="14" t="e">
        <v>#N/A</v>
      </c>
      <c r="BL168" s="14" t="e">
        <v>#N/A</v>
      </c>
      <c r="BM168" s="14" t="e">
        <v>#N/A</v>
      </c>
      <c r="BN168" s="14" t="e">
        <v>#N/A</v>
      </c>
      <c r="BO168" s="14" t="e">
        <v>#N/A</v>
      </c>
      <c r="BP168" s="182" t="e">
        <v>#N/A</v>
      </c>
      <c r="BQ168" s="183" t="e">
        <v>#N/A</v>
      </c>
    </row>
    <row r="169" spans="2:69" x14ac:dyDescent="0.35">
      <c r="B169" s="1">
        <v>150</v>
      </c>
      <c r="C169" t="str">
        <v>Product 4</v>
      </c>
      <c r="D169" s="113">
        <v>91.068022886204687</v>
      </c>
      <c r="E169" s="113">
        <v>98.181818181818187</v>
      </c>
      <c r="F169" s="113">
        <v>94.489769489769486</v>
      </c>
      <c r="G169" s="113">
        <v>98.163503049407254</v>
      </c>
      <c r="H169">
        <v>241.20661157024793</v>
      </c>
      <c r="I169" s="175">
        <v>93.144826705814765</v>
      </c>
      <c r="J169" s="113">
        <v>0</v>
      </c>
      <c r="K169">
        <v>289.44793388429747</v>
      </c>
      <c r="L169">
        <v>12</v>
      </c>
      <c r="M169">
        <v>0</v>
      </c>
      <c r="N169">
        <v>0</v>
      </c>
      <c r="O169" s="1">
        <v>20</v>
      </c>
      <c r="P169" s="138">
        <v>41696</v>
      </c>
      <c r="Q169" s="1">
        <v>89</v>
      </c>
      <c r="R169" s="95">
        <f>CHOOSE($D$4,D169,E169,F169,G169,H169,I169,J169,K169,L169,M169,N169,O169,P169,101-B169)+0.000001*ROWS($A$20:A169)</f>
        <v>98.163653049407259</v>
      </c>
      <c r="S169" s="4">
        <f t="shared" si="34"/>
        <v>182</v>
      </c>
      <c r="T169" s="4"/>
      <c r="U169" s="14">
        <f>ROWS($U$20:U169)</f>
        <v>150</v>
      </c>
      <c r="V169" s="4">
        <v>123</v>
      </c>
      <c r="W169" s="4" t="str">
        <v>Product 2</v>
      </c>
      <c r="X169" s="94">
        <v>93.489085545722745</v>
      </c>
      <c r="Y169" s="94">
        <v>90.619469026548686</v>
      </c>
      <c r="Z169" s="94">
        <v>104.79788773148148</v>
      </c>
      <c r="AA169" s="94">
        <v>98.443459977939241</v>
      </c>
      <c r="AB169" s="4">
        <v>256.41168141592919</v>
      </c>
      <c r="AC169" s="94">
        <v>101.86692917538278</v>
      </c>
      <c r="AD169" s="94">
        <v>0</v>
      </c>
      <c r="AE169" s="4">
        <v>307.69401769911508</v>
      </c>
      <c r="AF169" s="4">
        <v>12</v>
      </c>
      <c r="AG169" s="4">
        <v>0</v>
      </c>
      <c r="AH169" s="4">
        <v>0</v>
      </c>
      <c r="AI169" s="4">
        <v>17</v>
      </c>
      <c r="AJ169" s="139">
        <v>41687</v>
      </c>
      <c r="AK169" s="94">
        <v>79</v>
      </c>
      <c r="AL169" s="162">
        <v>87.317999999999998</v>
      </c>
      <c r="AM169" s="162">
        <v>90</v>
      </c>
      <c r="AN169" s="162">
        <v>98</v>
      </c>
      <c r="AO169" s="162">
        <v>99</v>
      </c>
      <c r="AP169" s="17">
        <v>270</v>
      </c>
      <c r="AQ169" s="162">
        <v>0</v>
      </c>
      <c r="AR169" s="162">
        <v>40</v>
      </c>
      <c r="AS169" s="17">
        <v>324</v>
      </c>
      <c r="AT169" s="17">
        <v>12</v>
      </c>
      <c r="AU169" s="17">
        <v>0</v>
      </c>
      <c r="AV169" s="17">
        <v>0</v>
      </c>
      <c r="AW169" s="17">
        <v>20</v>
      </c>
      <c r="AX169" s="4">
        <v>104.79788773148148</v>
      </c>
      <c r="AY169" s="4">
        <v>90.619469026548686</v>
      </c>
      <c r="BD169" s="159">
        <v>93.489085545722745</v>
      </c>
      <c r="BE169" s="159">
        <v>90.619469026548686</v>
      </c>
      <c r="BF169" s="159">
        <v>104.79788773148148</v>
      </c>
      <c r="BG169" s="159">
        <v>98.443459977939241</v>
      </c>
      <c r="BH169" s="14">
        <v>256.41168141592919</v>
      </c>
      <c r="BI169" s="159">
        <v>101.86692917538278</v>
      </c>
      <c r="BJ169" s="159">
        <v>0</v>
      </c>
      <c r="BK169" s="14">
        <v>307.69401769911508</v>
      </c>
      <c r="BL169" s="14">
        <v>12</v>
      </c>
      <c r="BM169" s="14">
        <v>0</v>
      </c>
      <c r="BN169" s="14">
        <v>0</v>
      </c>
      <c r="BO169" s="14">
        <v>17</v>
      </c>
      <c r="BP169" s="182">
        <v>41687</v>
      </c>
      <c r="BQ169" s="183">
        <v>79</v>
      </c>
    </row>
    <row r="170" spans="2:69" x14ac:dyDescent="0.35">
      <c r="B170" s="1">
        <v>151</v>
      </c>
      <c r="C170" t="str">
        <v>Product 3</v>
      </c>
      <c r="D170" s="113">
        <v>79.899888318259116</v>
      </c>
      <c r="E170" s="113">
        <v>83.460949464012259</v>
      </c>
      <c r="F170" s="113">
        <v>98.247326270971655</v>
      </c>
      <c r="G170" s="113">
        <v>97.441084979968494</v>
      </c>
      <c r="H170">
        <v>296.83330781010721</v>
      </c>
      <c r="I170" s="175">
        <v>115.61714882195049</v>
      </c>
      <c r="J170" s="113">
        <v>0</v>
      </c>
      <c r="K170">
        <v>356.19996937212863</v>
      </c>
      <c r="L170">
        <v>12</v>
      </c>
      <c r="M170">
        <v>0</v>
      </c>
      <c r="N170">
        <v>0</v>
      </c>
      <c r="O170" s="1">
        <v>23</v>
      </c>
      <c r="P170" s="138">
        <v>41697</v>
      </c>
      <c r="Q170" s="1">
        <v>65</v>
      </c>
      <c r="R170" s="95">
        <f>CHOOSE($D$4,D170,E170,F170,G170,H170,I170,J170,K170,L170,M170,N170,O170,P170,101-B170)+0.000001*ROWS($A$20:A170)</f>
        <v>97.441235979968496</v>
      </c>
      <c r="S170" s="4">
        <f t="shared" si="34"/>
        <v>218</v>
      </c>
      <c r="T170" s="4"/>
      <c r="U170" s="14">
        <f>ROWS($U$20:U170)</f>
        <v>151</v>
      </c>
      <c r="V170" s="4">
        <v>5</v>
      </c>
      <c r="W170" s="4" t="str">
        <v>Product 3</v>
      </c>
      <c r="X170" s="94">
        <v>94.892505404756193</v>
      </c>
      <c r="Y170" s="94">
        <v>95.797101449275374</v>
      </c>
      <c r="Z170" s="94">
        <v>100.62290519136417</v>
      </c>
      <c r="AA170" s="94">
        <v>98.442513160763795</v>
      </c>
      <c r="AB170" s="4">
        <v>348.94565217391306</v>
      </c>
      <c r="AC170" s="94">
        <v>117.55206960189824</v>
      </c>
      <c r="AD170" s="94">
        <v>43.893427115097829</v>
      </c>
      <c r="AE170" s="4">
        <v>418.7347826086957</v>
      </c>
      <c r="AF170" s="4">
        <v>12</v>
      </c>
      <c r="AG170" s="4">
        <v>0</v>
      </c>
      <c r="AH170" s="4">
        <v>0</v>
      </c>
      <c r="AI170" s="4">
        <v>14</v>
      </c>
      <c r="AJ170" s="139">
        <v>41643</v>
      </c>
      <c r="AK170" s="94">
        <v>71</v>
      </c>
      <c r="AL170" s="162">
        <v>87.494399999999999</v>
      </c>
      <c r="AM170" s="162">
        <v>90</v>
      </c>
      <c r="AN170" s="162">
        <v>98</v>
      </c>
      <c r="AO170" s="162">
        <v>99.2</v>
      </c>
      <c r="AP170" s="17">
        <v>362</v>
      </c>
      <c r="AQ170" s="162">
        <v>0</v>
      </c>
      <c r="AR170" s="162">
        <v>40</v>
      </c>
      <c r="AS170" s="17">
        <v>434.4</v>
      </c>
      <c r="AT170" s="17">
        <v>12</v>
      </c>
      <c r="AU170" s="17">
        <v>0</v>
      </c>
      <c r="AV170" s="17">
        <v>0</v>
      </c>
      <c r="AW170" s="17">
        <v>20</v>
      </c>
      <c r="AX170" s="4">
        <v>100.62290519136417</v>
      </c>
      <c r="AY170" s="4">
        <v>95.797101449275374</v>
      </c>
      <c r="BD170" s="159" t="e">
        <v>#N/A</v>
      </c>
      <c r="BE170" s="159" t="e">
        <v>#N/A</v>
      </c>
      <c r="BF170" s="159" t="e">
        <v>#N/A</v>
      </c>
      <c r="BG170" s="159" t="e">
        <v>#N/A</v>
      </c>
      <c r="BH170" s="14" t="e">
        <v>#N/A</v>
      </c>
      <c r="BI170" s="159" t="e">
        <v>#N/A</v>
      </c>
      <c r="BJ170" s="159" t="e">
        <v>#N/A</v>
      </c>
      <c r="BK170" s="14" t="e">
        <v>#N/A</v>
      </c>
      <c r="BL170" s="14" t="e">
        <v>#N/A</v>
      </c>
      <c r="BM170" s="14" t="e">
        <v>#N/A</v>
      </c>
      <c r="BN170" s="14" t="e">
        <v>#N/A</v>
      </c>
      <c r="BO170" s="14" t="e">
        <v>#N/A</v>
      </c>
      <c r="BP170" s="182" t="e">
        <v>#N/A</v>
      </c>
      <c r="BQ170" s="183" t="e">
        <v>#N/A</v>
      </c>
    </row>
    <row r="171" spans="2:69" x14ac:dyDescent="0.35">
      <c r="B171" s="1">
        <v>152</v>
      </c>
      <c r="C171" t="str">
        <v>Product 3</v>
      </c>
      <c r="D171" s="113">
        <v>97.661712234310357</v>
      </c>
      <c r="E171" s="113">
        <v>97.902097902097907</v>
      </c>
      <c r="F171" s="113">
        <v>101.30858931581301</v>
      </c>
      <c r="G171" s="113">
        <v>98.465948331184023</v>
      </c>
      <c r="H171">
        <v>343.25664335664334</v>
      </c>
      <c r="I171" s="175">
        <v>126.18107503663146</v>
      </c>
      <c r="J171" s="113">
        <v>0</v>
      </c>
      <c r="K171">
        <v>411.90797202797205</v>
      </c>
      <c r="L171">
        <v>12</v>
      </c>
      <c r="M171">
        <v>0</v>
      </c>
      <c r="N171">
        <v>0</v>
      </c>
      <c r="O171" s="1">
        <v>27</v>
      </c>
      <c r="P171" s="138">
        <v>41697</v>
      </c>
      <c r="Q171" s="1">
        <v>88</v>
      </c>
      <c r="R171" s="95">
        <f>CHOOSE($D$4,D171,E171,F171,G171,H171,I171,J171,K171,L171,M171,N171,O171,P171,101-B171)+0.000001*ROWS($A$20:A171)</f>
        <v>98.466100331184023</v>
      </c>
      <c r="S171" s="4">
        <f t="shared" si="34"/>
        <v>146</v>
      </c>
      <c r="T171" s="4"/>
      <c r="U171" s="14">
        <f>ROWS($U$20:U171)</f>
        <v>152</v>
      </c>
      <c r="V171" s="4">
        <v>132</v>
      </c>
      <c r="W171" s="4" t="str">
        <v>Product 23</v>
      </c>
      <c r="X171" s="94">
        <v>111.00628930817614</v>
      </c>
      <c r="Y171" s="94">
        <v>88.836477987421375</v>
      </c>
      <c r="Z171" s="94">
        <v>126.94501172377282</v>
      </c>
      <c r="AA171" s="94">
        <v>98.432975440018112</v>
      </c>
      <c r="AB171" s="4">
        <v>263.8899371069183</v>
      </c>
      <c r="AC171" s="94">
        <v>107.11042328126746</v>
      </c>
      <c r="AD171" s="94">
        <v>0</v>
      </c>
      <c r="AE171" s="4">
        <v>316.66792452830191</v>
      </c>
      <c r="AF171" s="4">
        <v>12</v>
      </c>
      <c r="AG171" s="4">
        <v>0</v>
      </c>
      <c r="AH171" s="4">
        <v>0</v>
      </c>
      <c r="AI171" s="4">
        <v>24</v>
      </c>
      <c r="AJ171" s="139">
        <v>41690</v>
      </c>
      <c r="AK171" s="94">
        <v>41</v>
      </c>
      <c r="AL171" s="162">
        <v>86.87700000000001</v>
      </c>
      <c r="AM171" s="162">
        <v>90</v>
      </c>
      <c r="AN171" s="162">
        <v>98</v>
      </c>
      <c r="AO171" s="162">
        <v>98.5</v>
      </c>
      <c r="AP171" s="17">
        <v>234</v>
      </c>
      <c r="AQ171" s="162">
        <v>0</v>
      </c>
      <c r="AR171" s="162">
        <v>40</v>
      </c>
      <c r="AS171" s="17">
        <v>280.8</v>
      </c>
      <c r="AT171" s="17">
        <v>12</v>
      </c>
      <c r="AU171" s="17">
        <v>0</v>
      </c>
      <c r="AV171" s="17">
        <v>0</v>
      </c>
      <c r="AW171" s="17">
        <v>20</v>
      </c>
      <c r="AX171" s="4">
        <v>126.94501172377282</v>
      </c>
      <c r="AY171" s="4">
        <v>88.836477987421375</v>
      </c>
      <c r="BD171" s="159">
        <v>111.00628930817614</v>
      </c>
      <c r="BE171" s="159">
        <v>88.836477987421375</v>
      </c>
      <c r="BF171" s="159">
        <v>126.94501172377282</v>
      </c>
      <c r="BG171" s="159">
        <v>98.432975440018112</v>
      </c>
      <c r="BH171" s="14">
        <v>263.8899371069183</v>
      </c>
      <c r="BI171" s="159">
        <v>107.11042328126746</v>
      </c>
      <c r="BJ171" s="159">
        <v>0</v>
      </c>
      <c r="BK171" s="14">
        <v>316.66792452830191</v>
      </c>
      <c r="BL171" s="14">
        <v>12</v>
      </c>
      <c r="BM171" s="14">
        <v>0</v>
      </c>
      <c r="BN171" s="14">
        <v>0</v>
      </c>
      <c r="BO171" s="14">
        <v>24</v>
      </c>
      <c r="BP171" s="182">
        <v>41690</v>
      </c>
      <c r="BQ171" s="183">
        <v>41</v>
      </c>
    </row>
    <row r="172" spans="2:69" x14ac:dyDescent="0.35">
      <c r="B172" s="1">
        <v>153</v>
      </c>
      <c r="C172" t="str">
        <v>Product 3</v>
      </c>
      <c r="D172" s="113">
        <v>52.133623284372746</v>
      </c>
      <c r="E172" s="113">
        <v>52.604166666666664</v>
      </c>
      <c r="F172" s="113">
        <v>102.20239216312675</v>
      </c>
      <c r="G172" s="113">
        <v>96.969845413129747</v>
      </c>
      <c r="H172">
        <v>186.06380208333331</v>
      </c>
      <c r="I172" s="175">
        <v>133.46128700849914</v>
      </c>
      <c r="J172" s="113">
        <v>0</v>
      </c>
      <c r="K172">
        <v>223.27656250000001</v>
      </c>
      <c r="L172">
        <v>12</v>
      </c>
      <c r="M172">
        <v>0</v>
      </c>
      <c r="N172">
        <v>0</v>
      </c>
      <c r="O172" s="1">
        <v>15</v>
      </c>
      <c r="P172" s="138">
        <v>41691</v>
      </c>
      <c r="Q172" s="1">
        <v>104</v>
      </c>
      <c r="R172" s="95">
        <f>CHOOSE($D$4,D172,E172,F172,G172,H172,I172,J172,K172,L172,M172,N172,O172,P172,101-B172)+0.000001*ROWS($A$20:A172)</f>
        <v>96.969998413129744</v>
      </c>
      <c r="S172" s="4">
        <f t="shared" si="34"/>
        <v>227</v>
      </c>
      <c r="T172" s="4"/>
      <c r="U172" s="14">
        <f>ROWS($U$20:U172)</f>
        <v>153</v>
      </c>
      <c r="V172" s="4">
        <v>23</v>
      </c>
      <c r="W172" s="4" t="str">
        <v>Product 3</v>
      </c>
      <c r="X172" s="94">
        <v>89.698082252159963</v>
      </c>
      <c r="Y172" s="94">
        <v>89.152542372881371</v>
      </c>
      <c r="Z172" s="94">
        <v>102.22420184593297</v>
      </c>
      <c r="AA172" s="94">
        <v>98.422795715951324</v>
      </c>
      <c r="AB172" s="4">
        <v>315.40468926553672</v>
      </c>
      <c r="AC172" s="94">
        <v>120.75191694154543</v>
      </c>
      <c r="AD172" s="94">
        <v>28.587370966241981</v>
      </c>
      <c r="AE172" s="4">
        <v>378.48562711864406</v>
      </c>
      <c r="AF172" s="4">
        <v>12</v>
      </c>
      <c r="AG172" s="4">
        <v>0</v>
      </c>
      <c r="AH172" s="4">
        <v>0</v>
      </c>
      <c r="AI172" s="4">
        <v>23</v>
      </c>
      <c r="AJ172" s="139">
        <v>41647</v>
      </c>
      <c r="AK172" s="94">
        <v>86</v>
      </c>
      <c r="AL172" s="162">
        <v>87.494399999999999</v>
      </c>
      <c r="AM172" s="162">
        <v>90</v>
      </c>
      <c r="AN172" s="162">
        <v>98</v>
      </c>
      <c r="AO172" s="162">
        <v>99.2</v>
      </c>
      <c r="AP172" s="17">
        <v>346.08333333333331</v>
      </c>
      <c r="AQ172" s="162">
        <v>0</v>
      </c>
      <c r="AR172" s="162">
        <v>40</v>
      </c>
      <c r="AS172" s="17">
        <v>415.3</v>
      </c>
      <c r="AT172" s="17">
        <v>12</v>
      </c>
      <c r="AU172" s="17">
        <v>0</v>
      </c>
      <c r="AV172" s="17">
        <v>0</v>
      </c>
      <c r="AW172" s="17">
        <v>20</v>
      </c>
      <c r="AX172" s="4">
        <v>102.22420184593297</v>
      </c>
      <c r="AY172" s="4">
        <v>89.152542372881371</v>
      </c>
      <c r="BD172" s="159" t="e">
        <v>#N/A</v>
      </c>
      <c r="BE172" s="159" t="e">
        <v>#N/A</v>
      </c>
      <c r="BF172" s="159" t="e">
        <v>#N/A</v>
      </c>
      <c r="BG172" s="159" t="e">
        <v>#N/A</v>
      </c>
      <c r="BH172" s="14" t="e">
        <v>#N/A</v>
      </c>
      <c r="BI172" s="159" t="e">
        <v>#N/A</v>
      </c>
      <c r="BJ172" s="159" t="e">
        <v>#N/A</v>
      </c>
      <c r="BK172" s="14" t="e">
        <v>#N/A</v>
      </c>
      <c r="BL172" s="14" t="e">
        <v>#N/A</v>
      </c>
      <c r="BM172" s="14" t="e">
        <v>#N/A</v>
      </c>
      <c r="BN172" s="14" t="e">
        <v>#N/A</v>
      </c>
      <c r="BO172" s="14" t="e">
        <v>#N/A</v>
      </c>
      <c r="BP172" s="182" t="e">
        <v>#N/A</v>
      </c>
      <c r="BQ172" s="183" t="e">
        <v>#N/A</v>
      </c>
    </row>
    <row r="173" spans="2:69" x14ac:dyDescent="0.35">
      <c r="B173" s="1">
        <v>154</v>
      </c>
      <c r="C173" t="str">
        <v>Product 3</v>
      </c>
      <c r="D173" s="113">
        <v>95.085304187980483</v>
      </c>
      <c r="E173" s="113">
        <v>97.073170731707322</v>
      </c>
      <c r="F173" s="113">
        <v>99.484056448870888</v>
      </c>
      <c r="G173" s="113">
        <v>98.460196817496836</v>
      </c>
      <c r="H173">
        <v>334.22073170731704</v>
      </c>
      <c r="I173" s="175">
        <v>119.85786446830377</v>
      </c>
      <c r="J173" s="113">
        <v>0</v>
      </c>
      <c r="K173">
        <v>401.06487804878049</v>
      </c>
      <c r="L173">
        <v>12</v>
      </c>
      <c r="M173">
        <v>0</v>
      </c>
      <c r="N173">
        <v>0</v>
      </c>
      <c r="O173" s="1">
        <v>22</v>
      </c>
      <c r="P173" s="138">
        <v>41695</v>
      </c>
      <c r="Q173" s="1">
        <v>55</v>
      </c>
      <c r="R173" s="95">
        <f>CHOOSE($D$4,D173,E173,F173,G173,H173,I173,J173,K173,L173,M173,N173,O173,P173,101-B173)+0.000001*ROWS($A$20:A173)</f>
        <v>98.460350817496831</v>
      </c>
      <c r="S173" s="4">
        <f t="shared" si="34"/>
        <v>147</v>
      </c>
      <c r="T173" s="4"/>
      <c r="U173" s="14">
        <f>ROWS($U$20:U173)</f>
        <v>154</v>
      </c>
      <c r="V173" s="4">
        <v>186</v>
      </c>
      <c r="W173" s="4" t="str">
        <v>Product 3</v>
      </c>
      <c r="X173" s="94">
        <v>72.432596057927142</v>
      </c>
      <c r="Y173" s="94">
        <v>79.809523809523824</v>
      </c>
      <c r="Z173" s="94">
        <v>92.211915704034269</v>
      </c>
      <c r="AA173" s="94">
        <v>98.422022876929006</v>
      </c>
      <c r="AB173" s="4">
        <v>254.69619047619045</v>
      </c>
      <c r="AC173" s="94">
        <v>174.62828859301439</v>
      </c>
      <c r="AD173" s="94">
        <v>0</v>
      </c>
      <c r="AE173" s="4">
        <v>305.63542857142858</v>
      </c>
      <c r="AF173" s="4">
        <v>12</v>
      </c>
      <c r="AG173" s="4">
        <v>0</v>
      </c>
      <c r="AH173" s="4">
        <v>0</v>
      </c>
      <c r="AI173" s="4">
        <v>24</v>
      </c>
      <c r="AJ173" s="139">
        <v>41710</v>
      </c>
      <c r="AK173" s="94">
        <v>86</v>
      </c>
      <c r="AL173" s="162">
        <v>87.494399999999999</v>
      </c>
      <c r="AM173" s="162">
        <v>90</v>
      </c>
      <c r="AN173" s="162">
        <v>98</v>
      </c>
      <c r="AO173" s="162">
        <v>99.2</v>
      </c>
      <c r="AP173" s="17">
        <v>346.08333333333331</v>
      </c>
      <c r="AQ173" s="162">
        <v>0</v>
      </c>
      <c r="AR173" s="162">
        <v>40</v>
      </c>
      <c r="AS173" s="17">
        <v>415.3</v>
      </c>
      <c r="AT173" s="17">
        <v>12</v>
      </c>
      <c r="AU173" s="17">
        <v>0</v>
      </c>
      <c r="AV173" s="17">
        <v>0</v>
      </c>
      <c r="AW173" s="17">
        <v>20</v>
      </c>
      <c r="AX173" s="4">
        <v>92.211915704034269</v>
      </c>
      <c r="AY173" s="4">
        <v>79.809523809523824</v>
      </c>
      <c r="BD173" s="159" t="e">
        <v>#N/A</v>
      </c>
      <c r="BE173" s="159" t="e">
        <v>#N/A</v>
      </c>
      <c r="BF173" s="159" t="e">
        <v>#N/A</v>
      </c>
      <c r="BG173" s="159" t="e">
        <v>#N/A</v>
      </c>
      <c r="BH173" s="14" t="e">
        <v>#N/A</v>
      </c>
      <c r="BI173" s="159" t="e">
        <v>#N/A</v>
      </c>
      <c r="BJ173" s="159" t="e">
        <v>#N/A</v>
      </c>
      <c r="BK173" s="14" t="e">
        <v>#N/A</v>
      </c>
      <c r="BL173" s="14" t="e">
        <v>#N/A</v>
      </c>
      <c r="BM173" s="14" t="e">
        <v>#N/A</v>
      </c>
      <c r="BN173" s="14" t="e">
        <v>#N/A</v>
      </c>
      <c r="BO173" s="14" t="e">
        <v>#N/A</v>
      </c>
      <c r="BP173" s="182" t="e">
        <v>#N/A</v>
      </c>
      <c r="BQ173" s="183" t="e">
        <v>#N/A</v>
      </c>
    </row>
    <row r="174" spans="2:69" x14ac:dyDescent="0.35">
      <c r="B174" s="1">
        <v>155</v>
      </c>
      <c r="C174" t="str">
        <v>Product 5</v>
      </c>
      <c r="D174" s="113">
        <v>80.978097868981834</v>
      </c>
      <c r="E174" s="113">
        <v>88.571428571428584</v>
      </c>
      <c r="F174" s="113">
        <v>93.235831402602017</v>
      </c>
      <c r="G174" s="113">
        <v>98.059815969243786</v>
      </c>
      <c r="H174">
        <v>298.94071428571425</v>
      </c>
      <c r="I174" s="175">
        <v>109.75076966648658</v>
      </c>
      <c r="J174" s="113">
        <v>100</v>
      </c>
      <c r="K174">
        <v>358.72885714285712</v>
      </c>
      <c r="L174">
        <v>12</v>
      </c>
      <c r="M174">
        <v>0</v>
      </c>
      <c r="N174">
        <v>0</v>
      </c>
      <c r="O174" s="1">
        <v>22</v>
      </c>
      <c r="P174" s="138">
        <v>41698</v>
      </c>
      <c r="Q174" s="1">
        <v>112</v>
      </c>
      <c r="R174" s="95">
        <f>CHOOSE($D$4,D174,E174,F174,G174,H174,I174,J174,K174,L174,M174,N174,O174,P174,101-B174)+0.000001*ROWS($A$20:A174)</f>
        <v>98.059970969243793</v>
      </c>
      <c r="S174" s="4">
        <f t="shared" si="34"/>
        <v>187</v>
      </c>
      <c r="T174" s="4"/>
      <c r="U174" s="14">
        <f>ROWS($U$20:U174)</f>
        <v>155</v>
      </c>
      <c r="V174" s="4">
        <v>11</v>
      </c>
      <c r="W174" s="4" t="str">
        <v>Product 7</v>
      </c>
      <c r="X174" s="94">
        <v>86.865342163355422</v>
      </c>
      <c r="Y174" s="94">
        <v>79.47019867549669</v>
      </c>
      <c r="Z174" s="94">
        <v>111.05947293447294</v>
      </c>
      <c r="AA174" s="94">
        <v>98.420740408202533</v>
      </c>
      <c r="AB174" s="4">
        <v>206.52649006622519</v>
      </c>
      <c r="AC174" s="94">
        <v>85.723906649440622</v>
      </c>
      <c r="AD174" s="94">
        <v>0</v>
      </c>
      <c r="AE174" s="4">
        <v>247.83178807947019</v>
      </c>
      <c r="AF174" s="4">
        <v>12</v>
      </c>
      <c r="AG174" s="4">
        <v>0</v>
      </c>
      <c r="AH174" s="4">
        <v>0</v>
      </c>
      <c r="AI174" s="4">
        <v>20</v>
      </c>
      <c r="AJ174" s="139">
        <v>41645</v>
      </c>
      <c r="AK174" s="94">
        <v>69</v>
      </c>
      <c r="AL174" s="162">
        <v>86.87700000000001</v>
      </c>
      <c r="AM174" s="162">
        <v>90</v>
      </c>
      <c r="AN174" s="162">
        <v>98</v>
      </c>
      <c r="AO174" s="162">
        <v>98.5</v>
      </c>
      <c r="AP174" s="17">
        <v>234</v>
      </c>
      <c r="AQ174" s="162">
        <v>0</v>
      </c>
      <c r="AR174" s="162">
        <v>40</v>
      </c>
      <c r="AS174" s="17">
        <v>280.8</v>
      </c>
      <c r="AT174" s="17">
        <v>12</v>
      </c>
      <c r="AU174" s="17">
        <v>0</v>
      </c>
      <c r="AV174" s="17">
        <v>0</v>
      </c>
      <c r="AW174" s="17">
        <v>20</v>
      </c>
      <c r="AX174" s="4">
        <v>111.05947293447294</v>
      </c>
      <c r="AY174" s="4">
        <v>79.47019867549669</v>
      </c>
      <c r="BD174" s="159" t="e">
        <v>#N/A</v>
      </c>
      <c r="BE174" s="159" t="e">
        <v>#N/A</v>
      </c>
      <c r="BF174" s="159" t="e">
        <v>#N/A</v>
      </c>
      <c r="BG174" s="159" t="e">
        <v>#N/A</v>
      </c>
      <c r="BH174" s="14" t="e">
        <v>#N/A</v>
      </c>
      <c r="BI174" s="159" t="e">
        <v>#N/A</v>
      </c>
      <c r="BJ174" s="159" t="e">
        <v>#N/A</v>
      </c>
      <c r="BK174" s="14" t="e">
        <v>#N/A</v>
      </c>
      <c r="BL174" s="14" t="e">
        <v>#N/A</v>
      </c>
      <c r="BM174" s="14" t="e">
        <v>#N/A</v>
      </c>
      <c r="BN174" s="14" t="e">
        <v>#N/A</v>
      </c>
      <c r="BO174" s="14" t="e">
        <v>#N/A</v>
      </c>
      <c r="BP174" s="182" t="e">
        <v>#N/A</v>
      </c>
      <c r="BQ174" s="183" t="e">
        <v>#N/A</v>
      </c>
    </row>
    <row r="175" spans="2:69" x14ac:dyDescent="0.35">
      <c r="B175" s="1">
        <v>156</v>
      </c>
      <c r="C175" t="str">
        <v>Product 3</v>
      </c>
      <c r="D175" s="113">
        <v>86.878453038674024</v>
      </c>
      <c r="E175" s="113">
        <v>89.743589743589737</v>
      </c>
      <c r="F175" s="113">
        <v>97.801894238358329</v>
      </c>
      <c r="G175" s="113">
        <v>98.983173949885</v>
      </c>
      <c r="H175">
        <v>317.73076923076923</v>
      </c>
      <c r="I175" s="175">
        <v>92.542942494398801</v>
      </c>
      <c r="J175" s="113">
        <v>0</v>
      </c>
      <c r="K175">
        <v>381.27692307692308</v>
      </c>
      <c r="L175">
        <v>12</v>
      </c>
      <c r="M175">
        <v>0</v>
      </c>
      <c r="N175">
        <v>0</v>
      </c>
      <c r="O175" s="1">
        <v>28</v>
      </c>
      <c r="P175" s="138">
        <v>41698</v>
      </c>
      <c r="Q175" s="1">
        <v>61</v>
      </c>
      <c r="R175" s="95">
        <f>CHOOSE($D$4,D175,E175,F175,G175,H175,I175,J175,K175,L175,M175,N175,O175,P175,101-B175)+0.000001*ROWS($A$20:A175)</f>
        <v>98.983329949885004</v>
      </c>
      <c r="S175" s="4">
        <f t="shared" si="34"/>
        <v>84</v>
      </c>
      <c r="T175" s="4"/>
      <c r="U175" s="14">
        <f>ROWS($U$20:U175)</f>
        <v>156</v>
      </c>
      <c r="V175" s="4">
        <v>203</v>
      </c>
      <c r="W175" s="4" t="str">
        <v>Product 3</v>
      </c>
      <c r="X175" s="94">
        <v>89.832625819317201</v>
      </c>
      <c r="Y175" s="94">
        <v>93.812154696132609</v>
      </c>
      <c r="Z175" s="94">
        <v>97.303120312363063</v>
      </c>
      <c r="AA175" s="94">
        <v>98.4120357893555</v>
      </c>
      <c r="AB175" s="4">
        <v>315.91232044198892</v>
      </c>
      <c r="AC175" s="94">
        <v>180.0211881749205</v>
      </c>
      <c r="AD175" s="94">
        <v>0</v>
      </c>
      <c r="AE175" s="4">
        <v>379.09478453038673</v>
      </c>
      <c r="AF175" s="4">
        <v>12</v>
      </c>
      <c r="AG175" s="4">
        <v>0</v>
      </c>
      <c r="AH175" s="4">
        <v>0</v>
      </c>
      <c r="AI175" s="4">
        <v>27</v>
      </c>
      <c r="AJ175" s="139">
        <v>41716</v>
      </c>
      <c r="AK175" s="94">
        <v>91</v>
      </c>
      <c r="AL175" s="162">
        <v>87.494399999999999</v>
      </c>
      <c r="AM175" s="162">
        <v>90</v>
      </c>
      <c r="AN175" s="162">
        <v>98</v>
      </c>
      <c r="AO175" s="162">
        <v>99.2</v>
      </c>
      <c r="AP175" s="17">
        <v>346.08333333333331</v>
      </c>
      <c r="AQ175" s="162">
        <v>0</v>
      </c>
      <c r="AR175" s="162">
        <v>40</v>
      </c>
      <c r="AS175" s="17">
        <v>415.3</v>
      </c>
      <c r="AT175" s="17">
        <v>12</v>
      </c>
      <c r="AU175" s="17">
        <v>0</v>
      </c>
      <c r="AV175" s="17">
        <v>0</v>
      </c>
      <c r="AW175" s="17">
        <v>20</v>
      </c>
      <c r="AX175" s="4">
        <v>97.303120312363063</v>
      </c>
      <c r="AY175" s="4">
        <v>93.812154696132609</v>
      </c>
      <c r="BD175" s="159" t="e">
        <v>#N/A</v>
      </c>
      <c r="BE175" s="159" t="e">
        <v>#N/A</v>
      </c>
      <c r="BF175" s="159" t="e">
        <v>#N/A</v>
      </c>
      <c r="BG175" s="159" t="e">
        <v>#N/A</v>
      </c>
      <c r="BH175" s="14" t="e">
        <v>#N/A</v>
      </c>
      <c r="BI175" s="159" t="e">
        <v>#N/A</v>
      </c>
      <c r="BJ175" s="159" t="e">
        <v>#N/A</v>
      </c>
      <c r="BK175" s="14" t="e">
        <v>#N/A</v>
      </c>
      <c r="BL175" s="14" t="e">
        <v>#N/A</v>
      </c>
      <c r="BM175" s="14" t="e">
        <v>#N/A</v>
      </c>
      <c r="BN175" s="14" t="e">
        <v>#N/A</v>
      </c>
      <c r="BO175" s="14" t="e">
        <v>#N/A</v>
      </c>
      <c r="BP175" s="182" t="e">
        <v>#N/A</v>
      </c>
      <c r="BQ175" s="183" t="e">
        <v>#N/A</v>
      </c>
    </row>
    <row r="176" spans="2:69" x14ac:dyDescent="0.35">
      <c r="B176" s="1">
        <v>157</v>
      </c>
      <c r="C176" t="str">
        <v>Product 3</v>
      </c>
      <c r="D176" s="113">
        <v>80.512166392253064</v>
      </c>
      <c r="E176" s="113">
        <v>86.35135135135134</v>
      </c>
      <c r="F176" s="113">
        <v>95.365418290302046</v>
      </c>
      <c r="G176" s="113">
        <v>97.769063718005853</v>
      </c>
      <c r="H176">
        <v>284.99729729729722</v>
      </c>
      <c r="I176" s="175">
        <v>119.24235999208435</v>
      </c>
      <c r="J176" s="113">
        <v>0</v>
      </c>
      <c r="K176">
        <v>341.99675675675667</v>
      </c>
      <c r="L176">
        <v>12</v>
      </c>
      <c r="M176">
        <v>0</v>
      </c>
      <c r="N176">
        <v>0</v>
      </c>
      <c r="O176" s="1">
        <v>20</v>
      </c>
      <c r="P176" s="138">
        <v>41698</v>
      </c>
      <c r="Q176" s="1">
        <v>83</v>
      </c>
      <c r="R176" s="95">
        <f>CHOOSE($D$4,D176,E176,F176,G176,H176,I176,J176,K176,L176,M176,N176,O176,P176,101-B176)+0.000001*ROWS($A$20:A176)</f>
        <v>97.769220718005855</v>
      </c>
      <c r="S176" s="4">
        <f t="shared" si="34"/>
        <v>205</v>
      </c>
      <c r="T176" s="4"/>
      <c r="U176" s="14">
        <f>ROWS($U$20:U176)</f>
        <v>157</v>
      </c>
      <c r="V176" s="4">
        <v>81</v>
      </c>
      <c r="W176" s="4" t="str">
        <v>Product 4</v>
      </c>
      <c r="X176" s="94">
        <v>72.65886287625419</v>
      </c>
      <c r="Y176" s="94">
        <v>80.724637681159422</v>
      </c>
      <c r="Z176" s="94">
        <v>91.48598259908853</v>
      </c>
      <c r="AA176" s="94">
        <v>98.384783757264699</v>
      </c>
      <c r="AB176" s="4">
        <v>192.01449275362319</v>
      </c>
      <c r="AC176" s="94">
        <v>91.21043663838357</v>
      </c>
      <c r="AD176" s="94">
        <v>0</v>
      </c>
      <c r="AE176" s="4">
        <v>230.41739130434786</v>
      </c>
      <c r="AF176" s="4">
        <v>12</v>
      </c>
      <c r="AG176" s="4">
        <v>0</v>
      </c>
      <c r="AH176" s="4">
        <v>0</v>
      </c>
      <c r="AI176" s="4">
        <v>22</v>
      </c>
      <c r="AJ176" s="139">
        <v>41666</v>
      </c>
      <c r="AK176" s="94">
        <v>95</v>
      </c>
      <c r="AL176" s="162">
        <v>87.097500000000011</v>
      </c>
      <c r="AM176" s="162">
        <v>90</v>
      </c>
      <c r="AN176" s="162">
        <v>98</v>
      </c>
      <c r="AO176" s="162">
        <v>98.75</v>
      </c>
      <c r="AP176" s="17">
        <v>260</v>
      </c>
      <c r="AQ176" s="162">
        <v>0</v>
      </c>
      <c r="AR176" s="162">
        <v>40</v>
      </c>
      <c r="AS176" s="17">
        <v>312</v>
      </c>
      <c r="AT176" s="17">
        <v>12</v>
      </c>
      <c r="AU176" s="17">
        <v>0</v>
      </c>
      <c r="AV176" s="17">
        <v>0</v>
      </c>
      <c r="AW176" s="17">
        <v>20</v>
      </c>
      <c r="AX176" s="4">
        <v>91.48598259908853</v>
      </c>
      <c r="AY176" s="4">
        <v>80.724637681159422</v>
      </c>
      <c r="BD176" s="159" t="e">
        <v>#N/A</v>
      </c>
      <c r="BE176" s="159" t="e">
        <v>#N/A</v>
      </c>
      <c r="BF176" s="159" t="e">
        <v>#N/A</v>
      </c>
      <c r="BG176" s="159" t="e">
        <v>#N/A</v>
      </c>
      <c r="BH176" s="14" t="e">
        <v>#N/A</v>
      </c>
      <c r="BI176" s="159" t="e">
        <v>#N/A</v>
      </c>
      <c r="BJ176" s="159" t="e">
        <v>#N/A</v>
      </c>
      <c r="BK176" s="14" t="e">
        <v>#N/A</v>
      </c>
      <c r="BL176" s="14" t="e">
        <v>#N/A</v>
      </c>
      <c r="BM176" s="14" t="e">
        <v>#N/A</v>
      </c>
      <c r="BN176" s="14" t="e">
        <v>#N/A</v>
      </c>
      <c r="BO176" s="14" t="e">
        <v>#N/A</v>
      </c>
      <c r="BP176" s="182" t="e">
        <v>#N/A</v>
      </c>
      <c r="BQ176" s="183" t="e">
        <v>#N/A</v>
      </c>
    </row>
    <row r="177" spans="2:69" x14ac:dyDescent="0.35">
      <c r="B177" s="1">
        <v>158</v>
      </c>
      <c r="C177" t="str">
        <v>Product 2</v>
      </c>
      <c r="D177" s="113">
        <v>88.959218559218556</v>
      </c>
      <c r="E177" s="113">
        <v>89.010989010989022</v>
      </c>
      <c r="F177" s="113">
        <v>100.94549611339734</v>
      </c>
      <c r="G177" s="113">
        <v>99.00574268530103</v>
      </c>
      <c r="H177">
        <v>242.601978021978</v>
      </c>
      <c r="I177" s="175">
        <v>106.50447451576332</v>
      </c>
      <c r="J177" s="113">
        <v>0</v>
      </c>
      <c r="K177">
        <v>291.12237362637359</v>
      </c>
      <c r="L177">
        <v>12</v>
      </c>
      <c r="M177">
        <v>0</v>
      </c>
      <c r="N177">
        <v>0</v>
      </c>
      <c r="O177" s="1">
        <v>23</v>
      </c>
      <c r="P177" s="138">
        <v>41701</v>
      </c>
      <c r="Q177" s="1">
        <v>82</v>
      </c>
      <c r="R177" s="95">
        <f>CHOOSE($D$4,D177,E177,F177,G177,H177,I177,J177,K177,L177,M177,N177,O177,P177,101-B177)+0.000001*ROWS($A$20:A177)</f>
        <v>99.005900685301029</v>
      </c>
      <c r="S177" s="4">
        <f t="shared" si="34"/>
        <v>77</v>
      </c>
      <c r="T177" s="4"/>
      <c r="U177" s="14">
        <f>ROWS($U$20:U177)</f>
        <v>158</v>
      </c>
      <c r="V177" s="4">
        <v>243</v>
      </c>
      <c r="W177" s="4" t="str">
        <v>Product 3</v>
      </c>
      <c r="X177" s="94">
        <v>80.670615708834077</v>
      </c>
      <c r="Y177" s="94">
        <v>81.030927835051529</v>
      </c>
      <c r="Z177" s="94">
        <v>101.19311711863695</v>
      </c>
      <c r="AA177" s="94">
        <v>98.381533084103324</v>
      </c>
      <c r="AB177" s="4">
        <v>296.83175257731961</v>
      </c>
      <c r="AC177" s="94">
        <v>171.45133533807723</v>
      </c>
      <c r="AD177" s="94">
        <v>0</v>
      </c>
      <c r="AE177" s="4">
        <v>356.19810309278353</v>
      </c>
      <c r="AF177" s="4">
        <v>12</v>
      </c>
      <c r="AG177" s="4">
        <v>0</v>
      </c>
      <c r="AH177" s="4">
        <v>0</v>
      </c>
      <c r="AI177" s="4">
        <v>15</v>
      </c>
      <c r="AJ177" s="139">
        <v>41726</v>
      </c>
      <c r="AK177" s="94">
        <v>109</v>
      </c>
      <c r="AL177" s="162">
        <v>87.494399999999999</v>
      </c>
      <c r="AM177" s="162">
        <v>90</v>
      </c>
      <c r="AN177" s="162">
        <v>98</v>
      </c>
      <c r="AO177" s="162">
        <v>99.2</v>
      </c>
      <c r="AP177" s="17">
        <v>362</v>
      </c>
      <c r="AQ177" s="162">
        <v>0</v>
      </c>
      <c r="AR177" s="162">
        <v>40</v>
      </c>
      <c r="AS177" s="17">
        <v>434.4</v>
      </c>
      <c r="AT177" s="17">
        <v>12</v>
      </c>
      <c r="AU177" s="17">
        <v>0</v>
      </c>
      <c r="AV177" s="17">
        <v>0</v>
      </c>
      <c r="AW177" s="17">
        <v>20</v>
      </c>
      <c r="AX177" s="4">
        <v>101.19311711863695</v>
      </c>
      <c r="AY177" s="4">
        <v>81.030927835051529</v>
      </c>
      <c r="BD177" s="159" t="e">
        <v>#N/A</v>
      </c>
      <c r="BE177" s="159" t="e">
        <v>#N/A</v>
      </c>
      <c r="BF177" s="159" t="e">
        <v>#N/A</v>
      </c>
      <c r="BG177" s="159" t="e">
        <v>#N/A</v>
      </c>
      <c r="BH177" s="14" t="e">
        <v>#N/A</v>
      </c>
      <c r="BI177" s="159" t="e">
        <v>#N/A</v>
      </c>
      <c r="BJ177" s="159" t="e">
        <v>#N/A</v>
      </c>
      <c r="BK177" s="14" t="e">
        <v>#N/A</v>
      </c>
      <c r="BL177" s="14" t="e">
        <v>#N/A</v>
      </c>
      <c r="BM177" s="14" t="e">
        <v>#N/A</v>
      </c>
      <c r="BN177" s="14" t="e">
        <v>#N/A</v>
      </c>
      <c r="BO177" s="14" t="e">
        <v>#N/A</v>
      </c>
      <c r="BP177" s="182" t="e">
        <v>#N/A</v>
      </c>
      <c r="BQ177" s="183" t="e">
        <v>#N/A</v>
      </c>
    </row>
    <row r="178" spans="2:69" x14ac:dyDescent="0.35">
      <c r="B178" s="1">
        <v>159</v>
      </c>
      <c r="C178" t="str">
        <v>Product 3</v>
      </c>
      <c r="D178" s="113">
        <v>96.862427864519233</v>
      </c>
      <c r="E178" s="113">
        <v>98.12734082397003</v>
      </c>
      <c r="F178" s="113">
        <v>99.892655543771369</v>
      </c>
      <c r="G178" s="113">
        <v>98.817022075262344</v>
      </c>
      <c r="H178">
        <v>339.23782771535582</v>
      </c>
      <c r="I178" s="175">
        <v>121.71512346674407</v>
      </c>
      <c r="J178" s="113">
        <v>25.686629153269024</v>
      </c>
      <c r="K178">
        <v>407.08539325842696</v>
      </c>
      <c r="L178">
        <v>12</v>
      </c>
      <c r="M178">
        <v>0</v>
      </c>
      <c r="N178">
        <v>0</v>
      </c>
      <c r="O178" s="1">
        <v>26</v>
      </c>
      <c r="P178" s="138">
        <v>41701</v>
      </c>
      <c r="Q178" s="1">
        <v>53</v>
      </c>
      <c r="R178" s="95">
        <f>CHOOSE($D$4,D178,E178,F178,G178,H178,I178,J178,K178,L178,M178,N178,O178,P178,101-B178)+0.000001*ROWS($A$20:A178)</f>
        <v>98.81718107526234</v>
      </c>
      <c r="S178" s="4">
        <f t="shared" si="34"/>
        <v>101</v>
      </c>
      <c r="T178" s="4"/>
      <c r="U178" s="14">
        <f>ROWS($U$20:U178)</f>
        <v>159</v>
      </c>
      <c r="V178" s="4">
        <v>172</v>
      </c>
      <c r="W178" s="4" t="str">
        <v>Product 6</v>
      </c>
      <c r="X178" s="94">
        <v>66.857142857142847</v>
      </c>
      <c r="Y178" s="94">
        <v>100</v>
      </c>
      <c r="Z178" s="94">
        <v>67.960084033613441</v>
      </c>
      <c r="AA178" s="94">
        <v>98.377075025503103</v>
      </c>
      <c r="AB178" s="4">
        <v>207.95785714285714</v>
      </c>
      <c r="AC178" s="94">
        <v>143.56065088757396</v>
      </c>
      <c r="AD178" s="94">
        <v>43.22233875196644</v>
      </c>
      <c r="AE178" s="4">
        <v>249.54942857142856</v>
      </c>
      <c r="AF178" s="4">
        <v>12</v>
      </c>
      <c r="AG178" s="4">
        <v>0</v>
      </c>
      <c r="AH178" s="4">
        <v>0</v>
      </c>
      <c r="AI178" s="4">
        <v>22</v>
      </c>
      <c r="AJ178" s="139">
        <v>41705</v>
      </c>
      <c r="AK178" s="94">
        <v>73</v>
      </c>
      <c r="AL178" s="162">
        <v>86.87700000000001</v>
      </c>
      <c r="AM178" s="162">
        <v>90</v>
      </c>
      <c r="AN178" s="162">
        <v>98</v>
      </c>
      <c r="AO178" s="162">
        <v>98.5</v>
      </c>
      <c r="AP178" s="17">
        <v>306</v>
      </c>
      <c r="AQ178" s="162">
        <v>0</v>
      </c>
      <c r="AR178" s="162">
        <v>40</v>
      </c>
      <c r="AS178" s="17">
        <v>367.19999999999993</v>
      </c>
      <c r="AT178" s="17">
        <v>12</v>
      </c>
      <c r="AU178" s="17">
        <v>0</v>
      </c>
      <c r="AV178" s="17">
        <v>0</v>
      </c>
      <c r="AW178" s="17">
        <v>20</v>
      </c>
      <c r="AX178" s="4">
        <v>67.960084033613441</v>
      </c>
      <c r="AY178" s="4">
        <v>100</v>
      </c>
      <c r="BD178" s="159" t="e">
        <v>#N/A</v>
      </c>
      <c r="BE178" s="159" t="e">
        <v>#N/A</v>
      </c>
      <c r="BF178" s="159" t="e">
        <v>#N/A</v>
      </c>
      <c r="BG178" s="159" t="e">
        <v>#N/A</v>
      </c>
      <c r="BH178" s="14" t="e">
        <v>#N/A</v>
      </c>
      <c r="BI178" s="159" t="e">
        <v>#N/A</v>
      </c>
      <c r="BJ178" s="159" t="e">
        <v>#N/A</v>
      </c>
      <c r="BK178" s="14" t="e">
        <v>#N/A</v>
      </c>
      <c r="BL178" s="14" t="e">
        <v>#N/A</v>
      </c>
      <c r="BM178" s="14" t="e">
        <v>#N/A</v>
      </c>
      <c r="BN178" s="14" t="e">
        <v>#N/A</v>
      </c>
      <c r="BO178" s="14" t="e">
        <v>#N/A</v>
      </c>
      <c r="BP178" s="182" t="e">
        <v>#N/A</v>
      </c>
      <c r="BQ178" s="183" t="e">
        <v>#N/A</v>
      </c>
    </row>
    <row r="179" spans="2:69" x14ac:dyDescent="0.35">
      <c r="B179" s="1">
        <v>160</v>
      </c>
      <c r="C179" t="str">
        <v>Product 4</v>
      </c>
      <c r="D179" s="113">
        <v>82.816377171215876</v>
      </c>
      <c r="E179" s="113">
        <v>91.505376344086017</v>
      </c>
      <c r="F179" s="113">
        <v>91.561963301093726</v>
      </c>
      <c r="G179" s="113">
        <v>98.844957796534871</v>
      </c>
      <c r="H179">
        <v>217.83870967741936</v>
      </c>
      <c r="I179" s="175">
        <v>93.857932104842533</v>
      </c>
      <c r="J179" s="113">
        <v>16.917797672730472</v>
      </c>
      <c r="K179">
        <v>261.4064516129032</v>
      </c>
      <c r="L179">
        <v>12</v>
      </c>
      <c r="M179">
        <v>0</v>
      </c>
      <c r="N179">
        <v>0</v>
      </c>
      <c r="O179" s="1">
        <v>25</v>
      </c>
      <c r="P179" s="138">
        <v>41701</v>
      </c>
      <c r="Q179" s="1">
        <v>87</v>
      </c>
      <c r="R179" s="95">
        <f>CHOOSE($D$4,D179,E179,F179,G179,H179,I179,J179,K179,L179,M179,N179,O179,P179,101-B179)+0.000001*ROWS($A$20:A179)</f>
        <v>98.845117796534865</v>
      </c>
      <c r="S179" s="4">
        <f t="shared" si="34"/>
        <v>96</v>
      </c>
      <c r="T179" s="4"/>
      <c r="U179" s="14">
        <f>ROWS($U$20:U179)</f>
        <v>160</v>
      </c>
      <c r="V179" s="4">
        <v>116</v>
      </c>
      <c r="W179" s="4" t="str">
        <v>Product 4</v>
      </c>
      <c r="X179" s="94">
        <v>60.519230769230766</v>
      </c>
      <c r="Y179" s="94">
        <v>78.199999999999974</v>
      </c>
      <c r="Z179" s="94">
        <v>78.671552232933323</v>
      </c>
      <c r="AA179" s="94">
        <v>98.371416961020287</v>
      </c>
      <c r="AB179" s="4">
        <v>159.95500000000001</v>
      </c>
      <c r="AC179" s="94">
        <v>90.280795823338508</v>
      </c>
      <c r="AD179" s="94">
        <v>0</v>
      </c>
      <c r="AE179" s="4">
        <v>191.94599999999997</v>
      </c>
      <c r="AF179" s="4">
        <v>12</v>
      </c>
      <c r="AG179" s="4">
        <v>0</v>
      </c>
      <c r="AH179" s="4">
        <v>0</v>
      </c>
      <c r="AI179" s="4">
        <v>22</v>
      </c>
      <c r="AJ179" s="139">
        <v>41683</v>
      </c>
      <c r="AK179" s="94">
        <v>90</v>
      </c>
      <c r="AL179" s="162">
        <v>87.097500000000011</v>
      </c>
      <c r="AM179" s="162">
        <v>90</v>
      </c>
      <c r="AN179" s="162">
        <v>98</v>
      </c>
      <c r="AO179" s="162">
        <v>98.75</v>
      </c>
      <c r="AP179" s="17">
        <v>260</v>
      </c>
      <c r="AQ179" s="162">
        <v>0</v>
      </c>
      <c r="AR179" s="162">
        <v>40</v>
      </c>
      <c r="AS179" s="17">
        <v>312</v>
      </c>
      <c r="AT179" s="17">
        <v>12</v>
      </c>
      <c r="AU179" s="17">
        <v>0</v>
      </c>
      <c r="AV179" s="17">
        <v>0</v>
      </c>
      <c r="AW179" s="17">
        <v>20</v>
      </c>
      <c r="AX179" s="4">
        <v>78.671552232933323</v>
      </c>
      <c r="AY179" s="4">
        <v>78.199999999999974</v>
      </c>
      <c r="BD179" s="159" t="e">
        <v>#N/A</v>
      </c>
      <c r="BE179" s="159" t="e">
        <v>#N/A</v>
      </c>
      <c r="BF179" s="159" t="e">
        <v>#N/A</v>
      </c>
      <c r="BG179" s="159" t="e">
        <v>#N/A</v>
      </c>
      <c r="BH179" s="14" t="e">
        <v>#N/A</v>
      </c>
      <c r="BI179" s="159" t="e">
        <v>#N/A</v>
      </c>
      <c r="BJ179" s="159" t="e">
        <v>#N/A</v>
      </c>
      <c r="BK179" s="14" t="e">
        <v>#N/A</v>
      </c>
      <c r="BL179" s="14" t="e">
        <v>#N/A</v>
      </c>
      <c r="BM179" s="14" t="e">
        <v>#N/A</v>
      </c>
      <c r="BN179" s="14" t="e">
        <v>#N/A</v>
      </c>
      <c r="BO179" s="14" t="e">
        <v>#N/A</v>
      </c>
      <c r="BP179" s="182" t="e">
        <v>#N/A</v>
      </c>
      <c r="BQ179" s="183" t="e">
        <v>#N/A</v>
      </c>
    </row>
    <row r="180" spans="2:69" x14ac:dyDescent="0.35">
      <c r="B180" s="1">
        <v>161</v>
      </c>
      <c r="C180" t="str">
        <v>Product 3</v>
      </c>
      <c r="D180" s="113">
        <v>97.749433676439295</v>
      </c>
      <c r="E180" s="113">
        <v>95.145631067961162</v>
      </c>
      <c r="F180" s="113">
        <v>103.76532987382288</v>
      </c>
      <c r="G180" s="113">
        <v>99.008647498413509</v>
      </c>
      <c r="H180">
        <v>341.6817691477886</v>
      </c>
      <c r="I180" s="175">
        <v>183.14302854210484</v>
      </c>
      <c r="J180" s="113">
        <v>37.755102040816325</v>
      </c>
      <c r="K180">
        <v>410.01812297734631</v>
      </c>
      <c r="L180">
        <v>12</v>
      </c>
      <c r="M180">
        <v>0</v>
      </c>
      <c r="N180">
        <v>0</v>
      </c>
      <c r="O180" s="1">
        <v>26</v>
      </c>
      <c r="P180" s="138">
        <v>41702</v>
      </c>
      <c r="Q180" s="1">
        <v>41</v>
      </c>
      <c r="R180" s="95">
        <f>CHOOSE($D$4,D180,E180,F180,G180,H180,I180,J180,K180,L180,M180,N180,O180,P180,101-B180)+0.000001*ROWS($A$20:A180)</f>
        <v>99.008808498413515</v>
      </c>
      <c r="S180" s="4">
        <f t="shared" si="34"/>
        <v>76</v>
      </c>
      <c r="T180" s="4"/>
      <c r="U180" s="14">
        <f>ROWS($U$20:U180)</f>
        <v>161</v>
      </c>
      <c r="V180" s="4">
        <v>211</v>
      </c>
      <c r="W180" s="4" t="str">
        <v>Product 3</v>
      </c>
      <c r="X180" s="94">
        <v>86.649650854803753</v>
      </c>
      <c r="Y180" s="94">
        <v>88.92307692307692</v>
      </c>
      <c r="Z180" s="94">
        <v>99.064335865930914</v>
      </c>
      <c r="AA180" s="94">
        <v>98.363733161085861</v>
      </c>
      <c r="AB180" s="4">
        <v>304.86846153846153</v>
      </c>
      <c r="AC180" s="94">
        <v>172.93501121399089</v>
      </c>
      <c r="AD180" s="94">
        <v>43.330530688955932</v>
      </c>
      <c r="AE180" s="4">
        <v>365.84215384615385</v>
      </c>
      <c r="AF180" s="4">
        <v>12</v>
      </c>
      <c r="AG180" s="4">
        <v>0</v>
      </c>
      <c r="AH180" s="4">
        <v>0</v>
      </c>
      <c r="AI180" s="4">
        <v>15</v>
      </c>
      <c r="AJ180" s="139">
        <v>41717</v>
      </c>
      <c r="AK180" s="94">
        <v>86</v>
      </c>
      <c r="AL180" s="162">
        <v>87.494399999999999</v>
      </c>
      <c r="AM180" s="162">
        <v>90</v>
      </c>
      <c r="AN180" s="162">
        <v>98</v>
      </c>
      <c r="AO180" s="162">
        <v>99.2</v>
      </c>
      <c r="AP180" s="17">
        <v>346.08333333333331</v>
      </c>
      <c r="AQ180" s="162">
        <v>0</v>
      </c>
      <c r="AR180" s="162">
        <v>40</v>
      </c>
      <c r="AS180" s="17">
        <v>415.3</v>
      </c>
      <c r="AT180" s="17">
        <v>12</v>
      </c>
      <c r="AU180" s="17">
        <v>0</v>
      </c>
      <c r="AV180" s="17">
        <v>0</v>
      </c>
      <c r="AW180" s="17">
        <v>20</v>
      </c>
      <c r="AX180" s="4">
        <v>99.064335865930914</v>
      </c>
      <c r="AY180" s="4">
        <v>88.92307692307692</v>
      </c>
      <c r="BD180" s="159" t="e">
        <v>#N/A</v>
      </c>
      <c r="BE180" s="159" t="e">
        <v>#N/A</v>
      </c>
      <c r="BF180" s="159" t="e">
        <v>#N/A</v>
      </c>
      <c r="BG180" s="159" t="e">
        <v>#N/A</v>
      </c>
      <c r="BH180" s="14" t="e">
        <v>#N/A</v>
      </c>
      <c r="BI180" s="159" t="e">
        <v>#N/A</v>
      </c>
      <c r="BJ180" s="159" t="e">
        <v>#N/A</v>
      </c>
      <c r="BK180" s="14" t="e">
        <v>#N/A</v>
      </c>
      <c r="BL180" s="14" t="e">
        <v>#N/A</v>
      </c>
      <c r="BM180" s="14" t="e">
        <v>#N/A</v>
      </c>
      <c r="BN180" s="14" t="e">
        <v>#N/A</v>
      </c>
      <c r="BO180" s="14" t="e">
        <v>#N/A</v>
      </c>
      <c r="BP180" s="182" t="e">
        <v>#N/A</v>
      </c>
      <c r="BQ180" s="183" t="e">
        <v>#N/A</v>
      </c>
    </row>
    <row r="181" spans="2:69" x14ac:dyDescent="0.35">
      <c r="B181" s="1">
        <v>162</v>
      </c>
      <c r="C181" t="str">
        <v>Product 2</v>
      </c>
      <c r="D181" s="113">
        <v>77.995753715498921</v>
      </c>
      <c r="E181" s="113">
        <v>88.535031847133752</v>
      </c>
      <c r="F181" s="113">
        <v>90.553956834532386</v>
      </c>
      <c r="G181" s="113">
        <v>97.28555917480999</v>
      </c>
      <c r="H181">
        <v>216.46433121019109</v>
      </c>
      <c r="I181" s="175">
        <v>183.40474905558551</v>
      </c>
      <c r="J181" s="113">
        <v>15.824192113845243</v>
      </c>
      <c r="K181">
        <v>259.75719745222926</v>
      </c>
      <c r="L181">
        <v>12</v>
      </c>
      <c r="M181">
        <v>0</v>
      </c>
      <c r="N181">
        <v>0</v>
      </c>
      <c r="O181" s="1">
        <v>22</v>
      </c>
      <c r="P181" s="138">
        <v>41702</v>
      </c>
      <c r="Q181" s="1">
        <v>66</v>
      </c>
      <c r="R181" s="95">
        <f>CHOOSE($D$4,D181,E181,F181,G181,H181,I181,J181,K181,L181,M181,N181,O181,P181,101-B181)+0.000001*ROWS($A$20:A181)</f>
        <v>97.285721174809993</v>
      </c>
      <c r="S181" s="4">
        <f t="shared" si="34"/>
        <v>222</v>
      </c>
      <c r="T181" s="4"/>
      <c r="U181" s="14">
        <f>ROWS($U$20:U181)</f>
        <v>162</v>
      </c>
      <c r="V181" s="4">
        <v>227</v>
      </c>
      <c r="W181" s="4" t="str">
        <v>Product 3</v>
      </c>
      <c r="X181" s="94">
        <v>92.46026968456539</v>
      </c>
      <c r="Y181" s="94">
        <v>94.444444444444457</v>
      </c>
      <c r="Z181" s="94">
        <v>99.539843628277225</v>
      </c>
      <c r="AA181" s="94">
        <v>98.351680602765171</v>
      </c>
      <c r="AB181" s="4">
        <v>325.35243055555554</v>
      </c>
      <c r="AC181" s="94">
        <v>184.85860614501996</v>
      </c>
      <c r="AD181" s="94">
        <v>33.912975583639145</v>
      </c>
      <c r="AE181" s="4">
        <v>390.42291666666665</v>
      </c>
      <c r="AF181" s="4">
        <v>12</v>
      </c>
      <c r="AG181" s="4">
        <v>0</v>
      </c>
      <c r="AH181" s="4">
        <v>0</v>
      </c>
      <c r="AI181" s="4">
        <v>14</v>
      </c>
      <c r="AJ181" s="139">
        <v>41722</v>
      </c>
      <c r="AK181" s="94">
        <v>103</v>
      </c>
      <c r="AL181" s="162">
        <v>87.494399999999999</v>
      </c>
      <c r="AM181" s="162">
        <v>90</v>
      </c>
      <c r="AN181" s="162">
        <v>98</v>
      </c>
      <c r="AO181" s="162">
        <v>99.2</v>
      </c>
      <c r="AP181" s="17">
        <v>346.08333333333331</v>
      </c>
      <c r="AQ181" s="162">
        <v>0</v>
      </c>
      <c r="AR181" s="162">
        <v>40</v>
      </c>
      <c r="AS181" s="17">
        <v>415.3</v>
      </c>
      <c r="AT181" s="17">
        <v>12</v>
      </c>
      <c r="AU181" s="17">
        <v>0</v>
      </c>
      <c r="AV181" s="17">
        <v>0</v>
      </c>
      <c r="AW181" s="17">
        <v>20</v>
      </c>
      <c r="AX181" s="4">
        <v>99.539843628277225</v>
      </c>
      <c r="AY181" s="4">
        <v>94.444444444444457</v>
      </c>
      <c r="BD181" s="159" t="e">
        <v>#N/A</v>
      </c>
      <c r="BE181" s="159" t="e">
        <v>#N/A</v>
      </c>
      <c r="BF181" s="159" t="e">
        <v>#N/A</v>
      </c>
      <c r="BG181" s="159" t="e">
        <v>#N/A</v>
      </c>
      <c r="BH181" s="14" t="e">
        <v>#N/A</v>
      </c>
      <c r="BI181" s="159" t="e">
        <v>#N/A</v>
      </c>
      <c r="BJ181" s="159" t="e">
        <v>#N/A</v>
      </c>
      <c r="BK181" s="14" t="e">
        <v>#N/A</v>
      </c>
      <c r="BL181" s="14" t="e">
        <v>#N/A</v>
      </c>
      <c r="BM181" s="14" t="e">
        <v>#N/A</v>
      </c>
      <c r="BN181" s="14" t="e">
        <v>#N/A</v>
      </c>
      <c r="BO181" s="14" t="e">
        <v>#N/A</v>
      </c>
      <c r="BP181" s="182" t="e">
        <v>#N/A</v>
      </c>
      <c r="BQ181" s="183" t="e">
        <v>#N/A</v>
      </c>
    </row>
    <row r="182" spans="2:69" x14ac:dyDescent="0.35">
      <c r="B182" s="1">
        <v>163</v>
      </c>
      <c r="C182" t="str">
        <v>Product 16</v>
      </c>
      <c r="D182" s="113">
        <v>80.778944447014212</v>
      </c>
      <c r="E182" s="113">
        <v>94.065934065934059</v>
      </c>
      <c r="F182" s="113">
        <v>86.507044469796185</v>
      </c>
      <c r="G182" s="113">
        <v>99.269155436021876</v>
      </c>
      <c r="H182">
        <v>225.54065934065935</v>
      </c>
      <c r="I182" s="175">
        <v>142.60244848046912</v>
      </c>
      <c r="J182" s="113">
        <v>0</v>
      </c>
      <c r="K182">
        <v>270.64879120879124</v>
      </c>
      <c r="L182">
        <v>12</v>
      </c>
      <c r="M182">
        <v>0</v>
      </c>
      <c r="N182">
        <v>0</v>
      </c>
      <c r="O182" s="1">
        <v>29</v>
      </c>
      <c r="P182" s="138">
        <v>41703</v>
      </c>
      <c r="Q182" s="1">
        <v>74</v>
      </c>
      <c r="R182" s="95">
        <f>CHOOSE($D$4,D182,E182,F182,G182,H182,I182,J182,K182,L182,M182,N182,O182,P182,101-B182)+0.000001*ROWS($A$20:A182)</f>
        <v>99.269318436021877</v>
      </c>
      <c r="S182" s="4">
        <f t="shared" si="34"/>
        <v>43</v>
      </c>
      <c r="T182" s="4"/>
      <c r="U182" s="14">
        <f>ROWS($U$20:U182)</f>
        <v>163</v>
      </c>
      <c r="V182" s="4">
        <v>193</v>
      </c>
      <c r="W182" s="4" t="str">
        <v>Product 3</v>
      </c>
      <c r="X182" s="94">
        <v>93.162584230191939</v>
      </c>
      <c r="Y182" s="94">
        <v>98.728323699421978</v>
      </c>
      <c r="Z182" s="94">
        <v>95.957276126644842</v>
      </c>
      <c r="AA182" s="94">
        <v>98.338108882521496</v>
      </c>
      <c r="AB182" s="4">
        <v>342.94797687861274</v>
      </c>
      <c r="AC182" s="94">
        <v>177.87438165192623</v>
      </c>
      <c r="AD182" s="94">
        <v>0</v>
      </c>
      <c r="AE182" s="4">
        <v>411.53757225433526</v>
      </c>
      <c r="AF182" s="4">
        <v>12</v>
      </c>
      <c r="AG182" s="4">
        <v>0</v>
      </c>
      <c r="AH182" s="4">
        <v>0</v>
      </c>
      <c r="AI182" s="4">
        <v>16</v>
      </c>
      <c r="AJ182" s="139">
        <v>41712</v>
      </c>
      <c r="AK182" s="94">
        <v>105</v>
      </c>
      <c r="AL182" s="162">
        <v>87.494399999999999</v>
      </c>
      <c r="AM182" s="162">
        <v>90</v>
      </c>
      <c r="AN182" s="162">
        <v>98</v>
      </c>
      <c r="AO182" s="162">
        <v>99.2</v>
      </c>
      <c r="AP182" s="17">
        <v>362</v>
      </c>
      <c r="AQ182" s="162">
        <v>0</v>
      </c>
      <c r="AR182" s="162">
        <v>40</v>
      </c>
      <c r="AS182" s="17">
        <v>434.4</v>
      </c>
      <c r="AT182" s="17">
        <v>12</v>
      </c>
      <c r="AU182" s="17">
        <v>0</v>
      </c>
      <c r="AV182" s="17">
        <v>0</v>
      </c>
      <c r="AW182" s="17">
        <v>20</v>
      </c>
      <c r="AX182" s="4">
        <v>95.957276126644842</v>
      </c>
      <c r="AY182" s="4">
        <v>98.728323699421978</v>
      </c>
      <c r="BD182" s="159" t="e">
        <v>#N/A</v>
      </c>
      <c r="BE182" s="159" t="e">
        <v>#N/A</v>
      </c>
      <c r="BF182" s="159" t="e">
        <v>#N/A</v>
      </c>
      <c r="BG182" s="159" t="e">
        <v>#N/A</v>
      </c>
      <c r="BH182" s="14" t="e">
        <v>#N/A</v>
      </c>
      <c r="BI182" s="159" t="e">
        <v>#N/A</v>
      </c>
      <c r="BJ182" s="159" t="e">
        <v>#N/A</v>
      </c>
      <c r="BK182" s="14" t="e">
        <v>#N/A</v>
      </c>
      <c r="BL182" s="14" t="e">
        <v>#N/A</v>
      </c>
      <c r="BM182" s="14" t="e">
        <v>#N/A</v>
      </c>
      <c r="BN182" s="14" t="e">
        <v>#N/A</v>
      </c>
      <c r="BO182" s="14" t="e">
        <v>#N/A</v>
      </c>
      <c r="BP182" s="182" t="e">
        <v>#N/A</v>
      </c>
      <c r="BQ182" s="183" t="e">
        <v>#N/A</v>
      </c>
    </row>
    <row r="183" spans="2:69" x14ac:dyDescent="0.35">
      <c r="B183" s="1">
        <v>164</v>
      </c>
      <c r="C183" t="str">
        <v>Product 26</v>
      </c>
      <c r="D183" s="113">
        <v>61.005847953216353</v>
      </c>
      <c r="E183" s="113">
        <v>69.473684210526315</v>
      </c>
      <c r="F183" s="113">
        <v>88.968855218855197</v>
      </c>
      <c r="G183" s="113">
        <v>98.699086995600553</v>
      </c>
      <c r="H183">
        <v>133.50947368421052</v>
      </c>
      <c r="I183" s="175">
        <v>216.71764203331909</v>
      </c>
      <c r="J183" s="113">
        <v>94.630240226095154</v>
      </c>
      <c r="K183">
        <v>160.21136842105261</v>
      </c>
      <c r="L183">
        <v>12</v>
      </c>
      <c r="M183">
        <v>0</v>
      </c>
      <c r="N183">
        <v>0</v>
      </c>
      <c r="O183" s="1">
        <v>14</v>
      </c>
      <c r="P183" s="138">
        <v>41703</v>
      </c>
      <c r="Q183" s="1">
        <v>65</v>
      </c>
      <c r="R183" s="95">
        <f>CHOOSE($D$4,D183,E183,F183,G183,H183,I183,J183,K183,L183,M183,N183,O183,P183,101-B183)+0.000001*ROWS($A$20:A183)</f>
        <v>98.699250995600551</v>
      </c>
      <c r="S183" s="4">
        <f t="shared" si="34"/>
        <v>115</v>
      </c>
      <c r="T183" s="4"/>
      <c r="U183" s="14">
        <f>ROWS($U$20:U183)</f>
        <v>164</v>
      </c>
      <c r="V183" s="4">
        <v>197</v>
      </c>
      <c r="W183" s="4" t="str">
        <v>Product 6</v>
      </c>
      <c r="X183" s="94">
        <v>72.622837370242223</v>
      </c>
      <c r="Y183" s="94">
        <v>97.941176470588232</v>
      </c>
      <c r="Z183" s="94">
        <v>75.408055113937479</v>
      </c>
      <c r="AA183" s="94">
        <v>98.330932218278932</v>
      </c>
      <c r="AB183" s="4">
        <v>225.99794117647059</v>
      </c>
      <c r="AC183" s="94">
        <v>142.57222376843862</v>
      </c>
      <c r="AD183" s="94">
        <v>46.007492113564666</v>
      </c>
      <c r="AE183" s="4">
        <v>271.19752941176472</v>
      </c>
      <c r="AF183" s="4">
        <v>12</v>
      </c>
      <c r="AG183" s="4">
        <v>0</v>
      </c>
      <c r="AH183" s="4">
        <v>0</v>
      </c>
      <c r="AI183" s="4">
        <v>30</v>
      </c>
      <c r="AJ183" s="139">
        <v>41712</v>
      </c>
      <c r="AK183" s="94">
        <v>93</v>
      </c>
      <c r="AL183" s="162">
        <v>86.87700000000001</v>
      </c>
      <c r="AM183" s="162">
        <v>90</v>
      </c>
      <c r="AN183" s="162">
        <v>98</v>
      </c>
      <c r="AO183" s="162">
        <v>98.5</v>
      </c>
      <c r="AP183" s="17">
        <v>306</v>
      </c>
      <c r="AQ183" s="162">
        <v>0</v>
      </c>
      <c r="AR183" s="162">
        <v>40</v>
      </c>
      <c r="AS183" s="17">
        <v>367.2</v>
      </c>
      <c r="AT183" s="17">
        <v>12</v>
      </c>
      <c r="AU183" s="17">
        <v>0</v>
      </c>
      <c r="AV183" s="17">
        <v>0</v>
      </c>
      <c r="AW183" s="17">
        <v>20</v>
      </c>
      <c r="AX183" s="4">
        <v>75.408055113937479</v>
      </c>
      <c r="AY183" s="4">
        <v>97.941176470588232</v>
      </c>
      <c r="BD183" s="159" t="e">
        <v>#N/A</v>
      </c>
      <c r="BE183" s="159" t="e">
        <v>#N/A</v>
      </c>
      <c r="BF183" s="159" t="e">
        <v>#N/A</v>
      </c>
      <c r="BG183" s="159" t="e">
        <v>#N/A</v>
      </c>
      <c r="BH183" s="14" t="e">
        <v>#N/A</v>
      </c>
      <c r="BI183" s="159" t="e">
        <v>#N/A</v>
      </c>
      <c r="BJ183" s="159" t="e">
        <v>#N/A</v>
      </c>
      <c r="BK183" s="14" t="e">
        <v>#N/A</v>
      </c>
      <c r="BL183" s="14" t="e">
        <v>#N/A</v>
      </c>
      <c r="BM183" s="14" t="e">
        <v>#N/A</v>
      </c>
      <c r="BN183" s="14" t="e">
        <v>#N/A</v>
      </c>
      <c r="BO183" s="14" t="e">
        <v>#N/A</v>
      </c>
      <c r="BP183" s="182" t="e">
        <v>#N/A</v>
      </c>
      <c r="BQ183" s="183" t="e">
        <v>#N/A</v>
      </c>
    </row>
    <row r="184" spans="2:69" x14ac:dyDescent="0.35">
      <c r="B184" s="1">
        <v>165</v>
      </c>
      <c r="C184" t="str">
        <v>Product 15</v>
      </c>
      <c r="D184" s="113">
        <v>27.089947089947092</v>
      </c>
      <c r="E184" s="113">
        <v>54.285714285714285</v>
      </c>
      <c r="F184" s="113">
        <v>56.725146198830409</v>
      </c>
      <c r="G184" s="113">
        <v>87.972508591065292</v>
      </c>
      <c r="H184">
        <v>66.514285714285705</v>
      </c>
      <c r="I184" s="175">
        <v>119.58904109589041</v>
      </c>
      <c r="J184" s="113">
        <v>0</v>
      </c>
      <c r="K184">
        <v>79.817142857142855</v>
      </c>
      <c r="L184">
        <v>12</v>
      </c>
      <c r="M184">
        <v>0</v>
      </c>
      <c r="N184">
        <v>0</v>
      </c>
      <c r="O184" s="1">
        <v>27</v>
      </c>
      <c r="P184" s="138">
        <v>41703</v>
      </c>
      <c r="Q184" s="1">
        <v>95</v>
      </c>
      <c r="R184" s="95">
        <f>CHOOSE($D$4,D184,E184,F184,G184,H184,I184,J184,K184,L184,M184,N184,O184,P184,101-B184)+0.000001*ROWS($A$20:A184)</f>
        <v>87.972673591065288</v>
      </c>
      <c r="S184" s="4">
        <f t="shared" si="34"/>
        <v>251</v>
      </c>
      <c r="T184" s="4"/>
      <c r="U184" s="14">
        <f>ROWS($U$20:U184)</f>
        <v>165</v>
      </c>
      <c r="V184" s="4">
        <v>213</v>
      </c>
      <c r="W184" s="4" t="str">
        <v>Product 3</v>
      </c>
      <c r="X184" s="94">
        <v>87.594600952193488</v>
      </c>
      <c r="Y184" s="94">
        <v>93.704092339979013</v>
      </c>
      <c r="Z184" s="94">
        <v>95.067934808253924</v>
      </c>
      <c r="AA184" s="94">
        <v>98.329701447960787</v>
      </c>
      <c r="AB184" s="4">
        <v>308.2998426023085</v>
      </c>
      <c r="AC184" s="94">
        <v>191.52928253868916</v>
      </c>
      <c r="AD184" s="94">
        <v>28.283294273956933</v>
      </c>
      <c r="AE184" s="4">
        <v>369.95981112277019</v>
      </c>
      <c r="AF184" s="4">
        <v>12</v>
      </c>
      <c r="AG184" s="4">
        <v>0</v>
      </c>
      <c r="AH184" s="4">
        <v>0</v>
      </c>
      <c r="AI184" s="4">
        <v>14</v>
      </c>
      <c r="AJ184" s="139">
        <v>41718</v>
      </c>
      <c r="AK184" s="94">
        <v>111</v>
      </c>
      <c r="AL184" s="162">
        <v>87.494399999999999</v>
      </c>
      <c r="AM184" s="162">
        <v>90</v>
      </c>
      <c r="AN184" s="162">
        <v>98</v>
      </c>
      <c r="AO184" s="162">
        <v>99.2</v>
      </c>
      <c r="AP184" s="17">
        <v>346.08333333333331</v>
      </c>
      <c r="AQ184" s="162">
        <v>0</v>
      </c>
      <c r="AR184" s="162">
        <v>40</v>
      </c>
      <c r="AS184" s="17">
        <v>415.3</v>
      </c>
      <c r="AT184" s="17">
        <v>12</v>
      </c>
      <c r="AU184" s="17">
        <v>0</v>
      </c>
      <c r="AV184" s="17">
        <v>0</v>
      </c>
      <c r="AW184" s="17">
        <v>20</v>
      </c>
      <c r="AX184" s="4">
        <v>95.067934808253924</v>
      </c>
      <c r="AY184" s="4">
        <v>93.704092339979013</v>
      </c>
      <c r="BD184" s="159" t="e">
        <v>#N/A</v>
      </c>
      <c r="BE184" s="159" t="e">
        <v>#N/A</v>
      </c>
      <c r="BF184" s="159" t="e">
        <v>#N/A</v>
      </c>
      <c r="BG184" s="159" t="e">
        <v>#N/A</v>
      </c>
      <c r="BH184" s="14" t="e">
        <v>#N/A</v>
      </c>
      <c r="BI184" s="159" t="e">
        <v>#N/A</v>
      </c>
      <c r="BJ184" s="159" t="e">
        <v>#N/A</v>
      </c>
      <c r="BK184" s="14" t="e">
        <v>#N/A</v>
      </c>
      <c r="BL184" s="14" t="e">
        <v>#N/A</v>
      </c>
      <c r="BM184" s="14" t="e">
        <v>#N/A</v>
      </c>
      <c r="BN184" s="14" t="e">
        <v>#N/A</v>
      </c>
      <c r="BO184" s="14" t="e">
        <v>#N/A</v>
      </c>
      <c r="BP184" s="182" t="e">
        <v>#N/A</v>
      </c>
      <c r="BQ184" s="183" t="e">
        <v>#N/A</v>
      </c>
    </row>
    <row r="185" spans="2:69" x14ac:dyDescent="0.35">
      <c r="B185" s="1">
        <v>166</v>
      </c>
      <c r="C185" t="str">
        <v>Product 2</v>
      </c>
      <c r="D185" s="113">
        <v>92.295260295260277</v>
      </c>
      <c r="E185" s="113">
        <v>91.328671328671334</v>
      </c>
      <c r="F185" s="113">
        <v>102.44228914979297</v>
      </c>
      <c r="G185" s="113">
        <v>98.649067635203963</v>
      </c>
      <c r="H185">
        <v>252.60979020979019</v>
      </c>
      <c r="I185" s="175">
        <v>180.96526295750797</v>
      </c>
      <c r="J185" s="113">
        <v>0</v>
      </c>
      <c r="K185">
        <v>303.13174825174826</v>
      </c>
      <c r="L185">
        <v>12</v>
      </c>
      <c r="M185">
        <v>0</v>
      </c>
      <c r="N185">
        <v>0</v>
      </c>
      <c r="O185" s="1">
        <v>30</v>
      </c>
      <c r="P185" s="138">
        <v>41703</v>
      </c>
      <c r="Q185" s="1">
        <v>90</v>
      </c>
      <c r="R185" s="95">
        <f>CHOOSE($D$4,D185,E185,F185,G185,H185,I185,J185,K185,L185,M185,N185,O185,P185,101-B185)+0.000001*ROWS($A$20:A185)</f>
        <v>98.649233635203956</v>
      </c>
      <c r="S185" s="4">
        <f t="shared" si="34"/>
        <v>121</v>
      </c>
      <c r="T185" s="4"/>
      <c r="U185" s="14">
        <f>ROWS($U$20:U185)</f>
        <v>166</v>
      </c>
      <c r="V185" s="4">
        <v>97</v>
      </c>
      <c r="W185" s="4" t="str">
        <v>Product 3</v>
      </c>
      <c r="X185" s="94">
        <v>89.530550487731432</v>
      </c>
      <c r="Y185" s="94">
        <v>89.864158829676072</v>
      </c>
      <c r="Z185" s="94">
        <v>101.33053158546079</v>
      </c>
      <c r="AA185" s="94">
        <v>98.320577403062245</v>
      </c>
      <c r="AB185" s="4">
        <v>315.14289446186001</v>
      </c>
      <c r="AC185" s="94">
        <v>118.89910842941256</v>
      </c>
      <c r="AD185" s="94">
        <v>33.915729854972973</v>
      </c>
      <c r="AE185" s="4">
        <v>378.17147335423198</v>
      </c>
      <c r="AF185" s="4">
        <v>12</v>
      </c>
      <c r="AG185" s="4">
        <v>0</v>
      </c>
      <c r="AH185" s="4">
        <v>0</v>
      </c>
      <c r="AI185" s="4">
        <v>26</v>
      </c>
      <c r="AJ185" s="139">
        <v>41673</v>
      </c>
      <c r="AK185" s="94">
        <v>89</v>
      </c>
      <c r="AL185" s="162">
        <v>87.494399999999999</v>
      </c>
      <c r="AM185" s="162">
        <v>90</v>
      </c>
      <c r="AN185" s="162">
        <v>98</v>
      </c>
      <c r="AO185" s="162">
        <v>99.2</v>
      </c>
      <c r="AP185" s="17">
        <v>346.08333333333331</v>
      </c>
      <c r="AQ185" s="162">
        <v>0</v>
      </c>
      <c r="AR185" s="162">
        <v>40</v>
      </c>
      <c r="AS185" s="17">
        <v>415.3</v>
      </c>
      <c r="AT185" s="17">
        <v>12</v>
      </c>
      <c r="AU185" s="17">
        <v>0</v>
      </c>
      <c r="AV185" s="17">
        <v>0</v>
      </c>
      <c r="AW185" s="17">
        <v>20</v>
      </c>
      <c r="AX185" s="4">
        <v>101.33053158546079</v>
      </c>
      <c r="AY185" s="4">
        <v>89.864158829676072</v>
      </c>
      <c r="BD185" s="159" t="e">
        <v>#N/A</v>
      </c>
      <c r="BE185" s="159" t="e">
        <v>#N/A</v>
      </c>
      <c r="BF185" s="159" t="e">
        <v>#N/A</v>
      </c>
      <c r="BG185" s="159" t="e">
        <v>#N/A</v>
      </c>
      <c r="BH185" s="14" t="e">
        <v>#N/A</v>
      </c>
      <c r="BI185" s="159" t="e">
        <v>#N/A</v>
      </c>
      <c r="BJ185" s="159" t="e">
        <v>#N/A</v>
      </c>
      <c r="BK185" s="14" t="e">
        <v>#N/A</v>
      </c>
      <c r="BL185" s="14" t="e">
        <v>#N/A</v>
      </c>
      <c r="BM185" s="14" t="e">
        <v>#N/A</v>
      </c>
      <c r="BN185" s="14" t="e">
        <v>#N/A</v>
      </c>
      <c r="BO185" s="14" t="e">
        <v>#N/A</v>
      </c>
      <c r="BP185" s="182" t="e">
        <v>#N/A</v>
      </c>
      <c r="BQ185" s="183" t="e">
        <v>#N/A</v>
      </c>
    </row>
    <row r="186" spans="2:69" x14ac:dyDescent="0.35">
      <c r="B186" s="1">
        <v>167</v>
      </c>
      <c r="C186" t="str">
        <v>Product 7</v>
      </c>
      <c r="D186" s="113">
        <v>90.458715596330279</v>
      </c>
      <c r="E186" s="113">
        <v>88.073394495412842</v>
      </c>
      <c r="F186" s="113">
        <v>103.74109686609687</v>
      </c>
      <c r="G186" s="113">
        <v>99.004479840716769</v>
      </c>
      <c r="H186">
        <v>213.80183486238533</v>
      </c>
      <c r="I186" s="175">
        <v>151.60685940305498</v>
      </c>
      <c r="J186" s="113">
        <v>16.572768177865164</v>
      </c>
      <c r="K186">
        <v>256.56220183486238</v>
      </c>
      <c r="L186">
        <v>12</v>
      </c>
      <c r="M186">
        <v>0</v>
      </c>
      <c r="N186">
        <v>0</v>
      </c>
      <c r="O186" s="1">
        <v>22</v>
      </c>
      <c r="P186" s="138">
        <v>41702</v>
      </c>
      <c r="Q186" s="1">
        <v>126</v>
      </c>
      <c r="R186" s="95">
        <f>CHOOSE($D$4,D186,E186,F186,G186,H186,I186,J186,K186,L186,M186,N186,O186,P186,101-B186)+0.000001*ROWS($A$20:A186)</f>
        <v>99.004646840716774</v>
      </c>
      <c r="S186" s="4">
        <f t="shared" si="34"/>
        <v>78</v>
      </c>
      <c r="T186" s="4"/>
      <c r="U186" s="14">
        <f>ROWS($U$20:U186)</f>
        <v>167</v>
      </c>
      <c r="V186" s="4">
        <v>102</v>
      </c>
      <c r="W186" s="4" t="str">
        <v>Product 2</v>
      </c>
      <c r="X186" s="94">
        <v>74.78575225943645</v>
      </c>
      <c r="Y186" s="94">
        <v>83.014354066985646</v>
      </c>
      <c r="Z186" s="94">
        <v>91.630056569537828</v>
      </c>
      <c r="AA186" s="94">
        <v>98.316796391770595</v>
      </c>
      <c r="AB186" s="4">
        <v>205.37846889952155</v>
      </c>
      <c r="AC186" s="94">
        <v>103.04050891196064</v>
      </c>
      <c r="AD186" s="94">
        <v>0</v>
      </c>
      <c r="AE186" s="4">
        <v>246.45416267942582</v>
      </c>
      <c r="AF186" s="4">
        <v>12</v>
      </c>
      <c r="AG186" s="4">
        <v>0</v>
      </c>
      <c r="AH186" s="4">
        <v>0</v>
      </c>
      <c r="AI186" s="4">
        <v>16</v>
      </c>
      <c r="AJ186" s="139">
        <v>41675</v>
      </c>
      <c r="AK186" s="94">
        <v>77</v>
      </c>
      <c r="AL186" s="162">
        <v>87.317999999999998</v>
      </c>
      <c r="AM186" s="162">
        <v>90</v>
      </c>
      <c r="AN186" s="162">
        <v>98</v>
      </c>
      <c r="AO186" s="162">
        <v>99</v>
      </c>
      <c r="AP186" s="17">
        <v>270</v>
      </c>
      <c r="AQ186" s="162">
        <v>0</v>
      </c>
      <c r="AR186" s="162">
        <v>40</v>
      </c>
      <c r="AS186" s="17">
        <v>324</v>
      </c>
      <c r="AT186" s="17">
        <v>12</v>
      </c>
      <c r="AU186" s="17">
        <v>0</v>
      </c>
      <c r="AV186" s="17">
        <v>0</v>
      </c>
      <c r="AW186" s="17">
        <v>20</v>
      </c>
      <c r="AX186" s="4">
        <v>91.630056569537828</v>
      </c>
      <c r="AY186" s="4">
        <v>83.014354066985646</v>
      </c>
      <c r="BD186" s="159">
        <v>74.78575225943645</v>
      </c>
      <c r="BE186" s="159">
        <v>83.014354066985646</v>
      </c>
      <c r="BF186" s="159">
        <v>91.630056569537828</v>
      </c>
      <c r="BG186" s="159">
        <v>98.316796391770595</v>
      </c>
      <c r="BH186" s="14">
        <v>205.37846889952155</v>
      </c>
      <c r="BI186" s="159">
        <v>103.04050891196064</v>
      </c>
      <c r="BJ186" s="159">
        <v>0</v>
      </c>
      <c r="BK186" s="14">
        <v>246.45416267942582</v>
      </c>
      <c r="BL186" s="14">
        <v>12</v>
      </c>
      <c r="BM186" s="14">
        <v>0</v>
      </c>
      <c r="BN186" s="14">
        <v>0</v>
      </c>
      <c r="BO186" s="14">
        <v>16</v>
      </c>
      <c r="BP186" s="182">
        <v>41675</v>
      </c>
      <c r="BQ186" s="183">
        <v>77</v>
      </c>
    </row>
    <row r="187" spans="2:69" x14ac:dyDescent="0.35">
      <c r="B187" s="1">
        <v>168</v>
      </c>
      <c r="C187" t="str">
        <v>Product 3</v>
      </c>
      <c r="D187" s="113">
        <v>100.19918475456642</v>
      </c>
      <c r="E187" s="113">
        <v>98.285714285714292</v>
      </c>
      <c r="F187" s="113">
        <v>102.90230444229165</v>
      </c>
      <c r="G187" s="113">
        <v>99.071488735168685</v>
      </c>
      <c r="H187">
        <v>350.02267857142857</v>
      </c>
      <c r="I187" s="175">
        <v>181.35386693559582</v>
      </c>
      <c r="J187" s="113">
        <v>15.004103794431467</v>
      </c>
      <c r="K187">
        <v>420.02721428571431</v>
      </c>
      <c r="L187">
        <v>12</v>
      </c>
      <c r="M187">
        <v>0</v>
      </c>
      <c r="N187">
        <v>0</v>
      </c>
      <c r="O187" s="1">
        <v>14</v>
      </c>
      <c r="P187" s="138">
        <v>41703</v>
      </c>
      <c r="Q187" s="1">
        <v>48</v>
      </c>
      <c r="R187" s="95">
        <f>CHOOSE($D$4,D187,E187,F187,G187,H187,I187,J187,K187,L187,M187,N187,O187,P187,101-B187)+0.000001*ROWS($A$20:A187)</f>
        <v>99.071656735168688</v>
      </c>
      <c r="S187" s="4">
        <f t="shared" si="34"/>
        <v>66</v>
      </c>
      <c r="T187" s="4"/>
      <c r="U187" s="14">
        <f>ROWS($U$20:U187)</f>
        <v>168</v>
      </c>
      <c r="V187" s="4">
        <v>215</v>
      </c>
      <c r="W187" s="4" t="str">
        <v>Product 3</v>
      </c>
      <c r="X187" s="94">
        <v>95.929181315921639</v>
      </c>
      <c r="Y187" s="94">
        <v>99.300699300699307</v>
      </c>
      <c r="Z187" s="94">
        <v>98.264142868259256</v>
      </c>
      <c r="AA187" s="94">
        <v>98.311282336567558</v>
      </c>
      <c r="AB187" s="4">
        <v>353.22867132867128</v>
      </c>
      <c r="AC187" s="94">
        <v>180.10818250538415</v>
      </c>
      <c r="AD187" s="94">
        <v>0</v>
      </c>
      <c r="AE187" s="4">
        <v>423.87440559440557</v>
      </c>
      <c r="AF187" s="4">
        <v>12</v>
      </c>
      <c r="AG187" s="4">
        <v>0</v>
      </c>
      <c r="AH187" s="4">
        <v>0</v>
      </c>
      <c r="AI187" s="4">
        <v>21</v>
      </c>
      <c r="AJ187" s="139">
        <v>41720</v>
      </c>
      <c r="AK187" s="94">
        <v>39</v>
      </c>
      <c r="AL187" s="162">
        <v>87.494399999999999</v>
      </c>
      <c r="AM187" s="162">
        <v>90</v>
      </c>
      <c r="AN187" s="162">
        <v>98</v>
      </c>
      <c r="AO187" s="162">
        <v>99.2</v>
      </c>
      <c r="AP187" s="17">
        <v>362</v>
      </c>
      <c r="AQ187" s="162">
        <v>0</v>
      </c>
      <c r="AR187" s="162">
        <v>40</v>
      </c>
      <c r="AS187" s="17">
        <v>434.4</v>
      </c>
      <c r="AT187" s="17">
        <v>12</v>
      </c>
      <c r="AU187" s="17">
        <v>0</v>
      </c>
      <c r="AV187" s="17">
        <v>0</v>
      </c>
      <c r="AW187" s="17">
        <v>20</v>
      </c>
      <c r="AX187" s="4">
        <v>98.264142868259256</v>
      </c>
      <c r="AY187" s="4">
        <v>99.300699300699307</v>
      </c>
      <c r="BD187" s="159" t="e">
        <v>#N/A</v>
      </c>
      <c r="BE187" s="159" t="e">
        <v>#N/A</v>
      </c>
      <c r="BF187" s="159" t="e">
        <v>#N/A</v>
      </c>
      <c r="BG187" s="159" t="e">
        <v>#N/A</v>
      </c>
      <c r="BH187" s="14" t="e">
        <v>#N/A</v>
      </c>
      <c r="BI187" s="159" t="e">
        <v>#N/A</v>
      </c>
      <c r="BJ187" s="159" t="e">
        <v>#N/A</v>
      </c>
      <c r="BK187" s="14" t="e">
        <v>#N/A</v>
      </c>
      <c r="BL187" s="14" t="e">
        <v>#N/A</v>
      </c>
      <c r="BM187" s="14" t="e">
        <v>#N/A</v>
      </c>
      <c r="BN187" s="14" t="e">
        <v>#N/A</v>
      </c>
      <c r="BO187" s="14" t="e">
        <v>#N/A</v>
      </c>
      <c r="BP187" s="182" t="e">
        <v>#N/A</v>
      </c>
      <c r="BQ187" s="183" t="e">
        <v>#N/A</v>
      </c>
    </row>
    <row r="188" spans="2:69" x14ac:dyDescent="0.35">
      <c r="B188" s="1">
        <v>169</v>
      </c>
      <c r="C188" t="str">
        <v>Product 3</v>
      </c>
      <c r="D188" s="113">
        <v>89.411406447122289</v>
      </c>
      <c r="E188" s="113">
        <v>93.228346456692918</v>
      </c>
      <c r="F188" s="113">
        <v>98.542257727340612</v>
      </c>
      <c r="G188" s="113">
        <v>97.32455724973957</v>
      </c>
      <c r="H188">
        <v>332.56692913385825</v>
      </c>
      <c r="I188" s="175">
        <v>184.90176163625537</v>
      </c>
      <c r="J188" s="113">
        <v>0</v>
      </c>
      <c r="K188">
        <v>399.08031496062989</v>
      </c>
      <c r="L188">
        <v>12</v>
      </c>
      <c r="M188">
        <v>0</v>
      </c>
      <c r="N188">
        <v>0</v>
      </c>
      <c r="O188" s="1">
        <v>18</v>
      </c>
      <c r="P188" s="138">
        <v>41704</v>
      </c>
      <c r="Q188" s="1">
        <v>100</v>
      </c>
      <c r="R188" s="95">
        <f>CHOOSE($D$4,D188,E188,F188,G188,H188,I188,J188,K188,L188,M188,N188,O188,P188,101-B188)+0.000001*ROWS($A$20:A188)</f>
        <v>97.32472624973957</v>
      </c>
      <c r="S188" s="4">
        <f t="shared" si="34"/>
        <v>220</v>
      </c>
      <c r="T188" s="4"/>
      <c r="U188" s="14">
        <f>ROWS($U$20:U188)</f>
        <v>169</v>
      </c>
      <c r="V188" s="4">
        <v>76</v>
      </c>
      <c r="W188" s="4" t="str">
        <v>Product 3</v>
      </c>
      <c r="X188" s="94">
        <v>96.035621839634018</v>
      </c>
      <c r="Y188" s="94">
        <v>94.791666666666657</v>
      </c>
      <c r="Z188" s="94">
        <v>103.05273825620564</v>
      </c>
      <c r="AA188" s="94">
        <v>98.311123093514098</v>
      </c>
      <c r="AB188" s="4">
        <v>338.07291666666663</v>
      </c>
      <c r="AC188" s="94">
        <v>122.49481034157388</v>
      </c>
      <c r="AD188" s="94">
        <v>0</v>
      </c>
      <c r="AE188" s="4">
        <v>405.6875</v>
      </c>
      <c r="AF188" s="4">
        <v>12</v>
      </c>
      <c r="AG188" s="4">
        <v>0</v>
      </c>
      <c r="AH188" s="4">
        <v>0</v>
      </c>
      <c r="AI188" s="4">
        <v>18</v>
      </c>
      <c r="AJ188" s="139">
        <v>41664</v>
      </c>
      <c r="AK188" s="94">
        <v>87</v>
      </c>
      <c r="AL188" s="162">
        <v>87.494399999999999</v>
      </c>
      <c r="AM188" s="162">
        <v>90</v>
      </c>
      <c r="AN188" s="162">
        <v>98</v>
      </c>
      <c r="AO188" s="162">
        <v>99.2</v>
      </c>
      <c r="AP188" s="17">
        <v>346.08333333333331</v>
      </c>
      <c r="AQ188" s="162">
        <v>0</v>
      </c>
      <c r="AR188" s="162">
        <v>40</v>
      </c>
      <c r="AS188" s="17">
        <v>415.3</v>
      </c>
      <c r="AT188" s="17">
        <v>12</v>
      </c>
      <c r="AU188" s="17">
        <v>0</v>
      </c>
      <c r="AV188" s="17">
        <v>0</v>
      </c>
      <c r="AW188" s="17">
        <v>20</v>
      </c>
      <c r="AX188" s="4">
        <v>103.05273825620564</v>
      </c>
      <c r="AY188" s="4">
        <v>94.791666666666657</v>
      </c>
      <c r="BD188" s="159" t="e">
        <v>#N/A</v>
      </c>
      <c r="BE188" s="159" t="e">
        <v>#N/A</v>
      </c>
      <c r="BF188" s="159" t="e">
        <v>#N/A</v>
      </c>
      <c r="BG188" s="159" t="e">
        <v>#N/A</v>
      </c>
      <c r="BH188" s="14" t="e">
        <v>#N/A</v>
      </c>
      <c r="BI188" s="159" t="e">
        <v>#N/A</v>
      </c>
      <c r="BJ188" s="159" t="e">
        <v>#N/A</v>
      </c>
      <c r="BK188" s="14" t="e">
        <v>#N/A</v>
      </c>
      <c r="BL188" s="14" t="e">
        <v>#N/A</v>
      </c>
      <c r="BM188" s="14" t="e">
        <v>#N/A</v>
      </c>
      <c r="BN188" s="14" t="e">
        <v>#N/A</v>
      </c>
      <c r="BO188" s="14" t="e">
        <v>#N/A</v>
      </c>
      <c r="BP188" s="182" t="e">
        <v>#N/A</v>
      </c>
      <c r="BQ188" s="183" t="e">
        <v>#N/A</v>
      </c>
    </row>
    <row r="189" spans="2:69" x14ac:dyDescent="0.35">
      <c r="B189" s="1">
        <v>170</v>
      </c>
      <c r="C189" t="str">
        <v>Product 3</v>
      </c>
      <c r="D189" s="113">
        <v>85.913001935642768</v>
      </c>
      <c r="E189" s="113">
        <v>88.610478359908868</v>
      </c>
      <c r="F189" s="113">
        <v>98.144278271290261</v>
      </c>
      <c r="G189" s="113">
        <v>98.789054185094955</v>
      </c>
      <c r="H189">
        <v>300.97522779043283</v>
      </c>
      <c r="I189" s="175">
        <v>184.26883437465136</v>
      </c>
      <c r="J189" s="113">
        <v>0</v>
      </c>
      <c r="K189">
        <v>361.17027334851934</v>
      </c>
      <c r="L189">
        <v>12</v>
      </c>
      <c r="M189">
        <v>0</v>
      </c>
      <c r="N189">
        <v>0</v>
      </c>
      <c r="O189" s="1">
        <v>18</v>
      </c>
      <c r="P189" s="138">
        <v>41704</v>
      </c>
      <c r="Q189" s="1">
        <v>65</v>
      </c>
      <c r="R189" s="95">
        <f>CHOOSE($D$4,D189,E189,F189,G189,H189,I189,J189,K189,L189,M189,N189,O189,P189,101-B189)+0.000001*ROWS($A$20:A189)</f>
        <v>98.789224185094952</v>
      </c>
      <c r="S189" s="4">
        <f t="shared" si="34"/>
        <v>103</v>
      </c>
      <c r="T189" s="4"/>
      <c r="U189" s="14">
        <f>ROWS($U$20:U189)</f>
        <v>170</v>
      </c>
      <c r="V189" s="4">
        <v>183</v>
      </c>
      <c r="W189" s="4" t="str">
        <v>Product 2</v>
      </c>
      <c r="X189" s="94">
        <v>91.871310116086235</v>
      </c>
      <c r="Y189" s="94">
        <v>94.626865671641795</v>
      </c>
      <c r="Z189" s="94">
        <v>98.815691085407181</v>
      </c>
      <c r="AA189" s="94">
        <v>98.251579785602004</v>
      </c>
      <c r="AB189" s="4">
        <v>252.46671641791045</v>
      </c>
      <c r="AC189" s="94">
        <v>178.61859229887912</v>
      </c>
      <c r="AD189" s="94">
        <v>0</v>
      </c>
      <c r="AE189" s="4">
        <v>302.96005970149258</v>
      </c>
      <c r="AF189" s="4">
        <v>12</v>
      </c>
      <c r="AG189" s="4">
        <v>0</v>
      </c>
      <c r="AH189" s="4">
        <v>0</v>
      </c>
      <c r="AI189" s="4">
        <v>26</v>
      </c>
      <c r="AJ189" s="139">
        <v>41710</v>
      </c>
      <c r="AK189" s="94">
        <v>74</v>
      </c>
      <c r="AL189" s="162">
        <v>87.317999999999998</v>
      </c>
      <c r="AM189" s="162">
        <v>90</v>
      </c>
      <c r="AN189" s="162">
        <v>98</v>
      </c>
      <c r="AO189" s="162">
        <v>99</v>
      </c>
      <c r="AP189" s="17">
        <v>270</v>
      </c>
      <c r="AQ189" s="162">
        <v>0</v>
      </c>
      <c r="AR189" s="162">
        <v>40</v>
      </c>
      <c r="AS189" s="17">
        <v>324</v>
      </c>
      <c r="AT189" s="17">
        <v>12</v>
      </c>
      <c r="AU189" s="17">
        <v>0</v>
      </c>
      <c r="AV189" s="17">
        <v>0</v>
      </c>
      <c r="AW189" s="17">
        <v>20</v>
      </c>
      <c r="AX189" s="4">
        <v>98.815691085407181</v>
      </c>
      <c r="AY189" s="4">
        <v>94.626865671641795</v>
      </c>
      <c r="BD189" s="159">
        <v>91.871310116086235</v>
      </c>
      <c r="BE189" s="159">
        <v>94.626865671641795</v>
      </c>
      <c r="BF189" s="159">
        <v>98.815691085407181</v>
      </c>
      <c r="BG189" s="159">
        <v>98.251579785602004</v>
      </c>
      <c r="BH189" s="14">
        <v>252.46671641791045</v>
      </c>
      <c r="BI189" s="159">
        <v>178.61859229887912</v>
      </c>
      <c r="BJ189" s="159">
        <v>0</v>
      </c>
      <c r="BK189" s="14">
        <v>302.96005970149258</v>
      </c>
      <c r="BL189" s="14">
        <v>12</v>
      </c>
      <c r="BM189" s="14">
        <v>0</v>
      </c>
      <c r="BN189" s="14">
        <v>0</v>
      </c>
      <c r="BO189" s="14">
        <v>26</v>
      </c>
      <c r="BP189" s="182">
        <v>41710</v>
      </c>
      <c r="BQ189" s="183">
        <v>74</v>
      </c>
    </row>
    <row r="190" spans="2:69" x14ac:dyDescent="0.35">
      <c r="B190" s="1">
        <v>171</v>
      </c>
      <c r="C190" t="str">
        <v>Product 5</v>
      </c>
      <c r="D190" s="113">
        <v>92.092932346502636</v>
      </c>
      <c r="E190" s="113">
        <v>100</v>
      </c>
      <c r="F190" s="113">
        <v>94.725059939539236</v>
      </c>
      <c r="G190" s="113">
        <v>97.221297516500258</v>
      </c>
      <c r="H190">
        <v>342.90471698113208</v>
      </c>
      <c r="I190" s="175">
        <v>180.73821031485571</v>
      </c>
      <c r="J190" s="113">
        <v>100</v>
      </c>
      <c r="K190">
        <v>411.48566037735844</v>
      </c>
      <c r="L190">
        <v>12</v>
      </c>
      <c r="M190">
        <v>0</v>
      </c>
      <c r="N190">
        <v>0</v>
      </c>
      <c r="O190" s="1">
        <v>14</v>
      </c>
      <c r="P190" s="138">
        <v>41705</v>
      </c>
      <c r="Q190" s="1">
        <v>130</v>
      </c>
      <c r="R190" s="95">
        <f>CHOOSE($D$4,D190,E190,F190,G190,H190,I190,J190,K190,L190,M190,N190,O190,P190,101-B190)+0.000001*ROWS($A$20:A190)</f>
        <v>97.221468516500252</v>
      </c>
      <c r="S190" s="4">
        <f t="shared" si="34"/>
        <v>225</v>
      </c>
      <c r="T190" s="4"/>
      <c r="U190" s="14">
        <f>ROWS($U$20:U190)</f>
        <v>171</v>
      </c>
      <c r="V190" s="4">
        <v>185</v>
      </c>
      <c r="W190" s="4" t="str">
        <v>Product 4</v>
      </c>
      <c r="X190" s="94">
        <v>51.719934994582886</v>
      </c>
      <c r="Y190" s="94">
        <v>60.281690140845065</v>
      </c>
      <c r="Z190" s="94">
        <v>87.324766355140198</v>
      </c>
      <c r="AA190" s="94">
        <v>98.250578852585548</v>
      </c>
      <c r="AB190" s="4">
        <v>136.86619718309859</v>
      </c>
      <c r="AC190" s="94">
        <v>151.01010101010101</v>
      </c>
      <c r="AD190" s="94">
        <v>0</v>
      </c>
      <c r="AE190" s="4">
        <v>164.2394366197183</v>
      </c>
      <c r="AF190" s="4">
        <v>12</v>
      </c>
      <c r="AG190" s="4">
        <v>0</v>
      </c>
      <c r="AH190" s="4">
        <v>0</v>
      </c>
      <c r="AI190" s="4">
        <v>26</v>
      </c>
      <c r="AJ190" s="139">
        <v>41710</v>
      </c>
      <c r="AK190" s="94">
        <v>79</v>
      </c>
      <c r="AL190" s="162">
        <v>87.097500000000011</v>
      </c>
      <c r="AM190" s="162">
        <v>90</v>
      </c>
      <c r="AN190" s="162">
        <v>98</v>
      </c>
      <c r="AO190" s="162">
        <v>98.75</v>
      </c>
      <c r="AP190" s="17">
        <v>260</v>
      </c>
      <c r="AQ190" s="162">
        <v>0</v>
      </c>
      <c r="AR190" s="162">
        <v>40</v>
      </c>
      <c r="AS190" s="17">
        <v>312</v>
      </c>
      <c r="AT190" s="17">
        <v>12</v>
      </c>
      <c r="AU190" s="17">
        <v>0</v>
      </c>
      <c r="AV190" s="17">
        <v>0</v>
      </c>
      <c r="AW190" s="17">
        <v>20</v>
      </c>
      <c r="AX190" s="4">
        <v>87.324766355140198</v>
      </c>
      <c r="AY190" s="4">
        <v>60.281690140845065</v>
      </c>
      <c r="BD190" s="159" t="e">
        <v>#N/A</v>
      </c>
      <c r="BE190" s="159" t="e">
        <v>#N/A</v>
      </c>
      <c r="BF190" s="159" t="e">
        <v>#N/A</v>
      </c>
      <c r="BG190" s="159" t="e">
        <v>#N/A</v>
      </c>
      <c r="BH190" s="14" t="e">
        <v>#N/A</v>
      </c>
      <c r="BI190" s="159" t="e">
        <v>#N/A</v>
      </c>
      <c r="BJ190" s="159" t="e">
        <v>#N/A</v>
      </c>
      <c r="BK190" s="14" t="e">
        <v>#N/A</v>
      </c>
      <c r="BL190" s="14" t="e">
        <v>#N/A</v>
      </c>
      <c r="BM190" s="14" t="e">
        <v>#N/A</v>
      </c>
      <c r="BN190" s="14" t="e">
        <v>#N/A</v>
      </c>
      <c r="BO190" s="14" t="e">
        <v>#N/A</v>
      </c>
      <c r="BP190" s="182" t="e">
        <v>#N/A</v>
      </c>
      <c r="BQ190" s="183" t="e">
        <v>#N/A</v>
      </c>
    </row>
    <row r="191" spans="2:69" x14ac:dyDescent="0.35">
      <c r="B191" s="1">
        <v>172</v>
      </c>
      <c r="C191" t="str">
        <v>Product 6</v>
      </c>
      <c r="D191" s="113">
        <v>66.857142857142847</v>
      </c>
      <c r="E191" s="113">
        <v>100</v>
      </c>
      <c r="F191" s="113">
        <v>67.960084033613441</v>
      </c>
      <c r="G191" s="113">
        <v>98.377075025503103</v>
      </c>
      <c r="H191">
        <v>207.95785714285714</v>
      </c>
      <c r="I191" s="175">
        <v>143.56065088757396</v>
      </c>
      <c r="J191" s="113">
        <v>43.22233875196644</v>
      </c>
      <c r="K191">
        <v>249.54942857142856</v>
      </c>
      <c r="L191">
        <v>12</v>
      </c>
      <c r="M191">
        <v>0</v>
      </c>
      <c r="N191">
        <v>0</v>
      </c>
      <c r="O191" s="1">
        <v>22</v>
      </c>
      <c r="P191" s="138">
        <v>41705</v>
      </c>
      <c r="Q191" s="1">
        <v>73</v>
      </c>
      <c r="R191" s="95">
        <f>CHOOSE($D$4,D191,E191,F191,G191,H191,I191,J191,K191,L191,M191,N191,O191,P191,101-B191)+0.000001*ROWS($A$20:A191)</f>
        <v>98.37724702550311</v>
      </c>
      <c r="S191" s="4">
        <f t="shared" si="34"/>
        <v>159</v>
      </c>
      <c r="T191" s="4"/>
      <c r="U191" s="14">
        <f>ROWS($U$20:U191)</f>
        <v>172</v>
      </c>
      <c r="V191" s="4">
        <v>217</v>
      </c>
      <c r="W191" s="4" t="str">
        <v>Product 3</v>
      </c>
      <c r="X191" s="94">
        <v>93.554576676123659</v>
      </c>
      <c r="Y191" s="94">
        <v>96.972972972972983</v>
      </c>
      <c r="Z191" s="94">
        <v>98.196412843302113</v>
      </c>
      <c r="AA191" s="94">
        <v>98.246865762919171</v>
      </c>
      <c r="AB191" s="4">
        <v>344.71081081081087</v>
      </c>
      <c r="AC191" s="94">
        <v>179.84827333361534</v>
      </c>
      <c r="AD191" s="94">
        <v>38.455895252220785</v>
      </c>
      <c r="AE191" s="4">
        <v>413.65297297297303</v>
      </c>
      <c r="AF191" s="4">
        <v>12</v>
      </c>
      <c r="AG191" s="4">
        <v>0</v>
      </c>
      <c r="AH191" s="4">
        <v>0</v>
      </c>
      <c r="AI191" s="4">
        <v>28</v>
      </c>
      <c r="AJ191" s="139">
        <v>41719</v>
      </c>
      <c r="AK191" s="94">
        <v>100</v>
      </c>
      <c r="AL191" s="162">
        <v>87.494399999999999</v>
      </c>
      <c r="AM191" s="162">
        <v>90</v>
      </c>
      <c r="AN191" s="162">
        <v>98</v>
      </c>
      <c r="AO191" s="162">
        <v>99.2</v>
      </c>
      <c r="AP191" s="17">
        <v>362</v>
      </c>
      <c r="AQ191" s="162">
        <v>0</v>
      </c>
      <c r="AR191" s="162">
        <v>40</v>
      </c>
      <c r="AS191" s="17">
        <v>434.4</v>
      </c>
      <c r="AT191" s="17">
        <v>12</v>
      </c>
      <c r="AU191" s="17">
        <v>0</v>
      </c>
      <c r="AV191" s="17">
        <v>0</v>
      </c>
      <c r="AW191" s="17">
        <v>20</v>
      </c>
      <c r="AX191" s="4">
        <v>98.196412843302113</v>
      </c>
      <c r="AY191" s="4">
        <v>96.972972972972983</v>
      </c>
      <c r="BD191" s="159" t="e">
        <v>#N/A</v>
      </c>
      <c r="BE191" s="159" t="e">
        <v>#N/A</v>
      </c>
      <c r="BF191" s="159" t="e">
        <v>#N/A</v>
      </c>
      <c r="BG191" s="159" t="e">
        <v>#N/A</v>
      </c>
      <c r="BH191" s="14" t="e">
        <v>#N/A</v>
      </c>
      <c r="BI191" s="159" t="e">
        <v>#N/A</v>
      </c>
      <c r="BJ191" s="159" t="e">
        <v>#N/A</v>
      </c>
      <c r="BK191" s="14" t="e">
        <v>#N/A</v>
      </c>
      <c r="BL191" s="14" t="e">
        <v>#N/A</v>
      </c>
      <c r="BM191" s="14" t="e">
        <v>#N/A</v>
      </c>
      <c r="BN191" s="14" t="e">
        <v>#N/A</v>
      </c>
      <c r="BO191" s="14" t="e">
        <v>#N/A</v>
      </c>
      <c r="BP191" s="182" t="e">
        <v>#N/A</v>
      </c>
      <c r="BQ191" s="183" t="e">
        <v>#N/A</v>
      </c>
    </row>
    <row r="192" spans="2:69" x14ac:dyDescent="0.35">
      <c r="B192" s="1">
        <v>173</v>
      </c>
      <c r="C192" t="str">
        <v>Product 3</v>
      </c>
      <c r="D192" s="113">
        <v>97.482623418285513</v>
      </c>
      <c r="E192" s="113">
        <v>96.451612903225808</v>
      </c>
      <c r="F192" s="113">
        <v>102.51174880048288</v>
      </c>
      <c r="G192" s="113">
        <v>98.592543635653556</v>
      </c>
      <c r="H192">
        <v>357.92473118279571</v>
      </c>
      <c r="I192" s="175">
        <v>180.83586403220463</v>
      </c>
      <c r="J192" s="113">
        <v>0</v>
      </c>
      <c r="K192">
        <v>429.50967741935483</v>
      </c>
      <c r="L192">
        <v>12</v>
      </c>
      <c r="M192">
        <v>0</v>
      </c>
      <c r="N192">
        <v>0</v>
      </c>
      <c r="O192" s="1">
        <v>30</v>
      </c>
      <c r="P192" s="138">
        <v>41705</v>
      </c>
      <c r="Q192" s="1">
        <v>71</v>
      </c>
      <c r="R192" s="95">
        <f>CHOOSE($D$4,D192,E192,F192,G192,H192,I192,J192,K192,L192,M192,N192,O192,P192,101-B192)+0.000001*ROWS($A$20:A192)</f>
        <v>98.592716635653559</v>
      </c>
      <c r="S192" s="4">
        <f t="shared" si="34"/>
        <v>127</v>
      </c>
      <c r="T192" s="4"/>
      <c r="U192" s="14">
        <f>ROWS($U$20:U192)</f>
        <v>173</v>
      </c>
      <c r="V192" s="4">
        <v>35</v>
      </c>
      <c r="W192" s="4" t="str">
        <v>Product 3</v>
      </c>
      <c r="X192" s="94">
        <v>79.897639835322011</v>
      </c>
      <c r="Y192" s="94">
        <v>84.667571234735433</v>
      </c>
      <c r="Z192" s="94">
        <v>96.052969123339935</v>
      </c>
      <c r="AA192" s="94">
        <v>98.24400412375806</v>
      </c>
      <c r="AB192" s="4">
        <v>281.45474898236097</v>
      </c>
      <c r="AC192" s="94">
        <v>117.15359200271094</v>
      </c>
      <c r="AD192" s="94">
        <v>0</v>
      </c>
      <c r="AE192" s="4">
        <v>337.74569877883312</v>
      </c>
      <c r="AF192" s="4">
        <v>12</v>
      </c>
      <c r="AG192" s="4">
        <v>0</v>
      </c>
      <c r="AH192" s="4">
        <v>0</v>
      </c>
      <c r="AI192" s="4">
        <v>26</v>
      </c>
      <c r="AJ192" s="139">
        <v>41650</v>
      </c>
      <c r="AK192" s="94">
        <v>83</v>
      </c>
      <c r="AL192" s="162">
        <v>87.494399999999999</v>
      </c>
      <c r="AM192" s="162">
        <v>90</v>
      </c>
      <c r="AN192" s="162">
        <v>98</v>
      </c>
      <c r="AO192" s="162">
        <v>99.2</v>
      </c>
      <c r="AP192" s="17">
        <v>346.08333333333331</v>
      </c>
      <c r="AQ192" s="162">
        <v>0</v>
      </c>
      <c r="AR192" s="162">
        <v>40</v>
      </c>
      <c r="AS192" s="17">
        <v>415.3</v>
      </c>
      <c r="AT192" s="17">
        <v>12</v>
      </c>
      <c r="AU192" s="17">
        <v>0</v>
      </c>
      <c r="AV192" s="17">
        <v>0</v>
      </c>
      <c r="AW192" s="17">
        <v>20</v>
      </c>
      <c r="AX192" s="4">
        <v>96.052969123339935</v>
      </c>
      <c r="AY192" s="4">
        <v>84.667571234735433</v>
      </c>
      <c r="BD192" s="159" t="e">
        <v>#N/A</v>
      </c>
      <c r="BE192" s="159" t="e">
        <v>#N/A</v>
      </c>
      <c r="BF192" s="159" t="e">
        <v>#N/A</v>
      </c>
      <c r="BG192" s="159" t="e">
        <v>#N/A</v>
      </c>
      <c r="BH192" s="14" t="e">
        <v>#N/A</v>
      </c>
      <c r="BI192" s="159" t="e">
        <v>#N/A</v>
      </c>
      <c r="BJ192" s="159" t="e">
        <v>#N/A</v>
      </c>
      <c r="BK192" s="14" t="e">
        <v>#N/A</v>
      </c>
      <c r="BL192" s="14" t="e">
        <v>#N/A</v>
      </c>
      <c r="BM192" s="14" t="e">
        <v>#N/A</v>
      </c>
      <c r="BN192" s="14" t="e">
        <v>#N/A</v>
      </c>
      <c r="BO192" s="14" t="e">
        <v>#N/A</v>
      </c>
      <c r="BP192" s="182" t="e">
        <v>#N/A</v>
      </c>
      <c r="BQ192" s="183" t="e">
        <v>#N/A</v>
      </c>
    </row>
    <row r="193" spans="2:69" x14ac:dyDescent="0.35">
      <c r="B193" s="1">
        <v>174</v>
      </c>
      <c r="C193" t="str">
        <v>Product 17</v>
      </c>
      <c r="D193" s="113">
        <v>49.981671554252202</v>
      </c>
      <c r="E193" s="113">
        <v>62.903225806451616</v>
      </c>
      <c r="F193" s="113">
        <v>79.45804195804196</v>
      </c>
      <c r="G193" s="113">
        <v>100</v>
      </c>
      <c r="H193">
        <v>175.93548387096774</v>
      </c>
      <c r="I193" s="175">
        <v>164.88051151049777</v>
      </c>
      <c r="J193" s="113">
        <v>71.486617789947886</v>
      </c>
      <c r="K193">
        <v>211.12258064516126</v>
      </c>
      <c r="L193">
        <v>12</v>
      </c>
      <c r="M193">
        <v>0</v>
      </c>
      <c r="N193">
        <v>0</v>
      </c>
      <c r="O193" s="1">
        <v>26</v>
      </c>
      <c r="P193" s="138">
        <v>41704</v>
      </c>
      <c r="Q193" s="1">
        <v>102</v>
      </c>
      <c r="R193" s="95">
        <f>CHOOSE($D$4,D193,E193,F193,G193,H193,I193,J193,K193,L193,M193,N193,O193,P193,101-B193)+0.000001*ROWS($A$20:A193)</f>
        <v>100.000174</v>
      </c>
      <c r="S193" s="4">
        <f t="shared" si="34"/>
        <v>3</v>
      </c>
      <c r="T193" s="4"/>
      <c r="U193" s="14">
        <f>ROWS($U$20:U193)</f>
        <v>174</v>
      </c>
      <c r="V193" s="4">
        <v>149</v>
      </c>
      <c r="W193" s="4" t="str">
        <v>Product 3</v>
      </c>
      <c r="X193" s="94">
        <v>92.612198781233204</v>
      </c>
      <c r="Y193" s="94">
        <v>97.633136094674555</v>
      </c>
      <c r="Z193" s="94">
        <v>96.55688111551342</v>
      </c>
      <c r="AA193" s="94">
        <v>98.23985810046139</v>
      </c>
      <c r="AB193" s="4">
        <v>326.25798816568044</v>
      </c>
      <c r="AC193" s="94">
        <v>116.16426350252395</v>
      </c>
      <c r="AD193" s="94">
        <v>0</v>
      </c>
      <c r="AE193" s="4">
        <v>391.50958579881654</v>
      </c>
      <c r="AF193" s="4">
        <v>12</v>
      </c>
      <c r="AG193" s="4">
        <v>0</v>
      </c>
      <c r="AH193" s="4">
        <v>0</v>
      </c>
      <c r="AI193" s="4">
        <v>15</v>
      </c>
      <c r="AJ193" s="139">
        <v>41696</v>
      </c>
      <c r="AK193" s="94">
        <v>97</v>
      </c>
      <c r="AL193" s="162">
        <v>87.494399999999999</v>
      </c>
      <c r="AM193" s="162">
        <v>90</v>
      </c>
      <c r="AN193" s="162">
        <v>98</v>
      </c>
      <c r="AO193" s="162">
        <v>99.2</v>
      </c>
      <c r="AP193" s="17">
        <v>346.08333333333331</v>
      </c>
      <c r="AQ193" s="162">
        <v>0</v>
      </c>
      <c r="AR193" s="162">
        <v>40</v>
      </c>
      <c r="AS193" s="17">
        <v>415.3</v>
      </c>
      <c r="AT193" s="17">
        <v>12</v>
      </c>
      <c r="AU193" s="17">
        <v>0</v>
      </c>
      <c r="AV193" s="17">
        <v>0</v>
      </c>
      <c r="AW193" s="17">
        <v>20</v>
      </c>
      <c r="AX193" s="4">
        <v>96.55688111551342</v>
      </c>
      <c r="AY193" s="4">
        <v>97.633136094674555</v>
      </c>
      <c r="BD193" s="159" t="e">
        <v>#N/A</v>
      </c>
      <c r="BE193" s="159" t="e">
        <v>#N/A</v>
      </c>
      <c r="BF193" s="159" t="e">
        <v>#N/A</v>
      </c>
      <c r="BG193" s="159" t="e">
        <v>#N/A</v>
      </c>
      <c r="BH193" s="14" t="e">
        <v>#N/A</v>
      </c>
      <c r="BI193" s="159" t="e">
        <v>#N/A</v>
      </c>
      <c r="BJ193" s="159" t="e">
        <v>#N/A</v>
      </c>
      <c r="BK193" s="14" t="e">
        <v>#N/A</v>
      </c>
      <c r="BL193" s="14" t="e">
        <v>#N/A</v>
      </c>
      <c r="BM193" s="14" t="e">
        <v>#N/A</v>
      </c>
      <c r="BN193" s="14" t="e">
        <v>#N/A</v>
      </c>
      <c r="BO193" s="14" t="e">
        <v>#N/A</v>
      </c>
      <c r="BP193" s="182" t="e">
        <v>#N/A</v>
      </c>
      <c r="BQ193" s="183" t="e">
        <v>#N/A</v>
      </c>
    </row>
    <row r="194" spans="2:69" x14ac:dyDescent="0.35">
      <c r="B194" s="1">
        <v>175</v>
      </c>
      <c r="C194" t="str">
        <v>Product 3</v>
      </c>
      <c r="D194" s="113">
        <v>89.715223680149762</v>
      </c>
      <c r="E194" s="113">
        <v>93.943661971830977</v>
      </c>
      <c r="F194" s="113">
        <v>97.486291768635297</v>
      </c>
      <c r="G194" s="113">
        <v>97.961428222276538</v>
      </c>
      <c r="H194">
        <v>316.95070422535213</v>
      </c>
      <c r="I194" s="175">
        <v>177.13398495382441</v>
      </c>
      <c r="J194" s="113">
        <v>0</v>
      </c>
      <c r="K194">
        <v>380.34084507042252</v>
      </c>
      <c r="L194">
        <v>12</v>
      </c>
      <c r="M194">
        <v>0</v>
      </c>
      <c r="N194">
        <v>0</v>
      </c>
      <c r="O194" s="1">
        <v>30</v>
      </c>
      <c r="P194" s="138">
        <v>41705</v>
      </c>
      <c r="Q194" s="1">
        <v>70</v>
      </c>
      <c r="R194" s="95">
        <f>CHOOSE($D$4,D194,E194,F194,G194,H194,I194,J194,K194,L194,M194,N194,O194,P194,101-B194)+0.000001*ROWS($A$20:A194)</f>
        <v>97.961603222276537</v>
      </c>
      <c r="S194" s="4">
        <f t="shared" si="34"/>
        <v>192</v>
      </c>
      <c r="T194" s="4"/>
      <c r="U194" s="14">
        <f>ROWS($U$20:U194)</f>
        <v>175</v>
      </c>
      <c r="V194" s="4">
        <v>214</v>
      </c>
      <c r="W194" s="4" t="str">
        <v>Product 3</v>
      </c>
      <c r="X194" s="94">
        <v>93.023223148234834</v>
      </c>
      <c r="Y194" s="94">
        <v>99.322033898305094</v>
      </c>
      <c r="Z194" s="94">
        <v>95.337965669174523</v>
      </c>
      <c r="AA194" s="94">
        <v>98.238087311097075</v>
      </c>
      <c r="AB194" s="4">
        <v>342.78361581920905</v>
      </c>
      <c r="AC194" s="94">
        <v>180.40813777846495</v>
      </c>
      <c r="AD194" s="94">
        <v>25.829647884946489</v>
      </c>
      <c r="AE194" s="4">
        <v>411.3403389830508</v>
      </c>
      <c r="AF194" s="4">
        <v>12</v>
      </c>
      <c r="AG194" s="4">
        <v>0</v>
      </c>
      <c r="AH194" s="4">
        <v>0</v>
      </c>
      <c r="AI194" s="4">
        <v>22</v>
      </c>
      <c r="AJ194" s="139">
        <v>41718</v>
      </c>
      <c r="AK194" s="94">
        <v>120</v>
      </c>
      <c r="AL194" s="162">
        <v>87.494399999999999</v>
      </c>
      <c r="AM194" s="162">
        <v>90</v>
      </c>
      <c r="AN194" s="162">
        <v>98</v>
      </c>
      <c r="AO194" s="162">
        <v>99.2</v>
      </c>
      <c r="AP194" s="17">
        <v>362</v>
      </c>
      <c r="AQ194" s="162">
        <v>0</v>
      </c>
      <c r="AR194" s="162">
        <v>40</v>
      </c>
      <c r="AS194" s="17">
        <v>434.4</v>
      </c>
      <c r="AT194" s="17">
        <v>12</v>
      </c>
      <c r="AU194" s="17">
        <v>0</v>
      </c>
      <c r="AV194" s="17">
        <v>0</v>
      </c>
      <c r="AW194" s="17">
        <v>20</v>
      </c>
      <c r="AX194" s="4">
        <v>95.337965669174523</v>
      </c>
      <c r="AY194" s="4">
        <v>99.322033898305094</v>
      </c>
      <c r="BD194" s="159" t="e">
        <v>#N/A</v>
      </c>
      <c r="BE194" s="159" t="e">
        <v>#N/A</v>
      </c>
      <c r="BF194" s="159" t="e">
        <v>#N/A</v>
      </c>
      <c r="BG194" s="159" t="e">
        <v>#N/A</v>
      </c>
      <c r="BH194" s="14" t="e">
        <v>#N/A</v>
      </c>
      <c r="BI194" s="159" t="e">
        <v>#N/A</v>
      </c>
      <c r="BJ194" s="159" t="e">
        <v>#N/A</v>
      </c>
      <c r="BK194" s="14" t="e">
        <v>#N/A</v>
      </c>
      <c r="BL194" s="14" t="e">
        <v>#N/A</v>
      </c>
      <c r="BM194" s="14" t="e">
        <v>#N/A</v>
      </c>
      <c r="BN194" s="14" t="e">
        <v>#N/A</v>
      </c>
      <c r="BO194" s="14" t="e">
        <v>#N/A</v>
      </c>
      <c r="BP194" s="182" t="e">
        <v>#N/A</v>
      </c>
      <c r="BQ194" s="183" t="e">
        <v>#N/A</v>
      </c>
    </row>
    <row r="195" spans="2:69" x14ac:dyDescent="0.35">
      <c r="B195" s="1">
        <v>176</v>
      </c>
      <c r="C195" t="str">
        <v>Product 3</v>
      </c>
      <c r="D195" s="113">
        <v>89.208405947569446</v>
      </c>
      <c r="E195" s="113">
        <v>93.557046979865802</v>
      </c>
      <c r="F195" s="113">
        <v>98.050900861624797</v>
      </c>
      <c r="G195" s="113">
        <v>97.247329839207282</v>
      </c>
      <c r="H195">
        <v>332.07536912751686</v>
      </c>
      <c r="I195" s="175">
        <v>185.64991614106313</v>
      </c>
      <c r="J195" s="113">
        <v>0</v>
      </c>
      <c r="K195">
        <v>398.49044295302025</v>
      </c>
      <c r="L195">
        <v>12</v>
      </c>
      <c r="M195">
        <v>0</v>
      </c>
      <c r="N195">
        <v>0</v>
      </c>
      <c r="O195" s="1">
        <v>14</v>
      </c>
      <c r="P195" s="138">
        <v>41706</v>
      </c>
      <c r="Q195" s="1">
        <v>80</v>
      </c>
      <c r="R195" s="95">
        <f>CHOOSE($D$4,D195,E195,F195,G195,H195,I195,J195,K195,L195,M195,N195,O195,P195,101-B195)+0.000001*ROWS($A$20:A195)</f>
        <v>97.247505839207278</v>
      </c>
      <c r="S195" s="4">
        <f t="shared" si="34"/>
        <v>224</v>
      </c>
      <c r="T195" s="4"/>
      <c r="U195" s="14">
        <f>ROWS($U$20:U195)</f>
        <v>176</v>
      </c>
      <c r="V195" s="4">
        <v>245</v>
      </c>
      <c r="W195" s="4" t="str">
        <v>Product 2</v>
      </c>
      <c r="X195" s="94">
        <v>92.19801980198018</v>
      </c>
      <c r="Y195" s="94">
        <v>93.193069306930695</v>
      </c>
      <c r="Z195" s="94">
        <v>100.70788451133734</v>
      </c>
      <c r="AA195" s="94">
        <v>98.236867347955453</v>
      </c>
      <c r="AB195" s="4">
        <v>253.40247524752473</v>
      </c>
      <c r="AC195" s="94">
        <v>180.84669263449834</v>
      </c>
      <c r="AD195" s="94">
        <v>0</v>
      </c>
      <c r="AE195" s="4">
        <v>304.08297029702965</v>
      </c>
      <c r="AF195" s="4">
        <v>12</v>
      </c>
      <c r="AG195" s="4">
        <v>0</v>
      </c>
      <c r="AH195" s="4">
        <v>0</v>
      </c>
      <c r="AI195" s="4">
        <v>16</v>
      </c>
      <c r="AJ195" s="139">
        <v>41724</v>
      </c>
      <c r="AK195" s="94">
        <v>81</v>
      </c>
      <c r="AL195" s="162">
        <v>87.317999999999998</v>
      </c>
      <c r="AM195" s="162">
        <v>90</v>
      </c>
      <c r="AN195" s="162">
        <v>98</v>
      </c>
      <c r="AO195" s="162">
        <v>99</v>
      </c>
      <c r="AP195" s="17">
        <v>270</v>
      </c>
      <c r="AQ195" s="162">
        <v>0</v>
      </c>
      <c r="AR195" s="162">
        <v>40</v>
      </c>
      <c r="AS195" s="17">
        <v>324</v>
      </c>
      <c r="AT195" s="17">
        <v>12</v>
      </c>
      <c r="AU195" s="17">
        <v>0</v>
      </c>
      <c r="AV195" s="17">
        <v>0</v>
      </c>
      <c r="AW195" s="17">
        <v>20</v>
      </c>
      <c r="AX195" s="4">
        <v>100.70788451133734</v>
      </c>
      <c r="AY195" s="4">
        <v>93.193069306930695</v>
      </c>
      <c r="BD195" s="159">
        <v>92.19801980198018</v>
      </c>
      <c r="BE195" s="159">
        <v>93.193069306930695</v>
      </c>
      <c r="BF195" s="159">
        <v>100.70788451133734</v>
      </c>
      <c r="BG195" s="159">
        <v>98.236867347955453</v>
      </c>
      <c r="BH195" s="14">
        <v>253.40247524752473</v>
      </c>
      <c r="BI195" s="159">
        <v>180.84669263449834</v>
      </c>
      <c r="BJ195" s="159">
        <v>0</v>
      </c>
      <c r="BK195" s="14">
        <v>304.08297029702965</v>
      </c>
      <c r="BL195" s="14">
        <v>12</v>
      </c>
      <c r="BM195" s="14">
        <v>0</v>
      </c>
      <c r="BN195" s="14">
        <v>0</v>
      </c>
      <c r="BO195" s="14">
        <v>16</v>
      </c>
      <c r="BP195" s="182">
        <v>41724</v>
      </c>
      <c r="BQ195" s="183">
        <v>81</v>
      </c>
    </row>
    <row r="196" spans="2:69" x14ac:dyDescent="0.35">
      <c r="B196" s="1">
        <v>177</v>
      </c>
      <c r="C196" t="str">
        <v>Product 16</v>
      </c>
      <c r="D196" s="113">
        <v>62.155622369212274</v>
      </c>
      <c r="E196" s="113">
        <v>82.666666666666671</v>
      </c>
      <c r="F196" s="113">
        <v>76.814734351056202</v>
      </c>
      <c r="G196" s="113">
        <v>97.882591798546983</v>
      </c>
      <c r="H196">
        <v>176.00133333333335</v>
      </c>
      <c r="I196" s="175">
        <v>139.9798515376458</v>
      </c>
      <c r="J196" s="113">
        <v>0</v>
      </c>
      <c r="K196">
        <v>211.20160000000001</v>
      </c>
      <c r="L196">
        <v>12</v>
      </c>
      <c r="M196">
        <v>0</v>
      </c>
      <c r="N196">
        <v>0</v>
      </c>
      <c r="O196" s="1">
        <v>20</v>
      </c>
      <c r="P196" s="138">
        <v>41708</v>
      </c>
      <c r="Q196" s="1">
        <v>96</v>
      </c>
      <c r="R196" s="95">
        <f>CHOOSE($D$4,D196,E196,F196,G196,H196,I196,J196,K196,L196,M196,N196,O196,P196,101-B196)+0.000001*ROWS($A$20:A196)</f>
        <v>97.882768798546977</v>
      </c>
      <c r="S196" s="4">
        <f t="shared" si="34"/>
        <v>196</v>
      </c>
      <c r="T196" s="4"/>
      <c r="U196" s="14">
        <f>ROWS($U$20:U196)</f>
        <v>177</v>
      </c>
      <c r="V196" s="4">
        <v>57</v>
      </c>
      <c r="W196" s="4" t="str">
        <v>Product 3</v>
      </c>
      <c r="X196" s="94">
        <v>90.907132387287987</v>
      </c>
      <c r="Y196" s="94">
        <v>97.813411078717209</v>
      </c>
      <c r="Z196" s="94">
        <v>94.612847979843735</v>
      </c>
      <c r="AA196" s="94">
        <v>98.231197498874096</v>
      </c>
      <c r="AB196" s="4">
        <v>335.00947521865896</v>
      </c>
      <c r="AC196" s="94">
        <v>121.15244712481285</v>
      </c>
      <c r="AD196" s="94">
        <v>0</v>
      </c>
      <c r="AE196" s="4">
        <v>402.0113702623907</v>
      </c>
      <c r="AF196" s="4">
        <v>12</v>
      </c>
      <c r="AG196" s="4">
        <v>0</v>
      </c>
      <c r="AH196" s="4">
        <v>0</v>
      </c>
      <c r="AI196" s="4">
        <v>15</v>
      </c>
      <c r="AJ196" s="139">
        <v>41657</v>
      </c>
      <c r="AK196" s="94">
        <v>62</v>
      </c>
      <c r="AL196" s="162">
        <v>87.494399999999999</v>
      </c>
      <c r="AM196" s="162">
        <v>90</v>
      </c>
      <c r="AN196" s="162">
        <v>98</v>
      </c>
      <c r="AO196" s="162">
        <v>99.2</v>
      </c>
      <c r="AP196" s="17">
        <v>362</v>
      </c>
      <c r="AQ196" s="162">
        <v>0</v>
      </c>
      <c r="AR196" s="162">
        <v>40</v>
      </c>
      <c r="AS196" s="17">
        <v>434.4</v>
      </c>
      <c r="AT196" s="17">
        <v>12</v>
      </c>
      <c r="AU196" s="17">
        <v>0</v>
      </c>
      <c r="AV196" s="17">
        <v>0</v>
      </c>
      <c r="AW196" s="17">
        <v>20</v>
      </c>
      <c r="AX196" s="4">
        <v>94.612847979843735</v>
      </c>
      <c r="AY196" s="4">
        <v>97.813411078717209</v>
      </c>
      <c r="BD196" s="159" t="e">
        <v>#N/A</v>
      </c>
      <c r="BE196" s="159" t="e">
        <v>#N/A</v>
      </c>
      <c r="BF196" s="159" t="e">
        <v>#N/A</v>
      </c>
      <c r="BG196" s="159" t="e">
        <v>#N/A</v>
      </c>
      <c r="BH196" s="14" t="e">
        <v>#N/A</v>
      </c>
      <c r="BI196" s="159" t="e">
        <v>#N/A</v>
      </c>
      <c r="BJ196" s="159" t="e">
        <v>#N/A</v>
      </c>
      <c r="BK196" s="14" t="e">
        <v>#N/A</v>
      </c>
      <c r="BL196" s="14" t="e">
        <v>#N/A</v>
      </c>
      <c r="BM196" s="14" t="e">
        <v>#N/A</v>
      </c>
      <c r="BN196" s="14" t="e">
        <v>#N/A</v>
      </c>
      <c r="BO196" s="14" t="e">
        <v>#N/A</v>
      </c>
      <c r="BP196" s="182" t="e">
        <v>#N/A</v>
      </c>
      <c r="BQ196" s="183" t="e">
        <v>#N/A</v>
      </c>
    </row>
    <row r="197" spans="2:69" x14ac:dyDescent="0.35">
      <c r="B197" s="1">
        <v>178</v>
      </c>
      <c r="C197" t="str">
        <v>Product 2</v>
      </c>
      <c r="D197" s="113">
        <v>78.715071507150711</v>
      </c>
      <c r="E197" s="113">
        <v>84.777227722772281</v>
      </c>
      <c r="F197" s="113">
        <v>94.830927277642601</v>
      </c>
      <c r="G197" s="113">
        <v>97.910368789975237</v>
      </c>
      <c r="H197">
        <v>217.06658415841585</v>
      </c>
      <c r="I197" s="175">
        <v>202.26587862188262</v>
      </c>
      <c r="J197" s="113">
        <v>34.392388640622748</v>
      </c>
      <c r="K197">
        <v>260.479900990099</v>
      </c>
      <c r="L197">
        <v>12</v>
      </c>
      <c r="M197">
        <v>0</v>
      </c>
      <c r="N197">
        <v>0</v>
      </c>
      <c r="O197" s="1">
        <v>29</v>
      </c>
      <c r="P197" s="138">
        <v>41708</v>
      </c>
      <c r="Q197" s="1">
        <v>116</v>
      </c>
      <c r="R197" s="95">
        <f>CHOOSE($D$4,D197,E197,F197,G197,H197,I197,J197,K197,L197,M197,N197,O197,P197,101-B197)+0.000001*ROWS($A$20:A197)</f>
        <v>97.910546789975243</v>
      </c>
      <c r="S197" s="4">
        <f t="shared" si="34"/>
        <v>195</v>
      </c>
      <c r="T197" s="4"/>
      <c r="U197" s="14">
        <f>ROWS($U$20:U197)</f>
        <v>178</v>
      </c>
      <c r="V197" s="4">
        <v>206</v>
      </c>
      <c r="W197" s="4" t="str">
        <v>Product 3</v>
      </c>
      <c r="X197" s="94">
        <v>79.31540723578685</v>
      </c>
      <c r="Y197" s="94">
        <v>81.774193548387089</v>
      </c>
      <c r="Z197" s="94">
        <v>98.746281342966441</v>
      </c>
      <c r="AA197" s="94">
        <v>98.224661071659142</v>
      </c>
      <c r="AB197" s="4">
        <v>292.31129032258065</v>
      </c>
      <c r="AC197" s="94">
        <v>178.2201877264838</v>
      </c>
      <c r="AD197" s="94">
        <v>36.789689513766845</v>
      </c>
      <c r="AE197" s="4">
        <v>350.77354838709675</v>
      </c>
      <c r="AF197" s="4">
        <v>12</v>
      </c>
      <c r="AG197" s="4">
        <v>0</v>
      </c>
      <c r="AH197" s="4">
        <v>0</v>
      </c>
      <c r="AI197" s="4">
        <v>16</v>
      </c>
      <c r="AJ197" s="139">
        <v>41717</v>
      </c>
      <c r="AK197" s="94">
        <v>87</v>
      </c>
      <c r="AL197" s="162">
        <v>87.494399999999999</v>
      </c>
      <c r="AM197" s="162">
        <v>90</v>
      </c>
      <c r="AN197" s="162">
        <v>98</v>
      </c>
      <c r="AO197" s="162">
        <v>99.2</v>
      </c>
      <c r="AP197" s="17">
        <v>362</v>
      </c>
      <c r="AQ197" s="162">
        <v>0</v>
      </c>
      <c r="AR197" s="162">
        <v>40</v>
      </c>
      <c r="AS197" s="17">
        <v>434.4</v>
      </c>
      <c r="AT197" s="17">
        <v>12</v>
      </c>
      <c r="AU197" s="17">
        <v>0</v>
      </c>
      <c r="AV197" s="17">
        <v>0</v>
      </c>
      <c r="AW197" s="17">
        <v>20</v>
      </c>
      <c r="AX197" s="4">
        <v>98.746281342966441</v>
      </c>
      <c r="AY197" s="4">
        <v>81.774193548387089</v>
      </c>
      <c r="BD197" s="159" t="e">
        <v>#N/A</v>
      </c>
      <c r="BE197" s="159" t="e">
        <v>#N/A</v>
      </c>
      <c r="BF197" s="159" t="e">
        <v>#N/A</v>
      </c>
      <c r="BG197" s="159" t="e">
        <v>#N/A</v>
      </c>
      <c r="BH197" s="14" t="e">
        <v>#N/A</v>
      </c>
      <c r="BI197" s="159" t="e">
        <v>#N/A</v>
      </c>
      <c r="BJ197" s="159" t="e">
        <v>#N/A</v>
      </c>
      <c r="BK197" s="14" t="e">
        <v>#N/A</v>
      </c>
      <c r="BL197" s="14" t="e">
        <v>#N/A</v>
      </c>
      <c r="BM197" s="14" t="e">
        <v>#N/A</v>
      </c>
      <c r="BN197" s="14" t="e">
        <v>#N/A</v>
      </c>
      <c r="BO197" s="14" t="e">
        <v>#N/A</v>
      </c>
      <c r="BP197" s="182" t="e">
        <v>#N/A</v>
      </c>
      <c r="BQ197" s="183" t="e">
        <v>#N/A</v>
      </c>
    </row>
    <row r="198" spans="2:69" x14ac:dyDescent="0.35">
      <c r="B198" s="1">
        <v>179</v>
      </c>
      <c r="C198" t="str">
        <v>Product 23</v>
      </c>
      <c r="D198" s="113">
        <v>46.666666666666671</v>
      </c>
      <c r="E198" s="113">
        <v>68.749999999999986</v>
      </c>
      <c r="F198" s="113">
        <v>70.384615384615401</v>
      </c>
      <c r="G198" s="113">
        <v>96.439807915217756</v>
      </c>
      <c r="H198">
        <v>113.23125</v>
      </c>
      <c r="I198" s="175">
        <v>130.95995373716929</v>
      </c>
      <c r="J198" s="113">
        <v>0</v>
      </c>
      <c r="K198">
        <v>135.8775</v>
      </c>
      <c r="L198">
        <v>12</v>
      </c>
      <c r="M198">
        <v>0</v>
      </c>
      <c r="N198">
        <v>0</v>
      </c>
      <c r="O198" s="1">
        <v>21</v>
      </c>
      <c r="P198" s="138">
        <v>41708</v>
      </c>
      <c r="Q198" s="1">
        <v>97</v>
      </c>
      <c r="R198" s="95">
        <f>CHOOSE($D$4,D198,E198,F198,G198,H198,I198,J198,K198,L198,M198,N198,O198,P198,101-B198)+0.000001*ROWS($A$20:A198)</f>
        <v>96.439986915217759</v>
      </c>
      <c r="S198" s="4">
        <f t="shared" si="34"/>
        <v>233</v>
      </c>
      <c r="T198" s="4"/>
      <c r="U198" s="14">
        <f>ROWS($U$20:U198)</f>
        <v>179</v>
      </c>
      <c r="V198" s="4">
        <v>8</v>
      </c>
      <c r="W198" s="4" t="str">
        <v>Product 5</v>
      </c>
      <c r="X198" s="94">
        <v>78.300129996750073</v>
      </c>
      <c r="Y198" s="94">
        <v>84.537815126050418</v>
      </c>
      <c r="Z198" s="94">
        <v>94.301950726579747</v>
      </c>
      <c r="AA198" s="94">
        <v>98.217932318117718</v>
      </c>
      <c r="AB198" s="4">
        <v>288.5893277310924</v>
      </c>
      <c r="AC198" s="94">
        <v>117.4997776059451</v>
      </c>
      <c r="AD198" s="94">
        <v>100</v>
      </c>
      <c r="AE198" s="4">
        <v>346.30719327731089</v>
      </c>
      <c r="AF198" s="4">
        <v>12</v>
      </c>
      <c r="AG198" s="4">
        <v>0</v>
      </c>
      <c r="AH198" s="4">
        <v>0</v>
      </c>
      <c r="AI198" s="4">
        <v>15</v>
      </c>
      <c r="AJ198" s="139">
        <v>41642</v>
      </c>
      <c r="AK198" s="94">
        <v>67</v>
      </c>
      <c r="AL198" s="162">
        <v>87.494399999999999</v>
      </c>
      <c r="AM198" s="162">
        <v>90</v>
      </c>
      <c r="AN198" s="162">
        <v>98</v>
      </c>
      <c r="AO198" s="162">
        <v>99.2</v>
      </c>
      <c r="AP198" s="17">
        <v>362</v>
      </c>
      <c r="AQ198" s="162">
        <v>0</v>
      </c>
      <c r="AR198" s="162">
        <v>40</v>
      </c>
      <c r="AS198" s="17">
        <v>434.4</v>
      </c>
      <c r="AT198" s="17">
        <v>12</v>
      </c>
      <c r="AU198" s="17">
        <v>0</v>
      </c>
      <c r="AV198" s="17">
        <v>0</v>
      </c>
      <c r="AW198" s="17">
        <v>20</v>
      </c>
      <c r="AX198" s="4">
        <v>94.301950726579747</v>
      </c>
      <c r="AY198" s="4">
        <v>84.537815126050418</v>
      </c>
      <c r="BD198" s="159" t="e">
        <v>#N/A</v>
      </c>
      <c r="BE198" s="159" t="e">
        <v>#N/A</v>
      </c>
      <c r="BF198" s="159" t="e">
        <v>#N/A</v>
      </c>
      <c r="BG198" s="159" t="e">
        <v>#N/A</v>
      </c>
      <c r="BH198" s="14" t="e">
        <v>#N/A</v>
      </c>
      <c r="BI198" s="159" t="e">
        <v>#N/A</v>
      </c>
      <c r="BJ198" s="159" t="e">
        <v>#N/A</v>
      </c>
      <c r="BK198" s="14" t="e">
        <v>#N/A</v>
      </c>
      <c r="BL198" s="14" t="e">
        <v>#N/A</v>
      </c>
      <c r="BM198" s="14" t="e">
        <v>#N/A</v>
      </c>
      <c r="BN198" s="14" t="e">
        <v>#N/A</v>
      </c>
      <c r="BO198" s="14" t="e">
        <v>#N/A</v>
      </c>
      <c r="BP198" s="182" t="e">
        <v>#N/A</v>
      </c>
      <c r="BQ198" s="183" t="e">
        <v>#N/A</v>
      </c>
    </row>
    <row r="199" spans="2:69" x14ac:dyDescent="0.35">
      <c r="B199" s="1">
        <v>180</v>
      </c>
      <c r="C199" t="str">
        <v>Product 3</v>
      </c>
      <c r="D199" s="113">
        <v>98.369176742411724</v>
      </c>
      <c r="E199" s="113">
        <v>96.292134831460672</v>
      </c>
      <c r="F199" s="113">
        <v>103.15502057951949</v>
      </c>
      <c r="G199" s="113">
        <v>99.032524816065319</v>
      </c>
      <c r="H199">
        <v>343.76516853932583</v>
      </c>
      <c r="I199" s="175">
        <v>184.99879066392552</v>
      </c>
      <c r="J199" s="113">
        <v>26.355657087892268</v>
      </c>
      <c r="K199">
        <v>412.51820224719097</v>
      </c>
      <c r="L199">
        <v>12</v>
      </c>
      <c r="M199">
        <v>0</v>
      </c>
      <c r="N199">
        <v>0</v>
      </c>
      <c r="O199" s="1">
        <v>20</v>
      </c>
      <c r="P199" s="138">
        <v>41709</v>
      </c>
      <c r="Q199" s="1">
        <v>99</v>
      </c>
      <c r="R199" s="95">
        <f>CHOOSE($D$4,D199,E199,F199,G199,H199,I199,J199,K199,L199,M199,N199,O199,P199,101-B199)+0.000001*ROWS($A$20:A199)</f>
        <v>99.032704816065319</v>
      </c>
      <c r="S199" s="4">
        <f t="shared" si="34"/>
        <v>73</v>
      </c>
      <c r="T199" s="4"/>
      <c r="U199" s="14">
        <f>ROWS($U$20:U199)</f>
        <v>180</v>
      </c>
      <c r="V199" s="4">
        <v>91</v>
      </c>
      <c r="W199" s="4" t="str">
        <v>Product 3</v>
      </c>
      <c r="X199" s="94">
        <v>88.375116518176839</v>
      </c>
      <c r="Y199" s="94">
        <v>93.700217233888495</v>
      </c>
      <c r="Z199" s="94">
        <v>96.046062575251696</v>
      </c>
      <c r="AA199" s="94">
        <v>98.19962652252417</v>
      </c>
      <c r="AB199" s="4">
        <v>325.78323678493848</v>
      </c>
      <c r="AC199" s="94">
        <v>115.41394746293162</v>
      </c>
      <c r="AD199" s="94">
        <v>10.259729657231494</v>
      </c>
      <c r="AE199" s="4">
        <v>390.9398841419262</v>
      </c>
      <c r="AF199" s="4">
        <v>12</v>
      </c>
      <c r="AG199" s="4">
        <v>0</v>
      </c>
      <c r="AH199" s="4">
        <v>0</v>
      </c>
      <c r="AI199" s="4">
        <v>21</v>
      </c>
      <c r="AJ199" s="139">
        <v>41670</v>
      </c>
      <c r="AK199" s="94">
        <v>104</v>
      </c>
      <c r="AL199" s="162">
        <v>87.494399999999999</v>
      </c>
      <c r="AM199" s="162">
        <v>90</v>
      </c>
      <c r="AN199" s="162">
        <v>98</v>
      </c>
      <c r="AO199" s="162">
        <v>99.2</v>
      </c>
      <c r="AP199" s="17">
        <v>362</v>
      </c>
      <c r="AQ199" s="162">
        <v>0</v>
      </c>
      <c r="AR199" s="162">
        <v>40</v>
      </c>
      <c r="AS199" s="17">
        <v>434.4</v>
      </c>
      <c r="AT199" s="17">
        <v>12</v>
      </c>
      <c r="AU199" s="17">
        <v>0</v>
      </c>
      <c r="AV199" s="17">
        <v>0</v>
      </c>
      <c r="AW199" s="17">
        <v>20</v>
      </c>
      <c r="AX199" s="4">
        <v>96.046062575251696</v>
      </c>
      <c r="AY199" s="4">
        <v>93.700217233888495</v>
      </c>
      <c r="BD199" s="159" t="e">
        <v>#N/A</v>
      </c>
      <c r="BE199" s="159" t="e">
        <v>#N/A</v>
      </c>
      <c r="BF199" s="159" t="e">
        <v>#N/A</v>
      </c>
      <c r="BG199" s="159" t="e">
        <v>#N/A</v>
      </c>
      <c r="BH199" s="14" t="e">
        <v>#N/A</v>
      </c>
      <c r="BI199" s="159" t="e">
        <v>#N/A</v>
      </c>
      <c r="BJ199" s="159" t="e">
        <v>#N/A</v>
      </c>
      <c r="BK199" s="14" t="e">
        <v>#N/A</v>
      </c>
      <c r="BL199" s="14" t="e">
        <v>#N/A</v>
      </c>
      <c r="BM199" s="14" t="e">
        <v>#N/A</v>
      </c>
      <c r="BN199" s="14" t="e">
        <v>#N/A</v>
      </c>
      <c r="BO199" s="14" t="e">
        <v>#N/A</v>
      </c>
      <c r="BP199" s="182" t="e">
        <v>#N/A</v>
      </c>
      <c r="BQ199" s="183" t="e">
        <v>#N/A</v>
      </c>
    </row>
    <row r="200" spans="2:69" x14ac:dyDescent="0.35">
      <c r="B200" s="1">
        <v>181</v>
      </c>
      <c r="C200" t="str">
        <v>Product 3</v>
      </c>
      <c r="D200" s="113">
        <v>99.580349745915726</v>
      </c>
      <c r="E200" s="113">
        <v>99.374565670604582</v>
      </c>
      <c r="F200" s="113">
        <v>102.25598143729616</v>
      </c>
      <c r="G200" s="113">
        <v>97.996300863131935</v>
      </c>
      <c r="H200">
        <v>351.67755385684501</v>
      </c>
      <c r="I200" s="175">
        <v>180.83854161083178</v>
      </c>
      <c r="J200" s="113">
        <v>22.234850022324146</v>
      </c>
      <c r="K200">
        <v>422.01306462821401</v>
      </c>
      <c r="L200">
        <v>12</v>
      </c>
      <c r="M200">
        <v>0</v>
      </c>
      <c r="N200">
        <v>0</v>
      </c>
      <c r="O200" s="1">
        <v>16</v>
      </c>
      <c r="P200" s="138">
        <v>41708</v>
      </c>
      <c r="Q200" s="1">
        <v>72</v>
      </c>
      <c r="R200" s="95">
        <f>CHOOSE($D$4,D200,E200,F200,G200,H200,I200,J200,K200,L200,M200,N200,O200,P200,101-B200)+0.000001*ROWS($A$20:A200)</f>
        <v>97.996481863131933</v>
      </c>
      <c r="S200" s="4">
        <f t="shared" si="34"/>
        <v>190</v>
      </c>
      <c r="T200" s="4"/>
      <c r="U200" s="14">
        <f>ROWS($U$20:U200)</f>
        <v>181</v>
      </c>
      <c r="V200" s="4">
        <v>95</v>
      </c>
      <c r="W200" s="4" t="str">
        <v>Product 3</v>
      </c>
      <c r="X200" s="94">
        <v>84.089744999436306</v>
      </c>
      <c r="Y200" s="94">
        <v>83.815028901734095</v>
      </c>
      <c r="Z200" s="94">
        <v>102.18724312296055</v>
      </c>
      <c r="AA200" s="94">
        <v>98.180322374234436</v>
      </c>
      <c r="AB200" s="4">
        <v>296.41437861271675</v>
      </c>
      <c r="AC200" s="94">
        <v>125.04648426545715</v>
      </c>
      <c r="AD200" s="94">
        <v>0</v>
      </c>
      <c r="AE200" s="4">
        <v>355.69725433526014</v>
      </c>
      <c r="AF200" s="4">
        <v>12</v>
      </c>
      <c r="AG200" s="4">
        <v>0</v>
      </c>
      <c r="AH200" s="4">
        <v>0</v>
      </c>
      <c r="AI200" s="4">
        <v>29</v>
      </c>
      <c r="AJ200" s="139">
        <v>41671</v>
      </c>
      <c r="AK200" s="94">
        <v>86</v>
      </c>
      <c r="AL200" s="162">
        <v>87.494399999999999</v>
      </c>
      <c r="AM200" s="162">
        <v>90</v>
      </c>
      <c r="AN200" s="162">
        <v>98</v>
      </c>
      <c r="AO200" s="162">
        <v>99.2</v>
      </c>
      <c r="AP200" s="17">
        <v>346.08333333333331</v>
      </c>
      <c r="AQ200" s="162">
        <v>0</v>
      </c>
      <c r="AR200" s="162">
        <v>40</v>
      </c>
      <c r="AS200" s="17">
        <v>415.3</v>
      </c>
      <c r="AT200" s="17">
        <v>12</v>
      </c>
      <c r="AU200" s="17">
        <v>0</v>
      </c>
      <c r="AV200" s="17">
        <v>0</v>
      </c>
      <c r="AW200" s="17">
        <v>20</v>
      </c>
      <c r="AX200" s="4">
        <v>102.18724312296055</v>
      </c>
      <c r="AY200" s="4">
        <v>83.815028901734095</v>
      </c>
      <c r="BD200" s="159" t="e">
        <v>#N/A</v>
      </c>
      <c r="BE200" s="159" t="e">
        <v>#N/A</v>
      </c>
      <c r="BF200" s="159" t="e">
        <v>#N/A</v>
      </c>
      <c r="BG200" s="159" t="e">
        <v>#N/A</v>
      </c>
      <c r="BH200" s="14" t="e">
        <v>#N/A</v>
      </c>
      <c r="BI200" s="159" t="e">
        <v>#N/A</v>
      </c>
      <c r="BJ200" s="159" t="e">
        <v>#N/A</v>
      </c>
      <c r="BK200" s="14" t="e">
        <v>#N/A</v>
      </c>
      <c r="BL200" s="14" t="e">
        <v>#N/A</v>
      </c>
      <c r="BM200" s="14" t="e">
        <v>#N/A</v>
      </c>
      <c r="BN200" s="14" t="e">
        <v>#N/A</v>
      </c>
      <c r="BO200" s="14" t="e">
        <v>#N/A</v>
      </c>
      <c r="BP200" s="182" t="e">
        <v>#N/A</v>
      </c>
      <c r="BQ200" s="183" t="e">
        <v>#N/A</v>
      </c>
    </row>
    <row r="201" spans="2:69" x14ac:dyDescent="0.35">
      <c r="B201" s="1">
        <v>182</v>
      </c>
      <c r="C201" t="str">
        <v>Product 3</v>
      </c>
      <c r="D201" s="113">
        <v>86.885813748073232</v>
      </c>
      <c r="E201" s="113">
        <v>89.864158829676072</v>
      </c>
      <c r="F201" s="113">
        <v>97.94809199537454</v>
      </c>
      <c r="G201" s="113">
        <v>98.711188068159458</v>
      </c>
      <c r="H201">
        <v>318.63322884012541</v>
      </c>
      <c r="I201" s="175">
        <v>176.79779678214234</v>
      </c>
      <c r="J201" s="113">
        <v>24.976120681136983</v>
      </c>
      <c r="K201">
        <v>382.35987460815051</v>
      </c>
      <c r="L201">
        <v>12</v>
      </c>
      <c r="M201">
        <v>0</v>
      </c>
      <c r="N201">
        <v>0</v>
      </c>
      <c r="O201" s="1">
        <v>22</v>
      </c>
      <c r="P201" s="138">
        <v>41709</v>
      </c>
      <c r="Q201" s="1">
        <v>86</v>
      </c>
      <c r="R201" s="95">
        <f>CHOOSE($D$4,D201,E201,F201,G201,H201,I201,J201,K201,L201,M201,N201,O201,P201,101-B201)+0.000001*ROWS($A$20:A201)</f>
        <v>98.711370068159454</v>
      </c>
      <c r="S201" s="4">
        <f t="shared" si="34"/>
        <v>112</v>
      </c>
      <c r="T201" s="4"/>
      <c r="U201" s="14">
        <f>ROWS($U$20:U201)</f>
        <v>182</v>
      </c>
      <c r="V201" s="4">
        <v>150</v>
      </c>
      <c r="W201" s="4" t="str">
        <v>Product 4</v>
      </c>
      <c r="X201" s="94">
        <v>91.068022886204687</v>
      </c>
      <c r="Y201" s="94">
        <v>98.181818181818187</v>
      </c>
      <c r="Z201" s="94">
        <v>94.489769489769486</v>
      </c>
      <c r="AA201" s="94">
        <v>98.163503049407254</v>
      </c>
      <c r="AB201" s="4">
        <v>241.20661157024793</v>
      </c>
      <c r="AC201" s="94">
        <v>93.144826705814765</v>
      </c>
      <c r="AD201" s="94">
        <v>0</v>
      </c>
      <c r="AE201" s="4">
        <v>289.44793388429747</v>
      </c>
      <c r="AF201" s="4">
        <v>12</v>
      </c>
      <c r="AG201" s="4">
        <v>0</v>
      </c>
      <c r="AH201" s="4">
        <v>0</v>
      </c>
      <c r="AI201" s="4">
        <v>20</v>
      </c>
      <c r="AJ201" s="139">
        <v>41696</v>
      </c>
      <c r="AK201" s="94">
        <v>89</v>
      </c>
      <c r="AL201" s="162">
        <v>87.097500000000011</v>
      </c>
      <c r="AM201" s="162">
        <v>90</v>
      </c>
      <c r="AN201" s="162">
        <v>98</v>
      </c>
      <c r="AO201" s="162">
        <v>98.75</v>
      </c>
      <c r="AP201" s="17">
        <v>260</v>
      </c>
      <c r="AQ201" s="162">
        <v>0</v>
      </c>
      <c r="AR201" s="162">
        <v>40</v>
      </c>
      <c r="AS201" s="17">
        <v>312</v>
      </c>
      <c r="AT201" s="17">
        <v>12</v>
      </c>
      <c r="AU201" s="17">
        <v>0</v>
      </c>
      <c r="AV201" s="17">
        <v>0</v>
      </c>
      <c r="AW201" s="17">
        <v>20</v>
      </c>
      <c r="AX201" s="4">
        <v>94.489769489769486</v>
      </c>
      <c r="AY201" s="4">
        <v>98.181818181818187</v>
      </c>
      <c r="BD201" s="159" t="e">
        <v>#N/A</v>
      </c>
      <c r="BE201" s="159" t="e">
        <v>#N/A</v>
      </c>
      <c r="BF201" s="159" t="e">
        <v>#N/A</v>
      </c>
      <c r="BG201" s="159" t="e">
        <v>#N/A</v>
      </c>
      <c r="BH201" s="14" t="e">
        <v>#N/A</v>
      </c>
      <c r="BI201" s="159" t="e">
        <v>#N/A</v>
      </c>
      <c r="BJ201" s="159" t="e">
        <v>#N/A</v>
      </c>
      <c r="BK201" s="14" t="e">
        <v>#N/A</v>
      </c>
      <c r="BL201" s="14" t="e">
        <v>#N/A</v>
      </c>
      <c r="BM201" s="14" t="e">
        <v>#N/A</v>
      </c>
      <c r="BN201" s="14" t="e">
        <v>#N/A</v>
      </c>
      <c r="BO201" s="14" t="e">
        <v>#N/A</v>
      </c>
      <c r="BP201" s="182" t="e">
        <v>#N/A</v>
      </c>
      <c r="BQ201" s="183" t="e">
        <v>#N/A</v>
      </c>
    </row>
    <row r="202" spans="2:69" x14ac:dyDescent="0.35">
      <c r="B202" s="1">
        <v>183</v>
      </c>
      <c r="C202" t="str">
        <v>Product 2</v>
      </c>
      <c r="D202" s="113">
        <v>91.871310116086235</v>
      </c>
      <c r="E202" s="113">
        <v>94.626865671641795</v>
      </c>
      <c r="F202" s="113">
        <v>98.815691085407181</v>
      </c>
      <c r="G202" s="113">
        <v>98.251579785602004</v>
      </c>
      <c r="H202">
        <v>252.46671641791045</v>
      </c>
      <c r="I202" s="175">
        <v>178.61859229887912</v>
      </c>
      <c r="J202" s="113">
        <v>0</v>
      </c>
      <c r="K202">
        <v>302.96005970149258</v>
      </c>
      <c r="L202">
        <v>12</v>
      </c>
      <c r="M202">
        <v>0</v>
      </c>
      <c r="N202">
        <v>0</v>
      </c>
      <c r="O202" s="1">
        <v>26</v>
      </c>
      <c r="P202" s="138">
        <v>41710</v>
      </c>
      <c r="Q202" s="1">
        <v>74</v>
      </c>
      <c r="R202" s="95">
        <f>CHOOSE($D$4,D202,E202,F202,G202,H202,I202,J202,K202,L202,M202,N202,O202,P202,101-B202)+0.000001*ROWS($A$20:A202)</f>
        <v>98.251762785602011</v>
      </c>
      <c r="S202" s="4">
        <f t="shared" si="34"/>
        <v>170</v>
      </c>
      <c r="T202" s="4"/>
      <c r="U202" s="14">
        <f>ROWS($U$20:U202)</f>
        <v>183</v>
      </c>
      <c r="V202" s="4">
        <v>53</v>
      </c>
      <c r="W202" s="4" t="str">
        <v>Product 5</v>
      </c>
      <c r="X202" s="94">
        <v>87.366490268603343</v>
      </c>
      <c r="Y202" s="94">
        <v>91.062394603709947</v>
      </c>
      <c r="Z202" s="94">
        <v>97.779133415183153</v>
      </c>
      <c r="AA202" s="94">
        <v>98.120474325836256</v>
      </c>
      <c r="AB202" s="4">
        <v>322.32487352445196</v>
      </c>
      <c r="AC202" s="94">
        <v>113.62387461694622</v>
      </c>
      <c r="AD202" s="94">
        <v>100</v>
      </c>
      <c r="AE202" s="4">
        <v>386.7898482293424</v>
      </c>
      <c r="AF202" s="4">
        <v>12</v>
      </c>
      <c r="AG202" s="4">
        <v>0</v>
      </c>
      <c r="AH202" s="4">
        <v>0</v>
      </c>
      <c r="AI202" s="4">
        <v>15</v>
      </c>
      <c r="AJ202" s="139">
        <v>41656</v>
      </c>
      <c r="AK202" s="94">
        <v>100</v>
      </c>
      <c r="AL202" s="162">
        <v>87.494399999999999</v>
      </c>
      <c r="AM202" s="162">
        <v>90</v>
      </c>
      <c r="AN202" s="162">
        <v>98</v>
      </c>
      <c r="AO202" s="162">
        <v>99.2</v>
      </c>
      <c r="AP202" s="17">
        <v>362</v>
      </c>
      <c r="AQ202" s="162">
        <v>0</v>
      </c>
      <c r="AR202" s="162">
        <v>40</v>
      </c>
      <c r="AS202" s="17">
        <v>434.4</v>
      </c>
      <c r="AT202" s="17">
        <v>12</v>
      </c>
      <c r="AU202" s="17">
        <v>0</v>
      </c>
      <c r="AV202" s="17">
        <v>0</v>
      </c>
      <c r="AW202" s="17">
        <v>20</v>
      </c>
      <c r="AX202" s="4">
        <v>97.779133415183153</v>
      </c>
      <c r="AY202" s="4">
        <v>91.062394603709947</v>
      </c>
      <c r="BD202" s="159" t="e">
        <v>#N/A</v>
      </c>
      <c r="BE202" s="159" t="e">
        <v>#N/A</v>
      </c>
      <c r="BF202" s="159" t="e">
        <v>#N/A</v>
      </c>
      <c r="BG202" s="159" t="e">
        <v>#N/A</v>
      </c>
      <c r="BH202" s="14" t="e">
        <v>#N/A</v>
      </c>
      <c r="BI202" s="159" t="e">
        <v>#N/A</v>
      </c>
      <c r="BJ202" s="159" t="e">
        <v>#N/A</v>
      </c>
      <c r="BK202" s="14" t="e">
        <v>#N/A</v>
      </c>
      <c r="BL202" s="14" t="e">
        <v>#N/A</v>
      </c>
      <c r="BM202" s="14" t="e">
        <v>#N/A</v>
      </c>
      <c r="BN202" s="14" t="e">
        <v>#N/A</v>
      </c>
      <c r="BO202" s="14" t="e">
        <v>#N/A</v>
      </c>
      <c r="BP202" s="182" t="e">
        <v>#N/A</v>
      </c>
      <c r="BQ202" s="183" t="e">
        <v>#N/A</v>
      </c>
    </row>
    <row r="203" spans="2:69" x14ac:dyDescent="0.35">
      <c r="B203" s="1">
        <v>184</v>
      </c>
      <c r="C203" t="str">
        <v>Product 9</v>
      </c>
      <c r="D203" s="113">
        <v>19.911111111111111</v>
      </c>
      <c r="E203" s="113">
        <v>76.428571428571416</v>
      </c>
      <c r="F203" s="113">
        <v>26.051921079958461</v>
      </c>
      <c r="G203" s="113">
        <v>100</v>
      </c>
      <c r="H203">
        <v>53.76</v>
      </c>
      <c r="I203" s="175">
        <v>187.69077306733166</v>
      </c>
      <c r="J203" s="113">
        <v>0</v>
      </c>
      <c r="K203">
        <v>64.511999999999986</v>
      </c>
      <c r="L203">
        <v>12</v>
      </c>
      <c r="M203">
        <v>0</v>
      </c>
      <c r="N203">
        <v>0</v>
      </c>
      <c r="O203" s="1">
        <v>14</v>
      </c>
      <c r="P203" s="138">
        <v>41710</v>
      </c>
      <c r="Q203" s="1">
        <v>98</v>
      </c>
      <c r="R203" s="95">
        <f>CHOOSE($D$4,D203,E203,F203,G203,H203,I203,J203,K203,L203,M203,N203,O203,P203,101-B203)+0.000001*ROWS($A$20:A203)</f>
        <v>100.000184</v>
      </c>
      <c r="S203" s="4">
        <f t="shared" si="34"/>
        <v>2</v>
      </c>
      <c r="T203" s="4"/>
      <c r="U203" s="14">
        <f>ROWS($U$20:U203)</f>
        <v>184</v>
      </c>
      <c r="V203" s="4">
        <v>86</v>
      </c>
      <c r="W203" s="4" t="str">
        <v>Product 3</v>
      </c>
      <c r="X203" s="94">
        <v>77.637588446253758</v>
      </c>
      <c r="Y203" s="94">
        <v>78.94736842105263</v>
      </c>
      <c r="Z203" s="94">
        <v>100.24855739717617</v>
      </c>
      <c r="AA203" s="94">
        <v>98.097117722738275</v>
      </c>
      <c r="AB203" s="4">
        <v>286.4998245614035</v>
      </c>
      <c r="AC203" s="94">
        <v>122.84198015631229</v>
      </c>
      <c r="AD203" s="94">
        <v>41.966993328438726</v>
      </c>
      <c r="AE203" s="4">
        <v>343.7997894736842</v>
      </c>
      <c r="AF203" s="4">
        <v>12</v>
      </c>
      <c r="AG203" s="4">
        <v>0</v>
      </c>
      <c r="AH203" s="4">
        <v>0</v>
      </c>
      <c r="AI203" s="4">
        <v>27</v>
      </c>
      <c r="AJ203" s="139">
        <v>41668</v>
      </c>
      <c r="AK203" s="94">
        <v>95</v>
      </c>
      <c r="AL203" s="162">
        <v>87.494399999999999</v>
      </c>
      <c r="AM203" s="162">
        <v>90</v>
      </c>
      <c r="AN203" s="162">
        <v>98</v>
      </c>
      <c r="AO203" s="162">
        <v>99.2</v>
      </c>
      <c r="AP203" s="17">
        <v>362</v>
      </c>
      <c r="AQ203" s="162">
        <v>0</v>
      </c>
      <c r="AR203" s="162">
        <v>40</v>
      </c>
      <c r="AS203" s="17">
        <v>434.4</v>
      </c>
      <c r="AT203" s="17">
        <v>12</v>
      </c>
      <c r="AU203" s="17">
        <v>0</v>
      </c>
      <c r="AV203" s="17">
        <v>0</v>
      </c>
      <c r="AW203" s="17">
        <v>20</v>
      </c>
      <c r="AX203" s="4">
        <v>100.24855739717617</v>
      </c>
      <c r="AY203" s="4">
        <v>78.94736842105263</v>
      </c>
      <c r="BD203" s="159" t="e">
        <v>#N/A</v>
      </c>
      <c r="BE203" s="159" t="e">
        <v>#N/A</v>
      </c>
      <c r="BF203" s="159" t="e">
        <v>#N/A</v>
      </c>
      <c r="BG203" s="159" t="e">
        <v>#N/A</v>
      </c>
      <c r="BH203" s="14" t="e">
        <v>#N/A</v>
      </c>
      <c r="BI203" s="159" t="e">
        <v>#N/A</v>
      </c>
      <c r="BJ203" s="159" t="e">
        <v>#N/A</v>
      </c>
      <c r="BK203" s="14" t="e">
        <v>#N/A</v>
      </c>
      <c r="BL203" s="14" t="e">
        <v>#N/A</v>
      </c>
      <c r="BM203" s="14" t="e">
        <v>#N/A</v>
      </c>
      <c r="BN203" s="14" t="e">
        <v>#N/A</v>
      </c>
      <c r="BO203" s="14" t="e">
        <v>#N/A</v>
      </c>
      <c r="BP203" s="182" t="e">
        <v>#N/A</v>
      </c>
      <c r="BQ203" s="183" t="e">
        <v>#N/A</v>
      </c>
    </row>
    <row r="204" spans="2:69" x14ac:dyDescent="0.35">
      <c r="B204" s="1">
        <v>185</v>
      </c>
      <c r="C204" t="str">
        <v>Product 4</v>
      </c>
      <c r="D204" s="113">
        <v>51.719934994582886</v>
      </c>
      <c r="E204" s="113">
        <v>60.281690140845065</v>
      </c>
      <c r="F204" s="113">
        <v>87.324766355140198</v>
      </c>
      <c r="G204" s="113">
        <v>98.250578852585548</v>
      </c>
      <c r="H204">
        <v>136.86619718309859</v>
      </c>
      <c r="I204" s="175">
        <v>151.01010101010101</v>
      </c>
      <c r="J204" s="113">
        <v>0</v>
      </c>
      <c r="K204">
        <v>164.2394366197183</v>
      </c>
      <c r="L204">
        <v>12</v>
      </c>
      <c r="M204">
        <v>0</v>
      </c>
      <c r="N204">
        <v>0</v>
      </c>
      <c r="O204" s="1">
        <v>26</v>
      </c>
      <c r="P204" s="138">
        <v>41710</v>
      </c>
      <c r="Q204" s="1">
        <v>79</v>
      </c>
      <c r="R204" s="95">
        <f>CHOOSE($D$4,D204,E204,F204,G204,H204,I204,J204,K204,L204,M204,N204,O204,P204,101-B204)+0.000001*ROWS($A$20:A204)</f>
        <v>98.25076385258555</v>
      </c>
      <c r="S204" s="4">
        <f t="shared" si="34"/>
        <v>171</v>
      </c>
      <c r="T204" s="4"/>
      <c r="U204" s="14">
        <f>ROWS($U$20:U204)</f>
        <v>185</v>
      </c>
      <c r="V204" s="4">
        <v>44</v>
      </c>
      <c r="W204" s="4" t="str">
        <v>Product 3</v>
      </c>
      <c r="X204" s="94">
        <v>93.128326427924975</v>
      </c>
      <c r="Y204" s="94">
        <v>90.732758620689651</v>
      </c>
      <c r="Z204" s="94">
        <v>104.63748553688401</v>
      </c>
      <c r="AA204" s="94">
        <v>98.091276971781411</v>
      </c>
      <c r="AB204" s="4">
        <v>32.857316810344827</v>
      </c>
      <c r="AC204" s="94">
        <v>119.00480638822269</v>
      </c>
      <c r="AD204" s="94">
        <v>11.289520182526203</v>
      </c>
      <c r="AE204" s="4">
        <v>394.28780172413792</v>
      </c>
      <c r="AF204" s="4">
        <v>12</v>
      </c>
      <c r="AG204" s="4">
        <v>0</v>
      </c>
      <c r="AH204" s="4">
        <v>0</v>
      </c>
      <c r="AI204" s="4">
        <v>27</v>
      </c>
      <c r="AJ204" s="139">
        <v>41653</v>
      </c>
      <c r="AK204" s="94">
        <v>52</v>
      </c>
      <c r="AL204" s="162">
        <v>87.494399999999999</v>
      </c>
      <c r="AM204" s="162">
        <v>90</v>
      </c>
      <c r="AN204" s="162">
        <v>98</v>
      </c>
      <c r="AO204" s="162">
        <v>99.2</v>
      </c>
      <c r="AP204" s="17">
        <v>346.08333333333331</v>
      </c>
      <c r="AQ204" s="162">
        <v>0</v>
      </c>
      <c r="AR204" s="162">
        <v>40</v>
      </c>
      <c r="AS204" s="17">
        <v>415.3</v>
      </c>
      <c r="AT204" s="17">
        <v>12</v>
      </c>
      <c r="AU204" s="17">
        <v>0</v>
      </c>
      <c r="AV204" s="17">
        <v>0</v>
      </c>
      <c r="AW204" s="17">
        <v>20</v>
      </c>
      <c r="AX204" s="4">
        <v>104.63748553688401</v>
      </c>
      <c r="AY204" s="4">
        <v>90.732758620689651</v>
      </c>
      <c r="BD204" s="159" t="e">
        <v>#N/A</v>
      </c>
      <c r="BE204" s="159" t="e">
        <v>#N/A</v>
      </c>
      <c r="BF204" s="159" t="e">
        <v>#N/A</v>
      </c>
      <c r="BG204" s="159" t="e">
        <v>#N/A</v>
      </c>
      <c r="BH204" s="14" t="e">
        <v>#N/A</v>
      </c>
      <c r="BI204" s="159" t="e">
        <v>#N/A</v>
      </c>
      <c r="BJ204" s="159" t="e">
        <v>#N/A</v>
      </c>
      <c r="BK204" s="14" t="e">
        <v>#N/A</v>
      </c>
      <c r="BL204" s="14" t="e">
        <v>#N/A</v>
      </c>
      <c r="BM204" s="14" t="e">
        <v>#N/A</v>
      </c>
      <c r="BN204" s="14" t="e">
        <v>#N/A</v>
      </c>
      <c r="BO204" s="14" t="e">
        <v>#N/A</v>
      </c>
      <c r="BP204" s="182" t="e">
        <v>#N/A</v>
      </c>
      <c r="BQ204" s="183" t="e">
        <v>#N/A</v>
      </c>
    </row>
    <row r="205" spans="2:69" x14ac:dyDescent="0.35">
      <c r="B205" s="1">
        <v>186</v>
      </c>
      <c r="C205" t="str">
        <v>Product 3</v>
      </c>
      <c r="D205" s="113">
        <v>72.432596057927142</v>
      </c>
      <c r="E205" s="113">
        <v>79.809523809523824</v>
      </c>
      <c r="F205" s="113">
        <v>92.211915704034269</v>
      </c>
      <c r="G205" s="113">
        <v>98.422022876929006</v>
      </c>
      <c r="H205">
        <v>254.69619047619045</v>
      </c>
      <c r="I205" s="175">
        <v>174.62828859301439</v>
      </c>
      <c r="J205" s="113">
        <v>0</v>
      </c>
      <c r="K205">
        <v>305.63542857142858</v>
      </c>
      <c r="L205">
        <v>12</v>
      </c>
      <c r="M205">
        <v>0</v>
      </c>
      <c r="N205">
        <v>0</v>
      </c>
      <c r="O205" s="1">
        <v>24</v>
      </c>
      <c r="P205" s="138">
        <v>41710</v>
      </c>
      <c r="Q205" s="1">
        <v>86</v>
      </c>
      <c r="R205" s="95">
        <f>CHOOSE($D$4,D205,E205,F205,G205,H205,I205,J205,K205,L205,M205,N205,O205,P205,101-B205)+0.000001*ROWS($A$20:A205)</f>
        <v>98.422208876929005</v>
      </c>
      <c r="S205" s="4">
        <f t="shared" si="34"/>
        <v>154</v>
      </c>
      <c r="T205" s="4"/>
      <c r="U205" s="14">
        <f>ROWS($U$20:U205)</f>
        <v>186</v>
      </c>
      <c r="V205" s="4">
        <v>46</v>
      </c>
      <c r="W205" s="4" t="str">
        <v>Product 2</v>
      </c>
      <c r="X205" s="94">
        <v>80.218832796276402</v>
      </c>
      <c r="Y205" s="94">
        <v>86.802721088435376</v>
      </c>
      <c r="Z205" s="94">
        <v>94.239619424737384</v>
      </c>
      <c r="AA205" s="94">
        <v>98.063970951685931</v>
      </c>
      <c r="AB205" s="4">
        <v>233.13727891156464</v>
      </c>
      <c r="AC205" s="94">
        <v>96.156617378861426</v>
      </c>
      <c r="AD205" s="94">
        <v>0</v>
      </c>
      <c r="AE205" s="4">
        <v>279.76473469387759</v>
      </c>
      <c r="AF205" s="4">
        <v>12</v>
      </c>
      <c r="AG205" s="4">
        <v>0</v>
      </c>
      <c r="AH205" s="4">
        <v>0</v>
      </c>
      <c r="AI205" s="4">
        <v>25</v>
      </c>
      <c r="AJ205" s="139">
        <v>41654</v>
      </c>
      <c r="AK205" s="94">
        <v>91</v>
      </c>
      <c r="AL205" s="162">
        <v>87.317999999999998</v>
      </c>
      <c r="AM205" s="162">
        <v>90</v>
      </c>
      <c r="AN205" s="162">
        <v>98</v>
      </c>
      <c r="AO205" s="162">
        <v>99</v>
      </c>
      <c r="AP205" s="17">
        <v>285</v>
      </c>
      <c r="AQ205" s="162">
        <v>0</v>
      </c>
      <c r="AR205" s="162">
        <v>40</v>
      </c>
      <c r="AS205" s="17">
        <v>342</v>
      </c>
      <c r="AT205" s="17">
        <v>12</v>
      </c>
      <c r="AU205" s="17">
        <v>0</v>
      </c>
      <c r="AV205" s="17">
        <v>0</v>
      </c>
      <c r="AW205" s="17">
        <v>20</v>
      </c>
      <c r="AX205" s="4">
        <v>94.239619424737384</v>
      </c>
      <c r="AY205" s="4">
        <v>86.802721088435376</v>
      </c>
      <c r="BD205" s="159">
        <v>80.218832796276402</v>
      </c>
      <c r="BE205" s="159">
        <v>86.802721088435376</v>
      </c>
      <c r="BF205" s="159">
        <v>94.239619424737384</v>
      </c>
      <c r="BG205" s="159">
        <v>98.063970951685931</v>
      </c>
      <c r="BH205" s="14">
        <v>233.13727891156464</v>
      </c>
      <c r="BI205" s="159">
        <v>96.156617378861426</v>
      </c>
      <c r="BJ205" s="159">
        <v>0</v>
      </c>
      <c r="BK205" s="14">
        <v>279.76473469387759</v>
      </c>
      <c r="BL205" s="14">
        <v>12</v>
      </c>
      <c r="BM205" s="14">
        <v>0</v>
      </c>
      <c r="BN205" s="14">
        <v>0</v>
      </c>
      <c r="BO205" s="14">
        <v>25</v>
      </c>
      <c r="BP205" s="182">
        <v>41654</v>
      </c>
      <c r="BQ205" s="183">
        <v>91</v>
      </c>
    </row>
    <row r="206" spans="2:69" x14ac:dyDescent="0.35">
      <c r="B206" s="1">
        <v>187</v>
      </c>
      <c r="C206" t="str">
        <v>Product 20</v>
      </c>
      <c r="D206" s="113">
        <v>68.571428571428569</v>
      </c>
      <c r="E206" s="113">
        <v>76.428571428571416</v>
      </c>
      <c r="F206" s="113">
        <v>91.758708581138492</v>
      </c>
      <c r="G206" s="113">
        <v>97.777777777777771</v>
      </c>
      <c r="H206">
        <v>231.42857142857142</v>
      </c>
      <c r="I206" s="175">
        <v>187.26699997110077</v>
      </c>
      <c r="J206" s="113">
        <v>82.080729606485392</v>
      </c>
      <c r="K206">
        <v>277.71428571428567</v>
      </c>
      <c r="L206">
        <v>12</v>
      </c>
      <c r="M206">
        <v>0</v>
      </c>
      <c r="N206">
        <v>0</v>
      </c>
      <c r="O206" s="1">
        <v>24</v>
      </c>
      <c r="P206" s="138">
        <v>41710</v>
      </c>
      <c r="Q206" s="1">
        <v>71</v>
      </c>
      <c r="R206" s="95">
        <f>CHOOSE($D$4,D206,E206,F206,G206,H206,I206,J206,K206,L206,M206,N206,O206,P206,101-B206)+0.000001*ROWS($A$20:A206)</f>
        <v>97.777964777777768</v>
      </c>
      <c r="S206" s="4">
        <f t="shared" si="34"/>
        <v>203</v>
      </c>
      <c r="T206" s="4"/>
      <c r="U206" s="14">
        <f>ROWS($U$20:U206)</f>
        <v>187</v>
      </c>
      <c r="V206" s="4">
        <v>155</v>
      </c>
      <c r="W206" s="4" t="str">
        <v>Product 5</v>
      </c>
      <c r="X206" s="94">
        <v>80.978097868981834</v>
      </c>
      <c r="Y206" s="94">
        <v>88.571428571428584</v>
      </c>
      <c r="Z206" s="94">
        <v>93.235831402602017</v>
      </c>
      <c r="AA206" s="94">
        <v>98.059815969243786</v>
      </c>
      <c r="AB206" s="4">
        <v>298.94071428571425</v>
      </c>
      <c r="AC206" s="94">
        <v>109.75076966648658</v>
      </c>
      <c r="AD206" s="94">
        <v>100</v>
      </c>
      <c r="AE206" s="4">
        <v>358.72885714285712</v>
      </c>
      <c r="AF206" s="4">
        <v>12</v>
      </c>
      <c r="AG206" s="4">
        <v>0</v>
      </c>
      <c r="AH206" s="4">
        <v>0</v>
      </c>
      <c r="AI206" s="4">
        <v>22</v>
      </c>
      <c r="AJ206" s="139">
        <v>41698</v>
      </c>
      <c r="AK206" s="94">
        <v>112</v>
      </c>
      <c r="AL206" s="162">
        <v>87.494399999999999</v>
      </c>
      <c r="AM206" s="162">
        <v>90</v>
      </c>
      <c r="AN206" s="162">
        <v>98</v>
      </c>
      <c r="AO206" s="162">
        <v>99.2</v>
      </c>
      <c r="AP206" s="17">
        <v>362</v>
      </c>
      <c r="AQ206" s="162">
        <v>0</v>
      </c>
      <c r="AR206" s="162">
        <v>40</v>
      </c>
      <c r="AS206" s="17">
        <v>434.4</v>
      </c>
      <c r="AT206" s="17">
        <v>12</v>
      </c>
      <c r="AU206" s="17">
        <v>0</v>
      </c>
      <c r="AV206" s="17">
        <v>0</v>
      </c>
      <c r="AW206" s="17">
        <v>20</v>
      </c>
      <c r="AX206" s="4">
        <v>93.235831402602017</v>
      </c>
      <c r="AY206" s="4">
        <v>88.571428571428584</v>
      </c>
      <c r="BD206" s="159" t="e">
        <v>#N/A</v>
      </c>
      <c r="BE206" s="159" t="e">
        <v>#N/A</v>
      </c>
      <c r="BF206" s="159" t="e">
        <v>#N/A</v>
      </c>
      <c r="BG206" s="159" t="e">
        <v>#N/A</v>
      </c>
      <c r="BH206" s="14" t="e">
        <v>#N/A</v>
      </c>
      <c r="BI206" s="159" t="e">
        <v>#N/A</v>
      </c>
      <c r="BJ206" s="159" t="e">
        <v>#N/A</v>
      </c>
      <c r="BK206" s="14" t="e">
        <v>#N/A</v>
      </c>
      <c r="BL206" s="14" t="e">
        <v>#N/A</v>
      </c>
      <c r="BM206" s="14" t="e">
        <v>#N/A</v>
      </c>
      <c r="BN206" s="14" t="e">
        <v>#N/A</v>
      </c>
      <c r="BO206" s="14" t="e">
        <v>#N/A</v>
      </c>
      <c r="BP206" s="182" t="e">
        <v>#N/A</v>
      </c>
      <c r="BQ206" s="183" t="e">
        <v>#N/A</v>
      </c>
    </row>
    <row r="207" spans="2:69" x14ac:dyDescent="0.35">
      <c r="B207" s="1">
        <v>188</v>
      </c>
      <c r="C207" t="str">
        <v>Product 21</v>
      </c>
      <c r="D207" s="113">
        <v>86.922234392113893</v>
      </c>
      <c r="E207" s="113">
        <v>96.385542168674689</v>
      </c>
      <c r="F207" s="113">
        <v>90.47727272727272</v>
      </c>
      <c r="G207" s="113">
        <v>99.673448882190414</v>
      </c>
      <c r="H207">
        <v>287.78313253012044</v>
      </c>
      <c r="I207" s="175">
        <v>179.18845319990098</v>
      </c>
      <c r="J207" s="113">
        <v>58.197834947626767</v>
      </c>
      <c r="K207">
        <v>345.33975903614453</v>
      </c>
      <c r="L207">
        <v>12</v>
      </c>
      <c r="M207">
        <v>0</v>
      </c>
      <c r="N207">
        <v>0</v>
      </c>
      <c r="O207" s="1">
        <v>30</v>
      </c>
      <c r="P207" s="138">
        <v>41710</v>
      </c>
      <c r="Q207" s="1">
        <v>75</v>
      </c>
      <c r="R207" s="95">
        <f>CHOOSE($D$4,D207,E207,F207,G207,H207,I207,J207,K207,L207,M207,N207,O207,P207,101-B207)+0.000001*ROWS($A$20:A207)</f>
        <v>99.673636882190408</v>
      </c>
      <c r="S207" s="4">
        <f t="shared" si="34"/>
        <v>21</v>
      </c>
      <c r="T207" s="4"/>
      <c r="U207" s="14">
        <f>ROWS($U$20:U207)</f>
        <v>188</v>
      </c>
      <c r="V207" s="4">
        <v>34</v>
      </c>
      <c r="W207" s="4" t="str">
        <v>Product 3</v>
      </c>
      <c r="X207" s="94">
        <v>77.336345849115645</v>
      </c>
      <c r="Y207" s="94">
        <v>82.43512974051896</v>
      </c>
      <c r="Z207" s="94">
        <v>95.675811820155104</v>
      </c>
      <c r="AA207" s="94">
        <v>98.0548694989278</v>
      </c>
      <c r="AB207" s="4">
        <v>272.95758483033933</v>
      </c>
      <c r="AC207" s="94">
        <v>113.18307282937508</v>
      </c>
      <c r="AD207" s="94">
        <v>16.26808494811619</v>
      </c>
      <c r="AE207" s="4">
        <v>327.54910179640717</v>
      </c>
      <c r="AF207" s="4">
        <v>12</v>
      </c>
      <c r="AG207" s="4">
        <v>0</v>
      </c>
      <c r="AH207" s="4">
        <v>0</v>
      </c>
      <c r="AI207" s="4">
        <v>18</v>
      </c>
      <c r="AJ207" s="139">
        <v>41649</v>
      </c>
      <c r="AK207" s="94">
        <v>139</v>
      </c>
      <c r="AL207" s="162">
        <v>87.494399999999999</v>
      </c>
      <c r="AM207" s="162">
        <v>90</v>
      </c>
      <c r="AN207" s="162">
        <v>98</v>
      </c>
      <c r="AO207" s="162">
        <v>99.2</v>
      </c>
      <c r="AP207" s="17">
        <v>346.08333333333331</v>
      </c>
      <c r="AQ207" s="162">
        <v>0</v>
      </c>
      <c r="AR207" s="162">
        <v>40</v>
      </c>
      <c r="AS207" s="17">
        <v>415.3</v>
      </c>
      <c r="AT207" s="17">
        <v>12</v>
      </c>
      <c r="AU207" s="17">
        <v>0</v>
      </c>
      <c r="AV207" s="17">
        <v>0</v>
      </c>
      <c r="AW207" s="17">
        <v>20</v>
      </c>
      <c r="AX207" s="4">
        <v>95.675811820155104</v>
      </c>
      <c r="AY207" s="4">
        <v>82.43512974051896</v>
      </c>
      <c r="BD207" s="159" t="e">
        <v>#N/A</v>
      </c>
      <c r="BE207" s="159" t="e">
        <v>#N/A</v>
      </c>
      <c r="BF207" s="159" t="e">
        <v>#N/A</v>
      </c>
      <c r="BG207" s="159" t="e">
        <v>#N/A</v>
      </c>
      <c r="BH207" s="14" t="e">
        <v>#N/A</v>
      </c>
      <c r="BI207" s="159" t="e">
        <v>#N/A</v>
      </c>
      <c r="BJ207" s="159" t="e">
        <v>#N/A</v>
      </c>
      <c r="BK207" s="14" t="e">
        <v>#N/A</v>
      </c>
      <c r="BL207" s="14" t="e">
        <v>#N/A</v>
      </c>
      <c r="BM207" s="14" t="e">
        <v>#N/A</v>
      </c>
      <c r="BN207" s="14" t="e">
        <v>#N/A</v>
      </c>
      <c r="BO207" s="14" t="e">
        <v>#N/A</v>
      </c>
      <c r="BP207" s="182" t="e">
        <v>#N/A</v>
      </c>
      <c r="BQ207" s="183" t="e">
        <v>#N/A</v>
      </c>
    </row>
    <row r="208" spans="2:69" x14ac:dyDescent="0.35">
      <c r="B208" s="1">
        <v>189</v>
      </c>
      <c r="C208" t="str">
        <v>Product 13</v>
      </c>
      <c r="D208" s="113">
        <v>71.919191919191931</v>
      </c>
      <c r="E208" s="113">
        <v>79.259259259259252</v>
      </c>
      <c r="F208" s="113">
        <v>91.133295572547922</v>
      </c>
      <c r="G208" s="113">
        <v>99.567525572963874</v>
      </c>
      <c r="H208">
        <v>238.3641975308642</v>
      </c>
      <c r="I208" s="175">
        <v>171.85135736537606</v>
      </c>
      <c r="J208" s="113">
        <v>77.449052984895701</v>
      </c>
      <c r="K208">
        <v>286.03703703703707</v>
      </c>
      <c r="L208">
        <v>12</v>
      </c>
      <c r="M208">
        <v>0</v>
      </c>
      <c r="N208">
        <v>0</v>
      </c>
      <c r="O208" s="1">
        <v>27</v>
      </c>
      <c r="P208" s="138">
        <v>41710</v>
      </c>
      <c r="Q208" s="1">
        <v>95</v>
      </c>
      <c r="R208" s="95">
        <f>CHOOSE($D$4,D208,E208,F208,G208,H208,I208,J208,K208,L208,M208,N208,O208,P208,101-B208)+0.000001*ROWS($A$20:A208)</f>
        <v>99.56771457296388</v>
      </c>
      <c r="S208" s="4">
        <f t="shared" si="34"/>
        <v>26</v>
      </c>
      <c r="T208" s="4"/>
      <c r="U208" s="14">
        <f>ROWS($U$20:U208)</f>
        <v>189</v>
      </c>
      <c r="V208" s="4">
        <v>141</v>
      </c>
      <c r="W208" s="4" t="str">
        <v>Product 2</v>
      </c>
      <c r="X208" s="94">
        <v>77.821790722761591</v>
      </c>
      <c r="Y208" s="94">
        <v>82.330097087378633</v>
      </c>
      <c r="Z208" s="94">
        <v>96.419636617749831</v>
      </c>
      <c r="AA208" s="94">
        <v>98.034085514562264</v>
      </c>
      <c r="AB208" s="4">
        <v>214.33242718446604</v>
      </c>
      <c r="AC208" s="94">
        <v>94.03548229080144</v>
      </c>
      <c r="AD208" s="94">
        <v>0</v>
      </c>
      <c r="AE208" s="4">
        <v>257.19891262135923</v>
      </c>
      <c r="AF208" s="4">
        <v>12</v>
      </c>
      <c r="AG208" s="4">
        <v>0</v>
      </c>
      <c r="AH208" s="4">
        <v>0</v>
      </c>
      <c r="AI208" s="4">
        <v>21</v>
      </c>
      <c r="AJ208" s="139">
        <v>41694</v>
      </c>
      <c r="AK208" s="94">
        <v>121</v>
      </c>
      <c r="AL208" s="162">
        <v>87.317999999999998</v>
      </c>
      <c r="AM208" s="162">
        <v>90</v>
      </c>
      <c r="AN208" s="162">
        <v>98</v>
      </c>
      <c r="AO208" s="162">
        <v>99</v>
      </c>
      <c r="AP208" s="17">
        <v>270</v>
      </c>
      <c r="AQ208" s="162">
        <v>0</v>
      </c>
      <c r="AR208" s="162">
        <v>40</v>
      </c>
      <c r="AS208" s="17">
        <v>324</v>
      </c>
      <c r="AT208" s="17">
        <v>12</v>
      </c>
      <c r="AU208" s="17">
        <v>0</v>
      </c>
      <c r="AV208" s="17">
        <v>0</v>
      </c>
      <c r="AW208" s="17">
        <v>20</v>
      </c>
      <c r="AX208" s="4">
        <v>96.419636617749831</v>
      </c>
      <c r="AY208" s="4">
        <v>82.330097087378633</v>
      </c>
      <c r="BD208" s="159">
        <v>77.821790722761591</v>
      </c>
      <c r="BE208" s="159">
        <v>82.330097087378633</v>
      </c>
      <c r="BF208" s="159">
        <v>96.419636617749831</v>
      </c>
      <c r="BG208" s="159">
        <v>98.034085514562264</v>
      </c>
      <c r="BH208" s="14">
        <v>214.33242718446604</v>
      </c>
      <c r="BI208" s="159">
        <v>94.03548229080144</v>
      </c>
      <c r="BJ208" s="159">
        <v>0</v>
      </c>
      <c r="BK208" s="14">
        <v>257.19891262135923</v>
      </c>
      <c r="BL208" s="14">
        <v>12</v>
      </c>
      <c r="BM208" s="14">
        <v>0</v>
      </c>
      <c r="BN208" s="14">
        <v>0</v>
      </c>
      <c r="BO208" s="14">
        <v>21</v>
      </c>
      <c r="BP208" s="182">
        <v>41694</v>
      </c>
      <c r="BQ208" s="183">
        <v>121</v>
      </c>
    </row>
    <row r="209" spans="2:69" x14ac:dyDescent="0.35">
      <c r="B209" s="1">
        <v>190</v>
      </c>
      <c r="C209" t="str">
        <v>Product 3</v>
      </c>
      <c r="D209" s="113">
        <v>96.001092815203094</v>
      </c>
      <c r="E209" s="113">
        <v>96.538461538461533</v>
      </c>
      <c r="F209" s="113">
        <v>100.27797310637057</v>
      </c>
      <c r="G209" s="113">
        <v>99.167703529491902</v>
      </c>
      <c r="H209">
        <v>335.03224358974359</v>
      </c>
      <c r="I209" s="175">
        <v>185.33830027163313</v>
      </c>
      <c r="J209" s="113">
        <v>32.981764019161872</v>
      </c>
      <c r="K209">
        <v>402.03869230769226</v>
      </c>
      <c r="L209">
        <v>12</v>
      </c>
      <c r="M209">
        <v>0</v>
      </c>
      <c r="N209">
        <v>0</v>
      </c>
      <c r="O209" s="1">
        <v>14</v>
      </c>
      <c r="P209" s="138">
        <v>41711</v>
      </c>
      <c r="Q209" s="1">
        <v>122</v>
      </c>
      <c r="R209" s="95">
        <f>CHOOSE($D$4,D209,E209,F209,G209,H209,I209,J209,K209,L209,M209,N209,O209,P209,101-B209)+0.000001*ROWS($A$20:A209)</f>
        <v>99.167893529491906</v>
      </c>
      <c r="S209" s="4">
        <f t="shared" si="34"/>
        <v>53</v>
      </c>
      <c r="T209" s="4"/>
      <c r="U209" s="14">
        <f>ROWS($U$20:U209)</f>
        <v>190</v>
      </c>
      <c r="V209" s="4">
        <v>181</v>
      </c>
      <c r="W209" s="4" t="str">
        <v>Product 3</v>
      </c>
      <c r="X209" s="94">
        <v>99.580349745915726</v>
      </c>
      <c r="Y209" s="94">
        <v>99.374565670604582</v>
      </c>
      <c r="Z209" s="94">
        <v>102.25598143729616</v>
      </c>
      <c r="AA209" s="94">
        <v>97.996300863131935</v>
      </c>
      <c r="AB209" s="4">
        <v>351.67755385684501</v>
      </c>
      <c r="AC209" s="94">
        <v>180.83854161083178</v>
      </c>
      <c r="AD209" s="94">
        <v>22.234850022324146</v>
      </c>
      <c r="AE209" s="4">
        <v>422.01306462821401</v>
      </c>
      <c r="AF209" s="4">
        <v>12</v>
      </c>
      <c r="AG209" s="4">
        <v>0</v>
      </c>
      <c r="AH209" s="4">
        <v>0</v>
      </c>
      <c r="AI209" s="4">
        <v>16</v>
      </c>
      <c r="AJ209" s="139">
        <v>41708</v>
      </c>
      <c r="AK209" s="94">
        <v>72</v>
      </c>
      <c r="AL209" s="162">
        <v>87.494399999999999</v>
      </c>
      <c r="AM209" s="162">
        <v>90</v>
      </c>
      <c r="AN209" s="162">
        <v>98</v>
      </c>
      <c r="AO209" s="162">
        <v>99.2</v>
      </c>
      <c r="AP209" s="17">
        <v>346.08333333333331</v>
      </c>
      <c r="AQ209" s="162">
        <v>0</v>
      </c>
      <c r="AR209" s="162">
        <v>40</v>
      </c>
      <c r="AS209" s="17">
        <v>415.3</v>
      </c>
      <c r="AT209" s="17">
        <v>12</v>
      </c>
      <c r="AU209" s="17">
        <v>0</v>
      </c>
      <c r="AV209" s="17">
        <v>0</v>
      </c>
      <c r="AW209" s="17">
        <v>20</v>
      </c>
      <c r="AX209" s="4">
        <v>102.25598143729616</v>
      </c>
      <c r="AY209" s="4">
        <v>99.374565670604582</v>
      </c>
      <c r="BD209" s="159" t="e">
        <v>#N/A</v>
      </c>
      <c r="BE209" s="159" t="e">
        <v>#N/A</v>
      </c>
      <c r="BF209" s="159" t="e">
        <v>#N/A</v>
      </c>
      <c r="BG209" s="159" t="e">
        <v>#N/A</v>
      </c>
      <c r="BH209" s="14" t="e">
        <v>#N/A</v>
      </c>
      <c r="BI209" s="159" t="e">
        <v>#N/A</v>
      </c>
      <c r="BJ209" s="159" t="e">
        <v>#N/A</v>
      </c>
      <c r="BK209" s="14" t="e">
        <v>#N/A</v>
      </c>
      <c r="BL209" s="14" t="e">
        <v>#N/A</v>
      </c>
      <c r="BM209" s="14" t="e">
        <v>#N/A</v>
      </c>
      <c r="BN209" s="14" t="e">
        <v>#N/A</v>
      </c>
      <c r="BO209" s="14" t="e">
        <v>#N/A</v>
      </c>
      <c r="BP209" s="182" t="e">
        <v>#N/A</v>
      </c>
      <c r="BQ209" s="183" t="e">
        <v>#N/A</v>
      </c>
    </row>
    <row r="210" spans="2:69" x14ac:dyDescent="0.35">
      <c r="B210" s="1">
        <v>191</v>
      </c>
      <c r="C210" t="str">
        <v>Product 3</v>
      </c>
      <c r="D210" s="113">
        <v>80.620866978325537</v>
      </c>
      <c r="E210" s="113">
        <v>85.999999999999986</v>
      </c>
      <c r="F210" s="113">
        <v>96.171586989395024</v>
      </c>
      <c r="G210" s="113">
        <v>97.477016960509417</v>
      </c>
      <c r="H210">
        <v>299.40138461538464</v>
      </c>
      <c r="I210" s="175">
        <v>175.94092838448083</v>
      </c>
      <c r="J210" s="113">
        <v>33.766700002564299</v>
      </c>
      <c r="K210">
        <v>359.28166153846149</v>
      </c>
      <c r="L210">
        <v>12</v>
      </c>
      <c r="M210">
        <v>0</v>
      </c>
      <c r="N210">
        <v>0</v>
      </c>
      <c r="O210" s="1">
        <v>24</v>
      </c>
      <c r="P210" s="138">
        <v>41711</v>
      </c>
      <c r="Q210" s="1">
        <v>68</v>
      </c>
      <c r="R210" s="95">
        <f>CHOOSE($D$4,D210,E210,F210,G210,H210,I210,J210,K210,L210,M210,N210,O210,P210,101-B210)+0.000001*ROWS($A$20:A210)</f>
        <v>97.477207960509418</v>
      </c>
      <c r="S210" s="4">
        <f t="shared" si="34"/>
        <v>216</v>
      </c>
      <c r="T210" s="4"/>
      <c r="U210" s="14">
        <f>ROWS($U$20:U210)</f>
        <v>191</v>
      </c>
      <c r="V210" s="4">
        <v>28</v>
      </c>
      <c r="W210" s="4" t="str">
        <v>Product 12</v>
      </c>
      <c r="X210" s="94">
        <v>68</v>
      </c>
      <c r="Y210" s="94">
        <v>86.054421768707485</v>
      </c>
      <c r="Z210" s="94">
        <v>80.648367735324257</v>
      </c>
      <c r="AA210" s="94">
        <v>97.980610227823476</v>
      </c>
      <c r="AB210" s="4">
        <v>187.38401360544216</v>
      </c>
      <c r="AC210" s="94">
        <v>106.52274375211486</v>
      </c>
      <c r="AD210" s="94">
        <v>0</v>
      </c>
      <c r="AE210" s="4">
        <v>224.8608163265306</v>
      </c>
      <c r="AF210" s="4">
        <v>12</v>
      </c>
      <c r="AG210" s="4">
        <v>0</v>
      </c>
      <c r="AH210" s="4">
        <v>0</v>
      </c>
      <c r="AI210" s="4">
        <v>29</v>
      </c>
      <c r="AJ210" s="139">
        <v>41649</v>
      </c>
      <c r="AK210" s="94">
        <v>73</v>
      </c>
      <c r="AL210" s="162">
        <v>86.87700000000001</v>
      </c>
      <c r="AM210" s="162">
        <v>90</v>
      </c>
      <c r="AN210" s="162">
        <v>98</v>
      </c>
      <c r="AO210" s="162">
        <v>98.5</v>
      </c>
      <c r="AP210" s="17">
        <v>270</v>
      </c>
      <c r="AQ210" s="162">
        <v>0</v>
      </c>
      <c r="AR210" s="162">
        <v>40</v>
      </c>
      <c r="AS210" s="17">
        <v>324</v>
      </c>
      <c r="AT210" s="17">
        <v>12</v>
      </c>
      <c r="AU210" s="17">
        <v>0</v>
      </c>
      <c r="AV210" s="17">
        <v>0</v>
      </c>
      <c r="AW210" s="17">
        <v>20</v>
      </c>
      <c r="AX210" s="4">
        <v>80.648367735324257</v>
      </c>
      <c r="AY210" s="4">
        <v>86.054421768707485</v>
      </c>
      <c r="BD210" s="159" t="e">
        <v>#N/A</v>
      </c>
      <c r="BE210" s="159" t="e">
        <v>#N/A</v>
      </c>
      <c r="BF210" s="159" t="e">
        <v>#N/A</v>
      </c>
      <c r="BG210" s="159" t="e">
        <v>#N/A</v>
      </c>
      <c r="BH210" s="14" t="e">
        <v>#N/A</v>
      </c>
      <c r="BI210" s="159" t="e">
        <v>#N/A</v>
      </c>
      <c r="BJ210" s="159" t="e">
        <v>#N/A</v>
      </c>
      <c r="BK210" s="14" t="e">
        <v>#N/A</v>
      </c>
      <c r="BL210" s="14" t="e">
        <v>#N/A</v>
      </c>
      <c r="BM210" s="14" t="e">
        <v>#N/A</v>
      </c>
      <c r="BN210" s="14" t="e">
        <v>#N/A</v>
      </c>
      <c r="BO210" s="14" t="e">
        <v>#N/A</v>
      </c>
      <c r="BP210" s="182" t="e">
        <v>#N/A</v>
      </c>
      <c r="BQ210" s="183" t="e">
        <v>#N/A</v>
      </c>
    </row>
    <row r="211" spans="2:69" x14ac:dyDescent="0.35">
      <c r="B211" s="1">
        <v>192</v>
      </c>
      <c r="C211" t="str">
        <v>Product 3</v>
      </c>
      <c r="D211" s="113">
        <v>90.677582470503239</v>
      </c>
      <c r="E211" s="113">
        <v>94.733333333333334</v>
      </c>
      <c r="F211" s="113">
        <v>97.022757092242145</v>
      </c>
      <c r="G211" s="113">
        <v>98.655999839041897</v>
      </c>
      <c r="H211">
        <v>318.09519999999998</v>
      </c>
      <c r="I211" s="175">
        <v>177.95933895024223</v>
      </c>
      <c r="J211" s="113">
        <v>1.1655061141304348</v>
      </c>
      <c r="K211">
        <v>381.71423999999996</v>
      </c>
      <c r="L211">
        <v>12</v>
      </c>
      <c r="M211">
        <v>0</v>
      </c>
      <c r="N211">
        <v>0</v>
      </c>
      <c r="O211" s="1">
        <v>19</v>
      </c>
      <c r="P211" s="138">
        <v>41712</v>
      </c>
      <c r="Q211" s="1">
        <v>58</v>
      </c>
      <c r="R211" s="95">
        <f>CHOOSE($D$4,D211,E211,F211,G211,H211,I211,J211,K211,L211,M211,N211,O211,P211,101-B211)+0.000001*ROWS($A$20:A211)</f>
        <v>98.656191839041895</v>
      </c>
      <c r="S211" s="4">
        <f t="shared" si="34"/>
        <v>118</v>
      </c>
      <c r="T211" s="4"/>
      <c r="U211" s="14">
        <f>ROWS($U$20:U211)</f>
        <v>192</v>
      </c>
      <c r="V211" s="4">
        <v>175</v>
      </c>
      <c r="W211" s="4" t="str">
        <v>Product 3</v>
      </c>
      <c r="X211" s="94">
        <v>89.715223680149762</v>
      </c>
      <c r="Y211" s="94">
        <v>93.943661971830977</v>
      </c>
      <c r="Z211" s="94">
        <v>97.486291768635297</v>
      </c>
      <c r="AA211" s="94">
        <v>97.961428222276538</v>
      </c>
      <c r="AB211" s="4">
        <v>316.95070422535213</v>
      </c>
      <c r="AC211" s="94">
        <v>177.13398495382441</v>
      </c>
      <c r="AD211" s="94">
        <v>0</v>
      </c>
      <c r="AE211" s="4">
        <v>380.34084507042252</v>
      </c>
      <c r="AF211" s="4">
        <v>12</v>
      </c>
      <c r="AG211" s="4">
        <v>0</v>
      </c>
      <c r="AH211" s="4">
        <v>0</v>
      </c>
      <c r="AI211" s="4">
        <v>30</v>
      </c>
      <c r="AJ211" s="139">
        <v>41705</v>
      </c>
      <c r="AK211" s="94">
        <v>70</v>
      </c>
      <c r="AL211" s="162">
        <v>87.494399999999999</v>
      </c>
      <c r="AM211" s="162">
        <v>90</v>
      </c>
      <c r="AN211" s="162">
        <v>98</v>
      </c>
      <c r="AO211" s="162">
        <v>99.2</v>
      </c>
      <c r="AP211" s="17">
        <v>346.08333333333331</v>
      </c>
      <c r="AQ211" s="162">
        <v>0</v>
      </c>
      <c r="AR211" s="162">
        <v>40</v>
      </c>
      <c r="AS211" s="17">
        <v>415.3</v>
      </c>
      <c r="AT211" s="17">
        <v>12</v>
      </c>
      <c r="AU211" s="17">
        <v>0</v>
      </c>
      <c r="AV211" s="17">
        <v>0</v>
      </c>
      <c r="AW211" s="17">
        <v>20</v>
      </c>
      <c r="AX211" s="4">
        <v>97.486291768635297</v>
      </c>
      <c r="AY211" s="4">
        <v>93.943661971830977</v>
      </c>
      <c r="BD211" s="159" t="e">
        <v>#N/A</v>
      </c>
      <c r="BE211" s="159" t="e">
        <v>#N/A</v>
      </c>
      <c r="BF211" s="159" t="e">
        <v>#N/A</v>
      </c>
      <c r="BG211" s="159" t="e">
        <v>#N/A</v>
      </c>
      <c r="BH211" s="14" t="e">
        <v>#N/A</v>
      </c>
      <c r="BI211" s="159" t="e">
        <v>#N/A</v>
      </c>
      <c r="BJ211" s="159" t="e">
        <v>#N/A</v>
      </c>
      <c r="BK211" s="14" t="e">
        <v>#N/A</v>
      </c>
      <c r="BL211" s="14" t="e">
        <v>#N/A</v>
      </c>
      <c r="BM211" s="14" t="e">
        <v>#N/A</v>
      </c>
      <c r="BN211" s="14" t="e">
        <v>#N/A</v>
      </c>
      <c r="BO211" s="14" t="e">
        <v>#N/A</v>
      </c>
      <c r="BP211" s="182" t="e">
        <v>#N/A</v>
      </c>
      <c r="BQ211" s="183" t="e">
        <v>#N/A</v>
      </c>
    </row>
    <row r="212" spans="2:69" x14ac:dyDescent="0.35">
      <c r="B212" s="1">
        <v>193</v>
      </c>
      <c r="C212" t="str">
        <v>Product 3</v>
      </c>
      <c r="D212" s="113">
        <v>93.162584230191939</v>
      </c>
      <c r="E212" s="113">
        <v>98.728323699421978</v>
      </c>
      <c r="F212" s="113">
        <v>95.957276126644842</v>
      </c>
      <c r="G212" s="113">
        <v>98.338108882521496</v>
      </c>
      <c r="H212">
        <v>342.94797687861274</v>
      </c>
      <c r="I212" s="175">
        <v>177.87438165192623</v>
      </c>
      <c r="J212" s="113">
        <v>0</v>
      </c>
      <c r="K212">
        <v>411.53757225433526</v>
      </c>
      <c r="L212">
        <v>12</v>
      </c>
      <c r="M212">
        <v>0</v>
      </c>
      <c r="N212">
        <v>0</v>
      </c>
      <c r="O212" s="1">
        <v>16</v>
      </c>
      <c r="P212" s="138">
        <v>41712</v>
      </c>
      <c r="Q212" s="1">
        <v>105</v>
      </c>
      <c r="R212" s="95">
        <f>CHOOSE($D$4,D212,E212,F212,G212,H212,I212,J212,K212,L212,M212,N212,O212,P212,101-B212)+0.000001*ROWS($A$20:A212)</f>
        <v>98.338301882521492</v>
      </c>
      <c r="S212" s="4">
        <f t="shared" ref="S212:S275" si="35">RANK(R212,$R$20:$R$379)</f>
        <v>163</v>
      </c>
      <c r="T212" s="4"/>
      <c r="U212" s="14">
        <f>ROWS($U$20:U212)</f>
        <v>193</v>
      </c>
      <c r="V212" s="4">
        <v>85</v>
      </c>
      <c r="W212" s="4" t="str">
        <v>Product 3</v>
      </c>
      <c r="X212" s="94">
        <v>82.003394794648202</v>
      </c>
      <c r="Y212" s="94">
        <v>86.626506024096358</v>
      </c>
      <c r="Z212" s="94">
        <v>96.649505528703941</v>
      </c>
      <c r="AA212" s="94">
        <v>97.944803054889263</v>
      </c>
      <c r="AB212" s="4">
        <v>303.08120481927705</v>
      </c>
      <c r="AC212" s="94">
        <v>124.28878815202758</v>
      </c>
      <c r="AD212" s="94">
        <v>0</v>
      </c>
      <c r="AE212" s="4">
        <v>363.69744578313248</v>
      </c>
      <c r="AF212" s="4">
        <v>12</v>
      </c>
      <c r="AG212" s="4">
        <v>0</v>
      </c>
      <c r="AH212" s="4">
        <v>0</v>
      </c>
      <c r="AI212" s="4">
        <v>23</v>
      </c>
      <c r="AJ212" s="139">
        <v>41667</v>
      </c>
      <c r="AK212" s="94">
        <v>44</v>
      </c>
      <c r="AL212" s="162">
        <v>87.494399999999999</v>
      </c>
      <c r="AM212" s="162">
        <v>90</v>
      </c>
      <c r="AN212" s="162">
        <v>98</v>
      </c>
      <c r="AO212" s="162">
        <v>99.2</v>
      </c>
      <c r="AP212" s="17">
        <v>362</v>
      </c>
      <c r="AQ212" s="162">
        <v>0</v>
      </c>
      <c r="AR212" s="162">
        <v>40</v>
      </c>
      <c r="AS212" s="17">
        <v>434.4</v>
      </c>
      <c r="AT212" s="17">
        <v>12</v>
      </c>
      <c r="AU212" s="17">
        <v>0</v>
      </c>
      <c r="AV212" s="17">
        <v>0</v>
      </c>
      <c r="AW212" s="17">
        <v>20</v>
      </c>
      <c r="AX212" s="4">
        <v>96.649505528703941</v>
      </c>
      <c r="AY212" s="4">
        <v>86.626506024096358</v>
      </c>
      <c r="BD212" s="159" t="e">
        <v>#N/A</v>
      </c>
      <c r="BE212" s="159" t="e">
        <v>#N/A</v>
      </c>
      <c r="BF212" s="159" t="e">
        <v>#N/A</v>
      </c>
      <c r="BG212" s="159" t="e">
        <v>#N/A</v>
      </c>
      <c r="BH212" s="14" t="e">
        <v>#N/A</v>
      </c>
      <c r="BI212" s="159" t="e">
        <v>#N/A</v>
      </c>
      <c r="BJ212" s="159" t="e">
        <v>#N/A</v>
      </c>
      <c r="BK212" s="14" t="e">
        <v>#N/A</v>
      </c>
      <c r="BL212" s="14" t="e">
        <v>#N/A</v>
      </c>
      <c r="BM212" s="14" t="e">
        <v>#N/A</v>
      </c>
      <c r="BN212" s="14" t="e">
        <v>#N/A</v>
      </c>
      <c r="BO212" s="14" t="e">
        <v>#N/A</v>
      </c>
      <c r="BP212" s="182" t="e">
        <v>#N/A</v>
      </c>
      <c r="BQ212" s="183" t="e">
        <v>#N/A</v>
      </c>
    </row>
    <row r="213" spans="2:69" x14ac:dyDescent="0.35">
      <c r="B213" s="1">
        <v>194</v>
      </c>
      <c r="C213" t="str">
        <v>Product 3</v>
      </c>
      <c r="D213" s="113">
        <v>91.67559717257069</v>
      </c>
      <c r="E213" s="113">
        <v>94.85294117647058</v>
      </c>
      <c r="F213" s="113">
        <v>97.877275258041038</v>
      </c>
      <c r="G213" s="113">
        <v>98.74635529603627</v>
      </c>
      <c r="H213">
        <v>336.07889705882354</v>
      </c>
      <c r="I213" s="175">
        <v>186.59540071279562</v>
      </c>
      <c r="J213" s="113">
        <v>0</v>
      </c>
      <c r="K213">
        <v>403.29467647058823</v>
      </c>
      <c r="L213">
        <v>12</v>
      </c>
      <c r="M213">
        <v>0</v>
      </c>
      <c r="N213">
        <v>0</v>
      </c>
      <c r="O213" s="1">
        <v>24</v>
      </c>
      <c r="P213" s="138">
        <v>41713</v>
      </c>
      <c r="Q213" s="1">
        <v>73</v>
      </c>
      <c r="R213" s="95">
        <f>CHOOSE($D$4,D213,E213,F213,G213,H213,I213,J213,K213,L213,M213,N213,O213,P213,101-B213)+0.000001*ROWS($A$20:A213)</f>
        <v>98.746549296036264</v>
      </c>
      <c r="S213" s="4">
        <f t="shared" si="35"/>
        <v>106</v>
      </c>
      <c r="T213" s="4"/>
      <c r="U213" s="14">
        <f>ROWS($U$20:U213)</f>
        <v>194</v>
      </c>
      <c r="V213" s="4">
        <v>10</v>
      </c>
      <c r="W213" s="4" t="str">
        <v>Product 6</v>
      </c>
      <c r="X213" s="94">
        <v>83.873949579831915</v>
      </c>
      <c r="Y213" s="94">
        <v>99.285714285714263</v>
      </c>
      <c r="Z213" s="94">
        <v>86.275920440118497</v>
      </c>
      <c r="AA213" s="94">
        <v>97.915338205719323</v>
      </c>
      <c r="AB213" s="4">
        <v>262.11857142857144</v>
      </c>
      <c r="AC213" s="94">
        <v>102.39006696428572</v>
      </c>
      <c r="AD213" s="94">
        <v>45.016059957173447</v>
      </c>
      <c r="AE213" s="4">
        <v>314.54228571428564</v>
      </c>
      <c r="AF213" s="4">
        <v>12</v>
      </c>
      <c r="AG213" s="4">
        <v>0</v>
      </c>
      <c r="AH213" s="4">
        <v>0</v>
      </c>
      <c r="AI213" s="4">
        <v>28</v>
      </c>
      <c r="AJ213" s="139">
        <v>41642</v>
      </c>
      <c r="AK213" s="94">
        <v>84</v>
      </c>
      <c r="AL213" s="162">
        <v>86.87700000000001</v>
      </c>
      <c r="AM213" s="162">
        <v>90</v>
      </c>
      <c r="AN213" s="162">
        <v>98</v>
      </c>
      <c r="AO213" s="162">
        <v>98.5</v>
      </c>
      <c r="AP213" s="17">
        <v>306</v>
      </c>
      <c r="AQ213" s="162">
        <v>0</v>
      </c>
      <c r="AR213" s="162">
        <v>40</v>
      </c>
      <c r="AS213" s="17">
        <v>367.2</v>
      </c>
      <c r="AT213" s="17">
        <v>12</v>
      </c>
      <c r="AU213" s="17">
        <v>0</v>
      </c>
      <c r="AV213" s="17">
        <v>0</v>
      </c>
      <c r="AW213" s="17">
        <v>20</v>
      </c>
      <c r="AX213" s="4">
        <v>86.275920440118497</v>
      </c>
      <c r="AY213" s="4">
        <v>99.285714285714263</v>
      </c>
      <c r="BD213" s="159" t="e">
        <v>#N/A</v>
      </c>
      <c r="BE213" s="159" t="e">
        <v>#N/A</v>
      </c>
      <c r="BF213" s="159" t="e">
        <v>#N/A</v>
      </c>
      <c r="BG213" s="159" t="e">
        <v>#N/A</v>
      </c>
      <c r="BH213" s="14" t="e">
        <v>#N/A</v>
      </c>
      <c r="BI213" s="159" t="e">
        <v>#N/A</v>
      </c>
      <c r="BJ213" s="159" t="e">
        <v>#N/A</v>
      </c>
      <c r="BK213" s="14" t="e">
        <v>#N/A</v>
      </c>
      <c r="BL213" s="14" t="e">
        <v>#N/A</v>
      </c>
      <c r="BM213" s="14" t="e">
        <v>#N/A</v>
      </c>
      <c r="BN213" s="14" t="e">
        <v>#N/A</v>
      </c>
      <c r="BO213" s="14" t="e">
        <v>#N/A</v>
      </c>
      <c r="BP213" s="182" t="e">
        <v>#N/A</v>
      </c>
      <c r="BQ213" s="183" t="e">
        <v>#N/A</v>
      </c>
    </row>
    <row r="214" spans="2:69" x14ac:dyDescent="0.35">
      <c r="B214" s="1">
        <v>195</v>
      </c>
      <c r="C214" t="str">
        <v>Product 5</v>
      </c>
      <c r="D214" s="113">
        <v>79.401900013475284</v>
      </c>
      <c r="E214" s="113">
        <v>81.463414634146332</v>
      </c>
      <c r="F214" s="113">
        <v>101.43935885135807</v>
      </c>
      <c r="G214" s="113">
        <v>96.086370540806527</v>
      </c>
      <c r="H214">
        <v>299.1421951219512</v>
      </c>
      <c r="I214" s="175">
        <v>182.79524859902227</v>
      </c>
      <c r="J214" s="113">
        <v>100</v>
      </c>
      <c r="K214">
        <v>358.97063414634147</v>
      </c>
      <c r="L214">
        <v>12</v>
      </c>
      <c r="M214">
        <v>0</v>
      </c>
      <c r="N214">
        <v>0</v>
      </c>
      <c r="O214" s="1">
        <v>29</v>
      </c>
      <c r="P214" s="138">
        <v>41712</v>
      </c>
      <c r="Q214" s="1">
        <v>82</v>
      </c>
      <c r="R214" s="95">
        <f>CHOOSE($D$4,D214,E214,F214,G214,H214,I214,J214,K214,L214,M214,N214,O214,P214,101-B214)+0.000001*ROWS($A$20:A214)</f>
        <v>96.086565540806532</v>
      </c>
      <c r="S214" s="4">
        <f t="shared" si="35"/>
        <v>239</v>
      </c>
      <c r="T214" s="4"/>
      <c r="U214" s="14">
        <f>ROWS($U$20:U214)</f>
        <v>195</v>
      </c>
      <c r="V214" s="4">
        <v>178</v>
      </c>
      <c r="W214" s="4" t="str">
        <v>Product 2</v>
      </c>
      <c r="X214" s="94">
        <v>78.715071507150711</v>
      </c>
      <c r="Y214" s="94">
        <v>84.777227722772281</v>
      </c>
      <c r="Z214" s="94">
        <v>94.830927277642601</v>
      </c>
      <c r="AA214" s="94">
        <v>97.910368789975237</v>
      </c>
      <c r="AB214" s="4">
        <v>217.06658415841585</v>
      </c>
      <c r="AC214" s="94">
        <v>202.26587862188262</v>
      </c>
      <c r="AD214" s="94">
        <v>34.392388640622748</v>
      </c>
      <c r="AE214" s="4">
        <v>260.479900990099</v>
      </c>
      <c r="AF214" s="4">
        <v>12</v>
      </c>
      <c r="AG214" s="4">
        <v>0</v>
      </c>
      <c r="AH214" s="4">
        <v>0</v>
      </c>
      <c r="AI214" s="4">
        <v>29</v>
      </c>
      <c r="AJ214" s="139">
        <v>41708</v>
      </c>
      <c r="AK214" s="94">
        <v>116</v>
      </c>
      <c r="AL214" s="162">
        <v>87.317999999999998</v>
      </c>
      <c r="AM214" s="162">
        <v>90</v>
      </c>
      <c r="AN214" s="162">
        <v>98</v>
      </c>
      <c r="AO214" s="162">
        <v>99</v>
      </c>
      <c r="AP214" s="17">
        <v>270</v>
      </c>
      <c r="AQ214" s="162">
        <v>0</v>
      </c>
      <c r="AR214" s="162">
        <v>40</v>
      </c>
      <c r="AS214" s="17">
        <v>324</v>
      </c>
      <c r="AT214" s="17">
        <v>12</v>
      </c>
      <c r="AU214" s="17">
        <v>0</v>
      </c>
      <c r="AV214" s="17">
        <v>0</v>
      </c>
      <c r="AW214" s="17">
        <v>20</v>
      </c>
      <c r="AX214" s="4">
        <v>94.830927277642601</v>
      </c>
      <c r="AY214" s="4">
        <v>84.777227722772281</v>
      </c>
      <c r="BD214" s="159">
        <v>78.715071507150711</v>
      </c>
      <c r="BE214" s="159">
        <v>84.777227722772281</v>
      </c>
      <c r="BF214" s="159">
        <v>94.830927277642601</v>
      </c>
      <c r="BG214" s="159">
        <v>97.910368789975237</v>
      </c>
      <c r="BH214" s="14">
        <v>217.06658415841585</v>
      </c>
      <c r="BI214" s="159">
        <v>202.26587862188262</v>
      </c>
      <c r="BJ214" s="159">
        <v>34.392388640622748</v>
      </c>
      <c r="BK214" s="14">
        <v>260.479900990099</v>
      </c>
      <c r="BL214" s="14">
        <v>12</v>
      </c>
      <c r="BM214" s="14">
        <v>0</v>
      </c>
      <c r="BN214" s="14">
        <v>0</v>
      </c>
      <c r="BO214" s="14">
        <v>29</v>
      </c>
      <c r="BP214" s="182">
        <v>41708</v>
      </c>
      <c r="BQ214" s="183">
        <v>116</v>
      </c>
    </row>
    <row r="215" spans="2:69" x14ac:dyDescent="0.35">
      <c r="B215" s="1">
        <v>196</v>
      </c>
      <c r="C215" t="str">
        <v>Product 3</v>
      </c>
      <c r="D215" s="113">
        <v>94.16268411236311</v>
      </c>
      <c r="E215" s="113">
        <v>94.915254237288138</v>
      </c>
      <c r="F215" s="113">
        <v>100.21585084792403</v>
      </c>
      <c r="G215" s="113">
        <v>98.993435448577685</v>
      </c>
      <c r="H215">
        <v>329.19491525423729</v>
      </c>
      <c r="I215" s="175">
        <v>179.97127501853225</v>
      </c>
      <c r="J215" s="113">
        <v>0</v>
      </c>
      <c r="K215">
        <v>395.03389830508473</v>
      </c>
      <c r="L215">
        <v>12</v>
      </c>
      <c r="M215">
        <v>0</v>
      </c>
      <c r="N215">
        <v>0</v>
      </c>
      <c r="O215" s="1">
        <v>19</v>
      </c>
      <c r="P215" s="138">
        <v>41713</v>
      </c>
      <c r="Q215" s="1">
        <v>83</v>
      </c>
      <c r="R215" s="95">
        <f>CHOOSE($D$4,D215,E215,F215,G215,H215,I215,J215,K215,L215,M215,N215,O215,P215,101-B215)+0.000001*ROWS($A$20:A215)</f>
        <v>98.993631448577688</v>
      </c>
      <c r="S215" s="4">
        <f t="shared" si="35"/>
        <v>81</v>
      </c>
      <c r="T215" s="4"/>
      <c r="U215" s="14">
        <f>ROWS($U$20:U215)</f>
        <v>196</v>
      </c>
      <c r="V215" s="4">
        <v>177</v>
      </c>
      <c r="W215" s="4" t="str">
        <v>Product 16</v>
      </c>
      <c r="X215" s="94">
        <v>62.155622369212274</v>
      </c>
      <c r="Y215" s="94">
        <v>82.666666666666671</v>
      </c>
      <c r="Z215" s="94">
        <v>76.814734351056202</v>
      </c>
      <c r="AA215" s="94">
        <v>97.882591798546983</v>
      </c>
      <c r="AB215" s="4">
        <v>176.00133333333335</v>
      </c>
      <c r="AC215" s="94">
        <v>139.9798515376458</v>
      </c>
      <c r="AD215" s="94">
        <v>0</v>
      </c>
      <c r="AE215" s="4">
        <v>211.20160000000001</v>
      </c>
      <c r="AF215" s="4">
        <v>12</v>
      </c>
      <c r="AG215" s="4">
        <v>0</v>
      </c>
      <c r="AH215" s="4">
        <v>0</v>
      </c>
      <c r="AI215" s="4">
        <v>20</v>
      </c>
      <c r="AJ215" s="139">
        <v>41708</v>
      </c>
      <c r="AK215" s="94">
        <v>96</v>
      </c>
      <c r="AL215" s="162">
        <v>86.87700000000001</v>
      </c>
      <c r="AM215" s="162">
        <v>90</v>
      </c>
      <c r="AN215" s="162">
        <v>98</v>
      </c>
      <c r="AO215" s="162">
        <v>98.5</v>
      </c>
      <c r="AP215" s="17">
        <v>277.16666666666669</v>
      </c>
      <c r="AQ215" s="162">
        <v>0</v>
      </c>
      <c r="AR215" s="162">
        <v>40</v>
      </c>
      <c r="AS215" s="17">
        <v>332.6</v>
      </c>
      <c r="AT215" s="17">
        <v>12</v>
      </c>
      <c r="AU215" s="17">
        <v>0</v>
      </c>
      <c r="AV215" s="17">
        <v>0</v>
      </c>
      <c r="AW215" s="17">
        <v>20</v>
      </c>
      <c r="AX215" s="4">
        <v>76.814734351056202</v>
      </c>
      <c r="AY215" s="4">
        <v>82.666666666666671</v>
      </c>
      <c r="BD215" s="159" t="e">
        <v>#N/A</v>
      </c>
      <c r="BE215" s="159" t="e">
        <v>#N/A</v>
      </c>
      <c r="BF215" s="159" t="e">
        <v>#N/A</v>
      </c>
      <c r="BG215" s="159" t="e">
        <v>#N/A</v>
      </c>
      <c r="BH215" s="14" t="e">
        <v>#N/A</v>
      </c>
      <c r="BI215" s="159" t="e">
        <v>#N/A</v>
      </c>
      <c r="BJ215" s="159" t="e">
        <v>#N/A</v>
      </c>
      <c r="BK215" s="14" t="e">
        <v>#N/A</v>
      </c>
      <c r="BL215" s="14" t="e">
        <v>#N/A</v>
      </c>
      <c r="BM215" s="14" t="e">
        <v>#N/A</v>
      </c>
      <c r="BN215" s="14" t="e">
        <v>#N/A</v>
      </c>
      <c r="BO215" s="14" t="e">
        <v>#N/A</v>
      </c>
      <c r="BP215" s="182" t="e">
        <v>#N/A</v>
      </c>
      <c r="BQ215" s="183" t="e">
        <v>#N/A</v>
      </c>
    </row>
    <row r="216" spans="2:69" x14ac:dyDescent="0.35">
      <c r="B216" s="1">
        <v>197</v>
      </c>
      <c r="C216" t="str">
        <v>Product 6</v>
      </c>
      <c r="D216" s="113">
        <v>72.622837370242223</v>
      </c>
      <c r="E216" s="113">
        <v>97.941176470588232</v>
      </c>
      <c r="F216" s="113">
        <v>75.408055113937479</v>
      </c>
      <c r="G216" s="113">
        <v>98.330932218278932</v>
      </c>
      <c r="H216">
        <v>225.99794117647059</v>
      </c>
      <c r="I216" s="175">
        <v>142.57222376843862</v>
      </c>
      <c r="J216" s="113">
        <v>46.007492113564666</v>
      </c>
      <c r="K216">
        <v>271.19752941176472</v>
      </c>
      <c r="L216">
        <v>12</v>
      </c>
      <c r="M216">
        <v>0</v>
      </c>
      <c r="N216">
        <v>0</v>
      </c>
      <c r="O216" s="1">
        <v>30</v>
      </c>
      <c r="P216" s="138">
        <v>41712</v>
      </c>
      <c r="Q216" s="1">
        <v>93</v>
      </c>
      <c r="R216" s="95">
        <f>CHOOSE($D$4,D216,E216,F216,G216,H216,I216,J216,K216,L216,M216,N216,O216,P216,101-B216)+0.000001*ROWS($A$20:A216)</f>
        <v>98.331129218278932</v>
      </c>
      <c r="S216" s="4">
        <f t="shared" si="35"/>
        <v>164</v>
      </c>
      <c r="T216" s="4"/>
      <c r="U216" s="14">
        <f>ROWS($U$20:U216)</f>
        <v>197</v>
      </c>
      <c r="V216" s="4">
        <v>98</v>
      </c>
      <c r="W216" s="4" t="str">
        <v>Product 8</v>
      </c>
      <c r="X216" s="94">
        <v>50.167224080267545</v>
      </c>
      <c r="Y216" s="94">
        <v>74.637681159420296</v>
      </c>
      <c r="Z216" s="94">
        <v>68.698655713218798</v>
      </c>
      <c r="AA216" s="94">
        <v>97.839380350591114</v>
      </c>
      <c r="AB216" s="4">
        <v>133.31521739130434</v>
      </c>
      <c r="AC216" s="94">
        <v>75.611861167622223</v>
      </c>
      <c r="AD216" s="94">
        <v>24.842342342342342</v>
      </c>
      <c r="AE216" s="4">
        <v>159.97826086956522</v>
      </c>
      <c r="AF216" s="4">
        <v>12</v>
      </c>
      <c r="AG216" s="4">
        <v>0</v>
      </c>
      <c r="AH216" s="4">
        <v>0</v>
      </c>
      <c r="AI216" s="4">
        <v>16</v>
      </c>
      <c r="AJ216" s="139">
        <v>41674</v>
      </c>
      <c r="AK216" s="94">
        <v>92</v>
      </c>
      <c r="AL216" s="162">
        <v>87.097500000000011</v>
      </c>
      <c r="AM216" s="162">
        <v>90</v>
      </c>
      <c r="AN216" s="162">
        <v>98</v>
      </c>
      <c r="AO216" s="162">
        <v>98.75</v>
      </c>
      <c r="AP216" s="17">
        <v>260</v>
      </c>
      <c r="AQ216" s="162">
        <v>0</v>
      </c>
      <c r="AR216" s="162">
        <v>40</v>
      </c>
      <c r="AS216" s="17">
        <v>312</v>
      </c>
      <c r="AT216" s="17">
        <v>12</v>
      </c>
      <c r="AU216" s="17">
        <v>0</v>
      </c>
      <c r="AV216" s="17">
        <v>0</v>
      </c>
      <c r="AW216" s="17">
        <v>20</v>
      </c>
      <c r="AX216" s="4">
        <v>68.698655713218798</v>
      </c>
      <c r="AY216" s="4">
        <v>74.637681159420296</v>
      </c>
      <c r="BD216" s="159" t="e">
        <v>#N/A</v>
      </c>
      <c r="BE216" s="159" t="e">
        <v>#N/A</v>
      </c>
      <c r="BF216" s="159" t="e">
        <v>#N/A</v>
      </c>
      <c r="BG216" s="159" t="e">
        <v>#N/A</v>
      </c>
      <c r="BH216" s="14" t="e">
        <v>#N/A</v>
      </c>
      <c r="BI216" s="159" t="e">
        <v>#N/A</v>
      </c>
      <c r="BJ216" s="159" t="e">
        <v>#N/A</v>
      </c>
      <c r="BK216" s="14" t="e">
        <v>#N/A</v>
      </c>
      <c r="BL216" s="14" t="e">
        <v>#N/A</v>
      </c>
      <c r="BM216" s="14" t="e">
        <v>#N/A</v>
      </c>
      <c r="BN216" s="14" t="e">
        <v>#N/A</v>
      </c>
      <c r="BO216" s="14" t="e">
        <v>#N/A</v>
      </c>
      <c r="BP216" s="182" t="e">
        <v>#N/A</v>
      </c>
      <c r="BQ216" s="183" t="e">
        <v>#N/A</v>
      </c>
    </row>
    <row r="217" spans="2:69" x14ac:dyDescent="0.35">
      <c r="B217" s="1">
        <v>198</v>
      </c>
      <c r="C217" t="str">
        <v>Product 3</v>
      </c>
      <c r="D217" s="113">
        <v>91.269064659743535</v>
      </c>
      <c r="E217" s="113">
        <v>92.907801418439703</v>
      </c>
      <c r="F217" s="113">
        <v>99.575585018096007</v>
      </c>
      <c r="G217" s="113">
        <v>98.654874901704531</v>
      </c>
      <c r="H217">
        <v>320.1737588652482</v>
      </c>
      <c r="I217" s="175">
        <v>177.34918081409853</v>
      </c>
      <c r="J217" s="113">
        <v>20.784151693486248</v>
      </c>
      <c r="K217">
        <v>384.20851063829787</v>
      </c>
      <c r="L217">
        <v>12</v>
      </c>
      <c r="M217">
        <v>0</v>
      </c>
      <c r="N217">
        <v>0</v>
      </c>
      <c r="O217" s="1">
        <v>15</v>
      </c>
      <c r="P217" s="138">
        <v>41715</v>
      </c>
      <c r="Q217" s="1">
        <v>99</v>
      </c>
      <c r="R217" s="95">
        <f>CHOOSE($D$4,D217,E217,F217,G217,H217,I217,J217,K217,L217,M217,N217,O217,P217,101-B217)+0.000001*ROWS($A$20:A217)</f>
        <v>98.655072901704528</v>
      </c>
      <c r="S217" s="4">
        <f t="shared" si="35"/>
        <v>120</v>
      </c>
      <c r="T217" s="4"/>
      <c r="U217" s="14">
        <f>ROWS($U$20:U217)</f>
        <v>198</v>
      </c>
      <c r="V217" s="4">
        <v>94</v>
      </c>
      <c r="W217" s="4" t="str">
        <v>Product 3</v>
      </c>
      <c r="X217" s="94">
        <v>70.502024736313402</v>
      </c>
      <c r="Y217" s="94">
        <v>76.704545454545453</v>
      </c>
      <c r="Z217" s="94">
        <v>93.945927972171063</v>
      </c>
      <c r="AA217" s="94">
        <v>97.836865047060769</v>
      </c>
      <c r="AB217" s="4">
        <v>260.86008522727275</v>
      </c>
      <c r="AC217" s="94">
        <v>110.02204688557786</v>
      </c>
      <c r="AD217" s="94">
        <v>0</v>
      </c>
      <c r="AE217" s="4">
        <v>313.03210227272729</v>
      </c>
      <c r="AF217" s="4">
        <v>12</v>
      </c>
      <c r="AG217" s="4">
        <v>0</v>
      </c>
      <c r="AH217" s="4">
        <v>0</v>
      </c>
      <c r="AI217" s="4">
        <v>24</v>
      </c>
      <c r="AJ217" s="139">
        <v>41671</v>
      </c>
      <c r="AK217" s="94">
        <v>95</v>
      </c>
      <c r="AL217" s="162">
        <v>87.494399999999999</v>
      </c>
      <c r="AM217" s="162">
        <v>90</v>
      </c>
      <c r="AN217" s="162">
        <v>98</v>
      </c>
      <c r="AO217" s="162">
        <v>99.2</v>
      </c>
      <c r="AP217" s="17">
        <v>362</v>
      </c>
      <c r="AQ217" s="162">
        <v>0</v>
      </c>
      <c r="AR217" s="162">
        <v>40</v>
      </c>
      <c r="AS217" s="17">
        <v>434.4</v>
      </c>
      <c r="AT217" s="17">
        <v>12</v>
      </c>
      <c r="AU217" s="17">
        <v>0</v>
      </c>
      <c r="AV217" s="17">
        <v>0</v>
      </c>
      <c r="AW217" s="17">
        <v>20</v>
      </c>
      <c r="AX217" s="4">
        <v>93.945927972171063</v>
      </c>
      <c r="AY217" s="4">
        <v>76.704545454545453</v>
      </c>
      <c r="BD217" s="159" t="e">
        <v>#N/A</v>
      </c>
      <c r="BE217" s="159" t="e">
        <v>#N/A</v>
      </c>
      <c r="BF217" s="159" t="e">
        <v>#N/A</v>
      </c>
      <c r="BG217" s="159" t="e">
        <v>#N/A</v>
      </c>
      <c r="BH217" s="14" t="e">
        <v>#N/A</v>
      </c>
      <c r="BI217" s="159" t="e">
        <v>#N/A</v>
      </c>
      <c r="BJ217" s="159" t="e">
        <v>#N/A</v>
      </c>
      <c r="BK217" s="14" t="e">
        <v>#N/A</v>
      </c>
      <c r="BL217" s="14" t="e">
        <v>#N/A</v>
      </c>
      <c r="BM217" s="14" t="e">
        <v>#N/A</v>
      </c>
      <c r="BN217" s="14" t="e">
        <v>#N/A</v>
      </c>
      <c r="BO217" s="14" t="e">
        <v>#N/A</v>
      </c>
      <c r="BP217" s="182" t="e">
        <v>#N/A</v>
      </c>
      <c r="BQ217" s="183" t="e">
        <v>#N/A</v>
      </c>
    </row>
    <row r="218" spans="2:69" x14ac:dyDescent="0.35">
      <c r="B218" s="1">
        <v>199</v>
      </c>
      <c r="C218" t="str">
        <v>Product 4</v>
      </c>
      <c r="D218" s="113">
        <v>93.406593406593402</v>
      </c>
      <c r="E218" s="113">
        <v>98.095238095238102</v>
      </c>
      <c r="F218" s="113">
        <v>96.132841672890208</v>
      </c>
      <c r="G218" s="113">
        <v>99.050763516302112</v>
      </c>
      <c r="H218">
        <v>245.1845238095238</v>
      </c>
      <c r="I218" s="175">
        <v>156.65908554998592</v>
      </c>
      <c r="J218" s="113">
        <v>23.440705785802216</v>
      </c>
      <c r="K218">
        <v>294.22142857142859</v>
      </c>
      <c r="L218">
        <v>12</v>
      </c>
      <c r="M218">
        <v>0</v>
      </c>
      <c r="N218">
        <v>0</v>
      </c>
      <c r="O218" s="1">
        <v>20</v>
      </c>
      <c r="P218" s="138">
        <v>41715</v>
      </c>
      <c r="Q218" s="1">
        <v>66</v>
      </c>
      <c r="R218" s="95">
        <f>CHOOSE($D$4,D218,E218,F218,G218,H218,I218,J218,K218,L218,M218,N218,O218,P218,101-B218)+0.000001*ROWS($A$20:A218)</f>
        <v>99.050962516302107</v>
      </c>
      <c r="S218" s="4">
        <f t="shared" si="35"/>
        <v>69</v>
      </c>
      <c r="T218" s="4"/>
      <c r="U218" s="14">
        <f>ROWS($U$20:U218)</f>
        <v>199</v>
      </c>
      <c r="V218" s="4">
        <v>68</v>
      </c>
      <c r="W218" s="4" t="str">
        <v>Product 20</v>
      </c>
      <c r="X218" s="94">
        <v>64.705882352941188</v>
      </c>
      <c r="Y218" s="94">
        <v>70.588235294117652</v>
      </c>
      <c r="Z218" s="94">
        <v>93.697390572390589</v>
      </c>
      <c r="AA218" s="94">
        <v>97.832678270634474</v>
      </c>
      <c r="AB218" s="4">
        <v>218.25980392156865</v>
      </c>
      <c r="AC218" s="94">
        <v>87.506387327542157</v>
      </c>
      <c r="AD218" s="94">
        <v>81.239530988274709</v>
      </c>
      <c r="AE218" s="4">
        <v>261.91176470588232</v>
      </c>
      <c r="AF218" s="4">
        <v>12</v>
      </c>
      <c r="AG218" s="4">
        <v>0</v>
      </c>
      <c r="AH218" s="4">
        <v>0</v>
      </c>
      <c r="AI218" s="4">
        <v>18</v>
      </c>
      <c r="AJ218" s="139">
        <v>41661</v>
      </c>
      <c r="AK218" s="94">
        <v>97</v>
      </c>
      <c r="AL218" s="162">
        <v>87.494399999999999</v>
      </c>
      <c r="AM218" s="162">
        <v>90</v>
      </c>
      <c r="AN218" s="162">
        <v>98</v>
      </c>
      <c r="AO218" s="162">
        <v>99.2</v>
      </c>
      <c r="AP218" s="17">
        <v>330</v>
      </c>
      <c r="AQ218" s="162">
        <v>0</v>
      </c>
      <c r="AR218" s="162">
        <v>40</v>
      </c>
      <c r="AS218" s="17">
        <v>396</v>
      </c>
      <c r="AT218" s="17">
        <v>12</v>
      </c>
      <c r="AU218" s="17">
        <v>0</v>
      </c>
      <c r="AV218" s="17">
        <v>0</v>
      </c>
      <c r="AW218" s="17">
        <v>20</v>
      </c>
      <c r="AX218" s="4">
        <v>93.697390572390589</v>
      </c>
      <c r="AY218" s="4">
        <v>70.588235294117652</v>
      </c>
      <c r="BD218" s="159">
        <v>64.705882352941188</v>
      </c>
      <c r="BE218" s="159">
        <v>70.588235294117652</v>
      </c>
      <c r="BF218" s="159">
        <v>93.697390572390589</v>
      </c>
      <c r="BG218" s="159">
        <v>97.832678270634474</v>
      </c>
      <c r="BH218" s="14">
        <v>218.25980392156865</v>
      </c>
      <c r="BI218" s="159">
        <v>87.506387327542157</v>
      </c>
      <c r="BJ218" s="159">
        <v>81.239530988274709</v>
      </c>
      <c r="BK218" s="14">
        <v>261.91176470588232</v>
      </c>
      <c r="BL218" s="14">
        <v>12</v>
      </c>
      <c r="BM218" s="14">
        <v>0</v>
      </c>
      <c r="BN218" s="14">
        <v>0</v>
      </c>
      <c r="BO218" s="14">
        <v>18</v>
      </c>
      <c r="BP218" s="182">
        <v>41661</v>
      </c>
      <c r="BQ218" s="183">
        <v>97</v>
      </c>
    </row>
    <row r="219" spans="2:69" x14ac:dyDescent="0.35">
      <c r="B219" s="1">
        <v>200</v>
      </c>
      <c r="C219" t="str">
        <v>Product 16</v>
      </c>
      <c r="D219" s="113">
        <v>75.335856531427964</v>
      </c>
      <c r="E219" s="113">
        <v>82.35294117647058</v>
      </c>
      <c r="F219" s="113">
        <v>92.735589725968566</v>
      </c>
      <c r="G219" s="113">
        <v>98.645250038210889</v>
      </c>
      <c r="H219">
        <v>211.67352941176469</v>
      </c>
      <c r="I219" s="175">
        <v>148.77312661498706</v>
      </c>
      <c r="J219" s="113">
        <v>0</v>
      </c>
      <c r="K219">
        <v>254.00823529411764</v>
      </c>
      <c r="L219">
        <v>12</v>
      </c>
      <c r="M219">
        <v>0</v>
      </c>
      <c r="N219">
        <v>0</v>
      </c>
      <c r="O219" s="1">
        <v>29</v>
      </c>
      <c r="P219" s="138">
        <v>41715</v>
      </c>
      <c r="Q219" s="1">
        <v>85</v>
      </c>
      <c r="R219" s="95">
        <f>CHOOSE($D$4,D219,E219,F219,G219,H219,I219,J219,K219,L219,M219,N219,O219,P219,101-B219)+0.000001*ROWS($A$20:A219)</f>
        <v>98.645450038210896</v>
      </c>
      <c r="S219" s="4">
        <f t="shared" si="35"/>
        <v>122</v>
      </c>
      <c r="T219" s="4"/>
      <c r="U219" s="14">
        <f>ROWS($U$20:U219)</f>
        <v>200</v>
      </c>
      <c r="V219" s="4">
        <v>84</v>
      </c>
      <c r="W219" s="4" t="str">
        <v>Product 3</v>
      </c>
      <c r="X219" s="94">
        <v>96.321296982594518</v>
      </c>
      <c r="Y219" s="94">
        <v>95.754189944134069</v>
      </c>
      <c r="Z219" s="94">
        <v>102.83522251702036</v>
      </c>
      <c r="AA219" s="94">
        <v>97.818870337128388</v>
      </c>
      <c r="AB219" s="4">
        <v>340.78491620111731</v>
      </c>
      <c r="AC219" s="94">
        <v>117.87194574070317</v>
      </c>
      <c r="AD219" s="94">
        <v>0</v>
      </c>
      <c r="AE219" s="4">
        <v>408.94189944134075</v>
      </c>
      <c r="AF219" s="4">
        <v>12</v>
      </c>
      <c r="AG219" s="4">
        <v>0</v>
      </c>
      <c r="AH219" s="4">
        <v>0</v>
      </c>
      <c r="AI219" s="4">
        <v>24</v>
      </c>
      <c r="AJ219" s="139">
        <v>41667</v>
      </c>
      <c r="AK219" s="94">
        <v>49</v>
      </c>
      <c r="AL219" s="162">
        <v>87.494399999999999</v>
      </c>
      <c r="AM219" s="162">
        <v>90</v>
      </c>
      <c r="AN219" s="162">
        <v>98</v>
      </c>
      <c r="AO219" s="162">
        <v>99.2</v>
      </c>
      <c r="AP219" s="17">
        <v>346.08333333333331</v>
      </c>
      <c r="AQ219" s="162">
        <v>0</v>
      </c>
      <c r="AR219" s="162">
        <v>40</v>
      </c>
      <c r="AS219" s="17">
        <v>415.3</v>
      </c>
      <c r="AT219" s="17">
        <v>12</v>
      </c>
      <c r="AU219" s="17">
        <v>0</v>
      </c>
      <c r="AV219" s="17">
        <v>0</v>
      </c>
      <c r="AW219" s="17">
        <v>20</v>
      </c>
      <c r="AX219" s="4">
        <v>102.83522251702036</v>
      </c>
      <c r="AY219" s="4">
        <v>95.754189944134069</v>
      </c>
      <c r="BD219" s="159" t="e">
        <v>#N/A</v>
      </c>
      <c r="BE219" s="159" t="e">
        <v>#N/A</v>
      </c>
      <c r="BF219" s="159" t="e">
        <v>#N/A</v>
      </c>
      <c r="BG219" s="159" t="e">
        <v>#N/A</v>
      </c>
      <c r="BH219" s="14" t="e">
        <v>#N/A</v>
      </c>
      <c r="BI219" s="159" t="e">
        <v>#N/A</v>
      </c>
      <c r="BJ219" s="159" t="e">
        <v>#N/A</v>
      </c>
      <c r="BK219" s="14" t="e">
        <v>#N/A</v>
      </c>
      <c r="BL219" s="14" t="e">
        <v>#N/A</v>
      </c>
      <c r="BM219" s="14" t="e">
        <v>#N/A</v>
      </c>
      <c r="BN219" s="14" t="e">
        <v>#N/A</v>
      </c>
      <c r="BO219" s="14" t="e">
        <v>#N/A</v>
      </c>
      <c r="BP219" s="182" t="e">
        <v>#N/A</v>
      </c>
      <c r="BQ219" s="183" t="e">
        <v>#N/A</v>
      </c>
    </row>
    <row r="220" spans="2:69" x14ac:dyDescent="0.35">
      <c r="B220" s="1">
        <v>201</v>
      </c>
      <c r="C220" t="str">
        <v>Product 2</v>
      </c>
      <c r="D220" s="113">
        <v>85.560888888888897</v>
      </c>
      <c r="E220" s="113">
        <v>92.533333333333331</v>
      </c>
      <c r="F220" s="113">
        <v>93.82047176859858</v>
      </c>
      <c r="G220" s="113">
        <v>98.555182911568096</v>
      </c>
      <c r="H220">
        <v>234.40106666666668</v>
      </c>
      <c r="I220" s="175">
        <v>183.00287827449267</v>
      </c>
      <c r="J220" s="113">
        <v>0</v>
      </c>
      <c r="K220">
        <v>281.28128000000004</v>
      </c>
      <c r="L220">
        <v>12</v>
      </c>
      <c r="M220">
        <v>0</v>
      </c>
      <c r="N220">
        <v>0</v>
      </c>
      <c r="O220" s="1">
        <v>27</v>
      </c>
      <c r="P220" s="138">
        <v>41715</v>
      </c>
      <c r="Q220" s="1">
        <v>84</v>
      </c>
      <c r="R220" s="95">
        <f>CHOOSE($D$4,D220,E220,F220,G220,H220,I220,J220,K220,L220,M220,N220,O220,P220,101-B220)+0.000001*ROWS($A$20:A220)</f>
        <v>98.5553839115681</v>
      </c>
      <c r="S220" s="4">
        <f t="shared" si="35"/>
        <v>136</v>
      </c>
      <c r="T220" s="4"/>
      <c r="U220" s="14">
        <f>ROWS($U$20:U220)</f>
        <v>201</v>
      </c>
      <c r="V220" s="4">
        <v>80</v>
      </c>
      <c r="W220" s="4" t="str">
        <v>Product 10</v>
      </c>
      <c r="X220" s="94">
        <v>68.356544009806711</v>
      </c>
      <c r="Y220" s="94">
        <v>67.272727272727266</v>
      </c>
      <c r="Z220" s="94">
        <v>103.88231236292877</v>
      </c>
      <c r="AA220" s="94">
        <v>97.813647600086711</v>
      </c>
      <c r="AB220" s="4">
        <v>241.85848484848484</v>
      </c>
      <c r="AC220" s="94">
        <v>101.25379004123056</v>
      </c>
      <c r="AD220" s="94">
        <v>0</v>
      </c>
      <c r="AE220" s="4">
        <v>290.23018181818185</v>
      </c>
      <c r="AF220" s="4">
        <v>12</v>
      </c>
      <c r="AG220" s="4">
        <v>0</v>
      </c>
      <c r="AH220" s="4">
        <v>0</v>
      </c>
      <c r="AI220" s="4">
        <v>15</v>
      </c>
      <c r="AJ220" s="139">
        <v>41666</v>
      </c>
      <c r="AK220" s="94">
        <v>86</v>
      </c>
      <c r="AL220" s="162">
        <v>87.494399999999999</v>
      </c>
      <c r="AM220" s="162">
        <v>90</v>
      </c>
      <c r="AN220" s="162">
        <v>98</v>
      </c>
      <c r="AO220" s="162">
        <v>99.2</v>
      </c>
      <c r="AP220" s="17">
        <v>346.08333333333331</v>
      </c>
      <c r="AQ220" s="162">
        <v>0</v>
      </c>
      <c r="AR220" s="162">
        <v>40</v>
      </c>
      <c r="AS220" s="17">
        <v>415.3</v>
      </c>
      <c r="AT220" s="17">
        <v>12</v>
      </c>
      <c r="AU220" s="17">
        <v>0</v>
      </c>
      <c r="AV220" s="17">
        <v>0</v>
      </c>
      <c r="AW220" s="17">
        <v>20</v>
      </c>
      <c r="AX220" s="4">
        <v>103.88231236292877</v>
      </c>
      <c r="AY220" s="4">
        <v>67.272727272727266</v>
      </c>
      <c r="BD220" s="159" t="e">
        <v>#N/A</v>
      </c>
      <c r="BE220" s="159" t="e">
        <v>#N/A</v>
      </c>
      <c r="BF220" s="159" t="e">
        <v>#N/A</v>
      </c>
      <c r="BG220" s="159" t="e">
        <v>#N/A</v>
      </c>
      <c r="BH220" s="14" t="e">
        <v>#N/A</v>
      </c>
      <c r="BI220" s="159" t="e">
        <v>#N/A</v>
      </c>
      <c r="BJ220" s="159" t="e">
        <v>#N/A</v>
      </c>
      <c r="BK220" s="14" t="e">
        <v>#N/A</v>
      </c>
      <c r="BL220" s="14" t="e">
        <v>#N/A</v>
      </c>
      <c r="BM220" s="14" t="e">
        <v>#N/A</v>
      </c>
      <c r="BN220" s="14" t="e">
        <v>#N/A</v>
      </c>
      <c r="BO220" s="14" t="e">
        <v>#N/A</v>
      </c>
      <c r="BP220" s="182" t="e">
        <v>#N/A</v>
      </c>
      <c r="BQ220" s="183" t="e">
        <v>#N/A</v>
      </c>
    </row>
    <row r="221" spans="2:69" x14ac:dyDescent="0.35">
      <c r="B221" s="1">
        <v>202</v>
      </c>
      <c r="C221" t="str">
        <v>Product 28</v>
      </c>
      <c r="D221" s="113">
        <v>60.977777777777774</v>
      </c>
      <c r="E221" s="113">
        <v>73.333333333333343</v>
      </c>
      <c r="F221" s="113">
        <v>86.327505827505817</v>
      </c>
      <c r="G221" s="113">
        <v>96.320997988362194</v>
      </c>
      <c r="H221">
        <v>148.13800000000001</v>
      </c>
      <c r="I221" s="175">
        <v>145.06172436529337</v>
      </c>
      <c r="J221" s="113">
        <v>100</v>
      </c>
      <c r="K221">
        <v>177.76560000000001</v>
      </c>
      <c r="L221">
        <v>12</v>
      </c>
      <c r="M221">
        <v>0</v>
      </c>
      <c r="N221">
        <v>0</v>
      </c>
      <c r="O221" s="1">
        <v>20</v>
      </c>
      <c r="P221" s="138">
        <v>41716</v>
      </c>
      <c r="Q221" s="1">
        <v>107</v>
      </c>
      <c r="R221" s="95">
        <f>CHOOSE($D$4,D221,E221,F221,G221,H221,I221,J221,K221,L221,M221,N221,O221,P221,101-B221)+0.000001*ROWS($A$20:A221)</f>
        <v>96.321199988362196</v>
      </c>
      <c r="S221" s="4">
        <f t="shared" si="35"/>
        <v>236</v>
      </c>
      <c r="T221" s="4"/>
      <c r="U221" s="14">
        <f>ROWS($U$20:U221)</f>
        <v>202</v>
      </c>
      <c r="V221" s="4">
        <v>225</v>
      </c>
      <c r="W221" s="4" t="str">
        <v>Product 4</v>
      </c>
      <c r="X221" s="94">
        <v>89.217032967032964</v>
      </c>
      <c r="Y221" s="94">
        <v>97.61904761904762</v>
      </c>
      <c r="Z221" s="94">
        <v>93.447467166979365</v>
      </c>
      <c r="AA221" s="94">
        <v>97.801535913266065</v>
      </c>
      <c r="AB221" s="4">
        <v>237.17857142857142</v>
      </c>
      <c r="AC221" s="94">
        <v>155.6350626118068</v>
      </c>
      <c r="AD221" s="94">
        <v>0</v>
      </c>
      <c r="AE221" s="4">
        <v>284.61428571428576</v>
      </c>
      <c r="AF221" s="4">
        <v>12</v>
      </c>
      <c r="AG221" s="4">
        <v>0</v>
      </c>
      <c r="AH221" s="4">
        <v>0</v>
      </c>
      <c r="AI221" s="4">
        <v>24</v>
      </c>
      <c r="AJ221" s="139">
        <v>41722</v>
      </c>
      <c r="AK221" s="94">
        <v>63</v>
      </c>
      <c r="AL221" s="162">
        <v>87.097500000000011</v>
      </c>
      <c r="AM221" s="162">
        <v>90</v>
      </c>
      <c r="AN221" s="162">
        <v>98</v>
      </c>
      <c r="AO221" s="162">
        <v>98.75</v>
      </c>
      <c r="AP221" s="17">
        <v>260</v>
      </c>
      <c r="AQ221" s="162">
        <v>0</v>
      </c>
      <c r="AR221" s="162">
        <v>40</v>
      </c>
      <c r="AS221" s="17">
        <v>312</v>
      </c>
      <c r="AT221" s="17">
        <v>12</v>
      </c>
      <c r="AU221" s="17">
        <v>0</v>
      </c>
      <c r="AV221" s="17">
        <v>0</v>
      </c>
      <c r="AW221" s="17">
        <v>20</v>
      </c>
      <c r="AX221" s="4">
        <v>93.447467166979365</v>
      </c>
      <c r="AY221" s="4">
        <v>97.61904761904762</v>
      </c>
      <c r="BD221" s="159" t="e">
        <v>#N/A</v>
      </c>
      <c r="BE221" s="159" t="e">
        <v>#N/A</v>
      </c>
      <c r="BF221" s="159" t="e">
        <v>#N/A</v>
      </c>
      <c r="BG221" s="159" t="e">
        <v>#N/A</v>
      </c>
      <c r="BH221" s="14" t="e">
        <v>#N/A</v>
      </c>
      <c r="BI221" s="159" t="e">
        <v>#N/A</v>
      </c>
      <c r="BJ221" s="159" t="e">
        <v>#N/A</v>
      </c>
      <c r="BK221" s="14" t="e">
        <v>#N/A</v>
      </c>
      <c r="BL221" s="14" t="e">
        <v>#N/A</v>
      </c>
      <c r="BM221" s="14" t="e">
        <v>#N/A</v>
      </c>
      <c r="BN221" s="14" t="e">
        <v>#N/A</v>
      </c>
      <c r="BO221" s="14" t="e">
        <v>#N/A</v>
      </c>
      <c r="BP221" s="182" t="e">
        <v>#N/A</v>
      </c>
      <c r="BQ221" s="183" t="e">
        <v>#N/A</v>
      </c>
    </row>
    <row r="222" spans="2:69" x14ac:dyDescent="0.35">
      <c r="B222" s="1">
        <v>203</v>
      </c>
      <c r="C222" t="str">
        <v>Product 3</v>
      </c>
      <c r="D222" s="113">
        <v>89.832625819317201</v>
      </c>
      <c r="E222" s="113">
        <v>93.812154696132609</v>
      </c>
      <c r="F222" s="113">
        <v>97.303120312363063</v>
      </c>
      <c r="G222" s="113">
        <v>98.4120357893555</v>
      </c>
      <c r="H222">
        <v>315.91232044198892</v>
      </c>
      <c r="I222" s="175">
        <v>180.0211881749205</v>
      </c>
      <c r="J222" s="113">
        <v>0</v>
      </c>
      <c r="K222">
        <v>379.09478453038673</v>
      </c>
      <c r="L222">
        <v>12</v>
      </c>
      <c r="M222">
        <v>0</v>
      </c>
      <c r="N222">
        <v>0</v>
      </c>
      <c r="O222" s="1">
        <v>27</v>
      </c>
      <c r="P222" s="138">
        <v>41716</v>
      </c>
      <c r="Q222" s="1">
        <v>91</v>
      </c>
      <c r="R222" s="95">
        <f>CHOOSE($D$4,D222,E222,F222,G222,H222,I222,J222,K222,L222,M222,N222,O222,P222,101-B222)+0.000001*ROWS($A$20:A222)</f>
        <v>98.412238789355499</v>
      </c>
      <c r="S222" s="4">
        <f t="shared" si="35"/>
        <v>156</v>
      </c>
      <c r="T222" s="4"/>
      <c r="U222" s="14">
        <f>ROWS($U$20:U222)</f>
        <v>203</v>
      </c>
      <c r="V222" s="4">
        <v>187</v>
      </c>
      <c r="W222" s="4" t="str">
        <v>Product 20</v>
      </c>
      <c r="X222" s="94">
        <v>68.571428571428569</v>
      </c>
      <c r="Y222" s="94">
        <v>76.428571428571416</v>
      </c>
      <c r="Z222" s="94">
        <v>91.758708581138492</v>
      </c>
      <c r="AA222" s="94">
        <v>97.777777777777771</v>
      </c>
      <c r="AB222" s="4">
        <v>231.42857142857142</v>
      </c>
      <c r="AC222" s="94">
        <v>187.26699997110077</v>
      </c>
      <c r="AD222" s="94">
        <v>82.080729606485392</v>
      </c>
      <c r="AE222" s="4">
        <v>277.71428571428567</v>
      </c>
      <c r="AF222" s="4">
        <v>12</v>
      </c>
      <c r="AG222" s="4">
        <v>0</v>
      </c>
      <c r="AH222" s="4">
        <v>0</v>
      </c>
      <c r="AI222" s="4">
        <v>24</v>
      </c>
      <c r="AJ222" s="139">
        <v>41710</v>
      </c>
      <c r="AK222" s="94">
        <v>71</v>
      </c>
      <c r="AL222" s="162">
        <v>87.494399999999999</v>
      </c>
      <c r="AM222" s="162">
        <v>90</v>
      </c>
      <c r="AN222" s="162">
        <v>98</v>
      </c>
      <c r="AO222" s="162">
        <v>99.2</v>
      </c>
      <c r="AP222" s="17">
        <v>330</v>
      </c>
      <c r="AQ222" s="162">
        <v>0</v>
      </c>
      <c r="AR222" s="162">
        <v>40</v>
      </c>
      <c r="AS222" s="17">
        <v>395.99999999999994</v>
      </c>
      <c r="AT222" s="17">
        <v>12</v>
      </c>
      <c r="AU222" s="17">
        <v>0</v>
      </c>
      <c r="AV222" s="17">
        <v>0</v>
      </c>
      <c r="AW222" s="17">
        <v>20</v>
      </c>
      <c r="AX222" s="4">
        <v>91.758708581138492</v>
      </c>
      <c r="AY222" s="4">
        <v>76.428571428571416</v>
      </c>
      <c r="BD222" s="159">
        <v>68.571428571428569</v>
      </c>
      <c r="BE222" s="159">
        <v>76.428571428571416</v>
      </c>
      <c r="BF222" s="159">
        <v>91.758708581138492</v>
      </c>
      <c r="BG222" s="159">
        <v>97.777777777777771</v>
      </c>
      <c r="BH222" s="14">
        <v>231.42857142857142</v>
      </c>
      <c r="BI222" s="159">
        <v>187.26699997110077</v>
      </c>
      <c r="BJ222" s="159">
        <v>82.080729606485392</v>
      </c>
      <c r="BK222" s="14">
        <v>277.71428571428567</v>
      </c>
      <c r="BL222" s="14">
        <v>12</v>
      </c>
      <c r="BM222" s="14">
        <v>0</v>
      </c>
      <c r="BN222" s="14">
        <v>0</v>
      </c>
      <c r="BO222" s="14">
        <v>24</v>
      </c>
      <c r="BP222" s="182">
        <v>41710</v>
      </c>
      <c r="BQ222" s="183">
        <v>71</v>
      </c>
    </row>
    <row r="223" spans="2:69" x14ac:dyDescent="0.35">
      <c r="B223" s="1">
        <v>204</v>
      </c>
      <c r="C223" t="str">
        <v>Product 7</v>
      </c>
      <c r="D223" s="113">
        <v>103.82222222222222</v>
      </c>
      <c r="E223" s="113">
        <v>96</v>
      </c>
      <c r="F223" s="113">
        <v>108.4567901234568</v>
      </c>
      <c r="G223" s="113">
        <v>99.715424018212858</v>
      </c>
      <c r="H223">
        <v>243.63733333333332</v>
      </c>
      <c r="I223" s="175">
        <v>149.42186605609615</v>
      </c>
      <c r="J223" s="113">
        <v>0</v>
      </c>
      <c r="K223">
        <v>292.36479999999995</v>
      </c>
      <c r="L223">
        <v>12</v>
      </c>
      <c r="M223">
        <v>0</v>
      </c>
      <c r="N223">
        <v>0</v>
      </c>
      <c r="O223" s="1">
        <v>22</v>
      </c>
      <c r="P223" s="138">
        <v>41716</v>
      </c>
      <c r="Q223" s="1">
        <v>134</v>
      </c>
      <c r="R223" s="95">
        <f>CHOOSE($D$4,D223,E223,F223,G223,H223,I223,J223,K223,L223,M223,N223,O223,P223,101-B223)+0.000001*ROWS($A$20:A223)</f>
        <v>99.715628018212854</v>
      </c>
      <c r="S223" s="4">
        <f t="shared" si="35"/>
        <v>19</v>
      </c>
      <c r="T223" s="4"/>
      <c r="U223" s="14">
        <f>ROWS($U$20:U223)</f>
        <v>204</v>
      </c>
      <c r="V223" s="4">
        <v>105</v>
      </c>
      <c r="W223" s="4" t="str">
        <v>Product 3</v>
      </c>
      <c r="X223" s="94">
        <v>86.911524394988717</v>
      </c>
      <c r="Y223" s="94">
        <v>91.874322860238351</v>
      </c>
      <c r="Z223" s="94">
        <v>96.756423954967161</v>
      </c>
      <c r="AA223" s="94">
        <v>97.769502961090026</v>
      </c>
      <c r="AB223" s="4">
        <v>321.79739978331531</v>
      </c>
      <c r="AC223" s="94">
        <v>117.20979606010862</v>
      </c>
      <c r="AD223" s="94">
        <v>11.453210500796564</v>
      </c>
      <c r="AE223" s="4">
        <v>386.15687973997836</v>
      </c>
      <c r="AF223" s="4">
        <v>12</v>
      </c>
      <c r="AG223" s="4">
        <v>0</v>
      </c>
      <c r="AH223" s="4">
        <v>0</v>
      </c>
      <c r="AI223" s="4">
        <v>17</v>
      </c>
      <c r="AJ223" s="139">
        <v>41676</v>
      </c>
      <c r="AK223" s="94">
        <v>104</v>
      </c>
      <c r="AL223" s="162">
        <v>87.494399999999999</v>
      </c>
      <c r="AM223" s="162">
        <v>90</v>
      </c>
      <c r="AN223" s="162">
        <v>98</v>
      </c>
      <c r="AO223" s="162">
        <v>99.2</v>
      </c>
      <c r="AP223" s="17">
        <v>362</v>
      </c>
      <c r="AQ223" s="162">
        <v>0</v>
      </c>
      <c r="AR223" s="162">
        <v>40</v>
      </c>
      <c r="AS223" s="17">
        <v>434.4</v>
      </c>
      <c r="AT223" s="17">
        <v>12</v>
      </c>
      <c r="AU223" s="17">
        <v>0</v>
      </c>
      <c r="AV223" s="17">
        <v>0</v>
      </c>
      <c r="AW223" s="17">
        <v>20</v>
      </c>
      <c r="AX223" s="4">
        <v>96.756423954967161</v>
      </c>
      <c r="AY223" s="4">
        <v>91.874322860238351</v>
      </c>
      <c r="BD223" s="159" t="e">
        <v>#N/A</v>
      </c>
      <c r="BE223" s="159" t="e">
        <v>#N/A</v>
      </c>
      <c r="BF223" s="159" t="e">
        <v>#N/A</v>
      </c>
      <c r="BG223" s="159" t="e">
        <v>#N/A</v>
      </c>
      <c r="BH223" s="14" t="e">
        <v>#N/A</v>
      </c>
      <c r="BI223" s="159" t="e">
        <v>#N/A</v>
      </c>
      <c r="BJ223" s="159" t="e">
        <v>#N/A</v>
      </c>
      <c r="BK223" s="14" t="e">
        <v>#N/A</v>
      </c>
      <c r="BL223" s="14" t="e">
        <v>#N/A</v>
      </c>
      <c r="BM223" s="14" t="e">
        <v>#N/A</v>
      </c>
      <c r="BN223" s="14" t="e">
        <v>#N/A</v>
      </c>
      <c r="BO223" s="14" t="e">
        <v>#N/A</v>
      </c>
      <c r="BP223" s="182" t="e">
        <v>#N/A</v>
      </c>
      <c r="BQ223" s="183" t="e">
        <v>#N/A</v>
      </c>
    </row>
    <row r="224" spans="2:69" x14ac:dyDescent="0.35">
      <c r="B224" s="1">
        <v>205</v>
      </c>
      <c r="C224" t="str">
        <v>Product 7</v>
      </c>
      <c r="D224" s="113">
        <v>48.888888888888879</v>
      </c>
      <c r="E224" s="113">
        <v>55.999999999999993</v>
      </c>
      <c r="F224" s="113">
        <v>94.144281644281662</v>
      </c>
      <c r="G224" s="113">
        <v>92.731694136719796</v>
      </c>
      <c r="H224">
        <v>123.36666666666666</v>
      </c>
      <c r="I224" s="175">
        <v>149.3543179983858</v>
      </c>
      <c r="J224" s="113">
        <v>0</v>
      </c>
      <c r="K224">
        <v>148.04000000000002</v>
      </c>
      <c r="L224">
        <v>12</v>
      </c>
      <c r="M224">
        <v>0</v>
      </c>
      <c r="N224">
        <v>0</v>
      </c>
      <c r="O224" s="1">
        <v>30</v>
      </c>
      <c r="P224" s="138">
        <v>41716</v>
      </c>
      <c r="Q224" s="1">
        <v>77</v>
      </c>
      <c r="R224" s="95">
        <f>CHOOSE($D$4,D224,E224,F224,G224,H224,I224,J224,K224,L224,M224,N224,O224,P224,101-B224)+0.000001*ROWS($A$20:A224)</f>
        <v>92.73189913671979</v>
      </c>
      <c r="S224" s="4">
        <f t="shared" si="35"/>
        <v>249</v>
      </c>
      <c r="T224" s="4"/>
      <c r="U224" s="14">
        <f>ROWS($U$20:U224)</f>
        <v>205</v>
      </c>
      <c r="V224" s="4">
        <v>157</v>
      </c>
      <c r="W224" s="4" t="str">
        <v>Product 3</v>
      </c>
      <c r="X224" s="94">
        <v>80.512166392253064</v>
      </c>
      <c r="Y224" s="94">
        <v>86.35135135135134</v>
      </c>
      <c r="Z224" s="94">
        <v>95.365418290302046</v>
      </c>
      <c r="AA224" s="94">
        <v>97.769063718005853</v>
      </c>
      <c r="AB224" s="4">
        <v>284.99729729729722</v>
      </c>
      <c r="AC224" s="94">
        <v>119.24235999208435</v>
      </c>
      <c r="AD224" s="94">
        <v>0</v>
      </c>
      <c r="AE224" s="4">
        <v>341.99675675675667</v>
      </c>
      <c r="AF224" s="4">
        <v>12</v>
      </c>
      <c r="AG224" s="4">
        <v>0</v>
      </c>
      <c r="AH224" s="4">
        <v>0</v>
      </c>
      <c r="AI224" s="4">
        <v>20</v>
      </c>
      <c r="AJ224" s="139">
        <v>41698</v>
      </c>
      <c r="AK224" s="94">
        <v>83</v>
      </c>
      <c r="AL224" s="162">
        <v>87.494399999999999</v>
      </c>
      <c r="AM224" s="162">
        <v>90</v>
      </c>
      <c r="AN224" s="162">
        <v>98</v>
      </c>
      <c r="AO224" s="162">
        <v>99.2</v>
      </c>
      <c r="AP224" s="17">
        <v>346.08333333333331</v>
      </c>
      <c r="AQ224" s="162">
        <v>0</v>
      </c>
      <c r="AR224" s="162">
        <v>40</v>
      </c>
      <c r="AS224" s="17">
        <v>415.3</v>
      </c>
      <c r="AT224" s="17">
        <v>12</v>
      </c>
      <c r="AU224" s="17">
        <v>0</v>
      </c>
      <c r="AV224" s="17">
        <v>0</v>
      </c>
      <c r="AW224" s="17">
        <v>20</v>
      </c>
      <c r="AX224" s="4">
        <v>95.365418290302046</v>
      </c>
      <c r="AY224" s="4">
        <v>86.35135135135134</v>
      </c>
      <c r="BD224" s="159" t="e">
        <v>#N/A</v>
      </c>
      <c r="BE224" s="159" t="e">
        <v>#N/A</v>
      </c>
      <c r="BF224" s="159" t="e">
        <v>#N/A</v>
      </c>
      <c r="BG224" s="159" t="e">
        <v>#N/A</v>
      </c>
      <c r="BH224" s="14" t="e">
        <v>#N/A</v>
      </c>
      <c r="BI224" s="159" t="e">
        <v>#N/A</v>
      </c>
      <c r="BJ224" s="159" t="e">
        <v>#N/A</v>
      </c>
      <c r="BK224" s="14" t="e">
        <v>#N/A</v>
      </c>
      <c r="BL224" s="14" t="e">
        <v>#N/A</v>
      </c>
      <c r="BM224" s="14" t="e">
        <v>#N/A</v>
      </c>
      <c r="BN224" s="14" t="e">
        <v>#N/A</v>
      </c>
      <c r="BO224" s="14" t="e">
        <v>#N/A</v>
      </c>
      <c r="BP224" s="182" t="e">
        <v>#N/A</v>
      </c>
      <c r="BQ224" s="183" t="e">
        <v>#N/A</v>
      </c>
    </row>
    <row r="225" spans="2:69" x14ac:dyDescent="0.35">
      <c r="B225" s="1">
        <v>206</v>
      </c>
      <c r="C225" t="str">
        <v>Product 3</v>
      </c>
      <c r="D225" s="113">
        <v>79.31540723578685</v>
      </c>
      <c r="E225" s="113">
        <v>81.774193548387089</v>
      </c>
      <c r="F225" s="113">
        <v>98.746281342966441</v>
      </c>
      <c r="G225" s="113">
        <v>98.224661071659142</v>
      </c>
      <c r="H225">
        <v>292.31129032258065</v>
      </c>
      <c r="I225" s="175">
        <v>178.2201877264838</v>
      </c>
      <c r="J225" s="113">
        <v>36.789689513766845</v>
      </c>
      <c r="K225">
        <v>350.77354838709675</v>
      </c>
      <c r="L225">
        <v>12</v>
      </c>
      <c r="M225">
        <v>0</v>
      </c>
      <c r="N225">
        <v>0</v>
      </c>
      <c r="O225" s="1">
        <v>16</v>
      </c>
      <c r="P225" s="138">
        <v>41717</v>
      </c>
      <c r="Q225" s="1">
        <v>87</v>
      </c>
      <c r="R225" s="95">
        <f>CHOOSE($D$4,D225,E225,F225,G225,H225,I225,J225,K225,L225,M225,N225,O225,P225,101-B225)+0.000001*ROWS($A$20:A225)</f>
        <v>98.224867071659148</v>
      </c>
      <c r="S225" s="4">
        <f t="shared" si="35"/>
        <v>178</v>
      </c>
      <c r="T225" s="4"/>
      <c r="U225" s="14">
        <f>ROWS($U$20:U225)</f>
        <v>206</v>
      </c>
      <c r="V225" s="4">
        <v>212</v>
      </c>
      <c r="W225" s="4" t="str">
        <v>Product 3</v>
      </c>
      <c r="X225" s="94">
        <v>91.10410384868338</v>
      </c>
      <c r="Y225" s="94">
        <v>92.686567164179095</v>
      </c>
      <c r="Z225" s="94">
        <v>100.59936882830758</v>
      </c>
      <c r="AA225" s="94">
        <v>97.707046847472711</v>
      </c>
      <c r="AB225" s="4">
        <v>322.69537313432835</v>
      </c>
      <c r="AC225" s="94">
        <v>188.5749547545845</v>
      </c>
      <c r="AD225" s="94">
        <v>0</v>
      </c>
      <c r="AE225" s="4">
        <v>387.23444776119402</v>
      </c>
      <c r="AF225" s="4">
        <v>12</v>
      </c>
      <c r="AG225" s="4">
        <v>0</v>
      </c>
      <c r="AH225" s="4">
        <v>0</v>
      </c>
      <c r="AI225" s="4">
        <v>30</v>
      </c>
      <c r="AJ225" s="139">
        <v>41706</v>
      </c>
      <c r="AK225" s="94">
        <v>99</v>
      </c>
      <c r="AL225" s="162">
        <v>87.494399999999999</v>
      </c>
      <c r="AM225" s="162">
        <v>90</v>
      </c>
      <c r="AN225" s="162">
        <v>98</v>
      </c>
      <c r="AO225" s="162">
        <v>99.2</v>
      </c>
      <c r="AP225" s="17">
        <v>346.08333333333331</v>
      </c>
      <c r="AQ225" s="162">
        <v>0</v>
      </c>
      <c r="AR225" s="162">
        <v>40</v>
      </c>
      <c r="AS225" s="17">
        <v>415.3</v>
      </c>
      <c r="AT225" s="17">
        <v>12</v>
      </c>
      <c r="AU225" s="17">
        <v>0</v>
      </c>
      <c r="AV225" s="17">
        <v>0</v>
      </c>
      <c r="AW225" s="17">
        <v>20</v>
      </c>
      <c r="AX225" s="4">
        <v>100.59936882830758</v>
      </c>
      <c r="AY225" s="4">
        <v>92.686567164179095</v>
      </c>
      <c r="BD225" s="159" t="e">
        <v>#N/A</v>
      </c>
      <c r="BE225" s="159" t="e">
        <v>#N/A</v>
      </c>
      <c r="BF225" s="159" t="e">
        <v>#N/A</v>
      </c>
      <c r="BG225" s="159" t="e">
        <v>#N/A</v>
      </c>
      <c r="BH225" s="14" t="e">
        <v>#N/A</v>
      </c>
      <c r="BI225" s="159" t="e">
        <v>#N/A</v>
      </c>
      <c r="BJ225" s="159" t="e">
        <v>#N/A</v>
      </c>
      <c r="BK225" s="14" t="e">
        <v>#N/A</v>
      </c>
      <c r="BL225" s="14" t="e">
        <v>#N/A</v>
      </c>
      <c r="BM225" s="14" t="e">
        <v>#N/A</v>
      </c>
      <c r="BN225" s="14" t="e">
        <v>#N/A</v>
      </c>
      <c r="BO225" s="14" t="e">
        <v>#N/A</v>
      </c>
      <c r="BP225" s="182" t="e">
        <v>#N/A</v>
      </c>
      <c r="BQ225" s="183" t="e">
        <v>#N/A</v>
      </c>
    </row>
    <row r="226" spans="2:69" x14ac:dyDescent="0.35">
      <c r="B226" s="1">
        <v>207</v>
      </c>
      <c r="C226" t="str">
        <v>Product 22</v>
      </c>
      <c r="D226" s="113">
        <v>120.56451612903226</v>
      </c>
      <c r="E226" s="113">
        <v>84.3010752688172</v>
      </c>
      <c r="F226" s="113">
        <v>144.77765538033395</v>
      </c>
      <c r="G226" s="113">
        <v>98.783601141312502</v>
      </c>
      <c r="H226">
        <v>214.80645161290323</v>
      </c>
      <c r="I226" s="175">
        <v>179.66543753934707</v>
      </c>
      <c r="J226" s="113">
        <v>53.17220543806647</v>
      </c>
      <c r="K226">
        <v>257.76774193548385</v>
      </c>
      <c r="L226">
        <v>12</v>
      </c>
      <c r="M226">
        <v>0</v>
      </c>
      <c r="N226">
        <v>0</v>
      </c>
      <c r="O226" s="1">
        <v>18</v>
      </c>
      <c r="P226" s="138">
        <v>41717</v>
      </c>
      <c r="Q226" s="1">
        <v>78</v>
      </c>
      <c r="R226" s="95">
        <f>CHOOSE($D$4,D226,E226,F226,G226,H226,I226,J226,K226,L226,M226,N226,O226,P226,101-B226)+0.000001*ROWS($A$20:A226)</f>
        <v>98.783808141312505</v>
      </c>
      <c r="S226" s="4">
        <f t="shared" si="35"/>
        <v>104</v>
      </c>
      <c r="T226" s="4"/>
      <c r="U226" s="14">
        <f>ROWS($U$20:U226)</f>
        <v>207</v>
      </c>
      <c r="V226" s="4">
        <v>41</v>
      </c>
      <c r="W226" s="4" t="str">
        <v>Product 16</v>
      </c>
      <c r="X226" s="94">
        <v>66.674684305472056</v>
      </c>
      <c r="Y226" s="94">
        <v>77.307692307692307</v>
      </c>
      <c r="Z226" s="94">
        <v>88.278690731549716</v>
      </c>
      <c r="AA226" s="94">
        <v>97.697258059596791</v>
      </c>
      <c r="AB226" s="4">
        <v>189.15576923076924</v>
      </c>
      <c r="AC226" s="94">
        <v>80.767430593761048</v>
      </c>
      <c r="AD226" s="94">
        <v>100</v>
      </c>
      <c r="AE226" s="4">
        <v>226.98692307692309</v>
      </c>
      <c r="AF226" s="4">
        <v>12</v>
      </c>
      <c r="AG226" s="4">
        <v>0</v>
      </c>
      <c r="AH226" s="4">
        <v>0</v>
      </c>
      <c r="AI226" s="4">
        <v>18</v>
      </c>
      <c r="AJ226" s="139">
        <v>41652</v>
      </c>
      <c r="AK226" s="94">
        <v>68</v>
      </c>
      <c r="AL226" s="162">
        <v>86.87700000000001</v>
      </c>
      <c r="AM226" s="162">
        <v>90</v>
      </c>
      <c r="AN226" s="162">
        <v>98</v>
      </c>
      <c r="AO226" s="162">
        <v>98.5</v>
      </c>
      <c r="AP226" s="17">
        <v>277.16666666666669</v>
      </c>
      <c r="AQ226" s="162">
        <v>0</v>
      </c>
      <c r="AR226" s="162">
        <v>40</v>
      </c>
      <c r="AS226" s="17">
        <v>332.6</v>
      </c>
      <c r="AT226" s="17">
        <v>12</v>
      </c>
      <c r="AU226" s="17">
        <v>0</v>
      </c>
      <c r="AV226" s="17">
        <v>0</v>
      </c>
      <c r="AW226" s="17">
        <v>20</v>
      </c>
      <c r="AX226" s="4">
        <v>88.278690731549716</v>
      </c>
      <c r="AY226" s="4">
        <v>77.307692307692307</v>
      </c>
      <c r="BD226" s="159" t="e">
        <v>#N/A</v>
      </c>
      <c r="BE226" s="159" t="e">
        <v>#N/A</v>
      </c>
      <c r="BF226" s="159" t="e">
        <v>#N/A</v>
      </c>
      <c r="BG226" s="159" t="e">
        <v>#N/A</v>
      </c>
      <c r="BH226" s="14" t="e">
        <v>#N/A</v>
      </c>
      <c r="BI226" s="159" t="e">
        <v>#N/A</v>
      </c>
      <c r="BJ226" s="159" t="e">
        <v>#N/A</v>
      </c>
      <c r="BK226" s="14" t="e">
        <v>#N/A</v>
      </c>
      <c r="BL226" s="14" t="e">
        <v>#N/A</v>
      </c>
      <c r="BM226" s="14" t="e">
        <v>#N/A</v>
      </c>
      <c r="BN226" s="14" t="e">
        <v>#N/A</v>
      </c>
      <c r="BO226" s="14" t="e">
        <v>#N/A</v>
      </c>
      <c r="BP226" s="182" t="e">
        <v>#N/A</v>
      </c>
      <c r="BQ226" s="183" t="e">
        <v>#N/A</v>
      </c>
    </row>
    <row r="227" spans="2:69" x14ac:dyDescent="0.35">
      <c r="B227" s="1">
        <v>208</v>
      </c>
      <c r="C227" t="str">
        <v>Product 2</v>
      </c>
      <c r="D227" s="113">
        <v>90.263703703703698</v>
      </c>
      <c r="E227" s="113">
        <v>98.000000000000014</v>
      </c>
      <c r="F227" s="113">
        <v>92.902620307382193</v>
      </c>
      <c r="G227" s="113">
        <v>99.142327526472585</v>
      </c>
      <c r="H227">
        <v>245.82033333333331</v>
      </c>
      <c r="I227" s="175">
        <v>175.19801392155463</v>
      </c>
      <c r="J227" s="113">
        <v>0</v>
      </c>
      <c r="K227">
        <v>294.98439999999999</v>
      </c>
      <c r="L227">
        <v>12</v>
      </c>
      <c r="M227">
        <v>0</v>
      </c>
      <c r="N227">
        <v>0</v>
      </c>
      <c r="O227" s="1">
        <v>21</v>
      </c>
      <c r="P227" s="138">
        <v>41717</v>
      </c>
      <c r="Q227" s="1">
        <v>86</v>
      </c>
      <c r="R227" s="95">
        <f>CHOOSE($D$4,D227,E227,F227,G227,H227,I227,J227,K227,L227,M227,N227,O227,P227,101-B227)+0.000001*ROWS($A$20:A227)</f>
        <v>99.142535526472585</v>
      </c>
      <c r="S227" s="4">
        <f t="shared" si="35"/>
        <v>58</v>
      </c>
      <c r="T227" s="4"/>
      <c r="U227" s="14">
        <f>ROWS($U$20:U227)</f>
        <v>208</v>
      </c>
      <c r="V227" s="4">
        <v>250</v>
      </c>
      <c r="W227" s="4" t="str">
        <v>Product 3</v>
      </c>
      <c r="X227" s="94">
        <v>80.127762430939228</v>
      </c>
      <c r="Y227" s="94">
        <v>85.18518518518519</v>
      </c>
      <c r="Z227" s="94">
        <v>96.289484746576974</v>
      </c>
      <c r="AA227" s="94">
        <v>97.687744108269086</v>
      </c>
      <c r="AB227" s="4">
        <v>296.92824074074076</v>
      </c>
      <c r="AC227" s="94">
        <v>210.64273515501841</v>
      </c>
      <c r="AD227" s="94">
        <v>48.407264066686508</v>
      </c>
      <c r="AE227" s="4">
        <v>356.31388888888887</v>
      </c>
      <c r="AF227" s="4">
        <v>12</v>
      </c>
      <c r="AG227" s="4">
        <v>0</v>
      </c>
      <c r="AH227" s="4">
        <v>0</v>
      </c>
      <c r="AI227" s="4">
        <v>29</v>
      </c>
      <c r="AJ227" s="139">
        <v>41731</v>
      </c>
      <c r="AK227" s="94">
        <v>70</v>
      </c>
      <c r="AL227" s="162">
        <v>87.494399999999999</v>
      </c>
      <c r="AM227" s="162">
        <v>90</v>
      </c>
      <c r="AN227" s="162">
        <v>98</v>
      </c>
      <c r="AO227" s="162">
        <v>99.2</v>
      </c>
      <c r="AP227" s="17">
        <v>362</v>
      </c>
      <c r="AQ227" s="162">
        <v>0</v>
      </c>
      <c r="AR227" s="162">
        <v>40</v>
      </c>
      <c r="AS227" s="17">
        <v>434.4</v>
      </c>
      <c r="AT227" s="17">
        <v>12</v>
      </c>
      <c r="AU227" s="17">
        <v>0</v>
      </c>
      <c r="AV227" s="17">
        <v>0</v>
      </c>
      <c r="AW227" s="17">
        <v>20</v>
      </c>
      <c r="AX227" s="4">
        <v>96.289484746576974</v>
      </c>
      <c r="AY227" s="4">
        <v>85.18518518518519</v>
      </c>
      <c r="BD227" s="159" t="e">
        <v>#N/A</v>
      </c>
      <c r="BE227" s="159" t="e">
        <v>#N/A</v>
      </c>
      <c r="BF227" s="159" t="e">
        <v>#N/A</v>
      </c>
      <c r="BG227" s="159" t="e">
        <v>#N/A</v>
      </c>
      <c r="BH227" s="14" t="e">
        <v>#N/A</v>
      </c>
      <c r="BI227" s="159" t="e">
        <v>#N/A</v>
      </c>
      <c r="BJ227" s="159" t="e">
        <v>#N/A</v>
      </c>
      <c r="BK227" s="14" t="e">
        <v>#N/A</v>
      </c>
      <c r="BL227" s="14" t="e">
        <v>#N/A</v>
      </c>
      <c r="BM227" s="14" t="e">
        <v>#N/A</v>
      </c>
      <c r="BN227" s="14" t="e">
        <v>#N/A</v>
      </c>
      <c r="BO227" s="14" t="e">
        <v>#N/A</v>
      </c>
      <c r="BP227" s="182" t="e">
        <v>#N/A</v>
      </c>
      <c r="BQ227" s="183" t="e">
        <v>#N/A</v>
      </c>
    </row>
    <row r="228" spans="2:69" x14ac:dyDescent="0.35">
      <c r="B228" s="1">
        <v>209</v>
      </c>
      <c r="C228" t="str">
        <v>Product 17</v>
      </c>
      <c r="D228" s="113">
        <v>79.999999999999986</v>
      </c>
      <c r="E228" s="113">
        <v>87.027027027027003</v>
      </c>
      <c r="F228" s="113">
        <v>92.697157914549223</v>
      </c>
      <c r="G228" s="113">
        <v>99.167512690355323</v>
      </c>
      <c r="H228">
        <v>266.21621621621614</v>
      </c>
      <c r="I228" s="175">
        <v>172.80701754385964</v>
      </c>
      <c r="J228" s="113">
        <v>53.101784852870239</v>
      </c>
      <c r="K228">
        <v>319.45945945945942</v>
      </c>
      <c r="L228">
        <v>12</v>
      </c>
      <c r="M228">
        <v>0</v>
      </c>
      <c r="N228">
        <v>0</v>
      </c>
      <c r="O228" s="1">
        <v>25</v>
      </c>
      <c r="P228" s="138">
        <v>41717</v>
      </c>
      <c r="Q228" s="1">
        <v>95</v>
      </c>
      <c r="R228" s="95">
        <f>CHOOSE($D$4,D228,E228,F228,G228,H228,I228,J228,K228,L228,M228,N228,O228,P228,101-B228)+0.000001*ROWS($A$20:A228)</f>
        <v>99.167721690355322</v>
      </c>
      <c r="S228" s="4">
        <f t="shared" si="35"/>
        <v>54</v>
      </c>
      <c r="T228" s="4"/>
      <c r="U228" s="14">
        <f>ROWS($U$20:U228)</f>
        <v>209</v>
      </c>
      <c r="V228" s="4">
        <v>113</v>
      </c>
      <c r="W228" s="4" t="str">
        <v>Product 16</v>
      </c>
      <c r="X228" s="94">
        <v>89.479624404459059</v>
      </c>
      <c r="Y228" s="94">
        <v>95.604395604395606</v>
      </c>
      <c r="Z228" s="94">
        <v>95.846517510937872</v>
      </c>
      <c r="AA228" s="94">
        <v>97.649484357659134</v>
      </c>
      <c r="AB228" s="4">
        <v>253.97747252747254</v>
      </c>
      <c r="AC228" s="94">
        <v>98.37593376891482</v>
      </c>
      <c r="AD228" s="94">
        <v>0</v>
      </c>
      <c r="AE228" s="4">
        <v>304.77296703296707</v>
      </c>
      <c r="AF228" s="4">
        <v>12</v>
      </c>
      <c r="AG228" s="4">
        <v>0</v>
      </c>
      <c r="AH228" s="4">
        <v>0</v>
      </c>
      <c r="AI228" s="4">
        <v>21</v>
      </c>
      <c r="AJ228" s="139">
        <v>41681</v>
      </c>
      <c r="AK228" s="94">
        <v>78</v>
      </c>
      <c r="AL228" s="162">
        <v>86.87700000000001</v>
      </c>
      <c r="AM228" s="162">
        <v>90</v>
      </c>
      <c r="AN228" s="162">
        <v>98</v>
      </c>
      <c r="AO228" s="162">
        <v>98.5</v>
      </c>
      <c r="AP228" s="17">
        <v>277.16666666666669</v>
      </c>
      <c r="AQ228" s="162">
        <v>0</v>
      </c>
      <c r="AR228" s="162">
        <v>40</v>
      </c>
      <c r="AS228" s="17">
        <v>332.6</v>
      </c>
      <c r="AT228" s="17">
        <v>12</v>
      </c>
      <c r="AU228" s="17">
        <v>0</v>
      </c>
      <c r="AV228" s="17">
        <v>0</v>
      </c>
      <c r="AW228" s="17">
        <v>20</v>
      </c>
      <c r="AX228" s="4">
        <v>95.846517510937872</v>
      </c>
      <c r="AY228" s="4">
        <v>95.604395604395606</v>
      </c>
      <c r="BD228" s="159" t="e">
        <v>#N/A</v>
      </c>
      <c r="BE228" s="159" t="e">
        <v>#N/A</v>
      </c>
      <c r="BF228" s="159" t="e">
        <v>#N/A</v>
      </c>
      <c r="BG228" s="159" t="e">
        <v>#N/A</v>
      </c>
      <c r="BH228" s="14" t="e">
        <v>#N/A</v>
      </c>
      <c r="BI228" s="159" t="e">
        <v>#N/A</v>
      </c>
      <c r="BJ228" s="159" t="e">
        <v>#N/A</v>
      </c>
      <c r="BK228" s="14" t="e">
        <v>#N/A</v>
      </c>
      <c r="BL228" s="14" t="e">
        <v>#N/A</v>
      </c>
      <c r="BM228" s="14" t="e">
        <v>#N/A</v>
      </c>
      <c r="BN228" s="14" t="e">
        <v>#N/A</v>
      </c>
      <c r="BO228" s="14" t="e">
        <v>#N/A</v>
      </c>
      <c r="BP228" s="182" t="e">
        <v>#N/A</v>
      </c>
      <c r="BQ228" s="183" t="e">
        <v>#N/A</v>
      </c>
    </row>
    <row r="229" spans="2:69" x14ac:dyDescent="0.35">
      <c r="B229" s="1">
        <v>210</v>
      </c>
      <c r="C229" t="str">
        <v>Product 21</v>
      </c>
      <c r="D229" s="113">
        <v>86.774595267745951</v>
      </c>
      <c r="E229" s="113">
        <v>94.520547945205479</v>
      </c>
      <c r="F229" s="113">
        <v>92.48792270531402</v>
      </c>
      <c r="G229" s="113">
        <v>99.261615897813343</v>
      </c>
      <c r="H229">
        <v>288.48630136986299</v>
      </c>
      <c r="I229" s="175">
        <v>178.43102367275009</v>
      </c>
      <c r="J229" s="113">
        <v>54.763120040833371</v>
      </c>
      <c r="K229">
        <v>346.18356164383562</v>
      </c>
      <c r="L229">
        <v>12</v>
      </c>
      <c r="M229">
        <v>0</v>
      </c>
      <c r="N229">
        <v>0</v>
      </c>
      <c r="O229" s="1">
        <v>17</v>
      </c>
      <c r="P229" s="138">
        <v>41717</v>
      </c>
      <c r="Q229" s="1">
        <v>94</v>
      </c>
      <c r="R229" s="95">
        <f>CHOOSE($D$4,D229,E229,F229,G229,H229,I229,J229,K229,L229,M229,N229,O229,P229,101-B229)+0.000001*ROWS($A$20:A229)</f>
        <v>99.261825897813338</v>
      </c>
      <c r="S229" s="4">
        <f t="shared" si="35"/>
        <v>44</v>
      </c>
      <c r="T229" s="4"/>
      <c r="U229" s="14">
        <f>ROWS($U$20:U229)</f>
        <v>210</v>
      </c>
      <c r="V229" s="4">
        <v>67</v>
      </c>
      <c r="W229" s="4" t="str">
        <v>Product 2</v>
      </c>
      <c r="X229" s="94">
        <v>93.561515538527047</v>
      </c>
      <c r="Y229" s="94">
        <v>96.168582375478934</v>
      </c>
      <c r="Z229" s="94">
        <v>99.638925778368005</v>
      </c>
      <c r="AA229" s="94">
        <v>97.641624694744038</v>
      </c>
      <c r="AB229" s="4">
        <v>258.71762452107282</v>
      </c>
      <c r="AC229" s="94">
        <v>99.072442504493267</v>
      </c>
      <c r="AD229" s="94">
        <v>0</v>
      </c>
      <c r="AE229" s="4">
        <v>310.46114942528737</v>
      </c>
      <c r="AF229" s="4">
        <v>12</v>
      </c>
      <c r="AG229" s="4">
        <v>0</v>
      </c>
      <c r="AH229" s="4">
        <v>0</v>
      </c>
      <c r="AI229" s="4">
        <v>21</v>
      </c>
      <c r="AJ229" s="139">
        <v>41661</v>
      </c>
      <c r="AK229" s="94">
        <v>100</v>
      </c>
      <c r="AL229" s="162">
        <v>87.317999999999998</v>
      </c>
      <c r="AM229" s="162">
        <v>90</v>
      </c>
      <c r="AN229" s="162">
        <v>98</v>
      </c>
      <c r="AO229" s="162">
        <v>99</v>
      </c>
      <c r="AP229" s="17">
        <v>270</v>
      </c>
      <c r="AQ229" s="162">
        <v>0</v>
      </c>
      <c r="AR229" s="162">
        <v>40</v>
      </c>
      <c r="AS229" s="17">
        <v>324</v>
      </c>
      <c r="AT229" s="17">
        <v>12</v>
      </c>
      <c r="AU229" s="17">
        <v>0</v>
      </c>
      <c r="AV229" s="17">
        <v>0</v>
      </c>
      <c r="AW229" s="17">
        <v>20</v>
      </c>
      <c r="AX229" s="4">
        <v>99.638925778368005</v>
      </c>
      <c r="AY229" s="4">
        <v>96.168582375478934</v>
      </c>
      <c r="BD229" s="159">
        <v>93.561515538527047</v>
      </c>
      <c r="BE229" s="159">
        <v>96.168582375478934</v>
      </c>
      <c r="BF229" s="159">
        <v>99.638925778368005</v>
      </c>
      <c r="BG229" s="159">
        <v>97.641624694744038</v>
      </c>
      <c r="BH229" s="14">
        <v>258.71762452107282</v>
      </c>
      <c r="BI229" s="159">
        <v>99.072442504493267</v>
      </c>
      <c r="BJ229" s="159">
        <v>0</v>
      </c>
      <c r="BK229" s="14">
        <v>310.46114942528737</v>
      </c>
      <c r="BL229" s="14">
        <v>12</v>
      </c>
      <c r="BM229" s="14">
        <v>0</v>
      </c>
      <c r="BN229" s="14">
        <v>0</v>
      </c>
      <c r="BO229" s="14">
        <v>21</v>
      </c>
      <c r="BP229" s="182">
        <v>41661</v>
      </c>
      <c r="BQ229" s="183">
        <v>100</v>
      </c>
    </row>
    <row r="230" spans="2:69" x14ac:dyDescent="0.35">
      <c r="B230" s="1">
        <v>211</v>
      </c>
      <c r="C230" t="str">
        <v>Product 3</v>
      </c>
      <c r="D230" s="113">
        <v>86.649650854803753</v>
      </c>
      <c r="E230" s="113">
        <v>88.92307692307692</v>
      </c>
      <c r="F230" s="113">
        <v>99.064335865930914</v>
      </c>
      <c r="G230" s="113">
        <v>98.363733161085861</v>
      </c>
      <c r="H230">
        <v>304.86846153846153</v>
      </c>
      <c r="I230" s="175">
        <v>172.93501121399089</v>
      </c>
      <c r="J230" s="113">
        <v>43.330530688955932</v>
      </c>
      <c r="K230">
        <v>365.84215384615385</v>
      </c>
      <c r="L230">
        <v>12</v>
      </c>
      <c r="M230">
        <v>0</v>
      </c>
      <c r="N230">
        <v>0</v>
      </c>
      <c r="O230" s="1">
        <v>15</v>
      </c>
      <c r="P230" s="138">
        <v>41717</v>
      </c>
      <c r="Q230" s="1">
        <v>86</v>
      </c>
      <c r="R230" s="95">
        <f>CHOOSE($D$4,D230,E230,F230,G230,H230,I230,J230,K230,L230,M230,N230,O230,P230,101-B230)+0.000001*ROWS($A$20:A230)</f>
        <v>98.363944161085854</v>
      </c>
      <c r="S230" s="4">
        <f t="shared" si="35"/>
        <v>161</v>
      </c>
      <c r="T230" s="4"/>
      <c r="U230" s="14">
        <f>ROWS($U$20:U230)</f>
        <v>211</v>
      </c>
      <c r="V230" s="4">
        <v>52</v>
      </c>
      <c r="W230" s="4" t="str">
        <v>Product 6</v>
      </c>
      <c r="X230" s="94">
        <v>73.467492260061931</v>
      </c>
      <c r="Y230" s="94">
        <v>90.789473684210535</v>
      </c>
      <c r="Z230" s="94">
        <v>82.921758075210761</v>
      </c>
      <c r="AA230" s="94">
        <v>97.586831238112651</v>
      </c>
      <c r="AB230" s="4">
        <v>230.36973684210531</v>
      </c>
      <c r="AC230" s="94">
        <v>109.07907169928872</v>
      </c>
      <c r="AD230" s="94">
        <v>44.89560058556129</v>
      </c>
      <c r="AE230" s="4">
        <v>276.44368421052638</v>
      </c>
      <c r="AF230" s="4">
        <v>12</v>
      </c>
      <c r="AG230" s="4">
        <v>0</v>
      </c>
      <c r="AH230" s="4">
        <v>0</v>
      </c>
      <c r="AI230" s="4">
        <v>25</v>
      </c>
      <c r="AJ230" s="139">
        <v>41656</v>
      </c>
      <c r="AK230" s="94">
        <v>58</v>
      </c>
      <c r="AL230" s="162">
        <v>86.87700000000001</v>
      </c>
      <c r="AM230" s="162">
        <v>90</v>
      </c>
      <c r="AN230" s="162">
        <v>98</v>
      </c>
      <c r="AO230" s="162">
        <v>98.5</v>
      </c>
      <c r="AP230" s="17">
        <v>306</v>
      </c>
      <c r="AQ230" s="162">
        <v>0</v>
      </c>
      <c r="AR230" s="162">
        <v>40</v>
      </c>
      <c r="AS230" s="17">
        <v>367.20000000000005</v>
      </c>
      <c r="AT230" s="17">
        <v>12</v>
      </c>
      <c r="AU230" s="17">
        <v>0</v>
      </c>
      <c r="AV230" s="17">
        <v>0</v>
      </c>
      <c r="AW230" s="17">
        <v>20</v>
      </c>
      <c r="AX230" s="4">
        <v>82.921758075210761</v>
      </c>
      <c r="AY230" s="4">
        <v>90.789473684210535</v>
      </c>
      <c r="BD230" s="159" t="e">
        <v>#N/A</v>
      </c>
      <c r="BE230" s="159" t="e">
        <v>#N/A</v>
      </c>
      <c r="BF230" s="159" t="e">
        <v>#N/A</v>
      </c>
      <c r="BG230" s="159" t="e">
        <v>#N/A</v>
      </c>
      <c r="BH230" s="14" t="e">
        <v>#N/A</v>
      </c>
      <c r="BI230" s="159" t="e">
        <v>#N/A</v>
      </c>
      <c r="BJ230" s="159" t="e">
        <v>#N/A</v>
      </c>
      <c r="BK230" s="14" t="e">
        <v>#N/A</v>
      </c>
      <c r="BL230" s="14" t="e">
        <v>#N/A</v>
      </c>
      <c r="BM230" s="14" t="e">
        <v>#N/A</v>
      </c>
      <c r="BN230" s="14" t="e">
        <v>#N/A</v>
      </c>
      <c r="BO230" s="14" t="e">
        <v>#N/A</v>
      </c>
      <c r="BP230" s="182" t="e">
        <v>#N/A</v>
      </c>
      <c r="BQ230" s="183" t="e">
        <v>#N/A</v>
      </c>
    </row>
    <row r="231" spans="2:69" x14ac:dyDescent="0.35">
      <c r="B231" s="1">
        <v>212</v>
      </c>
      <c r="C231" t="str">
        <v>Product 3</v>
      </c>
      <c r="D231" s="113">
        <v>91.10410384868338</v>
      </c>
      <c r="E231" s="113">
        <v>92.686567164179095</v>
      </c>
      <c r="F231" s="113">
        <v>100.59936882830758</v>
      </c>
      <c r="G231" s="113">
        <v>97.707046847472711</v>
      </c>
      <c r="H231">
        <v>322.69537313432835</v>
      </c>
      <c r="I231" s="175">
        <v>188.5749547545845</v>
      </c>
      <c r="J231" s="113">
        <v>0</v>
      </c>
      <c r="K231">
        <v>387.23444776119402</v>
      </c>
      <c r="L231">
        <v>12</v>
      </c>
      <c r="M231">
        <v>0</v>
      </c>
      <c r="N231">
        <v>0</v>
      </c>
      <c r="O231" s="1">
        <v>30</v>
      </c>
      <c r="P231" s="138">
        <v>41706</v>
      </c>
      <c r="Q231" s="1">
        <v>99</v>
      </c>
      <c r="R231" s="95">
        <f>CHOOSE($D$4,D231,E231,F231,G231,H231,I231,J231,K231,L231,M231,N231,O231,P231,101-B231)+0.000001*ROWS($A$20:A231)</f>
        <v>97.707258847472716</v>
      </c>
      <c r="S231" s="4">
        <f t="shared" si="35"/>
        <v>206</v>
      </c>
      <c r="T231" s="4"/>
      <c r="U231" s="14">
        <f>ROWS($U$20:U231)</f>
        <v>212</v>
      </c>
      <c r="V231" s="4">
        <v>32</v>
      </c>
      <c r="W231" s="4" t="str">
        <v>Product 5</v>
      </c>
      <c r="X231" s="94">
        <v>77.560810560272913</v>
      </c>
      <c r="Y231" s="94">
        <v>78.523489932885909</v>
      </c>
      <c r="Z231" s="94">
        <v>101.25312839401236</v>
      </c>
      <c r="AA231" s="94">
        <v>97.551577192358579</v>
      </c>
      <c r="AB231" s="4">
        <v>287.81711409395973</v>
      </c>
      <c r="AC231" s="94">
        <v>113.46597786758919</v>
      </c>
      <c r="AD231" s="94">
        <v>100</v>
      </c>
      <c r="AE231" s="4">
        <v>345.38053691275167</v>
      </c>
      <c r="AF231" s="4">
        <v>12</v>
      </c>
      <c r="AG231" s="4">
        <v>0</v>
      </c>
      <c r="AH231" s="4">
        <v>0</v>
      </c>
      <c r="AI231" s="4">
        <v>21</v>
      </c>
      <c r="AJ231" s="139">
        <v>41649</v>
      </c>
      <c r="AK231" s="94">
        <v>140</v>
      </c>
      <c r="AL231" s="162">
        <v>87.494399999999999</v>
      </c>
      <c r="AM231" s="162">
        <v>90</v>
      </c>
      <c r="AN231" s="162">
        <v>98</v>
      </c>
      <c r="AO231" s="162">
        <v>99.2</v>
      </c>
      <c r="AP231" s="17">
        <v>362</v>
      </c>
      <c r="AQ231" s="162">
        <v>0</v>
      </c>
      <c r="AR231" s="162">
        <v>40</v>
      </c>
      <c r="AS231" s="17">
        <v>434.4</v>
      </c>
      <c r="AT231" s="17">
        <v>12</v>
      </c>
      <c r="AU231" s="17">
        <v>0</v>
      </c>
      <c r="AV231" s="17">
        <v>0</v>
      </c>
      <c r="AW231" s="17">
        <v>20</v>
      </c>
      <c r="AX231" s="4">
        <v>101.25312839401236</v>
      </c>
      <c r="AY231" s="4">
        <v>78.523489932885909</v>
      </c>
      <c r="BD231" s="159" t="e">
        <v>#N/A</v>
      </c>
      <c r="BE231" s="159" t="e">
        <v>#N/A</v>
      </c>
      <c r="BF231" s="159" t="e">
        <v>#N/A</v>
      </c>
      <c r="BG231" s="159" t="e">
        <v>#N/A</v>
      </c>
      <c r="BH231" s="14" t="e">
        <v>#N/A</v>
      </c>
      <c r="BI231" s="159" t="e">
        <v>#N/A</v>
      </c>
      <c r="BJ231" s="159" t="e">
        <v>#N/A</v>
      </c>
      <c r="BK231" s="14" t="e">
        <v>#N/A</v>
      </c>
      <c r="BL231" s="14" t="e">
        <v>#N/A</v>
      </c>
      <c r="BM231" s="14" t="e">
        <v>#N/A</v>
      </c>
      <c r="BN231" s="14" t="e">
        <v>#N/A</v>
      </c>
      <c r="BO231" s="14" t="e">
        <v>#N/A</v>
      </c>
      <c r="BP231" s="182" t="e">
        <v>#N/A</v>
      </c>
      <c r="BQ231" s="183" t="e">
        <v>#N/A</v>
      </c>
    </row>
    <row r="232" spans="2:69" x14ac:dyDescent="0.35">
      <c r="B232" s="1">
        <v>213</v>
      </c>
      <c r="C232" t="str">
        <v>Product 3</v>
      </c>
      <c r="D232" s="113">
        <v>87.594600952193488</v>
      </c>
      <c r="E232" s="113">
        <v>93.704092339979013</v>
      </c>
      <c r="F232" s="113">
        <v>95.067934808253924</v>
      </c>
      <c r="G232" s="113">
        <v>98.329701447960787</v>
      </c>
      <c r="H232">
        <v>308.2998426023085</v>
      </c>
      <c r="I232" s="175">
        <v>191.52928253868916</v>
      </c>
      <c r="J232" s="113">
        <v>28.283294273956933</v>
      </c>
      <c r="K232">
        <v>369.95981112277019</v>
      </c>
      <c r="L232">
        <v>12</v>
      </c>
      <c r="M232">
        <v>0</v>
      </c>
      <c r="N232">
        <v>0</v>
      </c>
      <c r="O232" s="1">
        <v>14</v>
      </c>
      <c r="P232" s="138">
        <v>41718</v>
      </c>
      <c r="Q232" s="1">
        <v>111</v>
      </c>
      <c r="R232" s="95">
        <f>CHOOSE($D$4,D232,E232,F232,G232,H232,I232,J232,K232,L232,M232,N232,O232,P232,101-B232)+0.000001*ROWS($A$20:A232)</f>
        <v>98.329914447960789</v>
      </c>
      <c r="S232" s="4">
        <f t="shared" si="35"/>
        <v>165</v>
      </c>
      <c r="T232" s="4"/>
      <c r="U232" s="14">
        <f>ROWS($U$20:U232)</f>
        <v>213</v>
      </c>
      <c r="V232" s="4">
        <v>30</v>
      </c>
      <c r="W232" s="4" t="str">
        <v>Product 6</v>
      </c>
      <c r="X232" s="94">
        <v>66.246392896781344</v>
      </c>
      <c r="Y232" s="94">
        <v>81.132075471698101</v>
      </c>
      <c r="Z232" s="94">
        <v>83.746314029487763</v>
      </c>
      <c r="AA232" s="94">
        <v>97.499850263264406</v>
      </c>
      <c r="AB232" s="4">
        <v>207.9120754716981</v>
      </c>
      <c r="AC232" s="94">
        <v>95.537887983353571</v>
      </c>
      <c r="AD232" s="94">
        <v>45.319148936170208</v>
      </c>
      <c r="AE232" s="4">
        <v>249.49449056603771</v>
      </c>
      <c r="AF232" s="4">
        <v>12</v>
      </c>
      <c r="AG232" s="4">
        <v>0</v>
      </c>
      <c r="AH232" s="4">
        <v>0</v>
      </c>
      <c r="AI232" s="4">
        <v>30</v>
      </c>
      <c r="AJ232" s="139">
        <v>41649</v>
      </c>
      <c r="AK232" s="94">
        <v>79</v>
      </c>
      <c r="AL232" s="162">
        <v>86.87700000000001</v>
      </c>
      <c r="AM232" s="162">
        <v>90</v>
      </c>
      <c r="AN232" s="162">
        <v>98</v>
      </c>
      <c r="AO232" s="162">
        <v>98.5</v>
      </c>
      <c r="AP232" s="17">
        <v>306</v>
      </c>
      <c r="AQ232" s="162">
        <v>0</v>
      </c>
      <c r="AR232" s="162">
        <v>40</v>
      </c>
      <c r="AS232" s="17">
        <v>367.2</v>
      </c>
      <c r="AT232" s="17">
        <v>12</v>
      </c>
      <c r="AU232" s="17">
        <v>0</v>
      </c>
      <c r="AV232" s="17">
        <v>0</v>
      </c>
      <c r="AW232" s="17">
        <v>20</v>
      </c>
      <c r="AX232" s="4">
        <v>83.746314029487763</v>
      </c>
      <c r="AY232" s="4">
        <v>81.132075471698101</v>
      </c>
      <c r="BD232" s="159" t="e">
        <v>#N/A</v>
      </c>
      <c r="BE232" s="159" t="e">
        <v>#N/A</v>
      </c>
      <c r="BF232" s="159" t="e">
        <v>#N/A</v>
      </c>
      <c r="BG232" s="159" t="e">
        <v>#N/A</v>
      </c>
      <c r="BH232" s="14" t="e">
        <v>#N/A</v>
      </c>
      <c r="BI232" s="159" t="e">
        <v>#N/A</v>
      </c>
      <c r="BJ232" s="159" t="e">
        <v>#N/A</v>
      </c>
      <c r="BK232" s="14" t="e">
        <v>#N/A</v>
      </c>
      <c r="BL232" s="14" t="e">
        <v>#N/A</v>
      </c>
      <c r="BM232" s="14" t="e">
        <v>#N/A</v>
      </c>
      <c r="BN232" s="14" t="e">
        <v>#N/A</v>
      </c>
      <c r="BO232" s="14" t="e">
        <v>#N/A</v>
      </c>
      <c r="BP232" s="182" t="e">
        <v>#N/A</v>
      </c>
      <c r="BQ232" s="183" t="e">
        <v>#N/A</v>
      </c>
    </row>
    <row r="233" spans="2:69" x14ac:dyDescent="0.35">
      <c r="B233" s="1">
        <v>214</v>
      </c>
      <c r="C233" t="str">
        <v>Product 3</v>
      </c>
      <c r="D233" s="113">
        <v>93.023223148234834</v>
      </c>
      <c r="E233" s="113">
        <v>99.322033898305094</v>
      </c>
      <c r="F233" s="113">
        <v>95.337965669174523</v>
      </c>
      <c r="G233" s="113">
        <v>98.238087311097075</v>
      </c>
      <c r="H233">
        <v>342.78361581920905</v>
      </c>
      <c r="I233" s="175">
        <v>180.40813777846495</v>
      </c>
      <c r="J233" s="113">
        <v>25.829647884946489</v>
      </c>
      <c r="K233">
        <v>411.3403389830508</v>
      </c>
      <c r="L233">
        <v>12</v>
      </c>
      <c r="M233">
        <v>0</v>
      </c>
      <c r="N233">
        <v>0</v>
      </c>
      <c r="O233" s="1">
        <v>22</v>
      </c>
      <c r="P233" s="138">
        <v>41718</v>
      </c>
      <c r="Q233" s="1">
        <v>120</v>
      </c>
      <c r="R233" s="95">
        <f>CHOOSE($D$4,D233,E233,F233,G233,H233,I233,J233,K233,L233,M233,N233,O233,P233,101-B233)+0.000001*ROWS($A$20:A233)</f>
        <v>98.238301311097075</v>
      </c>
      <c r="S233" s="4">
        <f t="shared" si="35"/>
        <v>175</v>
      </c>
      <c r="T233" s="4"/>
      <c r="U233" s="14">
        <f>ROWS($U$20:U233)</f>
        <v>214</v>
      </c>
      <c r="V233" s="4">
        <v>51</v>
      </c>
      <c r="W233" s="4" t="str">
        <v>Product 18</v>
      </c>
      <c r="X233" s="94">
        <v>72.615525742460733</v>
      </c>
      <c r="Y233" s="94">
        <v>100</v>
      </c>
      <c r="Z233" s="94">
        <v>74.478844169246656</v>
      </c>
      <c r="AA233" s="94">
        <v>97.4981909996459</v>
      </c>
      <c r="AB233" s="4">
        <v>227.90526315789475</v>
      </c>
      <c r="AC233" s="94">
        <v>73.818615751789977</v>
      </c>
      <c r="AD233" s="94">
        <v>0</v>
      </c>
      <c r="AE233" s="4">
        <v>273.48631578947368</v>
      </c>
      <c r="AF233" s="4">
        <v>12</v>
      </c>
      <c r="AG233" s="4">
        <v>0</v>
      </c>
      <c r="AH233" s="4">
        <v>0</v>
      </c>
      <c r="AI233" s="4">
        <v>28</v>
      </c>
      <c r="AJ233" s="139">
        <v>41655</v>
      </c>
      <c r="AK233" s="94">
        <v>98</v>
      </c>
      <c r="AL233" s="162">
        <v>86.87700000000001</v>
      </c>
      <c r="AM233" s="162">
        <v>90</v>
      </c>
      <c r="AN233" s="162">
        <v>98</v>
      </c>
      <c r="AO233" s="162">
        <v>98.5</v>
      </c>
      <c r="AP233" s="17">
        <v>306</v>
      </c>
      <c r="AQ233" s="162">
        <v>0</v>
      </c>
      <c r="AR233" s="162">
        <v>40</v>
      </c>
      <c r="AS233" s="17">
        <v>367.2</v>
      </c>
      <c r="AT233" s="17">
        <v>12</v>
      </c>
      <c r="AU233" s="17">
        <v>0</v>
      </c>
      <c r="AV233" s="17">
        <v>0</v>
      </c>
      <c r="AW233" s="17">
        <v>20</v>
      </c>
      <c r="AX233" s="4">
        <v>74.478844169246656</v>
      </c>
      <c r="AY233" s="4">
        <v>100</v>
      </c>
      <c r="BD233" s="159" t="e">
        <v>#N/A</v>
      </c>
      <c r="BE233" s="159" t="e">
        <v>#N/A</v>
      </c>
      <c r="BF233" s="159" t="e">
        <v>#N/A</v>
      </c>
      <c r="BG233" s="159" t="e">
        <v>#N/A</v>
      </c>
      <c r="BH233" s="14" t="e">
        <v>#N/A</v>
      </c>
      <c r="BI233" s="159" t="e">
        <v>#N/A</v>
      </c>
      <c r="BJ233" s="159" t="e">
        <v>#N/A</v>
      </c>
      <c r="BK233" s="14" t="e">
        <v>#N/A</v>
      </c>
      <c r="BL233" s="14" t="e">
        <v>#N/A</v>
      </c>
      <c r="BM233" s="14" t="e">
        <v>#N/A</v>
      </c>
      <c r="BN233" s="14" t="e">
        <v>#N/A</v>
      </c>
      <c r="BO233" s="14" t="e">
        <v>#N/A</v>
      </c>
      <c r="BP233" s="182" t="e">
        <v>#N/A</v>
      </c>
      <c r="BQ233" s="183" t="e">
        <v>#N/A</v>
      </c>
    </row>
    <row r="234" spans="2:69" x14ac:dyDescent="0.35">
      <c r="B234" s="1">
        <v>215</v>
      </c>
      <c r="C234" t="str">
        <v>Product 3</v>
      </c>
      <c r="D234" s="113">
        <v>95.929181315921639</v>
      </c>
      <c r="E234" s="113">
        <v>99.300699300699307</v>
      </c>
      <c r="F234" s="113">
        <v>98.264142868259256</v>
      </c>
      <c r="G234" s="113">
        <v>98.311282336567558</v>
      </c>
      <c r="H234">
        <v>353.22867132867128</v>
      </c>
      <c r="I234" s="175">
        <v>180.10818250538415</v>
      </c>
      <c r="J234" s="113">
        <v>0</v>
      </c>
      <c r="K234">
        <v>423.87440559440557</v>
      </c>
      <c r="L234">
        <v>12</v>
      </c>
      <c r="M234">
        <v>0</v>
      </c>
      <c r="N234">
        <v>0</v>
      </c>
      <c r="O234" s="1">
        <v>21</v>
      </c>
      <c r="P234" s="138">
        <v>41720</v>
      </c>
      <c r="Q234" s="1">
        <v>39</v>
      </c>
      <c r="R234" s="95">
        <f>CHOOSE($D$4,D234,E234,F234,G234,H234,I234,J234,K234,L234,M234,N234,O234,P234,101-B234)+0.000001*ROWS($A$20:A234)</f>
        <v>98.311497336567555</v>
      </c>
      <c r="S234" s="4">
        <f t="shared" si="35"/>
        <v>168</v>
      </c>
      <c r="T234" s="4"/>
      <c r="U234" s="14">
        <f>ROWS($U$20:U234)</f>
        <v>215</v>
      </c>
      <c r="V234" s="4">
        <v>24</v>
      </c>
      <c r="W234" s="4" t="str">
        <v>Product 3</v>
      </c>
      <c r="X234" s="94">
        <v>66.953116856040864</v>
      </c>
      <c r="Y234" s="94">
        <v>74.056603773584911</v>
      </c>
      <c r="Z234" s="94">
        <v>92.743780131611359</v>
      </c>
      <c r="AA234" s="94">
        <v>97.481502561183845</v>
      </c>
      <c r="AB234" s="4">
        <v>248.63207547169813</v>
      </c>
      <c r="AC234" s="94">
        <v>100.52206250446972</v>
      </c>
      <c r="AD234" s="94">
        <v>0</v>
      </c>
      <c r="AE234" s="4">
        <v>298.35849056603774</v>
      </c>
      <c r="AF234" s="4">
        <v>12</v>
      </c>
      <c r="AG234" s="4">
        <v>0</v>
      </c>
      <c r="AH234" s="4">
        <v>0</v>
      </c>
      <c r="AI234" s="4">
        <v>29</v>
      </c>
      <c r="AJ234" s="139">
        <v>41647</v>
      </c>
      <c r="AK234" s="94">
        <v>86</v>
      </c>
      <c r="AL234" s="162">
        <v>87.494399999999999</v>
      </c>
      <c r="AM234" s="162">
        <v>90</v>
      </c>
      <c r="AN234" s="162">
        <v>98</v>
      </c>
      <c r="AO234" s="162">
        <v>99.2</v>
      </c>
      <c r="AP234" s="17">
        <v>362</v>
      </c>
      <c r="AQ234" s="162">
        <v>0</v>
      </c>
      <c r="AR234" s="162">
        <v>40</v>
      </c>
      <c r="AS234" s="17">
        <v>434.4</v>
      </c>
      <c r="AT234" s="17">
        <v>12</v>
      </c>
      <c r="AU234" s="17">
        <v>0</v>
      </c>
      <c r="AV234" s="17">
        <v>0</v>
      </c>
      <c r="AW234" s="17">
        <v>20</v>
      </c>
      <c r="AX234" s="4">
        <v>92.743780131611359</v>
      </c>
      <c r="AY234" s="4">
        <v>74.056603773584911</v>
      </c>
      <c r="BD234" s="159" t="e">
        <v>#N/A</v>
      </c>
      <c r="BE234" s="159" t="e">
        <v>#N/A</v>
      </c>
      <c r="BF234" s="159" t="e">
        <v>#N/A</v>
      </c>
      <c r="BG234" s="159" t="e">
        <v>#N/A</v>
      </c>
      <c r="BH234" s="14" t="e">
        <v>#N/A</v>
      </c>
      <c r="BI234" s="159" t="e">
        <v>#N/A</v>
      </c>
      <c r="BJ234" s="159" t="e">
        <v>#N/A</v>
      </c>
      <c r="BK234" s="14" t="e">
        <v>#N/A</v>
      </c>
      <c r="BL234" s="14" t="e">
        <v>#N/A</v>
      </c>
      <c r="BM234" s="14" t="e">
        <v>#N/A</v>
      </c>
      <c r="BN234" s="14" t="e">
        <v>#N/A</v>
      </c>
      <c r="BO234" s="14" t="e">
        <v>#N/A</v>
      </c>
      <c r="BP234" s="182" t="e">
        <v>#N/A</v>
      </c>
      <c r="BQ234" s="183" t="e">
        <v>#N/A</v>
      </c>
    </row>
    <row r="235" spans="2:69" x14ac:dyDescent="0.35">
      <c r="B235" s="1">
        <v>216</v>
      </c>
      <c r="C235" t="str">
        <v>Product 6</v>
      </c>
      <c r="D235" s="113">
        <v>78.402188782489759</v>
      </c>
      <c r="E235" s="113">
        <v>100</v>
      </c>
      <c r="F235" s="113">
        <v>79.20398236814107</v>
      </c>
      <c r="G235" s="113">
        <v>98.987685263192233</v>
      </c>
      <c r="H235">
        <v>242.36418604651163</v>
      </c>
      <c r="I235" s="175">
        <v>143.6281697905182</v>
      </c>
      <c r="J235" s="113">
        <v>45.677381476588877</v>
      </c>
      <c r="K235">
        <v>290.83702325581396</v>
      </c>
      <c r="L235">
        <v>12</v>
      </c>
      <c r="M235">
        <v>0</v>
      </c>
      <c r="N235">
        <v>0</v>
      </c>
      <c r="O235" s="1">
        <v>15</v>
      </c>
      <c r="P235" s="138">
        <v>41719</v>
      </c>
      <c r="Q235" s="1">
        <v>61</v>
      </c>
      <c r="R235" s="95">
        <f>CHOOSE($D$4,D235,E235,F235,G235,H235,I235,J235,K235,L235,M235,N235,O235,P235,101-B235)+0.000001*ROWS($A$20:A235)</f>
        <v>98.987901263192228</v>
      </c>
      <c r="S235" s="4">
        <f t="shared" si="35"/>
        <v>83</v>
      </c>
      <c r="T235" s="4"/>
      <c r="U235" s="14">
        <f>ROWS($U$20:U235)</f>
        <v>216</v>
      </c>
      <c r="V235" s="4">
        <v>191</v>
      </c>
      <c r="W235" s="4" t="str">
        <v>Product 3</v>
      </c>
      <c r="X235" s="94">
        <v>80.620866978325537</v>
      </c>
      <c r="Y235" s="94">
        <v>85.999999999999986</v>
      </c>
      <c r="Z235" s="94">
        <v>96.171586989395024</v>
      </c>
      <c r="AA235" s="94">
        <v>97.477016960509417</v>
      </c>
      <c r="AB235" s="4">
        <v>299.40138461538464</v>
      </c>
      <c r="AC235" s="94">
        <v>175.94092838448083</v>
      </c>
      <c r="AD235" s="94">
        <v>33.766700002564299</v>
      </c>
      <c r="AE235" s="4">
        <v>359.28166153846149</v>
      </c>
      <c r="AF235" s="4">
        <v>12</v>
      </c>
      <c r="AG235" s="4">
        <v>0</v>
      </c>
      <c r="AH235" s="4">
        <v>0</v>
      </c>
      <c r="AI235" s="4">
        <v>24</v>
      </c>
      <c r="AJ235" s="139">
        <v>41711</v>
      </c>
      <c r="AK235" s="94">
        <v>68</v>
      </c>
      <c r="AL235" s="162">
        <v>87.494399999999999</v>
      </c>
      <c r="AM235" s="162">
        <v>90</v>
      </c>
      <c r="AN235" s="162">
        <v>98</v>
      </c>
      <c r="AO235" s="162">
        <v>99.2</v>
      </c>
      <c r="AP235" s="17">
        <v>362</v>
      </c>
      <c r="AQ235" s="162">
        <v>0</v>
      </c>
      <c r="AR235" s="162">
        <v>40</v>
      </c>
      <c r="AS235" s="17">
        <v>434.4</v>
      </c>
      <c r="AT235" s="17">
        <v>12</v>
      </c>
      <c r="AU235" s="17">
        <v>0</v>
      </c>
      <c r="AV235" s="17">
        <v>0</v>
      </c>
      <c r="AW235" s="17">
        <v>20</v>
      </c>
      <c r="AX235" s="4">
        <v>96.171586989395024</v>
      </c>
      <c r="AY235" s="4">
        <v>85.999999999999986</v>
      </c>
      <c r="BD235" s="159" t="e">
        <v>#N/A</v>
      </c>
      <c r="BE235" s="159" t="e">
        <v>#N/A</v>
      </c>
      <c r="BF235" s="159" t="e">
        <v>#N/A</v>
      </c>
      <c r="BG235" s="159" t="e">
        <v>#N/A</v>
      </c>
      <c r="BH235" s="14" t="e">
        <v>#N/A</v>
      </c>
      <c r="BI235" s="159" t="e">
        <v>#N/A</v>
      </c>
      <c r="BJ235" s="159" t="e">
        <v>#N/A</v>
      </c>
      <c r="BK235" s="14" t="e">
        <v>#N/A</v>
      </c>
      <c r="BL235" s="14" t="e">
        <v>#N/A</v>
      </c>
      <c r="BM235" s="14" t="e">
        <v>#N/A</v>
      </c>
      <c r="BN235" s="14" t="e">
        <v>#N/A</v>
      </c>
      <c r="BO235" s="14" t="e">
        <v>#N/A</v>
      </c>
      <c r="BP235" s="182" t="e">
        <v>#N/A</v>
      </c>
      <c r="BQ235" s="183" t="e">
        <v>#N/A</v>
      </c>
    </row>
    <row r="236" spans="2:69" x14ac:dyDescent="0.35">
      <c r="B236" s="1">
        <v>217</v>
      </c>
      <c r="C236" t="str">
        <v>Product 3</v>
      </c>
      <c r="D236" s="113">
        <v>93.554576676123659</v>
      </c>
      <c r="E236" s="113">
        <v>96.972972972972983</v>
      </c>
      <c r="F236" s="113">
        <v>98.196412843302113</v>
      </c>
      <c r="G236" s="113">
        <v>98.246865762919171</v>
      </c>
      <c r="H236">
        <v>344.71081081081087</v>
      </c>
      <c r="I236" s="175">
        <v>179.84827333361534</v>
      </c>
      <c r="J236" s="113">
        <v>38.455895252220785</v>
      </c>
      <c r="K236">
        <v>413.65297297297303</v>
      </c>
      <c r="L236">
        <v>12</v>
      </c>
      <c r="M236">
        <v>0</v>
      </c>
      <c r="N236">
        <v>0</v>
      </c>
      <c r="O236" s="1">
        <v>28</v>
      </c>
      <c r="P236" s="138">
        <v>41719</v>
      </c>
      <c r="Q236" s="1">
        <v>100</v>
      </c>
      <c r="R236" s="95">
        <f>CHOOSE($D$4,D236,E236,F236,G236,H236,I236,J236,K236,L236,M236,N236,O236,P236,101-B236)+0.000001*ROWS($A$20:A236)</f>
        <v>98.247082762919177</v>
      </c>
      <c r="S236" s="4">
        <f t="shared" si="35"/>
        <v>172</v>
      </c>
      <c r="T236" s="4"/>
      <c r="U236" s="14">
        <f>ROWS($U$20:U236)</f>
        <v>217</v>
      </c>
      <c r="V236" s="4">
        <v>140</v>
      </c>
      <c r="W236" s="4" t="str">
        <v>Product 25</v>
      </c>
      <c r="X236" s="94">
        <v>66.493506493506487</v>
      </c>
      <c r="Y236" s="94">
        <v>72.38095238095238</v>
      </c>
      <c r="Z236" s="94">
        <v>94.268341307814993</v>
      </c>
      <c r="AA236" s="94">
        <v>97.451623136301151</v>
      </c>
      <c r="AB236" s="4">
        <v>225.16666666666666</v>
      </c>
      <c r="AC236" s="94">
        <v>90.763383688120243</v>
      </c>
      <c r="AD236" s="94">
        <v>52.992793764400211</v>
      </c>
      <c r="AE236" s="4">
        <v>270.2</v>
      </c>
      <c r="AF236" s="4">
        <v>12</v>
      </c>
      <c r="AG236" s="4">
        <v>0</v>
      </c>
      <c r="AH236" s="4">
        <v>0</v>
      </c>
      <c r="AI236" s="4">
        <v>26</v>
      </c>
      <c r="AJ236" s="139">
        <v>41691</v>
      </c>
      <c r="AK236" s="94">
        <v>101</v>
      </c>
      <c r="AL236" s="162">
        <v>87.494399999999999</v>
      </c>
      <c r="AM236" s="162">
        <v>90</v>
      </c>
      <c r="AN236" s="162">
        <v>98</v>
      </c>
      <c r="AO236" s="162">
        <v>99.2</v>
      </c>
      <c r="AP236" s="17">
        <v>330</v>
      </c>
      <c r="AQ236" s="162">
        <v>0</v>
      </c>
      <c r="AR236" s="162">
        <v>40</v>
      </c>
      <c r="AS236" s="17">
        <v>396</v>
      </c>
      <c r="AT236" s="17">
        <v>12</v>
      </c>
      <c r="AU236" s="17">
        <v>0</v>
      </c>
      <c r="AV236" s="17">
        <v>0</v>
      </c>
      <c r="AW236" s="17">
        <v>20</v>
      </c>
      <c r="AX236" s="4">
        <v>94.268341307814993</v>
      </c>
      <c r="AY236" s="4">
        <v>72.38095238095238</v>
      </c>
      <c r="BD236" s="159">
        <v>66.493506493506487</v>
      </c>
      <c r="BE236" s="159">
        <v>72.38095238095238</v>
      </c>
      <c r="BF236" s="159">
        <v>94.268341307814993</v>
      </c>
      <c r="BG236" s="159">
        <v>97.451623136301151</v>
      </c>
      <c r="BH236" s="14">
        <v>225.16666666666666</v>
      </c>
      <c r="BI236" s="159">
        <v>90.763383688120243</v>
      </c>
      <c r="BJ236" s="159">
        <v>52.992793764400211</v>
      </c>
      <c r="BK236" s="14">
        <v>270.2</v>
      </c>
      <c r="BL236" s="14">
        <v>12</v>
      </c>
      <c r="BM236" s="14">
        <v>0</v>
      </c>
      <c r="BN236" s="14">
        <v>0</v>
      </c>
      <c r="BO236" s="14">
        <v>26</v>
      </c>
      <c r="BP236" s="182">
        <v>41691</v>
      </c>
      <c r="BQ236" s="183">
        <v>101</v>
      </c>
    </row>
    <row r="237" spans="2:69" x14ac:dyDescent="0.35">
      <c r="B237" s="1">
        <v>218</v>
      </c>
      <c r="C237" t="str">
        <v>Product 5</v>
      </c>
      <c r="D237" s="113">
        <v>82.815277444150823</v>
      </c>
      <c r="E237" s="113">
        <v>85.652173913043455</v>
      </c>
      <c r="F237" s="113">
        <v>100.31971281936225</v>
      </c>
      <c r="G237" s="113">
        <v>96.37974895865365</v>
      </c>
      <c r="H237">
        <v>311.05217391304342</v>
      </c>
      <c r="I237" s="175">
        <v>170.9751813304336</v>
      </c>
      <c r="J237" s="113">
        <v>100</v>
      </c>
      <c r="K237">
        <v>373.26260869565215</v>
      </c>
      <c r="L237">
        <v>12</v>
      </c>
      <c r="M237">
        <v>0</v>
      </c>
      <c r="N237">
        <v>0</v>
      </c>
      <c r="O237" s="1">
        <v>17</v>
      </c>
      <c r="P237" s="138">
        <v>41719</v>
      </c>
      <c r="Q237" s="1">
        <v>103</v>
      </c>
      <c r="R237" s="95">
        <f>CHOOSE($D$4,D237,E237,F237,G237,H237,I237,J237,K237,L237,M237,N237,O237,P237,101-B237)+0.000001*ROWS($A$20:A237)</f>
        <v>96.379966958653654</v>
      </c>
      <c r="S237" s="4">
        <f t="shared" si="35"/>
        <v>234</v>
      </c>
      <c r="T237" s="4"/>
      <c r="U237" s="14">
        <f>ROWS($U$20:U237)</f>
        <v>218</v>
      </c>
      <c r="V237" s="4">
        <v>151</v>
      </c>
      <c r="W237" s="4" t="str">
        <v>Product 3</v>
      </c>
      <c r="X237" s="94">
        <v>79.899888318259116</v>
      </c>
      <c r="Y237" s="94">
        <v>83.460949464012259</v>
      </c>
      <c r="Z237" s="94">
        <v>98.247326270971655</v>
      </c>
      <c r="AA237" s="94">
        <v>97.441084979968494</v>
      </c>
      <c r="AB237" s="4">
        <v>296.83330781010721</v>
      </c>
      <c r="AC237" s="94">
        <v>115.61714882195049</v>
      </c>
      <c r="AD237" s="94">
        <v>0</v>
      </c>
      <c r="AE237" s="4">
        <v>356.19996937212863</v>
      </c>
      <c r="AF237" s="4">
        <v>12</v>
      </c>
      <c r="AG237" s="4">
        <v>0</v>
      </c>
      <c r="AH237" s="4">
        <v>0</v>
      </c>
      <c r="AI237" s="4">
        <v>23</v>
      </c>
      <c r="AJ237" s="139">
        <v>41697</v>
      </c>
      <c r="AK237" s="94">
        <v>65</v>
      </c>
      <c r="AL237" s="162">
        <v>87.494399999999999</v>
      </c>
      <c r="AM237" s="162">
        <v>90</v>
      </c>
      <c r="AN237" s="162">
        <v>98</v>
      </c>
      <c r="AO237" s="162">
        <v>99.2</v>
      </c>
      <c r="AP237" s="17">
        <v>362</v>
      </c>
      <c r="AQ237" s="162">
        <v>0</v>
      </c>
      <c r="AR237" s="162">
        <v>40</v>
      </c>
      <c r="AS237" s="17">
        <v>434.4</v>
      </c>
      <c r="AT237" s="17">
        <v>12</v>
      </c>
      <c r="AU237" s="17">
        <v>0</v>
      </c>
      <c r="AV237" s="17">
        <v>0</v>
      </c>
      <c r="AW237" s="17">
        <v>20</v>
      </c>
      <c r="AX237" s="4">
        <v>98.247326270971655</v>
      </c>
      <c r="AY237" s="4">
        <v>83.460949464012259</v>
      </c>
      <c r="BD237" s="159" t="e">
        <v>#N/A</v>
      </c>
      <c r="BE237" s="159" t="e">
        <v>#N/A</v>
      </c>
      <c r="BF237" s="159" t="e">
        <v>#N/A</v>
      </c>
      <c r="BG237" s="159" t="e">
        <v>#N/A</v>
      </c>
      <c r="BH237" s="14" t="e">
        <v>#N/A</v>
      </c>
      <c r="BI237" s="159" t="e">
        <v>#N/A</v>
      </c>
      <c r="BJ237" s="159" t="e">
        <v>#N/A</v>
      </c>
      <c r="BK237" s="14" t="e">
        <v>#N/A</v>
      </c>
      <c r="BL237" s="14" t="e">
        <v>#N/A</v>
      </c>
      <c r="BM237" s="14" t="e">
        <v>#N/A</v>
      </c>
      <c r="BN237" s="14" t="e">
        <v>#N/A</v>
      </c>
      <c r="BO237" s="14" t="e">
        <v>#N/A</v>
      </c>
      <c r="BP237" s="182" t="e">
        <v>#N/A</v>
      </c>
      <c r="BQ237" s="183" t="e">
        <v>#N/A</v>
      </c>
    </row>
    <row r="238" spans="2:69" x14ac:dyDescent="0.35">
      <c r="B238" s="1">
        <v>219</v>
      </c>
      <c r="C238" t="str">
        <v>Product 3</v>
      </c>
      <c r="D238" s="113">
        <v>97.843807689220654</v>
      </c>
      <c r="E238" s="113">
        <v>98.592592592592595</v>
      </c>
      <c r="F238" s="113">
        <v>100.70480311409402</v>
      </c>
      <c r="G238" s="113">
        <v>98.545971132838304</v>
      </c>
      <c r="H238">
        <v>343.61740740740737</v>
      </c>
      <c r="I238" s="175">
        <v>182.48689029547484</v>
      </c>
      <c r="J238" s="113">
        <v>24.508545338855335</v>
      </c>
      <c r="K238">
        <v>412.34088888888891</v>
      </c>
      <c r="L238">
        <v>12</v>
      </c>
      <c r="M238">
        <v>0</v>
      </c>
      <c r="N238">
        <v>0</v>
      </c>
      <c r="O238" s="1">
        <v>22</v>
      </c>
      <c r="P238" s="138">
        <v>41719</v>
      </c>
      <c r="Q238" s="1">
        <v>54</v>
      </c>
      <c r="R238" s="95">
        <f>CHOOSE($D$4,D238,E238,F238,G238,H238,I238,J238,K238,L238,M238,N238,O238,P238,101-B238)+0.000001*ROWS($A$20:A238)</f>
        <v>98.546190132838305</v>
      </c>
      <c r="S238" s="4">
        <f t="shared" si="35"/>
        <v>138</v>
      </c>
      <c r="T238" s="4"/>
      <c r="U238" s="14">
        <f>ROWS($U$20:U238)</f>
        <v>219</v>
      </c>
      <c r="V238" s="4">
        <v>223</v>
      </c>
      <c r="W238" s="4" t="str">
        <v>Product 15</v>
      </c>
      <c r="X238" s="94">
        <v>74.470691163604556</v>
      </c>
      <c r="Y238" s="94">
        <v>81.102362204724415</v>
      </c>
      <c r="Z238" s="94">
        <v>94.317691477885646</v>
      </c>
      <c r="AA238" s="94">
        <v>97.355102507648766</v>
      </c>
      <c r="AB238" s="4">
        <v>165.22677165354332</v>
      </c>
      <c r="AC238" s="94">
        <v>165.29184718393068</v>
      </c>
      <c r="AD238" s="94">
        <v>0</v>
      </c>
      <c r="AE238" s="4">
        <v>198.27212598425197</v>
      </c>
      <c r="AF238" s="4">
        <v>12</v>
      </c>
      <c r="AG238" s="4">
        <v>0</v>
      </c>
      <c r="AH238" s="4">
        <v>0</v>
      </c>
      <c r="AI238" s="4">
        <v>29</v>
      </c>
      <c r="AJ238" s="139">
        <v>41722</v>
      </c>
      <c r="AK238" s="94">
        <v>108</v>
      </c>
      <c r="AL238" s="162">
        <v>86.87700000000001</v>
      </c>
      <c r="AM238" s="162">
        <v>90</v>
      </c>
      <c r="AN238" s="162">
        <v>98</v>
      </c>
      <c r="AO238" s="162">
        <v>98.5</v>
      </c>
      <c r="AP238" s="17">
        <v>216</v>
      </c>
      <c r="AQ238" s="162">
        <v>0</v>
      </c>
      <c r="AR238" s="162">
        <v>40</v>
      </c>
      <c r="AS238" s="17">
        <v>259.2</v>
      </c>
      <c r="AT238" s="17">
        <v>12</v>
      </c>
      <c r="AU238" s="17">
        <v>0</v>
      </c>
      <c r="AV238" s="17">
        <v>0</v>
      </c>
      <c r="AW238" s="17">
        <v>20</v>
      </c>
      <c r="AX238" s="4">
        <v>94.317691477885646</v>
      </c>
      <c r="AY238" s="4">
        <v>81.102362204724415</v>
      </c>
      <c r="BD238" s="159" t="e">
        <v>#N/A</v>
      </c>
      <c r="BE238" s="159" t="e">
        <v>#N/A</v>
      </c>
      <c r="BF238" s="159" t="e">
        <v>#N/A</v>
      </c>
      <c r="BG238" s="159" t="e">
        <v>#N/A</v>
      </c>
      <c r="BH238" s="14" t="e">
        <v>#N/A</v>
      </c>
      <c r="BI238" s="159" t="e">
        <v>#N/A</v>
      </c>
      <c r="BJ238" s="159" t="e">
        <v>#N/A</v>
      </c>
      <c r="BK238" s="14" t="e">
        <v>#N/A</v>
      </c>
      <c r="BL238" s="14" t="e">
        <v>#N/A</v>
      </c>
      <c r="BM238" s="14" t="e">
        <v>#N/A</v>
      </c>
      <c r="BN238" s="14" t="e">
        <v>#N/A</v>
      </c>
      <c r="BO238" s="14" t="e">
        <v>#N/A</v>
      </c>
      <c r="BP238" s="182" t="e">
        <v>#N/A</v>
      </c>
      <c r="BQ238" s="183" t="e">
        <v>#N/A</v>
      </c>
    </row>
    <row r="239" spans="2:69" x14ac:dyDescent="0.35">
      <c r="B239" s="1">
        <v>220</v>
      </c>
      <c r="C239" t="str">
        <v>Product 3</v>
      </c>
      <c r="D239" s="113">
        <v>97.032711128116659</v>
      </c>
      <c r="E239" s="113">
        <v>98.493150684931507</v>
      </c>
      <c r="F239" s="113">
        <v>100.02424642674983</v>
      </c>
      <c r="G239" s="113">
        <v>98.493336025239628</v>
      </c>
      <c r="H239">
        <v>340.95102739726025</v>
      </c>
      <c r="I239" s="175">
        <v>192.06729841727949</v>
      </c>
      <c r="J239" s="113">
        <v>0</v>
      </c>
      <c r="K239">
        <v>409.14123287671231</v>
      </c>
      <c r="L239">
        <v>12</v>
      </c>
      <c r="M239">
        <v>0</v>
      </c>
      <c r="N239">
        <v>0</v>
      </c>
      <c r="O239" s="1">
        <v>17</v>
      </c>
      <c r="P239" s="138">
        <v>41720</v>
      </c>
      <c r="Q239" s="1">
        <v>103</v>
      </c>
      <c r="R239" s="95">
        <f>CHOOSE($D$4,D239,E239,F239,G239,H239,I239,J239,K239,L239,M239,N239,O239,P239,101-B239)+0.000001*ROWS($A$20:A239)</f>
        <v>98.493556025239627</v>
      </c>
      <c r="S239" s="4">
        <f t="shared" si="35"/>
        <v>144</v>
      </c>
      <c r="T239" s="4"/>
      <c r="U239" s="14">
        <f>ROWS($U$20:U239)</f>
        <v>220</v>
      </c>
      <c r="V239" s="4">
        <v>169</v>
      </c>
      <c r="W239" s="4" t="str">
        <v>Product 3</v>
      </c>
      <c r="X239" s="94">
        <v>89.411406447122289</v>
      </c>
      <c r="Y239" s="94">
        <v>93.228346456692918</v>
      </c>
      <c r="Z239" s="94">
        <v>98.542257727340612</v>
      </c>
      <c r="AA239" s="94">
        <v>97.32455724973957</v>
      </c>
      <c r="AB239" s="4">
        <v>332.56692913385825</v>
      </c>
      <c r="AC239" s="94">
        <v>184.90176163625537</v>
      </c>
      <c r="AD239" s="94">
        <v>0</v>
      </c>
      <c r="AE239" s="4">
        <v>399.08031496062989</v>
      </c>
      <c r="AF239" s="4">
        <v>12</v>
      </c>
      <c r="AG239" s="4">
        <v>0</v>
      </c>
      <c r="AH239" s="4">
        <v>0</v>
      </c>
      <c r="AI239" s="4">
        <v>18</v>
      </c>
      <c r="AJ239" s="139">
        <v>41704</v>
      </c>
      <c r="AK239" s="94">
        <v>100</v>
      </c>
      <c r="AL239" s="162">
        <v>87.494399999999999</v>
      </c>
      <c r="AM239" s="162">
        <v>90</v>
      </c>
      <c r="AN239" s="162">
        <v>98</v>
      </c>
      <c r="AO239" s="162">
        <v>99.2</v>
      </c>
      <c r="AP239" s="17">
        <v>362</v>
      </c>
      <c r="AQ239" s="162">
        <v>0</v>
      </c>
      <c r="AR239" s="162">
        <v>40</v>
      </c>
      <c r="AS239" s="17">
        <v>434.4</v>
      </c>
      <c r="AT239" s="17">
        <v>12</v>
      </c>
      <c r="AU239" s="17">
        <v>0</v>
      </c>
      <c r="AV239" s="17">
        <v>0</v>
      </c>
      <c r="AW239" s="17">
        <v>20</v>
      </c>
      <c r="AX239" s="4">
        <v>98.542257727340612</v>
      </c>
      <c r="AY239" s="4">
        <v>93.228346456692918</v>
      </c>
      <c r="BD239" s="159" t="e">
        <v>#N/A</v>
      </c>
      <c r="BE239" s="159" t="e">
        <v>#N/A</v>
      </c>
      <c r="BF239" s="159" t="e">
        <v>#N/A</v>
      </c>
      <c r="BG239" s="159" t="e">
        <v>#N/A</v>
      </c>
      <c r="BH239" s="14" t="e">
        <v>#N/A</v>
      </c>
      <c r="BI239" s="159" t="e">
        <v>#N/A</v>
      </c>
      <c r="BJ239" s="159" t="e">
        <v>#N/A</v>
      </c>
      <c r="BK239" s="14" t="e">
        <v>#N/A</v>
      </c>
      <c r="BL239" s="14" t="e">
        <v>#N/A</v>
      </c>
      <c r="BM239" s="14" t="e">
        <v>#N/A</v>
      </c>
      <c r="BN239" s="14" t="e">
        <v>#N/A</v>
      </c>
      <c r="BO239" s="14" t="e">
        <v>#N/A</v>
      </c>
      <c r="BP239" s="182" t="e">
        <v>#N/A</v>
      </c>
      <c r="BQ239" s="183" t="e">
        <v>#N/A</v>
      </c>
    </row>
    <row r="240" spans="2:69" x14ac:dyDescent="0.35">
      <c r="B240" s="1">
        <v>221</v>
      </c>
      <c r="C240" t="str">
        <v>Product 27</v>
      </c>
      <c r="D240" s="113">
        <v>81.363636363636388</v>
      </c>
      <c r="E240" s="113">
        <v>87</v>
      </c>
      <c r="F240" s="113">
        <v>97.233106931382807</v>
      </c>
      <c r="G240" s="113">
        <v>96.182693384081503</v>
      </c>
      <c r="H240">
        <v>223.32499999999999</v>
      </c>
      <c r="I240" s="175">
        <v>182.00896495517523</v>
      </c>
      <c r="J240" s="113">
        <v>77.941526028048486</v>
      </c>
      <c r="K240">
        <v>267.99</v>
      </c>
      <c r="L240">
        <v>12</v>
      </c>
      <c r="M240">
        <v>0</v>
      </c>
      <c r="N240">
        <v>0</v>
      </c>
      <c r="O240" s="1">
        <v>19</v>
      </c>
      <c r="P240" s="138">
        <v>41710</v>
      </c>
      <c r="Q240" s="1">
        <v>79</v>
      </c>
      <c r="R240" s="95">
        <f>CHOOSE($D$4,D240,E240,F240,G240,H240,I240,J240,K240,L240,M240,N240,O240,P240,101-B240)+0.000001*ROWS($A$20:A240)</f>
        <v>96.182914384081499</v>
      </c>
      <c r="S240" s="4">
        <f t="shared" si="35"/>
        <v>238</v>
      </c>
      <c r="T240" s="4"/>
      <c r="U240" s="14">
        <f>ROWS($U$20:U240)</f>
        <v>221</v>
      </c>
      <c r="V240" s="4">
        <v>251</v>
      </c>
      <c r="W240" s="4" t="str">
        <v>Product 3</v>
      </c>
      <c r="X240" s="94">
        <v>98.180871152115785</v>
      </c>
      <c r="Y240" s="94">
        <v>98.947368421052644</v>
      </c>
      <c r="Z240" s="94">
        <v>101.96881516053506</v>
      </c>
      <c r="AA240" s="94">
        <v>97.309504232820572</v>
      </c>
      <c r="AB240" s="4">
        <v>349.18236842105262</v>
      </c>
      <c r="AC240" s="94">
        <v>174.27016023115314</v>
      </c>
      <c r="AD240" s="94">
        <v>48.344370860927157</v>
      </c>
      <c r="AE240" s="4">
        <v>419.01884210526316</v>
      </c>
      <c r="AF240" s="4">
        <v>12</v>
      </c>
      <c r="AG240" s="4">
        <v>0</v>
      </c>
      <c r="AH240" s="4">
        <v>0</v>
      </c>
      <c r="AI240" s="4">
        <v>19</v>
      </c>
      <c r="AJ240" s="139">
        <v>41732</v>
      </c>
      <c r="AK240" s="94">
        <v>79</v>
      </c>
      <c r="AL240" s="162">
        <v>87.494399999999999</v>
      </c>
      <c r="AM240" s="162">
        <v>90</v>
      </c>
      <c r="AN240" s="162">
        <v>98</v>
      </c>
      <c r="AO240" s="162">
        <v>99.2</v>
      </c>
      <c r="AP240" s="17">
        <v>346.08333333333331</v>
      </c>
      <c r="AQ240" s="162">
        <v>0</v>
      </c>
      <c r="AR240" s="162">
        <v>40</v>
      </c>
      <c r="AS240" s="17">
        <v>415.3</v>
      </c>
      <c r="AT240" s="17">
        <v>12</v>
      </c>
      <c r="AU240" s="17">
        <v>0</v>
      </c>
      <c r="AV240" s="17">
        <v>0</v>
      </c>
      <c r="AW240" s="17">
        <v>20</v>
      </c>
      <c r="AX240" s="4">
        <v>101.96881516053506</v>
      </c>
      <c r="AY240" s="4">
        <v>98.947368421052644</v>
      </c>
      <c r="BD240" s="159" t="e">
        <v>#N/A</v>
      </c>
      <c r="BE240" s="159" t="e">
        <v>#N/A</v>
      </c>
      <c r="BF240" s="159" t="e">
        <v>#N/A</v>
      </c>
      <c r="BG240" s="159" t="e">
        <v>#N/A</v>
      </c>
      <c r="BH240" s="14" t="e">
        <v>#N/A</v>
      </c>
      <c r="BI240" s="159" t="e">
        <v>#N/A</v>
      </c>
      <c r="BJ240" s="159" t="e">
        <v>#N/A</v>
      </c>
      <c r="BK240" s="14" t="e">
        <v>#N/A</v>
      </c>
      <c r="BL240" s="14" t="e">
        <v>#N/A</v>
      </c>
      <c r="BM240" s="14" t="e">
        <v>#N/A</v>
      </c>
      <c r="BN240" s="14" t="e">
        <v>#N/A</v>
      </c>
      <c r="BO240" s="14" t="e">
        <v>#N/A</v>
      </c>
      <c r="BP240" s="182" t="e">
        <v>#N/A</v>
      </c>
      <c r="BQ240" s="183" t="e">
        <v>#N/A</v>
      </c>
    </row>
    <row r="241" spans="2:69" x14ac:dyDescent="0.35">
      <c r="B241" s="1">
        <v>222</v>
      </c>
      <c r="C241" t="str">
        <v>Product 9</v>
      </c>
      <c r="D241" s="113">
        <v>42.207885304659484</v>
      </c>
      <c r="E241" s="113">
        <v>41.935483870967737</v>
      </c>
      <c r="F241" s="113">
        <v>104.79843304843304</v>
      </c>
      <c r="G241" s="113">
        <v>96.041104548821849</v>
      </c>
      <c r="H241">
        <v>118.6588709677419</v>
      </c>
      <c r="I241" s="175">
        <v>163.48555555555555</v>
      </c>
      <c r="J241" s="113">
        <v>0</v>
      </c>
      <c r="K241">
        <v>142.39064516129031</v>
      </c>
      <c r="L241">
        <v>12</v>
      </c>
      <c r="M241">
        <v>0</v>
      </c>
      <c r="N241">
        <v>0</v>
      </c>
      <c r="O241" s="1">
        <v>29</v>
      </c>
      <c r="P241" s="138">
        <v>41722</v>
      </c>
      <c r="Q241" s="1">
        <v>83</v>
      </c>
      <c r="R241" s="95">
        <f>CHOOSE($D$4,D241,E241,F241,G241,H241,I241,J241,K241,L241,M241,N241,O241,P241,101-B241)+0.000001*ROWS($A$20:A241)</f>
        <v>96.041326548821843</v>
      </c>
      <c r="S241" s="4">
        <f t="shared" si="35"/>
        <v>240</v>
      </c>
      <c r="T241" s="4"/>
      <c r="U241" s="14">
        <f>ROWS($U$20:U241)</f>
        <v>222</v>
      </c>
      <c r="V241" s="4">
        <v>162</v>
      </c>
      <c r="W241" s="4" t="str">
        <v>Product 2</v>
      </c>
      <c r="X241" s="94">
        <v>77.995753715498921</v>
      </c>
      <c r="Y241" s="94">
        <v>88.535031847133752</v>
      </c>
      <c r="Z241" s="94">
        <v>90.553956834532386</v>
      </c>
      <c r="AA241" s="94">
        <v>97.28555917480999</v>
      </c>
      <c r="AB241" s="4">
        <v>216.46433121019109</v>
      </c>
      <c r="AC241" s="94">
        <v>183.40474905558551</v>
      </c>
      <c r="AD241" s="94">
        <v>15.824192113845243</v>
      </c>
      <c r="AE241" s="4">
        <v>259.75719745222926</v>
      </c>
      <c r="AF241" s="4">
        <v>12</v>
      </c>
      <c r="AG241" s="4">
        <v>0</v>
      </c>
      <c r="AH241" s="4">
        <v>0</v>
      </c>
      <c r="AI241" s="4">
        <v>22</v>
      </c>
      <c r="AJ241" s="139">
        <v>41702</v>
      </c>
      <c r="AK241" s="94">
        <v>66</v>
      </c>
      <c r="AL241" s="162">
        <v>87.317999999999998</v>
      </c>
      <c r="AM241" s="162">
        <v>90</v>
      </c>
      <c r="AN241" s="162">
        <v>98</v>
      </c>
      <c r="AO241" s="162">
        <v>99</v>
      </c>
      <c r="AP241" s="17">
        <v>270</v>
      </c>
      <c r="AQ241" s="162">
        <v>0</v>
      </c>
      <c r="AR241" s="162">
        <v>40</v>
      </c>
      <c r="AS241" s="17">
        <v>324</v>
      </c>
      <c r="AT241" s="17">
        <v>12</v>
      </c>
      <c r="AU241" s="17">
        <v>0</v>
      </c>
      <c r="AV241" s="17">
        <v>0</v>
      </c>
      <c r="AW241" s="17">
        <v>20</v>
      </c>
      <c r="AX241" s="4">
        <v>90.553956834532386</v>
      </c>
      <c r="AY241" s="4">
        <v>88.535031847133752</v>
      </c>
      <c r="BD241" s="159">
        <v>77.995753715498921</v>
      </c>
      <c r="BE241" s="159">
        <v>88.535031847133752</v>
      </c>
      <c r="BF241" s="159">
        <v>90.553956834532386</v>
      </c>
      <c r="BG241" s="159">
        <v>97.28555917480999</v>
      </c>
      <c r="BH241" s="14">
        <v>216.46433121019109</v>
      </c>
      <c r="BI241" s="159">
        <v>183.40474905558551</v>
      </c>
      <c r="BJ241" s="159">
        <v>15.824192113845243</v>
      </c>
      <c r="BK241" s="14">
        <v>259.75719745222926</v>
      </c>
      <c r="BL241" s="14">
        <v>12</v>
      </c>
      <c r="BM241" s="14">
        <v>0</v>
      </c>
      <c r="BN241" s="14">
        <v>0</v>
      </c>
      <c r="BO241" s="14">
        <v>22</v>
      </c>
      <c r="BP241" s="182">
        <v>41702</v>
      </c>
      <c r="BQ241" s="183">
        <v>66</v>
      </c>
    </row>
    <row r="242" spans="2:69" x14ac:dyDescent="0.35">
      <c r="B242" s="1">
        <v>223</v>
      </c>
      <c r="C242" t="str">
        <v>Product 15</v>
      </c>
      <c r="D242" s="113">
        <v>74.470691163604556</v>
      </c>
      <c r="E242" s="113">
        <v>81.102362204724415</v>
      </c>
      <c r="F242" s="113">
        <v>94.317691477885646</v>
      </c>
      <c r="G242" s="113">
        <v>97.355102507648766</v>
      </c>
      <c r="H242">
        <v>165.22677165354332</v>
      </c>
      <c r="I242" s="175">
        <v>165.29184718393068</v>
      </c>
      <c r="J242" s="113">
        <v>0</v>
      </c>
      <c r="K242">
        <v>198.27212598425197</v>
      </c>
      <c r="L242">
        <v>12</v>
      </c>
      <c r="M242">
        <v>0</v>
      </c>
      <c r="N242">
        <v>0</v>
      </c>
      <c r="O242" s="1">
        <v>29</v>
      </c>
      <c r="P242" s="138">
        <v>41722</v>
      </c>
      <c r="Q242" s="1">
        <v>108</v>
      </c>
      <c r="R242" s="95">
        <f>CHOOSE($D$4,D242,E242,F242,G242,H242,I242,J242,K242,L242,M242,N242,O242,P242,101-B242)+0.000001*ROWS($A$20:A242)</f>
        <v>97.355325507648772</v>
      </c>
      <c r="S242" s="4">
        <f t="shared" si="35"/>
        <v>219</v>
      </c>
      <c r="T242" s="4"/>
      <c r="U242" s="14">
        <f>ROWS($U$20:U242)</f>
        <v>223</v>
      </c>
      <c r="V242" s="4">
        <v>135</v>
      </c>
      <c r="W242" s="4" t="str">
        <v>Product 6</v>
      </c>
      <c r="X242" s="94">
        <v>64.770053475935825</v>
      </c>
      <c r="Y242" s="94">
        <v>77.171717171717177</v>
      </c>
      <c r="Z242" s="94">
        <v>86.278102864182316</v>
      </c>
      <c r="AA242" s="94">
        <v>97.278195220332336</v>
      </c>
      <c r="AB242" s="4">
        <v>203.74181818181816</v>
      </c>
      <c r="AC242" s="94">
        <v>100.15860168334285</v>
      </c>
      <c r="AD242" s="94">
        <v>95.830416180474515</v>
      </c>
      <c r="AE242" s="4">
        <v>244.49018181818178</v>
      </c>
      <c r="AF242" s="4">
        <v>12</v>
      </c>
      <c r="AG242" s="4">
        <v>0</v>
      </c>
      <c r="AH242" s="4">
        <v>0</v>
      </c>
      <c r="AI242" s="4">
        <v>29</v>
      </c>
      <c r="AJ242" s="139">
        <v>41691</v>
      </c>
      <c r="AK242" s="94">
        <v>120</v>
      </c>
      <c r="AL242" s="162">
        <v>86.87700000000001</v>
      </c>
      <c r="AM242" s="162">
        <v>90</v>
      </c>
      <c r="AN242" s="162">
        <v>98</v>
      </c>
      <c r="AO242" s="162">
        <v>98.5</v>
      </c>
      <c r="AP242" s="17">
        <v>306</v>
      </c>
      <c r="AQ242" s="162">
        <v>0</v>
      </c>
      <c r="AR242" s="162">
        <v>40</v>
      </c>
      <c r="AS242" s="17">
        <v>367.2</v>
      </c>
      <c r="AT242" s="17">
        <v>12</v>
      </c>
      <c r="AU242" s="17">
        <v>0</v>
      </c>
      <c r="AV242" s="17">
        <v>0</v>
      </c>
      <c r="AW242" s="17">
        <v>20</v>
      </c>
      <c r="AX242" s="4">
        <v>86.278102864182316</v>
      </c>
      <c r="AY242" s="4">
        <v>77.171717171717177</v>
      </c>
      <c r="BD242" s="159" t="e">
        <v>#N/A</v>
      </c>
      <c r="BE242" s="159" t="e">
        <v>#N/A</v>
      </c>
      <c r="BF242" s="159" t="e">
        <v>#N/A</v>
      </c>
      <c r="BG242" s="159" t="e">
        <v>#N/A</v>
      </c>
      <c r="BH242" s="14" t="e">
        <v>#N/A</v>
      </c>
      <c r="BI242" s="159" t="e">
        <v>#N/A</v>
      </c>
      <c r="BJ242" s="159" t="e">
        <v>#N/A</v>
      </c>
      <c r="BK242" s="14" t="e">
        <v>#N/A</v>
      </c>
      <c r="BL242" s="14" t="e">
        <v>#N/A</v>
      </c>
      <c r="BM242" s="14" t="e">
        <v>#N/A</v>
      </c>
      <c r="BN242" s="14" t="e">
        <v>#N/A</v>
      </c>
      <c r="BO242" s="14" t="e">
        <v>#N/A</v>
      </c>
      <c r="BP242" s="182" t="e">
        <v>#N/A</v>
      </c>
      <c r="BQ242" s="183" t="e">
        <v>#N/A</v>
      </c>
    </row>
    <row r="243" spans="2:69" x14ac:dyDescent="0.35">
      <c r="B243" s="1">
        <v>224</v>
      </c>
      <c r="C243" t="str">
        <v>Product 26</v>
      </c>
      <c r="D243" s="113">
        <v>66.705998033431669</v>
      </c>
      <c r="E243" s="113">
        <v>95.575221238938042</v>
      </c>
      <c r="F243" s="113">
        <v>72.162637174211255</v>
      </c>
      <c r="G243" s="113">
        <v>96.717971260714862</v>
      </c>
      <c r="H243">
        <v>148.97433628318583</v>
      </c>
      <c r="I243" s="175">
        <v>30.820395459538631</v>
      </c>
      <c r="J243" s="113">
        <v>0</v>
      </c>
      <c r="K243">
        <v>178.76920353982302</v>
      </c>
      <c r="L243">
        <v>12</v>
      </c>
      <c r="M243">
        <v>0</v>
      </c>
      <c r="N243">
        <v>0</v>
      </c>
      <c r="O243" s="1">
        <v>28</v>
      </c>
      <c r="P243" s="138">
        <v>41722</v>
      </c>
      <c r="Q243" s="1">
        <v>65</v>
      </c>
      <c r="R243" s="95">
        <f>CHOOSE($D$4,D243,E243,F243,G243,H243,I243,J243,K243,L243,M243,N243,O243,P243,101-B243)+0.000001*ROWS($A$20:A243)</f>
        <v>96.718195260714865</v>
      </c>
      <c r="S243" s="4">
        <f t="shared" si="35"/>
        <v>231</v>
      </c>
      <c r="T243" s="4"/>
      <c r="U243" s="14">
        <f>ROWS($U$20:U243)</f>
        <v>224</v>
      </c>
      <c r="V243" s="4">
        <v>176</v>
      </c>
      <c r="W243" s="4" t="str">
        <v>Product 3</v>
      </c>
      <c r="X243" s="94">
        <v>89.208405947569446</v>
      </c>
      <c r="Y243" s="94">
        <v>93.557046979865802</v>
      </c>
      <c r="Z243" s="94">
        <v>98.050900861624797</v>
      </c>
      <c r="AA243" s="94">
        <v>97.247329839207282</v>
      </c>
      <c r="AB243" s="4">
        <v>332.07536912751686</v>
      </c>
      <c r="AC243" s="94">
        <v>185.64991614106313</v>
      </c>
      <c r="AD243" s="94">
        <v>0</v>
      </c>
      <c r="AE243" s="4">
        <v>398.49044295302025</v>
      </c>
      <c r="AF243" s="4">
        <v>12</v>
      </c>
      <c r="AG243" s="4">
        <v>0</v>
      </c>
      <c r="AH243" s="4">
        <v>0</v>
      </c>
      <c r="AI243" s="4">
        <v>14</v>
      </c>
      <c r="AJ243" s="139">
        <v>41706</v>
      </c>
      <c r="AK243" s="94">
        <v>80</v>
      </c>
      <c r="AL243" s="162">
        <v>87.494399999999999</v>
      </c>
      <c r="AM243" s="162">
        <v>90</v>
      </c>
      <c r="AN243" s="162">
        <v>98</v>
      </c>
      <c r="AO243" s="162">
        <v>99.2</v>
      </c>
      <c r="AP243" s="17">
        <v>362</v>
      </c>
      <c r="AQ243" s="162">
        <v>0</v>
      </c>
      <c r="AR243" s="162">
        <v>40</v>
      </c>
      <c r="AS243" s="17">
        <v>434.4</v>
      </c>
      <c r="AT243" s="17">
        <v>12</v>
      </c>
      <c r="AU243" s="17">
        <v>0</v>
      </c>
      <c r="AV243" s="17">
        <v>0</v>
      </c>
      <c r="AW243" s="17">
        <v>20</v>
      </c>
      <c r="AX243" s="4">
        <v>98.050900861624797</v>
      </c>
      <c r="AY243" s="4">
        <v>93.557046979865802</v>
      </c>
      <c r="BD243" s="159" t="e">
        <v>#N/A</v>
      </c>
      <c r="BE243" s="159" t="e">
        <v>#N/A</v>
      </c>
      <c r="BF243" s="159" t="e">
        <v>#N/A</v>
      </c>
      <c r="BG243" s="159" t="e">
        <v>#N/A</v>
      </c>
      <c r="BH243" s="14" t="e">
        <v>#N/A</v>
      </c>
      <c r="BI243" s="159" t="e">
        <v>#N/A</v>
      </c>
      <c r="BJ243" s="159" t="e">
        <v>#N/A</v>
      </c>
      <c r="BK243" s="14" t="e">
        <v>#N/A</v>
      </c>
      <c r="BL243" s="14" t="e">
        <v>#N/A</v>
      </c>
      <c r="BM243" s="14" t="e">
        <v>#N/A</v>
      </c>
      <c r="BN243" s="14" t="e">
        <v>#N/A</v>
      </c>
      <c r="BO243" s="14" t="e">
        <v>#N/A</v>
      </c>
      <c r="BP243" s="182" t="e">
        <v>#N/A</v>
      </c>
      <c r="BQ243" s="183" t="e">
        <v>#N/A</v>
      </c>
    </row>
    <row r="244" spans="2:69" x14ac:dyDescent="0.35">
      <c r="B244" s="1">
        <v>225</v>
      </c>
      <c r="C244" t="str">
        <v>Product 4</v>
      </c>
      <c r="D244" s="113">
        <v>89.217032967032964</v>
      </c>
      <c r="E244" s="113">
        <v>97.61904761904762</v>
      </c>
      <c r="F244" s="113">
        <v>93.447467166979365</v>
      </c>
      <c r="G244" s="113">
        <v>97.801535913266065</v>
      </c>
      <c r="H244">
        <v>237.17857142857142</v>
      </c>
      <c r="I244" s="175">
        <v>155.6350626118068</v>
      </c>
      <c r="J244" s="113">
        <v>0</v>
      </c>
      <c r="K244">
        <v>284.61428571428576</v>
      </c>
      <c r="L244">
        <v>12</v>
      </c>
      <c r="M244">
        <v>0</v>
      </c>
      <c r="N244">
        <v>0</v>
      </c>
      <c r="O244" s="1">
        <v>24</v>
      </c>
      <c r="P244" s="138">
        <v>41722</v>
      </c>
      <c r="Q244" s="1">
        <v>63</v>
      </c>
      <c r="R244" s="95">
        <f>CHOOSE($D$4,D244,E244,F244,G244,H244,I244,J244,K244,L244,M244,N244,O244,P244,101-B244)+0.000001*ROWS($A$20:A244)</f>
        <v>97.801760913266065</v>
      </c>
      <c r="S244" s="4">
        <f t="shared" si="35"/>
        <v>202</v>
      </c>
      <c r="T244" s="4"/>
      <c r="U244" s="14">
        <f>ROWS($U$20:U244)</f>
        <v>225</v>
      </c>
      <c r="V244" s="4">
        <v>171</v>
      </c>
      <c r="W244" s="4" t="str">
        <v>Product 5</v>
      </c>
      <c r="X244" s="94">
        <v>92.092932346502636</v>
      </c>
      <c r="Y244" s="94">
        <v>100</v>
      </c>
      <c r="Z244" s="94">
        <v>94.725059939539236</v>
      </c>
      <c r="AA244" s="94">
        <v>97.221297516500258</v>
      </c>
      <c r="AB244" s="4">
        <v>342.90471698113208</v>
      </c>
      <c r="AC244" s="94">
        <v>180.73821031485571</v>
      </c>
      <c r="AD244" s="94">
        <v>100</v>
      </c>
      <c r="AE244" s="4">
        <v>411.48566037735844</v>
      </c>
      <c r="AF244" s="4">
        <v>12</v>
      </c>
      <c r="AG244" s="4">
        <v>0</v>
      </c>
      <c r="AH244" s="4">
        <v>0</v>
      </c>
      <c r="AI244" s="4">
        <v>14</v>
      </c>
      <c r="AJ244" s="139">
        <v>41705</v>
      </c>
      <c r="AK244" s="94">
        <v>130</v>
      </c>
      <c r="AL244" s="162">
        <v>87.494399999999999</v>
      </c>
      <c r="AM244" s="162">
        <v>90</v>
      </c>
      <c r="AN244" s="162">
        <v>98</v>
      </c>
      <c r="AO244" s="162">
        <v>99.2</v>
      </c>
      <c r="AP244" s="17">
        <v>362</v>
      </c>
      <c r="AQ244" s="162">
        <v>0</v>
      </c>
      <c r="AR244" s="162">
        <v>40</v>
      </c>
      <c r="AS244" s="17">
        <v>434.4</v>
      </c>
      <c r="AT244" s="17">
        <v>12</v>
      </c>
      <c r="AU244" s="17">
        <v>0</v>
      </c>
      <c r="AV244" s="17">
        <v>0</v>
      </c>
      <c r="AW244" s="17">
        <v>20</v>
      </c>
      <c r="AX244" s="4">
        <v>94.725059939539236</v>
      </c>
      <c r="AY244" s="4">
        <v>100</v>
      </c>
      <c r="BD244" s="159" t="e">
        <v>#N/A</v>
      </c>
      <c r="BE244" s="159" t="e">
        <v>#N/A</v>
      </c>
      <c r="BF244" s="159" t="e">
        <v>#N/A</v>
      </c>
      <c r="BG244" s="159" t="e">
        <v>#N/A</v>
      </c>
      <c r="BH244" s="14" t="e">
        <v>#N/A</v>
      </c>
      <c r="BI244" s="159" t="e">
        <v>#N/A</v>
      </c>
      <c r="BJ244" s="159" t="e">
        <v>#N/A</v>
      </c>
      <c r="BK244" s="14" t="e">
        <v>#N/A</v>
      </c>
      <c r="BL244" s="14" t="e">
        <v>#N/A</v>
      </c>
      <c r="BM244" s="14" t="e">
        <v>#N/A</v>
      </c>
      <c r="BN244" s="14" t="e">
        <v>#N/A</v>
      </c>
      <c r="BO244" s="14" t="e">
        <v>#N/A</v>
      </c>
      <c r="BP244" s="182" t="e">
        <v>#N/A</v>
      </c>
      <c r="BQ244" s="183" t="e">
        <v>#N/A</v>
      </c>
    </row>
    <row r="245" spans="2:69" x14ac:dyDescent="0.35">
      <c r="B245" s="1">
        <v>226</v>
      </c>
      <c r="C245" t="str">
        <v>Product 2</v>
      </c>
      <c r="D245" s="113">
        <v>96.10591016548463</v>
      </c>
      <c r="E245" s="113">
        <v>98.723404255319153</v>
      </c>
      <c r="F245" s="113">
        <v>98.146871008939968</v>
      </c>
      <c r="G245" s="113">
        <v>99.186716808286377</v>
      </c>
      <c r="H245">
        <v>261.61361702127658</v>
      </c>
      <c r="I245" s="175">
        <v>185.71672393610996</v>
      </c>
      <c r="J245" s="113">
        <v>0</v>
      </c>
      <c r="K245">
        <v>313.93634042553191</v>
      </c>
      <c r="L245">
        <v>12</v>
      </c>
      <c r="M245">
        <v>0</v>
      </c>
      <c r="N245">
        <v>0</v>
      </c>
      <c r="O245" s="1">
        <v>21</v>
      </c>
      <c r="P245" s="138">
        <v>41722</v>
      </c>
      <c r="Q245" s="1">
        <v>117</v>
      </c>
      <c r="R245" s="95">
        <f>CHOOSE($D$4,D245,E245,F245,G245,H245,I245,J245,K245,L245,M245,N245,O245,P245,101-B245)+0.000001*ROWS($A$20:A245)</f>
        <v>99.186942808286375</v>
      </c>
      <c r="S245" s="4">
        <f t="shared" si="35"/>
        <v>50</v>
      </c>
      <c r="T245" s="4"/>
      <c r="U245" s="14">
        <f>ROWS($U$20:U245)</f>
        <v>226</v>
      </c>
      <c r="V245" s="4">
        <v>137</v>
      </c>
      <c r="W245" s="4" t="str">
        <v>Product 3</v>
      </c>
      <c r="X245" s="94">
        <v>99.669402125457978</v>
      </c>
      <c r="Y245" s="94">
        <v>95.49549549549549</v>
      </c>
      <c r="Z245" s="94">
        <v>107.48515508225469</v>
      </c>
      <c r="AA245" s="94">
        <v>97.102515168998821</v>
      </c>
      <c r="AB245" s="4">
        <v>355.2319819819819</v>
      </c>
      <c r="AC245" s="94">
        <v>194.20188140267928</v>
      </c>
      <c r="AD245" s="94">
        <v>0</v>
      </c>
      <c r="AE245" s="4">
        <v>426.27837837837831</v>
      </c>
      <c r="AF245" s="4">
        <v>12</v>
      </c>
      <c r="AG245" s="4">
        <v>0</v>
      </c>
      <c r="AH245" s="4">
        <v>0</v>
      </c>
      <c r="AI245" s="4">
        <v>16</v>
      </c>
      <c r="AJ245" s="139">
        <v>41691</v>
      </c>
      <c r="AK245" s="94">
        <v>96</v>
      </c>
      <c r="AL245" s="162">
        <v>87.494399999999999</v>
      </c>
      <c r="AM245" s="162">
        <v>90</v>
      </c>
      <c r="AN245" s="162">
        <v>98</v>
      </c>
      <c r="AO245" s="162">
        <v>99.2</v>
      </c>
      <c r="AP245" s="17">
        <v>346.08333333333331</v>
      </c>
      <c r="AQ245" s="162">
        <v>0</v>
      </c>
      <c r="AR245" s="162">
        <v>40</v>
      </c>
      <c r="AS245" s="17">
        <v>415.3</v>
      </c>
      <c r="AT245" s="17">
        <v>12</v>
      </c>
      <c r="AU245" s="17">
        <v>0</v>
      </c>
      <c r="AV245" s="17">
        <v>0</v>
      </c>
      <c r="AW245" s="17">
        <v>20</v>
      </c>
      <c r="AX245" s="4">
        <v>107.48515508225469</v>
      </c>
      <c r="AY245" s="4">
        <v>95.49549549549549</v>
      </c>
      <c r="BD245" s="159" t="e">
        <v>#N/A</v>
      </c>
      <c r="BE245" s="159" t="e">
        <v>#N/A</v>
      </c>
      <c r="BF245" s="159" t="e">
        <v>#N/A</v>
      </c>
      <c r="BG245" s="159" t="e">
        <v>#N/A</v>
      </c>
      <c r="BH245" s="14" t="e">
        <v>#N/A</v>
      </c>
      <c r="BI245" s="159" t="e">
        <v>#N/A</v>
      </c>
      <c r="BJ245" s="159" t="e">
        <v>#N/A</v>
      </c>
      <c r="BK245" s="14" t="e">
        <v>#N/A</v>
      </c>
      <c r="BL245" s="14" t="e">
        <v>#N/A</v>
      </c>
      <c r="BM245" s="14" t="e">
        <v>#N/A</v>
      </c>
      <c r="BN245" s="14" t="e">
        <v>#N/A</v>
      </c>
      <c r="BO245" s="14" t="e">
        <v>#N/A</v>
      </c>
      <c r="BP245" s="182" t="e">
        <v>#N/A</v>
      </c>
      <c r="BQ245" s="183" t="e">
        <v>#N/A</v>
      </c>
    </row>
    <row r="246" spans="2:69" x14ac:dyDescent="0.35">
      <c r="B246" s="1">
        <v>227</v>
      </c>
      <c r="C246" t="str">
        <v>Product 3</v>
      </c>
      <c r="D246" s="113">
        <v>92.46026968456539</v>
      </c>
      <c r="E246" s="113">
        <v>94.444444444444457</v>
      </c>
      <c r="F246" s="113">
        <v>99.539843628277225</v>
      </c>
      <c r="G246" s="113">
        <v>98.351680602765171</v>
      </c>
      <c r="H246">
        <v>325.35243055555554</v>
      </c>
      <c r="I246" s="175">
        <v>184.85860614501996</v>
      </c>
      <c r="J246" s="113">
        <v>33.912975583639145</v>
      </c>
      <c r="K246">
        <v>390.42291666666665</v>
      </c>
      <c r="L246">
        <v>12</v>
      </c>
      <c r="M246">
        <v>0</v>
      </c>
      <c r="N246">
        <v>0</v>
      </c>
      <c r="O246" s="1">
        <v>14</v>
      </c>
      <c r="P246" s="138">
        <v>41722</v>
      </c>
      <c r="Q246" s="1">
        <v>103</v>
      </c>
      <c r="R246" s="95">
        <f>CHOOSE($D$4,D246,E246,F246,G246,H246,I246,J246,K246,L246,M246,N246,O246,P246,101-B246)+0.000001*ROWS($A$20:A246)</f>
        <v>98.351907602765166</v>
      </c>
      <c r="S246" s="4">
        <f t="shared" si="35"/>
        <v>162</v>
      </c>
      <c r="T246" s="4"/>
      <c r="U246" s="14">
        <f>ROWS($U$20:U246)</f>
        <v>227</v>
      </c>
      <c r="V246" s="4">
        <v>153</v>
      </c>
      <c r="W246" s="4" t="str">
        <v>Product 3</v>
      </c>
      <c r="X246" s="94">
        <v>52.133623284372746</v>
      </c>
      <c r="Y246" s="94">
        <v>52.604166666666664</v>
      </c>
      <c r="Z246" s="94">
        <v>102.20239216312675</v>
      </c>
      <c r="AA246" s="94">
        <v>96.969845413129747</v>
      </c>
      <c r="AB246" s="4">
        <v>186.06380208333331</v>
      </c>
      <c r="AC246" s="94">
        <v>133.46128700849914</v>
      </c>
      <c r="AD246" s="94">
        <v>0</v>
      </c>
      <c r="AE246" s="4">
        <v>223.27656250000001</v>
      </c>
      <c r="AF246" s="4">
        <v>12</v>
      </c>
      <c r="AG246" s="4">
        <v>0</v>
      </c>
      <c r="AH246" s="4">
        <v>0</v>
      </c>
      <c r="AI246" s="4">
        <v>15</v>
      </c>
      <c r="AJ246" s="139">
        <v>41691</v>
      </c>
      <c r="AK246" s="94">
        <v>104</v>
      </c>
      <c r="AL246" s="162">
        <v>87.494399999999999</v>
      </c>
      <c r="AM246" s="162">
        <v>90</v>
      </c>
      <c r="AN246" s="162">
        <v>98</v>
      </c>
      <c r="AO246" s="162">
        <v>99.2</v>
      </c>
      <c r="AP246" s="17">
        <v>346.08333333333331</v>
      </c>
      <c r="AQ246" s="162">
        <v>0</v>
      </c>
      <c r="AR246" s="162">
        <v>40</v>
      </c>
      <c r="AS246" s="17">
        <v>415.3</v>
      </c>
      <c r="AT246" s="17">
        <v>12</v>
      </c>
      <c r="AU246" s="17">
        <v>0</v>
      </c>
      <c r="AV246" s="17">
        <v>0</v>
      </c>
      <c r="AW246" s="17">
        <v>20</v>
      </c>
      <c r="AX246" s="4">
        <v>102.20239216312675</v>
      </c>
      <c r="AY246" s="4">
        <v>52.604166666666664</v>
      </c>
      <c r="BD246" s="159" t="e">
        <v>#N/A</v>
      </c>
      <c r="BE246" s="159" t="e">
        <v>#N/A</v>
      </c>
      <c r="BF246" s="159" t="e">
        <v>#N/A</v>
      </c>
      <c r="BG246" s="159" t="e">
        <v>#N/A</v>
      </c>
      <c r="BH246" s="14" t="e">
        <v>#N/A</v>
      </c>
      <c r="BI246" s="159" t="e">
        <v>#N/A</v>
      </c>
      <c r="BJ246" s="159" t="e">
        <v>#N/A</v>
      </c>
      <c r="BK246" s="14" t="e">
        <v>#N/A</v>
      </c>
      <c r="BL246" s="14" t="e">
        <v>#N/A</v>
      </c>
      <c r="BM246" s="14" t="e">
        <v>#N/A</v>
      </c>
      <c r="BN246" s="14" t="e">
        <v>#N/A</v>
      </c>
      <c r="BO246" s="14" t="e">
        <v>#N/A</v>
      </c>
      <c r="BP246" s="182" t="e">
        <v>#N/A</v>
      </c>
      <c r="BQ246" s="183" t="e">
        <v>#N/A</v>
      </c>
    </row>
    <row r="247" spans="2:69" x14ac:dyDescent="0.35">
      <c r="B247" s="1">
        <v>228</v>
      </c>
      <c r="C247" t="str">
        <v>Product 11</v>
      </c>
      <c r="D247" s="113">
        <v>47.503081664098609</v>
      </c>
      <c r="E247" s="113">
        <v>73.559322033898283</v>
      </c>
      <c r="F247" s="113">
        <v>65.563076036866377</v>
      </c>
      <c r="G247" s="113">
        <v>98.49739515212751</v>
      </c>
      <c r="H247">
        <v>169.76169491525425</v>
      </c>
      <c r="I247" s="175">
        <v>180.13697398285666</v>
      </c>
      <c r="J247" s="113">
        <v>0</v>
      </c>
      <c r="K247">
        <v>203.7140338983051</v>
      </c>
      <c r="L247">
        <v>12</v>
      </c>
      <c r="M247">
        <v>0</v>
      </c>
      <c r="N247">
        <v>0</v>
      </c>
      <c r="O247" s="1">
        <v>23</v>
      </c>
      <c r="P247" s="138">
        <v>41723</v>
      </c>
      <c r="Q247" s="1">
        <v>79</v>
      </c>
      <c r="R247" s="95">
        <f>CHOOSE($D$4,D247,E247,F247,G247,H247,I247,J247,K247,L247,M247,N247,O247,P247,101-B247)+0.000001*ROWS($A$20:A247)</f>
        <v>98.497623152127517</v>
      </c>
      <c r="S247" s="4">
        <f t="shared" si="35"/>
        <v>143</v>
      </c>
      <c r="T247" s="4"/>
      <c r="U247" s="14">
        <f>ROWS($U$20:U247)</f>
        <v>228</v>
      </c>
      <c r="V247" s="4">
        <v>127</v>
      </c>
      <c r="W247" s="4" t="str">
        <v>Product 3</v>
      </c>
      <c r="X247" s="94">
        <v>87.127989577802168</v>
      </c>
      <c r="Y247" s="94">
        <v>86.102062975027167</v>
      </c>
      <c r="Z247" s="94">
        <v>104.49092088886349</v>
      </c>
      <c r="AA247" s="94">
        <v>96.842407908940004</v>
      </c>
      <c r="AB247" s="4">
        <v>311.36715526601523</v>
      </c>
      <c r="AC247" s="94">
        <v>116.76268322475572</v>
      </c>
      <c r="AD247" s="94">
        <v>16.083517292126565</v>
      </c>
      <c r="AE247" s="4">
        <v>373.6405863192183</v>
      </c>
      <c r="AF247" s="4">
        <v>12</v>
      </c>
      <c r="AG247" s="4">
        <v>0</v>
      </c>
      <c r="AH247" s="4">
        <v>0</v>
      </c>
      <c r="AI247" s="4">
        <v>20</v>
      </c>
      <c r="AJ247" s="139">
        <v>41688</v>
      </c>
      <c r="AK247" s="94">
        <v>104</v>
      </c>
      <c r="AL247" s="162">
        <v>87.494399999999999</v>
      </c>
      <c r="AM247" s="162">
        <v>90</v>
      </c>
      <c r="AN247" s="162">
        <v>98</v>
      </c>
      <c r="AO247" s="162">
        <v>99.2</v>
      </c>
      <c r="AP247" s="17">
        <v>346.08333333333331</v>
      </c>
      <c r="AQ247" s="162">
        <v>0</v>
      </c>
      <c r="AR247" s="162">
        <v>40</v>
      </c>
      <c r="AS247" s="17">
        <v>415.3</v>
      </c>
      <c r="AT247" s="17">
        <v>12</v>
      </c>
      <c r="AU247" s="17">
        <v>0</v>
      </c>
      <c r="AV247" s="17">
        <v>0</v>
      </c>
      <c r="AW247" s="17">
        <v>20</v>
      </c>
      <c r="AX247" s="4">
        <v>104.49092088886349</v>
      </c>
      <c r="AY247" s="4">
        <v>86.102062975027167</v>
      </c>
      <c r="BD247" s="159" t="e">
        <v>#N/A</v>
      </c>
      <c r="BE247" s="159" t="e">
        <v>#N/A</v>
      </c>
      <c r="BF247" s="159" t="e">
        <v>#N/A</v>
      </c>
      <c r="BG247" s="159" t="e">
        <v>#N/A</v>
      </c>
      <c r="BH247" s="14" t="e">
        <v>#N/A</v>
      </c>
      <c r="BI247" s="159" t="e">
        <v>#N/A</v>
      </c>
      <c r="BJ247" s="159" t="e">
        <v>#N/A</v>
      </c>
      <c r="BK247" s="14" t="e">
        <v>#N/A</v>
      </c>
      <c r="BL247" s="14" t="e">
        <v>#N/A</v>
      </c>
      <c r="BM247" s="14" t="e">
        <v>#N/A</v>
      </c>
      <c r="BN247" s="14" t="e">
        <v>#N/A</v>
      </c>
      <c r="BO247" s="14" t="e">
        <v>#N/A</v>
      </c>
      <c r="BP247" s="182" t="e">
        <v>#N/A</v>
      </c>
      <c r="BQ247" s="183" t="e">
        <v>#N/A</v>
      </c>
    </row>
    <row r="248" spans="2:69" x14ac:dyDescent="0.35">
      <c r="B248" s="1">
        <v>229</v>
      </c>
      <c r="C248" t="str">
        <v>Product 17</v>
      </c>
      <c r="D248" s="113">
        <v>75.336700336700318</v>
      </c>
      <c r="E248" s="113">
        <v>98.271604938271594</v>
      </c>
      <c r="F248" s="113">
        <v>77.368375970762898</v>
      </c>
      <c r="G248" s="113">
        <v>99.086631608081916</v>
      </c>
      <c r="H248">
        <v>267.62962962962962</v>
      </c>
      <c r="I248" s="175">
        <v>180.10368548735502</v>
      </c>
      <c r="J248" s="113">
        <v>13.083340973686624</v>
      </c>
      <c r="K248">
        <v>321.15555555555557</v>
      </c>
      <c r="L248">
        <v>12</v>
      </c>
      <c r="M248">
        <v>0</v>
      </c>
      <c r="N248">
        <v>0</v>
      </c>
      <c r="O248" s="1">
        <v>22</v>
      </c>
      <c r="P248" s="138">
        <v>41724</v>
      </c>
      <c r="Q248" s="1">
        <v>78</v>
      </c>
      <c r="R248" s="95">
        <f>CHOOSE($D$4,D248,E248,F248,G248,H248,I248,J248,K248,L248,M248,N248,O248,P248,101-B248)+0.000001*ROWS($A$20:A248)</f>
        <v>99.086860608081921</v>
      </c>
      <c r="S248" s="4">
        <f t="shared" si="35"/>
        <v>64</v>
      </c>
      <c r="T248" s="4"/>
      <c r="U248" s="14">
        <f>ROWS($U$20:U248)</f>
        <v>229</v>
      </c>
      <c r="V248" s="4">
        <v>36</v>
      </c>
      <c r="W248" s="4" t="str">
        <v>Product 2</v>
      </c>
      <c r="X248" s="94">
        <v>82.969529085872566</v>
      </c>
      <c r="Y248" s="94">
        <v>89.999999999999986</v>
      </c>
      <c r="Z248" s="94">
        <v>95.227762388427209</v>
      </c>
      <c r="AA248" s="94">
        <v>96.808287141033304</v>
      </c>
      <c r="AB248" s="4">
        <v>244.2592105263158</v>
      </c>
      <c r="AC248" s="94">
        <v>98.371575433204399</v>
      </c>
      <c r="AD248" s="94">
        <v>40.797714536864085</v>
      </c>
      <c r="AE248" s="4">
        <v>293.1110526315789</v>
      </c>
      <c r="AF248" s="4">
        <v>12</v>
      </c>
      <c r="AG248" s="4">
        <v>0</v>
      </c>
      <c r="AH248" s="4">
        <v>0</v>
      </c>
      <c r="AI248" s="4">
        <v>22</v>
      </c>
      <c r="AJ248" s="139">
        <v>41652</v>
      </c>
      <c r="AK248" s="94">
        <v>85</v>
      </c>
      <c r="AL248" s="162">
        <v>87.317999999999998</v>
      </c>
      <c r="AM248" s="162">
        <v>90</v>
      </c>
      <c r="AN248" s="162">
        <v>98</v>
      </c>
      <c r="AO248" s="162">
        <v>99</v>
      </c>
      <c r="AP248" s="17">
        <v>285</v>
      </c>
      <c r="AQ248" s="162">
        <v>0</v>
      </c>
      <c r="AR248" s="162">
        <v>40</v>
      </c>
      <c r="AS248" s="17">
        <v>342</v>
      </c>
      <c r="AT248" s="17">
        <v>12</v>
      </c>
      <c r="AU248" s="17">
        <v>0</v>
      </c>
      <c r="AV248" s="17">
        <v>0</v>
      </c>
      <c r="AW248" s="17">
        <v>20</v>
      </c>
      <c r="AX248" s="4">
        <v>95.227762388427209</v>
      </c>
      <c r="AY248" s="4">
        <v>89.999999999999986</v>
      </c>
      <c r="BD248" s="159">
        <v>82.969529085872566</v>
      </c>
      <c r="BE248" s="159">
        <v>89.999999999999986</v>
      </c>
      <c r="BF248" s="159">
        <v>95.227762388427209</v>
      </c>
      <c r="BG248" s="159">
        <v>96.808287141033304</v>
      </c>
      <c r="BH248" s="14">
        <v>244.2592105263158</v>
      </c>
      <c r="BI248" s="159">
        <v>98.371575433204399</v>
      </c>
      <c r="BJ248" s="159">
        <v>40.797714536864085</v>
      </c>
      <c r="BK248" s="14">
        <v>293.1110526315789</v>
      </c>
      <c r="BL248" s="14">
        <v>12</v>
      </c>
      <c r="BM248" s="14">
        <v>0</v>
      </c>
      <c r="BN248" s="14">
        <v>0</v>
      </c>
      <c r="BO248" s="14">
        <v>22</v>
      </c>
      <c r="BP248" s="182">
        <v>41652</v>
      </c>
      <c r="BQ248" s="183">
        <v>85</v>
      </c>
    </row>
    <row r="249" spans="2:69" x14ac:dyDescent="0.35">
      <c r="B249" s="1">
        <v>230</v>
      </c>
      <c r="C249" t="str">
        <v>Product 13</v>
      </c>
      <c r="D249" s="113">
        <v>60.146103896103888</v>
      </c>
      <c r="E249" s="113">
        <v>57.142857142857139</v>
      </c>
      <c r="F249" s="113">
        <v>106.42755681818181</v>
      </c>
      <c r="G249" s="113">
        <v>98.898898898898906</v>
      </c>
      <c r="H249">
        <v>214.07142857142858</v>
      </c>
      <c r="I249" s="175">
        <v>170.87633274417013</v>
      </c>
      <c r="J249" s="113">
        <v>77.411402157164872</v>
      </c>
      <c r="K249">
        <v>256.88571428571424</v>
      </c>
      <c r="L249">
        <v>12</v>
      </c>
      <c r="M249">
        <v>0</v>
      </c>
      <c r="N249">
        <v>0</v>
      </c>
      <c r="O249" s="1">
        <v>30</v>
      </c>
      <c r="P249" s="138">
        <v>41723</v>
      </c>
      <c r="Q249" s="1">
        <v>87</v>
      </c>
      <c r="R249" s="95">
        <f>CHOOSE($D$4,D249,E249,F249,G249,H249,I249,J249,K249,L249,M249,N249,O249,P249,101-B249)+0.000001*ROWS($A$20:A249)</f>
        <v>98.899128898898908</v>
      </c>
      <c r="S249" s="4">
        <f t="shared" si="35"/>
        <v>89</v>
      </c>
      <c r="T249" s="4"/>
      <c r="U249" s="14">
        <f>ROWS($U$20:U249)</f>
        <v>230</v>
      </c>
      <c r="V249" s="4">
        <v>233</v>
      </c>
      <c r="W249" s="4" t="str">
        <v>Product 3</v>
      </c>
      <c r="X249" s="94">
        <v>60.043102261025027</v>
      </c>
      <c r="Y249" s="94">
        <v>65.867158671586722</v>
      </c>
      <c r="Z249" s="94">
        <v>94.172806131843529</v>
      </c>
      <c r="AA249" s="94">
        <v>96.798512103128303</v>
      </c>
      <c r="AB249" s="4">
        <v>214.67186346863468</v>
      </c>
      <c r="AC249" s="94">
        <v>183.33711503462621</v>
      </c>
      <c r="AD249" s="94">
        <v>47.870725828051071</v>
      </c>
      <c r="AE249" s="4">
        <v>257.6062361623616</v>
      </c>
      <c r="AF249" s="4">
        <v>12</v>
      </c>
      <c r="AG249" s="4">
        <v>0</v>
      </c>
      <c r="AH249" s="4">
        <v>0</v>
      </c>
      <c r="AI249" s="4">
        <v>15</v>
      </c>
      <c r="AJ249" s="139">
        <v>41724</v>
      </c>
      <c r="AK249" s="94">
        <v>60</v>
      </c>
      <c r="AL249" s="162">
        <v>87.494399999999999</v>
      </c>
      <c r="AM249" s="162">
        <v>90</v>
      </c>
      <c r="AN249" s="162">
        <v>98</v>
      </c>
      <c r="AO249" s="162">
        <v>99.2</v>
      </c>
      <c r="AP249" s="17">
        <v>346.08333333333331</v>
      </c>
      <c r="AQ249" s="162">
        <v>0</v>
      </c>
      <c r="AR249" s="162">
        <v>40</v>
      </c>
      <c r="AS249" s="17">
        <v>415.3</v>
      </c>
      <c r="AT249" s="17">
        <v>12</v>
      </c>
      <c r="AU249" s="17">
        <v>0</v>
      </c>
      <c r="AV249" s="17">
        <v>0</v>
      </c>
      <c r="AW249" s="17">
        <v>20</v>
      </c>
      <c r="AX249" s="4">
        <v>94.172806131843529</v>
      </c>
      <c r="AY249" s="4">
        <v>65.867158671586722</v>
      </c>
      <c r="BD249" s="159" t="e">
        <v>#N/A</v>
      </c>
      <c r="BE249" s="159" t="e">
        <v>#N/A</v>
      </c>
      <c r="BF249" s="159" t="e">
        <v>#N/A</v>
      </c>
      <c r="BG249" s="159" t="e">
        <v>#N/A</v>
      </c>
      <c r="BH249" s="14" t="e">
        <v>#N/A</v>
      </c>
      <c r="BI249" s="159" t="e">
        <v>#N/A</v>
      </c>
      <c r="BJ249" s="159" t="e">
        <v>#N/A</v>
      </c>
      <c r="BK249" s="14" t="e">
        <v>#N/A</v>
      </c>
      <c r="BL249" s="14" t="e">
        <v>#N/A</v>
      </c>
      <c r="BM249" s="14" t="e">
        <v>#N/A</v>
      </c>
      <c r="BN249" s="14" t="e">
        <v>#N/A</v>
      </c>
      <c r="BO249" s="14" t="e">
        <v>#N/A</v>
      </c>
      <c r="BP249" s="182" t="e">
        <v>#N/A</v>
      </c>
      <c r="BQ249" s="183" t="e">
        <v>#N/A</v>
      </c>
    </row>
    <row r="250" spans="2:69" x14ac:dyDescent="0.35">
      <c r="B250" s="1">
        <v>231</v>
      </c>
      <c r="C250" t="str">
        <v>Product 3</v>
      </c>
      <c r="D250" s="113">
        <v>87.691213266470541</v>
      </c>
      <c r="E250" s="113">
        <v>93.369565217391298</v>
      </c>
      <c r="F250" s="113">
        <v>95.147869879327601</v>
      </c>
      <c r="G250" s="113">
        <v>98.707845446295337</v>
      </c>
      <c r="H250">
        <v>307.45749999999998</v>
      </c>
      <c r="I250" s="175">
        <v>182.09733801139473</v>
      </c>
      <c r="J250" s="113">
        <v>0</v>
      </c>
      <c r="K250">
        <v>368.94899999999996</v>
      </c>
      <c r="L250">
        <v>12</v>
      </c>
      <c r="M250">
        <v>0</v>
      </c>
      <c r="N250">
        <v>0</v>
      </c>
      <c r="O250" s="1">
        <v>30</v>
      </c>
      <c r="P250" s="138">
        <v>41723</v>
      </c>
      <c r="Q250" s="1">
        <v>110</v>
      </c>
      <c r="R250" s="95">
        <f>CHOOSE($D$4,D250,E250,F250,G250,H250,I250,J250,K250,L250,M250,N250,O250,P250,101-B250)+0.000001*ROWS($A$20:A250)</f>
        <v>98.708076446295337</v>
      </c>
      <c r="S250" s="4">
        <f t="shared" si="35"/>
        <v>113</v>
      </c>
      <c r="T250" s="4"/>
      <c r="U250" s="14">
        <f>ROWS($U$20:U250)</f>
        <v>231</v>
      </c>
      <c r="V250" s="4">
        <v>224</v>
      </c>
      <c r="W250" s="4" t="str">
        <v>Product 26</v>
      </c>
      <c r="X250" s="94">
        <v>66.705998033431669</v>
      </c>
      <c r="Y250" s="94">
        <v>95.575221238938042</v>
      </c>
      <c r="Z250" s="94">
        <v>72.162637174211255</v>
      </c>
      <c r="AA250" s="94">
        <v>96.717971260714862</v>
      </c>
      <c r="AB250" s="4">
        <v>148.97433628318583</v>
      </c>
      <c r="AC250" s="94">
        <v>30.820395459538631</v>
      </c>
      <c r="AD250" s="94">
        <v>0</v>
      </c>
      <c r="AE250" s="4">
        <v>178.76920353982302</v>
      </c>
      <c r="AF250" s="4">
        <v>12</v>
      </c>
      <c r="AG250" s="4">
        <v>0</v>
      </c>
      <c r="AH250" s="4">
        <v>0</v>
      </c>
      <c r="AI250" s="4">
        <v>28</v>
      </c>
      <c r="AJ250" s="139">
        <v>41722</v>
      </c>
      <c r="AK250" s="94">
        <v>65</v>
      </c>
      <c r="AL250" s="162">
        <v>86.87700000000001</v>
      </c>
      <c r="AM250" s="162">
        <v>90</v>
      </c>
      <c r="AN250" s="162">
        <v>98</v>
      </c>
      <c r="AO250" s="162">
        <v>98.5</v>
      </c>
      <c r="AP250" s="17">
        <v>216</v>
      </c>
      <c r="AQ250" s="162">
        <v>0</v>
      </c>
      <c r="AR250" s="162">
        <v>40</v>
      </c>
      <c r="AS250" s="17">
        <v>259.2</v>
      </c>
      <c r="AT250" s="17">
        <v>12</v>
      </c>
      <c r="AU250" s="17">
        <v>0</v>
      </c>
      <c r="AV250" s="17">
        <v>0</v>
      </c>
      <c r="AW250" s="17">
        <v>20</v>
      </c>
      <c r="AX250" s="4">
        <v>72.162637174211255</v>
      </c>
      <c r="AY250" s="4">
        <v>95.575221238938042</v>
      </c>
      <c r="BD250" s="159">
        <v>66.705998033431669</v>
      </c>
      <c r="BE250" s="159">
        <v>95.575221238938042</v>
      </c>
      <c r="BF250" s="159">
        <v>72.162637174211255</v>
      </c>
      <c r="BG250" s="159">
        <v>96.717971260714862</v>
      </c>
      <c r="BH250" s="14">
        <v>148.97433628318583</v>
      </c>
      <c r="BI250" s="159">
        <v>30.820395459538631</v>
      </c>
      <c r="BJ250" s="159">
        <v>0</v>
      </c>
      <c r="BK250" s="14">
        <v>178.76920353982302</v>
      </c>
      <c r="BL250" s="14">
        <v>12</v>
      </c>
      <c r="BM250" s="14">
        <v>0</v>
      </c>
      <c r="BN250" s="14">
        <v>0</v>
      </c>
      <c r="BO250" s="14">
        <v>28</v>
      </c>
      <c r="BP250" s="182">
        <v>41722</v>
      </c>
      <c r="BQ250" s="183">
        <v>65</v>
      </c>
    </row>
    <row r="251" spans="2:69" x14ac:dyDescent="0.35">
      <c r="B251" s="1">
        <v>232</v>
      </c>
      <c r="C251" t="str">
        <v>Product 13</v>
      </c>
      <c r="D251" s="113">
        <v>89.56228956228955</v>
      </c>
      <c r="E251" s="113">
        <v>98.271604938271594</v>
      </c>
      <c r="F251" s="113">
        <v>91.360210141617188</v>
      </c>
      <c r="G251" s="113">
        <v>99.756234764672797</v>
      </c>
      <c r="H251">
        <v>296.27777777777777</v>
      </c>
      <c r="I251" s="175">
        <v>165.94177845387915</v>
      </c>
      <c r="J251" s="113">
        <v>77.361733931240664</v>
      </c>
      <c r="K251">
        <v>355.53333333333336</v>
      </c>
      <c r="L251">
        <v>12</v>
      </c>
      <c r="M251">
        <v>0</v>
      </c>
      <c r="N251">
        <v>0</v>
      </c>
      <c r="O251" s="1">
        <v>29</v>
      </c>
      <c r="P251" s="138">
        <v>41724</v>
      </c>
      <c r="Q251" s="1">
        <v>65</v>
      </c>
      <c r="R251" s="95">
        <f>CHOOSE($D$4,D251,E251,F251,G251,H251,I251,J251,K251,L251,M251,N251,O251,P251,101-B251)+0.000001*ROWS($A$20:A251)</f>
        <v>99.756466764672794</v>
      </c>
      <c r="S251" s="4">
        <f t="shared" si="35"/>
        <v>15</v>
      </c>
      <c r="T251" s="4"/>
      <c r="U251" s="14">
        <f>ROWS($U$20:U251)</f>
        <v>232</v>
      </c>
      <c r="V251" s="4">
        <v>109</v>
      </c>
      <c r="W251" s="4" t="str">
        <v>Product 3</v>
      </c>
      <c r="X251" s="94">
        <v>73.819088287733052</v>
      </c>
      <c r="Y251" s="94">
        <v>79.681274900398407</v>
      </c>
      <c r="Z251" s="94">
        <v>95.946362799263355</v>
      </c>
      <c r="AA251" s="94">
        <v>96.55702738302891</v>
      </c>
      <c r="AB251" s="4">
        <v>276.75365205843286</v>
      </c>
      <c r="AC251" s="94">
        <v>110.68676138627008</v>
      </c>
      <c r="AD251" s="94">
        <v>36.656005685856428</v>
      </c>
      <c r="AE251" s="4">
        <v>332.1043824701195</v>
      </c>
      <c r="AF251" s="4">
        <v>12</v>
      </c>
      <c r="AG251" s="4">
        <v>0</v>
      </c>
      <c r="AH251" s="4">
        <v>0</v>
      </c>
      <c r="AI251" s="4">
        <v>27</v>
      </c>
      <c r="AJ251" s="139">
        <v>41677</v>
      </c>
      <c r="AK251" s="94">
        <v>77</v>
      </c>
      <c r="AL251" s="162">
        <v>87.494399999999999</v>
      </c>
      <c r="AM251" s="162">
        <v>90</v>
      </c>
      <c r="AN251" s="162">
        <v>98</v>
      </c>
      <c r="AO251" s="162">
        <v>99.2</v>
      </c>
      <c r="AP251" s="17">
        <v>362</v>
      </c>
      <c r="AQ251" s="162">
        <v>0</v>
      </c>
      <c r="AR251" s="162">
        <v>40</v>
      </c>
      <c r="AS251" s="17">
        <v>434.4</v>
      </c>
      <c r="AT251" s="17">
        <v>12</v>
      </c>
      <c r="AU251" s="17">
        <v>0</v>
      </c>
      <c r="AV251" s="17">
        <v>0</v>
      </c>
      <c r="AW251" s="17">
        <v>20</v>
      </c>
      <c r="AX251" s="4">
        <v>95.946362799263355</v>
      </c>
      <c r="AY251" s="4">
        <v>79.681274900398407</v>
      </c>
      <c r="BD251" s="159" t="e">
        <v>#N/A</v>
      </c>
      <c r="BE251" s="159" t="e">
        <v>#N/A</v>
      </c>
      <c r="BF251" s="159" t="e">
        <v>#N/A</v>
      </c>
      <c r="BG251" s="159" t="e">
        <v>#N/A</v>
      </c>
      <c r="BH251" s="14" t="e">
        <v>#N/A</v>
      </c>
      <c r="BI251" s="159" t="e">
        <v>#N/A</v>
      </c>
      <c r="BJ251" s="159" t="e">
        <v>#N/A</v>
      </c>
      <c r="BK251" s="14" t="e">
        <v>#N/A</v>
      </c>
      <c r="BL251" s="14" t="e">
        <v>#N/A</v>
      </c>
      <c r="BM251" s="14" t="e">
        <v>#N/A</v>
      </c>
      <c r="BN251" s="14" t="e">
        <v>#N/A</v>
      </c>
      <c r="BO251" s="14" t="e">
        <v>#N/A</v>
      </c>
      <c r="BP251" s="182" t="e">
        <v>#N/A</v>
      </c>
      <c r="BQ251" s="183" t="e">
        <v>#N/A</v>
      </c>
    </row>
    <row r="252" spans="2:69" x14ac:dyDescent="0.35">
      <c r="B252" s="1">
        <v>233</v>
      </c>
      <c r="C252" t="str">
        <v>Product 3</v>
      </c>
      <c r="D252" s="113">
        <v>60.043102261025027</v>
      </c>
      <c r="E252" s="113">
        <v>65.867158671586722</v>
      </c>
      <c r="F252" s="113">
        <v>94.172806131843529</v>
      </c>
      <c r="G252" s="113">
        <v>96.798512103128303</v>
      </c>
      <c r="H252">
        <v>214.67186346863468</v>
      </c>
      <c r="I252" s="175">
        <v>183.33711503462621</v>
      </c>
      <c r="J252" s="113">
        <v>47.870725828051071</v>
      </c>
      <c r="K252">
        <v>257.6062361623616</v>
      </c>
      <c r="L252">
        <v>12</v>
      </c>
      <c r="M252">
        <v>0</v>
      </c>
      <c r="N252">
        <v>0</v>
      </c>
      <c r="O252" s="1">
        <v>15</v>
      </c>
      <c r="P252" s="138">
        <v>41724</v>
      </c>
      <c r="Q252" s="1">
        <v>60</v>
      </c>
      <c r="R252" s="95">
        <f>CHOOSE($D$4,D252,E252,F252,G252,H252,I252,J252,K252,L252,M252,N252,O252,P252,101-B252)+0.000001*ROWS($A$20:A252)</f>
        <v>96.798745103128297</v>
      </c>
      <c r="S252" s="4">
        <f t="shared" si="35"/>
        <v>230</v>
      </c>
      <c r="T252" s="4"/>
      <c r="U252" s="14">
        <f>ROWS($U$20:U252)</f>
        <v>233</v>
      </c>
      <c r="V252" s="4">
        <v>179</v>
      </c>
      <c r="W252" s="4" t="str">
        <v>Product 23</v>
      </c>
      <c r="X252" s="94">
        <v>46.666666666666671</v>
      </c>
      <c r="Y252" s="94">
        <v>68.749999999999986</v>
      </c>
      <c r="Z252" s="94">
        <v>70.384615384615401</v>
      </c>
      <c r="AA252" s="94">
        <v>96.439807915217756</v>
      </c>
      <c r="AB252" s="4">
        <v>113.23125</v>
      </c>
      <c r="AC252" s="94">
        <v>130.95995373716929</v>
      </c>
      <c r="AD252" s="94">
        <v>0</v>
      </c>
      <c r="AE252" s="4">
        <v>135.8775</v>
      </c>
      <c r="AF252" s="4">
        <v>12</v>
      </c>
      <c r="AG252" s="4">
        <v>0</v>
      </c>
      <c r="AH252" s="4">
        <v>0</v>
      </c>
      <c r="AI252" s="4">
        <v>21</v>
      </c>
      <c r="AJ252" s="139">
        <v>41708</v>
      </c>
      <c r="AK252" s="94">
        <v>97</v>
      </c>
      <c r="AL252" s="162">
        <v>86.87700000000001</v>
      </c>
      <c r="AM252" s="162">
        <v>90</v>
      </c>
      <c r="AN252" s="162">
        <v>98</v>
      </c>
      <c r="AO252" s="162">
        <v>98.5</v>
      </c>
      <c r="AP252" s="17">
        <v>234</v>
      </c>
      <c r="AQ252" s="162">
        <v>0</v>
      </c>
      <c r="AR252" s="162">
        <v>40</v>
      </c>
      <c r="AS252" s="17">
        <v>280.8</v>
      </c>
      <c r="AT252" s="17">
        <v>12</v>
      </c>
      <c r="AU252" s="17">
        <v>0</v>
      </c>
      <c r="AV252" s="17">
        <v>0</v>
      </c>
      <c r="AW252" s="17">
        <v>20</v>
      </c>
      <c r="AX252" s="4">
        <v>70.384615384615401</v>
      </c>
      <c r="AY252" s="4">
        <v>68.749999999999986</v>
      </c>
      <c r="BD252" s="159">
        <v>46.666666666666671</v>
      </c>
      <c r="BE252" s="159">
        <v>68.749999999999986</v>
      </c>
      <c r="BF252" s="159">
        <v>70.384615384615401</v>
      </c>
      <c r="BG252" s="159">
        <v>96.439807915217756</v>
      </c>
      <c r="BH252" s="14">
        <v>113.23125</v>
      </c>
      <c r="BI252" s="159">
        <v>130.95995373716929</v>
      </c>
      <c r="BJ252" s="159">
        <v>0</v>
      </c>
      <c r="BK252" s="14">
        <v>135.8775</v>
      </c>
      <c r="BL252" s="14">
        <v>12</v>
      </c>
      <c r="BM252" s="14">
        <v>0</v>
      </c>
      <c r="BN252" s="14">
        <v>0</v>
      </c>
      <c r="BO252" s="14">
        <v>21</v>
      </c>
      <c r="BP252" s="182">
        <v>41708</v>
      </c>
      <c r="BQ252" s="183">
        <v>97</v>
      </c>
    </row>
    <row r="253" spans="2:69" x14ac:dyDescent="0.35">
      <c r="B253" s="1">
        <v>234</v>
      </c>
      <c r="C253" t="str">
        <v>Product 3</v>
      </c>
      <c r="D253" s="113">
        <v>90.267904814748874</v>
      </c>
      <c r="E253" s="113">
        <v>92.282608695652158</v>
      </c>
      <c r="F253" s="113">
        <v>99.346634345813271</v>
      </c>
      <c r="G253" s="113">
        <v>98.460115448519218</v>
      </c>
      <c r="H253">
        <v>317.28804347826082</v>
      </c>
      <c r="I253" s="175">
        <v>181.04095213877707</v>
      </c>
      <c r="J253" s="113">
        <v>15.260399202301326</v>
      </c>
      <c r="K253">
        <v>380.74565217391302</v>
      </c>
      <c r="L253">
        <v>12</v>
      </c>
      <c r="M253">
        <v>0</v>
      </c>
      <c r="N253">
        <v>0</v>
      </c>
      <c r="O253" s="1">
        <v>21</v>
      </c>
      <c r="P253" s="138">
        <v>41725</v>
      </c>
      <c r="Q253" s="1">
        <v>68</v>
      </c>
      <c r="R253" s="95">
        <f>CHOOSE($D$4,D253,E253,F253,G253,H253,I253,J253,K253,L253,M253,N253,O253,P253,101-B253)+0.000001*ROWS($A$20:A253)</f>
        <v>98.460349448519224</v>
      </c>
      <c r="S253" s="4">
        <f t="shared" si="35"/>
        <v>148</v>
      </c>
      <c r="T253" s="4"/>
      <c r="U253" s="14">
        <f>ROWS($U$20:U253)</f>
        <v>234</v>
      </c>
      <c r="V253" s="4">
        <v>218</v>
      </c>
      <c r="W253" s="4" t="str">
        <v>Product 5</v>
      </c>
      <c r="X253" s="94">
        <v>82.815277444150823</v>
      </c>
      <c r="Y253" s="94">
        <v>85.652173913043455</v>
      </c>
      <c r="Z253" s="94">
        <v>100.31971281936225</v>
      </c>
      <c r="AA253" s="94">
        <v>96.37974895865365</v>
      </c>
      <c r="AB253" s="4">
        <v>311.05217391304342</v>
      </c>
      <c r="AC253" s="94">
        <v>170.9751813304336</v>
      </c>
      <c r="AD253" s="94">
        <v>100</v>
      </c>
      <c r="AE253" s="4">
        <v>373.26260869565215</v>
      </c>
      <c r="AF253" s="4">
        <v>12</v>
      </c>
      <c r="AG253" s="4">
        <v>0</v>
      </c>
      <c r="AH253" s="4">
        <v>0</v>
      </c>
      <c r="AI253" s="4">
        <v>17</v>
      </c>
      <c r="AJ253" s="139">
        <v>41719</v>
      </c>
      <c r="AK253" s="94">
        <v>103</v>
      </c>
      <c r="AL253" s="162">
        <v>87.494399999999999</v>
      </c>
      <c r="AM253" s="162">
        <v>90</v>
      </c>
      <c r="AN253" s="162">
        <v>98</v>
      </c>
      <c r="AO253" s="162">
        <v>99.2</v>
      </c>
      <c r="AP253" s="17">
        <v>362</v>
      </c>
      <c r="AQ253" s="162">
        <v>0</v>
      </c>
      <c r="AR253" s="162">
        <v>40</v>
      </c>
      <c r="AS253" s="17">
        <v>434.4</v>
      </c>
      <c r="AT253" s="17">
        <v>12</v>
      </c>
      <c r="AU253" s="17">
        <v>0</v>
      </c>
      <c r="AV253" s="17">
        <v>0</v>
      </c>
      <c r="AW253" s="17">
        <v>20</v>
      </c>
      <c r="AX253" s="4">
        <v>100.31971281936225</v>
      </c>
      <c r="AY253" s="4">
        <v>85.652173913043455</v>
      </c>
      <c r="BD253" s="159" t="e">
        <v>#N/A</v>
      </c>
      <c r="BE253" s="159" t="e">
        <v>#N/A</v>
      </c>
      <c r="BF253" s="159" t="e">
        <v>#N/A</v>
      </c>
      <c r="BG253" s="159" t="e">
        <v>#N/A</v>
      </c>
      <c r="BH253" s="14" t="e">
        <v>#N/A</v>
      </c>
      <c r="BI253" s="159" t="e">
        <v>#N/A</v>
      </c>
      <c r="BJ253" s="159" t="e">
        <v>#N/A</v>
      </c>
      <c r="BK253" s="14" t="e">
        <v>#N/A</v>
      </c>
      <c r="BL253" s="14" t="e">
        <v>#N/A</v>
      </c>
      <c r="BM253" s="14" t="e">
        <v>#N/A</v>
      </c>
      <c r="BN253" s="14" t="e">
        <v>#N/A</v>
      </c>
      <c r="BO253" s="14" t="e">
        <v>#N/A</v>
      </c>
      <c r="BP253" s="182" t="e">
        <v>#N/A</v>
      </c>
      <c r="BQ253" s="183" t="e">
        <v>#N/A</v>
      </c>
    </row>
    <row r="254" spans="2:69" x14ac:dyDescent="0.35">
      <c r="B254" s="1">
        <v>235</v>
      </c>
      <c r="C254" t="str">
        <v>Product 7</v>
      </c>
      <c r="D254" s="113">
        <v>88.52459016393442</v>
      </c>
      <c r="E254" s="113">
        <v>96.174863387978121</v>
      </c>
      <c r="F254" s="113">
        <v>92.259129759129763</v>
      </c>
      <c r="G254" s="113">
        <v>99.768396673334038</v>
      </c>
      <c r="H254">
        <v>207.62841530054644</v>
      </c>
      <c r="I254" s="175">
        <v>167.17999260810646</v>
      </c>
      <c r="J254" s="113">
        <v>23.87079237076972</v>
      </c>
      <c r="K254">
        <v>249.15409836065572</v>
      </c>
      <c r="L254">
        <v>12</v>
      </c>
      <c r="M254">
        <v>0</v>
      </c>
      <c r="N254">
        <v>0</v>
      </c>
      <c r="O254" s="1">
        <v>25</v>
      </c>
      <c r="P254" s="138">
        <v>41725</v>
      </c>
      <c r="Q254" s="1">
        <v>83</v>
      </c>
      <c r="R254" s="95">
        <f>CHOOSE($D$4,D254,E254,F254,G254,H254,I254,J254,K254,L254,M254,N254,O254,P254,101-B254)+0.000001*ROWS($A$20:A254)</f>
        <v>99.768631673334042</v>
      </c>
      <c r="S254" s="4">
        <f t="shared" si="35"/>
        <v>13</v>
      </c>
      <c r="T254" s="4"/>
      <c r="U254" s="14">
        <f>ROWS($U$20:U254)</f>
        <v>235</v>
      </c>
      <c r="V254" s="4">
        <v>106</v>
      </c>
      <c r="W254" s="4" t="str">
        <v>Product 3</v>
      </c>
      <c r="X254" s="94">
        <v>74.093426438719007</v>
      </c>
      <c r="Y254" s="94">
        <v>78.82352941176471</v>
      </c>
      <c r="Z254" s="94">
        <v>97.578625054357403</v>
      </c>
      <c r="AA254" s="94">
        <v>96.331674115651708</v>
      </c>
      <c r="AB254" s="4">
        <v>266.18970588235294</v>
      </c>
      <c r="AC254" s="94">
        <v>111.1575779906657</v>
      </c>
      <c r="AD254" s="94">
        <v>24.186097668279807</v>
      </c>
      <c r="AE254" s="4">
        <v>319.42764705882354</v>
      </c>
      <c r="AF254" s="4">
        <v>12</v>
      </c>
      <c r="AG254" s="4">
        <v>0</v>
      </c>
      <c r="AH254" s="4">
        <v>0</v>
      </c>
      <c r="AI254" s="4">
        <v>20</v>
      </c>
      <c r="AJ254" s="139">
        <v>41676</v>
      </c>
      <c r="AK254" s="94">
        <v>99</v>
      </c>
      <c r="AL254" s="162">
        <v>87.494399999999999</v>
      </c>
      <c r="AM254" s="162">
        <v>90</v>
      </c>
      <c r="AN254" s="162">
        <v>98</v>
      </c>
      <c r="AO254" s="162">
        <v>99.2</v>
      </c>
      <c r="AP254" s="17">
        <v>346.08333333333331</v>
      </c>
      <c r="AQ254" s="162">
        <v>0</v>
      </c>
      <c r="AR254" s="162">
        <v>40</v>
      </c>
      <c r="AS254" s="17">
        <v>415.3</v>
      </c>
      <c r="AT254" s="17">
        <v>12</v>
      </c>
      <c r="AU254" s="17">
        <v>0</v>
      </c>
      <c r="AV254" s="17">
        <v>0</v>
      </c>
      <c r="AW254" s="17">
        <v>20</v>
      </c>
      <c r="AX254" s="4">
        <v>97.578625054357403</v>
      </c>
      <c r="AY254" s="4">
        <v>78.82352941176471</v>
      </c>
      <c r="BD254" s="159" t="e">
        <v>#N/A</v>
      </c>
      <c r="BE254" s="159" t="e">
        <v>#N/A</v>
      </c>
      <c r="BF254" s="159" t="e">
        <v>#N/A</v>
      </c>
      <c r="BG254" s="159" t="e">
        <v>#N/A</v>
      </c>
      <c r="BH254" s="14" t="e">
        <v>#N/A</v>
      </c>
      <c r="BI254" s="159" t="e">
        <v>#N/A</v>
      </c>
      <c r="BJ254" s="159" t="e">
        <v>#N/A</v>
      </c>
      <c r="BK254" s="14" t="e">
        <v>#N/A</v>
      </c>
      <c r="BL254" s="14" t="e">
        <v>#N/A</v>
      </c>
      <c r="BM254" s="14" t="e">
        <v>#N/A</v>
      </c>
      <c r="BN254" s="14" t="e">
        <v>#N/A</v>
      </c>
      <c r="BO254" s="14" t="e">
        <v>#N/A</v>
      </c>
      <c r="BP254" s="182" t="e">
        <v>#N/A</v>
      </c>
      <c r="BQ254" s="183" t="e">
        <v>#N/A</v>
      </c>
    </row>
    <row r="255" spans="2:69" x14ac:dyDescent="0.35">
      <c r="B255" s="1">
        <v>236</v>
      </c>
      <c r="C255" t="str">
        <v>Product 6</v>
      </c>
      <c r="D255" s="113">
        <v>71.924369747899149</v>
      </c>
      <c r="E255" s="113">
        <v>88.214285714285694</v>
      </c>
      <c r="F255" s="113">
        <v>82.674843216638877</v>
      </c>
      <c r="G255" s="113">
        <v>98.619719527007888</v>
      </c>
      <c r="H255">
        <v>223.16892857142855</v>
      </c>
      <c r="I255" s="175">
        <v>144.92329100713167</v>
      </c>
      <c r="J255" s="113">
        <v>45.960436309853947</v>
      </c>
      <c r="K255">
        <v>267.80271428571422</v>
      </c>
      <c r="L255">
        <v>12</v>
      </c>
      <c r="M255">
        <v>0</v>
      </c>
      <c r="N255">
        <v>0</v>
      </c>
      <c r="O255" s="1">
        <v>22</v>
      </c>
      <c r="P255" s="138">
        <v>41726</v>
      </c>
      <c r="Q255" s="1">
        <v>70</v>
      </c>
      <c r="R255" s="95">
        <f>CHOOSE($D$4,D255,E255,F255,G255,H255,I255,J255,K255,L255,M255,N255,O255,P255,101-B255)+0.000001*ROWS($A$20:A255)</f>
        <v>98.619955527007889</v>
      </c>
      <c r="S255" s="4">
        <f t="shared" si="35"/>
        <v>124</v>
      </c>
      <c r="T255" s="4"/>
      <c r="U255" s="14">
        <f>ROWS($U$20:U255)</f>
        <v>236</v>
      </c>
      <c r="V255" s="4">
        <v>202</v>
      </c>
      <c r="W255" s="4" t="str">
        <v>Product 28</v>
      </c>
      <c r="X255" s="94">
        <v>60.977777777777774</v>
      </c>
      <c r="Y255" s="94">
        <v>73.333333333333343</v>
      </c>
      <c r="Z255" s="94">
        <v>86.327505827505817</v>
      </c>
      <c r="AA255" s="94">
        <v>96.320997988362194</v>
      </c>
      <c r="AB255" s="4">
        <v>148.13800000000001</v>
      </c>
      <c r="AC255" s="94">
        <v>145.06172436529337</v>
      </c>
      <c r="AD255" s="94">
        <v>100</v>
      </c>
      <c r="AE255" s="4">
        <v>177.76560000000001</v>
      </c>
      <c r="AF255" s="4">
        <v>12</v>
      </c>
      <c r="AG255" s="4">
        <v>0</v>
      </c>
      <c r="AH255" s="4">
        <v>0</v>
      </c>
      <c r="AI255" s="4">
        <v>20</v>
      </c>
      <c r="AJ255" s="139">
        <v>41716</v>
      </c>
      <c r="AK255" s="94">
        <v>107</v>
      </c>
      <c r="AL255" s="162">
        <v>87.494399999999999</v>
      </c>
      <c r="AM255" s="162">
        <v>90</v>
      </c>
      <c r="AN255" s="162">
        <v>98</v>
      </c>
      <c r="AO255" s="162">
        <v>99.2</v>
      </c>
      <c r="AP255" s="17">
        <v>234</v>
      </c>
      <c r="AQ255" s="162">
        <v>0</v>
      </c>
      <c r="AR255" s="162">
        <v>40</v>
      </c>
      <c r="AS255" s="17">
        <v>280.8</v>
      </c>
      <c r="AT255" s="17">
        <v>12</v>
      </c>
      <c r="AU255" s="17">
        <v>0</v>
      </c>
      <c r="AV255" s="17">
        <v>0</v>
      </c>
      <c r="AW255" s="17">
        <v>20</v>
      </c>
      <c r="AX255" s="4">
        <v>86.327505827505817</v>
      </c>
      <c r="AY255" s="4">
        <v>73.333333333333343</v>
      </c>
      <c r="BD255" s="159">
        <v>60.977777777777774</v>
      </c>
      <c r="BE255" s="159">
        <v>73.333333333333343</v>
      </c>
      <c r="BF255" s="159">
        <v>86.327505827505817</v>
      </c>
      <c r="BG255" s="159">
        <v>96.320997988362194</v>
      </c>
      <c r="BH255" s="14">
        <v>148.13800000000001</v>
      </c>
      <c r="BI255" s="159">
        <v>145.06172436529337</v>
      </c>
      <c r="BJ255" s="159">
        <v>100</v>
      </c>
      <c r="BK255" s="14">
        <v>177.76560000000001</v>
      </c>
      <c r="BL255" s="14">
        <v>12</v>
      </c>
      <c r="BM255" s="14">
        <v>0</v>
      </c>
      <c r="BN255" s="14">
        <v>0</v>
      </c>
      <c r="BO255" s="14">
        <v>20</v>
      </c>
      <c r="BP255" s="182">
        <v>41716</v>
      </c>
      <c r="BQ255" s="183">
        <v>107</v>
      </c>
    </row>
    <row r="256" spans="2:69" x14ac:dyDescent="0.35">
      <c r="B256" s="1">
        <v>237</v>
      </c>
      <c r="C256" t="str">
        <v>Product 5</v>
      </c>
      <c r="D256" s="113">
        <v>81.991728987584125</v>
      </c>
      <c r="E256" s="113">
        <v>81.229773462783172</v>
      </c>
      <c r="F256" s="113">
        <v>102.24462132207984</v>
      </c>
      <c r="G256" s="113">
        <v>98.722087894456848</v>
      </c>
      <c r="H256">
        <v>287.43284789644008</v>
      </c>
      <c r="I256" s="175">
        <v>182.38461933364135</v>
      </c>
      <c r="J256" s="113">
        <v>100</v>
      </c>
      <c r="K256">
        <v>344.9194174757281</v>
      </c>
      <c r="L256">
        <v>12</v>
      </c>
      <c r="M256">
        <v>0</v>
      </c>
      <c r="N256">
        <v>0</v>
      </c>
      <c r="O256" s="1">
        <v>29</v>
      </c>
      <c r="P256" s="138">
        <v>41726</v>
      </c>
      <c r="Q256" s="1">
        <v>69</v>
      </c>
      <c r="R256" s="95">
        <f>CHOOSE($D$4,D256,E256,F256,G256,H256,I256,J256,K256,L256,M256,N256,O256,P256,101-B256)+0.000001*ROWS($A$20:A256)</f>
        <v>98.722324894456847</v>
      </c>
      <c r="S256" s="4">
        <f t="shared" si="35"/>
        <v>109</v>
      </c>
      <c r="T256" s="4"/>
      <c r="U256" s="14">
        <f>ROWS($U$20:U256)</f>
        <v>237</v>
      </c>
      <c r="V256" s="4">
        <v>71</v>
      </c>
      <c r="W256" s="4" t="str">
        <v>Product 3</v>
      </c>
      <c r="X256" s="94">
        <v>74.155301232703465</v>
      </c>
      <c r="Y256" s="94">
        <v>97.815533980582529</v>
      </c>
      <c r="Z256" s="94">
        <v>78.772551636862701</v>
      </c>
      <c r="AA256" s="94">
        <v>96.240852152396585</v>
      </c>
      <c r="AB256" s="4">
        <v>266.66341019417479</v>
      </c>
      <c r="AC256" s="94">
        <v>95.562071889881921</v>
      </c>
      <c r="AD256" s="94">
        <v>35.486384280637743</v>
      </c>
      <c r="AE256" s="4">
        <v>319.99609223300973</v>
      </c>
      <c r="AF256" s="4">
        <v>12</v>
      </c>
      <c r="AG256" s="4">
        <v>0</v>
      </c>
      <c r="AH256" s="4">
        <v>0</v>
      </c>
      <c r="AI256" s="4">
        <v>20</v>
      </c>
      <c r="AJ256" s="139">
        <v>41662</v>
      </c>
      <c r="AK256" s="94">
        <v>130</v>
      </c>
      <c r="AL256" s="162">
        <v>87.494399999999999</v>
      </c>
      <c r="AM256" s="162">
        <v>90</v>
      </c>
      <c r="AN256" s="162">
        <v>98</v>
      </c>
      <c r="AO256" s="162">
        <v>99.2</v>
      </c>
      <c r="AP256" s="17">
        <v>346.08333333333331</v>
      </c>
      <c r="AQ256" s="162">
        <v>0</v>
      </c>
      <c r="AR256" s="162">
        <v>40</v>
      </c>
      <c r="AS256" s="17">
        <v>415.3</v>
      </c>
      <c r="AT256" s="17">
        <v>12</v>
      </c>
      <c r="AU256" s="17">
        <v>0</v>
      </c>
      <c r="AV256" s="17">
        <v>0</v>
      </c>
      <c r="AW256" s="17">
        <v>20</v>
      </c>
      <c r="AX256" s="4">
        <v>78.772551636862701</v>
      </c>
      <c r="AY256" s="4">
        <v>97.815533980582529</v>
      </c>
      <c r="BD256" s="159" t="e">
        <v>#N/A</v>
      </c>
      <c r="BE256" s="159" t="e">
        <v>#N/A</v>
      </c>
      <c r="BF256" s="159" t="e">
        <v>#N/A</v>
      </c>
      <c r="BG256" s="159" t="e">
        <v>#N/A</v>
      </c>
      <c r="BH256" s="14" t="e">
        <v>#N/A</v>
      </c>
      <c r="BI256" s="159" t="e">
        <v>#N/A</v>
      </c>
      <c r="BJ256" s="159" t="e">
        <v>#N/A</v>
      </c>
      <c r="BK256" s="14" t="e">
        <v>#N/A</v>
      </c>
      <c r="BL256" s="14" t="e">
        <v>#N/A</v>
      </c>
      <c r="BM256" s="14" t="e">
        <v>#N/A</v>
      </c>
      <c r="BN256" s="14" t="e">
        <v>#N/A</v>
      </c>
      <c r="BO256" s="14" t="e">
        <v>#N/A</v>
      </c>
      <c r="BP256" s="182" t="e">
        <v>#N/A</v>
      </c>
      <c r="BQ256" s="183" t="e">
        <v>#N/A</v>
      </c>
    </row>
    <row r="257" spans="2:69" x14ac:dyDescent="0.35">
      <c r="B257" s="1">
        <v>238</v>
      </c>
      <c r="C257" t="str">
        <v>Product 3</v>
      </c>
      <c r="D257" s="113">
        <v>99.858769416748146</v>
      </c>
      <c r="E257" s="113">
        <v>95.238095238095227</v>
      </c>
      <c r="F257" s="113">
        <v>105.47088163461868</v>
      </c>
      <c r="G257" s="113">
        <v>99.412943423400861</v>
      </c>
      <c r="H257">
        <v>347.63537414965981</v>
      </c>
      <c r="I257" s="175">
        <v>111</v>
      </c>
      <c r="J257" s="113">
        <v>0</v>
      </c>
      <c r="K257">
        <v>417.16244897959177</v>
      </c>
      <c r="L257">
        <v>12</v>
      </c>
      <c r="M257">
        <v>1.1400089305648584</v>
      </c>
      <c r="N257">
        <v>0</v>
      </c>
      <c r="O257" s="1">
        <v>25</v>
      </c>
      <c r="P257" s="138">
        <v>41726</v>
      </c>
      <c r="Q257" s="1">
        <v>59</v>
      </c>
      <c r="R257" s="95">
        <f>CHOOSE($D$4,D257,E257,F257,G257,H257,I257,J257,K257,L257,M257,N257,O257,P257,101-B257)+0.000001*ROWS($A$20:A257)</f>
        <v>99.413181423400857</v>
      </c>
      <c r="S257" s="4">
        <f t="shared" si="35"/>
        <v>35</v>
      </c>
      <c r="T257" s="4"/>
      <c r="U257" s="14">
        <f>ROWS($U$20:U257)</f>
        <v>238</v>
      </c>
      <c r="V257" s="4">
        <v>221</v>
      </c>
      <c r="W257" s="4" t="str">
        <v>Product 27</v>
      </c>
      <c r="X257" s="94">
        <v>81.363636363636388</v>
      </c>
      <c r="Y257" s="94">
        <v>87</v>
      </c>
      <c r="Z257" s="94">
        <v>97.233106931382807</v>
      </c>
      <c r="AA257" s="94">
        <v>96.182693384081503</v>
      </c>
      <c r="AB257" s="4">
        <v>223.32499999999999</v>
      </c>
      <c r="AC257" s="94">
        <v>182.00896495517523</v>
      </c>
      <c r="AD257" s="94">
        <v>77.941526028048486</v>
      </c>
      <c r="AE257" s="4">
        <v>267.99</v>
      </c>
      <c r="AF257" s="4">
        <v>12</v>
      </c>
      <c r="AG257" s="4">
        <v>0</v>
      </c>
      <c r="AH257" s="4">
        <v>0</v>
      </c>
      <c r="AI257" s="4">
        <v>19</v>
      </c>
      <c r="AJ257" s="139">
        <v>41710</v>
      </c>
      <c r="AK257" s="94">
        <v>79</v>
      </c>
      <c r="AL257" s="162">
        <v>87.494399999999999</v>
      </c>
      <c r="AM257" s="162">
        <v>90</v>
      </c>
      <c r="AN257" s="162">
        <v>98</v>
      </c>
      <c r="AO257" s="162">
        <v>99.2</v>
      </c>
      <c r="AP257" s="17">
        <v>263.99999999999994</v>
      </c>
      <c r="AQ257" s="162">
        <v>0</v>
      </c>
      <c r="AR257" s="162">
        <v>40</v>
      </c>
      <c r="AS257" s="17">
        <v>316.79999999999995</v>
      </c>
      <c r="AT257" s="17">
        <v>12</v>
      </c>
      <c r="AU257" s="17">
        <v>0</v>
      </c>
      <c r="AV257" s="17">
        <v>0</v>
      </c>
      <c r="AW257" s="17">
        <v>20</v>
      </c>
      <c r="AX257" s="4">
        <v>97.233106931382807</v>
      </c>
      <c r="AY257" s="4">
        <v>87</v>
      </c>
      <c r="BD257" s="159">
        <v>81.363636363636388</v>
      </c>
      <c r="BE257" s="159">
        <v>87</v>
      </c>
      <c r="BF257" s="159">
        <v>97.233106931382807</v>
      </c>
      <c r="BG257" s="159">
        <v>96.182693384081503</v>
      </c>
      <c r="BH257" s="14">
        <v>223.32499999999999</v>
      </c>
      <c r="BI257" s="159">
        <v>182.00896495517523</v>
      </c>
      <c r="BJ257" s="159">
        <v>77.941526028048486</v>
      </c>
      <c r="BK257" s="14">
        <v>267.99</v>
      </c>
      <c r="BL257" s="14">
        <v>12</v>
      </c>
      <c r="BM257" s="14">
        <v>0</v>
      </c>
      <c r="BN257" s="14">
        <v>0</v>
      </c>
      <c r="BO257" s="14">
        <v>19</v>
      </c>
      <c r="BP257" s="182">
        <v>41710</v>
      </c>
      <c r="BQ257" s="183">
        <v>79</v>
      </c>
    </row>
    <row r="258" spans="2:69" x14ac:dyDescent="0.35">
      <c r="B258" s="1">
        <v>239</v>
      </c>
      <c r="C258" t="str">
        <v>Product 4</v>
      </c>
      <c r="D258" s="113">
        <v>63.360323886639677</v>
      </c>
      <c r="E258" s="113">
        <v>78.596491228070178</v>
      </c>
      <c r="F258" s="113">
        <v>81.77584134615384</v>
      </c>
      <c r="G258" s="113">
        <v>98.580089761423579</v>
      </c>
      <c r="H258">
        <v>167.10964912280701</v>
      </c>
      <c r="I258" s="175">
        <v>158.73432487605717</v>
      </c>
      <c r="J258" s="113">
        <v>0</v>
      </c>
      <c r="K258">
        <v>200.53157894736842</v>
      </c>
      <c r="L258">
        <v>12</v>
      </c>
      <c r="M258">
        <v>0</v>
      </c>
      <c r="N258">
        <v>0</v>
      </c>
      <c r="O258" s="1">
        <v>21</v>
      </c>
      <c r="P258" s="138">
        <v>41729</v>
      </c>
      <c r="Q258" s="1">
        <v>62</v>
      </c>
      <c r="R258" s="95">
        <f>CHOOSE($D$4,D258,E258,F258,G258,H258,I258,J258,K258,L258,M258,N258,O258,P258,101-B258)+0.000001*ROWS($A$20:A258)</f>
        <v>98.580328761423573</v>
      </c>
      <c r="S258" s="4">
        <f t="shared" si="35"/>
        <v>129</v>
      </c>
      <c r="T258" s="4"/>
      <c r="U258" s="14">
        <f>ROWS($U$20:U258)</f>
        <v>239</v>
      </c>
      <c r="V258" s="4">
        <v>195</v>
      </c>
      <c r="W258" s="4" t="str">
        <v>Product 5</v>
      </c>
      <c r="X258" s="94">
        <v>79.401900013475284</v>
      </c>
      <c r="Y258" s="94">
        <v>81.463414634146332</v>
      </c>
      <c r="Z258" s="94">
        <v>101.43935885135807</v>
      </c>
      <c r="AA258" s="94">
        <v>96.086370540806527</v>
      </c>
      <c r="AB258" s="4">
        <v>299.1421951219512</v>
      </c>
      <c r="AC258" s="94">
        <v>182.79524859902227</v>
      </c>
      <c r="AD258" s="94">
        <v>100</v>
      </c>
      <c r="AE258" s="4">
        <v>358.97063414634147</v>
      </c>
      <c r="AF258" s="4">
        <v>12</v>
      </c>
      <c r="AG258" s="4">
        <v>0</v>
      </c>
      <c r="AH258" s="4">
        <v>0</v>
      </c>
      <c r="AI258" s="4">
        <v>29</v>
      </c>
      <c r="AJ258" s="139">
        <v>41712</v>
      </c>
      <c r="AK258" s="94">
        <v>82</v>
      </c>
      <c r="AL258" s="162">
        <v>87.494399999999999</v>
      </c>
      <c r="AM258" s="162">
        <v>90</v>
      </c>
      <c r="AN258" s="162">
        <v>98</v>
      </c>
      <c r="AO258" s="162">
        <v>99.2</v>
      </c>
      <c r="AP258" s="17">
        <v>362</v>
      </c>
      <c r="AQ258" s="162">
        <v>0</v>
      </c>
      <c r="AR258" s="162">
        <v>40</v>
      </c>
      <c r="AS258" s="17">
        <v>434.4</v>
      </c>
      <c r="AT258" s="17">
        <v>12</v>
      </c>
      <c r="AU258" s="17">
        <v>0</v>
      </c>
      <c r="AV258" s="17">
        <v>0</v>
      </c>
      <c r="AW258" s="17">
        <v>20</v>
      </c>
      <c r="AX258" s="4">
        <v>101.43935885135807</v>
      </c>
      <c r="AY258" s="4">
        <v>81.463414634146332</v>
      </c>
      <c r="BD258" s="159" t="e">
        <v>#N/A</v>
      </c>
      <c r="BE258" s="159" t="e">
        <v>#N/A</v>
      </c>
      <c r="BF258" s="159" t="e">
        <v>#N/A</v>
      </c>
      <c r="BG258" s="159" t="e">
        <v>#N/A</v>
      </c>
      <c r="BH258" s="14" t="e">
        <v>#N/A</v>
      </c>
      <c r="BI258" s="159" t="e">
        <v>#N/A</v>
      </c>
      <c r="BJ258" s="159" t="e">
        <v>#N/A</v>
      </c>
      <c r="BK258" s="14" t="e">
        <v>#N/A</v>
      </c>
      <c r="BL258" s="14" t="e">
        <v>#N/A</v>
      </c>
      <c r="BM258" s="14" t="e">
        <v>#N/A</v>
      </c>
      <c r="BN258" s="14" t="e">
        <v>#N/A</v>
      </c>
      <c r="BO258" s="14" t="e">
        <v>#N/A</v>
      </c>
      <c r="BP258" s="182" t="e">
        <v>#N/A</v>
      </c>
      <c r="BQ258" s="183" t="e">
        <v>#N/A</v>
      </c>
    </row>
    <row r="259" spans="2:69" x14ac:dyDescent="0.35">
      <c r="B259" s="1">
        <v>240</v>
      </c>
      <c r="C259" t="str">
        <v>Product 3</v>
      </c>
      <c r="D259" s="113">
        <v>86.15474285066783</v>
      </c>
      <c r="E259" s="113">
        <v>90.14705882352942</v>
      </c>
      <c r="F259" s="113">
        <v>96.811024008666863</v>
      </c>
      <c r="G259" s="113">
        <v>98.719469948199389</v>
      </c>
      <c r="H259">
        <v>302.03485294117644</v>
      </c>
      <c r="I259" s="175">
        <v>178.39208550297272</v>
      </c>
      <c r="J259" s="113">
        <v>37.772909641371498</v>
      </c>
      <c r="K259">
        <v>362.44182352941175</v>
      </c>
      <c r="L259">
        <v>12</v>
      </c>
      <c r="M259">
        <v>0</v>
      </c>
      <c r="N259">
        <v>0</v>
      </c>
      <c r="O259" s="1">
        <v>17</v>
      </c>
      <c r="P259" s="138">
        <v>41729</v>
      </c>
      <c r="Q259" s="1">
        <v>115</v>
      </c>
      <c r="R259" s="95">
        <f>CHOOSE($D$4,D259,E259,F259,G259,H259,I259,J259,K259,L259,M259,N259,O259,P259,101-B259)+0.000001*ROWS($A$20:A259)</f>
        <v>98.719709948199394</v>
      </c>
      <c r="S259" s="4">
        <f t="shared" si="35"/>
        <v>110</v>
      </c>
      <c r="T259" s="4"/>
      <c r="U259" s="14">
        <f>ROWS($U$20:U259)</f>
        <v>240</v>
      </c>
      <c r="V259" s="4">
        <v>222</v>
      </c>
      <c r="W259" s="4" t="str">
        <v>Product 9</v>
      </c>
      <c r="X259" s="94">
        <v>42.207885304659484</v>
      </c>
      <c r="Y259" s="94">
        <v>41.935483870967737</v>
      </c>
      <c r="Z259" s="94">
        <v>104.79843304843304</v>
      </c>
      <c r="AA259" s="94">
        <v>96.041104548821849</v>
      </c>
      <c r="AB259" s="4">
        <v>118.6588709677419</v>
      </c>
      <c r="AC259" s="94">
        <v>163.48555555555555</v>
      </c>
      <c r="AD259" s="94">
        <v>0</v>
      </c>
      <c r="AE259" s="4">
        <v>142.39064516129031</v>
      </c>
      <c r="AF259" s="4">
        <v>12</v>
      </c>
      <c r="AG259" s="4">
        <v>0</v>
      </c>
      <c r="AH259" s="4">
        <v>0</v>
      </c>
      <c r="AI259" s="4">
        <v>29</v>
      </c>
      <c r="AJ259" s="139">
        <v>41722</v>
      </c>
      <c r="AK259" s="94">
        <v>83</v>
      </c>
      <c r="AL259" s="162">
        <v>87.317999999999998</v>
      </c>
      <c r="AM259" s="162">
        <v>90</v>
      </c>
      <c r="AN259" s="162">
        <v>98</v>
      </c>
      <c r="AO259" s="162">
        <v>99</v>
      </c>
      <c r="AP259" s="17">
        <v>270</v>
      </c>
      <c r="AQ259" s="162">
        <v>0</v>
      </c>
      <c r="AR259" s="162">
        <v>40</v>
      </c>
      <c r="AS259" s="17">
        <v>324</v>
      </c>
      <c r="AT259" s="17">
        <v>12</v>
      </c>
      <c r="AU259" s="17">
        <v>0</v>
      </c>
      <c r="AV259" s="17">
        <v>0</v>
      </c>
      <c r="AW259" s="17">
        <v>20</v>
      </c>
      <c r="AX259" s="4">
        <v>104.79843304843304</v>
      </c>
      <c r="AY259" s="4">
        <v>41.935483870967737</v>
      </c>
      <c r="BD259" s="159" t="e">
        <v>#N/A</v>
      </c>
      <c r="BE259" s="159" t="e">
        <v>#N/A</v>
      </c>
      <c r="BF259" s="159" t="e">
        <v>#N/A</v>
      </c>
      <c r="BG259" s="159" t="e">
        <v>#N/A</v>
      </c>
      <c r="BH259" s="14" t="e">
        <v>#N/A</v>
      </c>
      <c r="BI259" s="159" t="e">
        <v>#N/A</v>
      </c>
      <c r="BJ259" s="159" t="e">
        <v>#N/A</v>
      </c>
      <c r="BK259" s="14" t="e">
        <v>#N/A</v>
      </c>
      <c r="BL259" s="14" t="e">
        <v>#N/A</v>
      </c>
      <c r="BM259" s="14" t="e">
        <v>#N/A</v>
      </c>
      <c r="BN259" s="14" t="e">
        <v>#N/A</v>
      </c>
      <c r="BO259" s="14" t="e">
        <v>#N/A</v>
      </c>
      <c r="BP259" s="182" t="e">
        <v>#N/A</v>
      </c>
      <c r="BQ259" s="183" t="e">
        <v>#N/A</v>
      </c>
    </row>
    <row r="260" spans="2:69" x14ac:dyDescent="0.35">
      <c r="B260" s="1">
        <v>241</v>
      </c>
      <c r="C260" t="str">
        <v>Product 2</v>
      </c>
      <c r="D260" s="113">
        <v>74.628796844181451</v>
      </c>
      <c r="E260" s="113">
        <v>81.65680473372781</v>
      </c>
      <c r="F260" s="113">
        <v>92.482877079978536</v>
      </c>
      <c r="G260" s="113">
        <v>98.821792315067825</v>
      </c>
      <c r="H260">
        <v>203.90011834319529</v>
      </c>
      <c r="I260" s="175">
        <v>175.81183673469388</v>
      </c>
      <c r="J260" s="113">
        <v>0</v>
      </c>
      <c r="K260">
        <v>244.68014201183433</v>
      </c>
      <c r="L260">
        <v>12</v>
      </c>
      <c r="M260">
        <v>0</v>
      </c>
      <c r="N260">
        <v>0</v>
      </c>
      <c r="O260" s="1">
        <v>26</v>
      </c>
      <c r="P260" s="138">
        <v>41729</v>
      </c>
      <c r="Q260" s="1">
        <v>118</v>
      </c>
      <c r="R260" s="95">
        <f>CHOOSE($D$4,D260,E260,F260,G260,H260,I260,J260,K260,L260,M260,N260,O260,P260,101-B260)+0.000001*ROWS($A$20:A260)</f>
        <v>98.822033315067827</v>
      </c>
      <c r="S260" s="4">
        <f t="shared" si="35"/>
        <v>100</v>
      </c>
      <c r="T260" s="4"/>
      <c r="U260" s="14">
        <f>ROWS($U$20:U260)</f>
        <v>241</v>
      </c>
      <c r="V260" s="4">
        <v>139</v>
      </c>
      <c r="W260" s="4" t="str">
        <v>Product 5</v>
      </c>
      <c r="X260" s="94">
        <v>53.767403314917125</v>
      </c>
      <c r="Y260" s="94">
        <v>78.285714285714278</v>
      </c>
      <c r="Z260" s="94">
        <v>71.529116425374056</v>
      </c>
      <c r="AA260" s="94">
        <v>96.018227357103697</v>
      </c>
      <c r="AB260" s="4">
        <v>202.70942857142856</v>
      </c>
      <c r="AC260" s="94">
        <v>107.14352592950559</v>
      </c>
      <c r="AD260" s="94">
        <v>100</v>
      </c>
      <c r="AE260" s="4">
        <v>243.2513142857143</v>
      </c>
      <c r="AF260" s="4">
        <v>12</v>
      </c>
      <c r="AG260" s="4">
        <v>0</v>
      </c>
      <c r="AH260" s="4">
        <v>0</v>
      </c>
      <c r="AI260" s="4">
        <v>24</v>
      </c>
      <c r="AJ260" s="139">
        <v>41691</v>
      </c>
      <c r="AK260" s="94">
        <v>44</v>
      </c>
      <c r="AL260" s="162">
        <v>87.494399999999999</v>
      </c>
      <c r="AM260" s="162">
        <v>90</v>
      </c>
      <c r="AN260" s="162">
        <v>98</v>
      </c>
      <c r="AO260" s="162">
        <v>99.2</v>
      </c>
      <c r="AP260" s="17">
        <v>362</v>
      </c>
      <c r="AQ260" s="162">
        <v>0</v>
      </c>
      <c r="AR260" s="162">
        <v>40</v>
      </c>
      <c r="AS260" s="17">
        <v>434.4</v>
      </c>
      <c r="AT260" s="17">
        <v>12</v>
      </c>
      <c r="AU260" s="17">
        <v>0</v>
      </c>
      <c r="AV260" s="17">
        <v>0</v>
      </c>
      <c r="AW260" s="17">
        <v>20</v>
      </c>
      <c r="AX260" s="4">
        <v>71.529116425374056</v>
      </c>
      <c r="AY260" s="4">
        <v>78.285714285714278</v>
      </c>
      <c r="BD260" s="159" t="e">
        <v>#N/A</v>
      </c>
      <c r="BE260" s="159" t="e">
        <v>#N/A</v>
      </c>
      <c r="BF260" s="159" t="e">
        <v>#N/A</v>
      </c>
      <c r="BG260" s="159" t="e">
        <v>#N/A</v>
      </c>
      <c r="BH260" s="14" t="e">
        <v>#N/A</v>
      </c>
      <c r="BI260" s="159" t="e">
        <v>#N/A</v>
      </c>
      <c r="BJ260" s="159" t="e">
        <v>#N/A</v>
      </c>
      <c r="BK260" s="14" t="e">
        <v>#N/A</v>
      </c>
      <c r="BL260" s="14" t="e">
        <v>#N/A</v>
      </c>
      <c r="BM260" s="14" t="e">
        <v>#N/A</v>
      </c>
      <c r="BN260" s="14" t="e">
        <v>#N/A</v>
      </c>
      <c r="BO260" s="14" t="e">
        <v>#N/A</v>
      </c>
      <c r="BP260" s="182" t="e">
        <v>#N/A</v>
      </c>
      <c r="BQ260" s="183" t="e">
        <v>#N/A</v>
      </c>
    </row>
    <row r="261" spans="2:69" x14ac:dyDescent="0.35">
      <c r="B261" s="1">
        <v>242</v>
      </c>
      <c r="C261" t="str">
        <v>Product 27</v>
      </c>
      <c r="D261" s="113">
        <v>37.878787878787882</v>
      </c>
      <c r="E261" s="113">
        <v>42.222222222222221</v>
      </c>
      <c r="F261" s="113">
        <v>102.37240829346095</v>
      </c>
      <c r="G261" s="113">
        <v>87.633885102239532</v>
      </c>
      <c r="H261">
        <v>114.11111111111111</v>
      </c>
      <c r="I261" s="175">
        <v>232.35294117647061</v>
      </c>
      <c r="J261" s="113">
        <v>0</v>
      </c>
      <c r="K261">
        <v>136.93333333333334</v>
      </c>
      <c r="L261">
        <v>12</v>
      </c>
      <c r="M261">
        <v>0</v>
      </c>
      <c r="N261">
        <v>0</v>
      </c>
      <c r="O261" s="1">
        <v>15</v>
      </c>
      <c r="P261" s="138">
        <v>41724</v>
      </c>
      <c r="Q261" s="1">
        <v>111</v>
      </c>
      <c r="R261" s="95">
        <f>CHOOSE($D$4,D261,E261,F261,G261,H261,I261,J261,K261,L261,M261,N261,O261,P261,101-B261)+0.000001*ROWS($A$20:A261)</f>
        <v>87.634127102239532</v>
      </c>
      <c r="S261" s="4">
        <f t="shared" si="35"/>
        <v>252</v>
      </c>
      <c r="T261" s="4"/>
      <c r="U261" s="14">
        <f>ROWS($U$20:U261)</f>
        <v>242</v>
      </c>
      <c r="V261" s="4">
        <v>77</v>
      </c>
      <c r="W261" s="4" t="str">
        <v>Product 3</v>
      </c>
      <c r="X261" s="94">
        <v>75.46789834292845</v>
      </c>
      <c r="Y261" s="94">
        <v>76.969696969696969</v>
      </c>
      <c r="Z261" s="94">
        <v>102.63333023656176</v>
      </c>
      <c r="AA261" s="94">
        <v>95.533141210374637</v>
      </c>
      <c r="AB261" s="4">
        <v>273.39393939393938</v>
      </c>
      <c r="AC261" s="94">
        <v>121.49041892783561</v>
      </c>
      <c r="AD261" s="94">
        <v>0</v>
      </c>
      <c r="AE261" s="4">
        <v>328.07272727272726</v>
      </c>
      <c r="AF261" s="4">
        <v>12</v>
      </c>
      <c r="AG261" s="4">
        <v>0</v>
      </c>
      <c r="AH261" s="4">
        <v>0</v>
      </c>
      <c r="AI261" s="4">
        <v>23</v>
      </c>
      <c r="AJ261" s="139">
        <v>41664</v>
      </c>
      <c r="AK261" s="94">
        <v>75</v>
      </c>
      <c r="AL261" s="162">
        <v>87.494399999999999</v>
      </c>
      <c r="AM261" s="162">
        <v>90</v>
      </c>
      <c r="AN261" s="162">
        <v>98</v>
      </c>
      <c r="AO261" s="162">
        <v>99.2</v>
      </c>
      <c r="AP261" s="17">
        <v>346.08333333333331</v>
      </c>
      <c r="AQ261" s="162">
        <v>0</v>
      </c>
      <c r="AR261" s="162">
        <v>40</v>
      </c>
      <c r="AS261" s="17">
        <v>415.3</v>
      </c>
      <c r="AT261" s="17">
        <v>12</v>
      </c>
      <c r="AU261" s="17">
        <v>0</v>
      </c>
      <c r="AV261" s="17">
        <v>0</v>
      </c>
      <c r="AW261" s="17">
        <v>20</v>
      </c>
      <c r="AX261" s="4">
        <v>102.63333023656176</v>
      </c>
      <c r="AY261" s="4">
        <v>76.969696969696969</v>
      </c>
      <c r="BD261" s="159" t="e">
        <v>#N/A</v>
      </c>
      <c r="BE261" s="159" t="e">
        <v>#N/A</v>
      </c>
      <c r="BF261" s="159" t="e">
        <v>#N/A</v>
      </c>
      <c r="BG261" s="159" t="e">
        <v>#N/A</v>
      </c>
      <c r="BH261" s="14" t="e">
        <v>#N/A</v>
      </c>
      <c r="BI261" s="159" t="e">
        <v>#N/A</v>
      </c>
      <c r="BJ261" s="159" t="e">
        <v>#N/A</v>
      </c>
      <c r="BK261" s="14" t="e">
        <v>#N/A</v>
      </c>
      <c r="BL261" s="14" t="e">
        <v>#N/A</v>
      </c>
      <c r="BM261" s="14" t="e">
        <v>#N/A</v>
      </c>
      <c r="BN261" s="14" t="e">
        <v>#N/A</v>
      </c>
      <c r="BO261" s="14" t="e">
        <v>#N/A</v>
      </c>
      <c r="BP261" s="182" t="e">
        <v>#N/A</v>
      </c>
      <c r="BQ261" s="183" t="e">
        <v>#N/A</v>
      </c>
    </row>
    <row r="262" spans="2:69" x14ac:dyDescent="0.35">
      <c r="B262" s="1">
        <v>243</v>
      </c>
      <c r="C262" t="str">
        <v>Product 3</v>
      </c>
      <c r="D262" s="113">
        <v>80.670615708834077</v>
      </c>
      <c r="E262" s="113">
        <v>81.030927835051529</v>
      </c>
      <c r="F262" s="113">
        <v>101.19311711863695</v>
      </c>
      <c r="G262" s="113">
        <v>98.381533084103324</v>
      </c>
      <c r="H262">
        <v>296.83175257731961</v>
      </c>
      <c r="I262" s="175">
        <v>171.45133533807723</v>
      </c>
      <c r="J262" s="113">
        <v>0</v>
      </c>
      <c r="K262">
        <v>356.19810309278353</v>
      </c>
      <c r="L262">
        <v>12</v>
      </c>
      <c r="M262">
        <v>0</v>
      </c>
      <c r="N262">
        <v>0</v>
      </c>
      <c r="O262" s="1">
        <v>15</v>
      </c>
      <c r="P262" s="138">
        <v>41726</v>
      </c>
      <c r="Q262" s="1">
        <v>109</v>
      </c>
      <c r="R262" s="95">
        <f>CHOOSE($D$4,D262,E262,F262,G262,H262,I262,J262,K262,L262,M262,N262,O262,P262,101-B262)+0.000001*ROWS($A$20:A262)</f>
        <v>98.381776084103322</v>
      </c>
      <c r="S262" s="4">
        <f t="shared" si="35"/>
        <v>158</v>
      </c>
      <c r="T262" s="4"/>
      <c r="U262" s="14">
        <f>ROWS($U$20:U262)</f>
        <v>243</v>
      </c>
      <c r="V262" s="4">
        <v>14</v>
      </c>
      <c r="W262" s="4" t="str">
        <v>Product 9</v>
      </c>
      <c r="X262" s="94">
        <v>68.404858299595134</v>
      </c>
      <c r="Y262" s="94">
        <v>84.615384615384613</v>
      </c>
      <c r="Z262" s="94">
        <v>84.624287992709043</v>
      </c>
      <c r="AA262" s="94">
        <v>95.530617959377082</v>
      </c>
      <c r="AB262" s="4">
        <v>204.07472527472527</v>
      </c>
      <c r="AC262" s="94">
        <v>53.310750681785557</v>
      </c>
      <c r="AD262" s="94">
        <v>0</v>
      </c>
      <c r="AE262" s="4">
        <v>244.88967032967034</v>
      </c>
      <c r="AF262" s="4">
        <v>12</v>
      </c>
      <c r="AG262" s="4">
        <v>0</v>
      </c>
      <c r="AH262" s="4">
        <v>0</v>
      </c>
      <c r="AI262" s="4">
        <v>18</v>
      </c>
      <c r="AJ262" s="139">
        <v>41645</v>
      </c>
      <c r="AK262" s="94">
        <v>68</v>
      </c>
      <c r="AL262" s="162">
        <v>87.317999999999998</v>
      </c>
      <c r="AM262" s="162">
        <v>90</v>
      </c>
      <c r="AN262" s="162">
        <v>98</v>
      </c>
      <c r="AO262" s="162">
        <v>99</v>
      </c>
      <c r="AP262" s="17">
        <v>285</v>
      </c>
      <c r="AQ262" s="162">
        <v>0</v>
      </c>
      <c r="AR262" s="162">
        <v>40</v>
      </c>
      <c r="AS262" s="17">
        <v>342.00000000000006</v>
      </c>
      <c r="AT262" s="17">
        <v>12</v>
      </c>
      <c r="AU262" s="17">
        <v>0</v>
      </c>
      <c r="AV262" s="17">
        <v>0</v>
      </c>
      <c r="AW262" s="17">
        <v>20</v>
      </c>
      <c r="AX262" s="4">
        <v>84.624287992709043</v>
      </c>
      <c r="AY262" s="4">
        <v>84.615384615384613</v>
      </c>
      <c r="BD262" s="159" t="e">
        <v>#N/A</v>
      </c>
      <c r="BE262" s="159" t="e">
        <v>#N/A</v>
      </c>
      <c r="BF262" s="159" t="e">
        <v>#N/A</v>
      </c>
      <c r="BG262" s="159" t="e">
        <v>#N/A</v>
      </c>
      <c r="BH262" s="14" t="e">
        <v>#N/A</v>
      </c>
      <c r="BI262" s="159" t="e">
        <v>#N/A</v>
      </c>
      <c r="BJ262" s="159" t="e">
        <v>#N/A</v>
      </c>
      <c r="BK262" s="14" t="e">
        <v>#N/A</v>
      </c>
      <c r="BL262" s="14" t="e">
        <v>#N/A</v>
      </c>
      <c r="BM262" s="14" t="e">
        <v>#N/A</v>
      </c>
      <c r="BN262" s="14" t="e">
        <v>#N/A</v>
      </c>
      <c r="BO262" s="14" t="e">
        <v>#N/A</v>
      </c>
      <c r="BP262" s="182" t="e">
        <v>#N/A</v>
      </c>
      <c r="BQ262" s="183" t="e">
        <v>#N/A</v>
      </c>
    </row>
    <row r="263" spans="2:69" x14ac:dyDescent="0.35">
      <c r="B263" s="1">
        <v>244</v>
      </c>
      <c r="C263" t="str">
        <v>Product 18</v>
      </c>
      <c r="D263" s="113">
        <v>69.882352941176478</v>
      </c>
      <c r="E263" s="113">
        <v>89.999999999999986</v>
      </c>
      <c r="F263" s="113">
        <v>81.777414669571542</v>
      </c>
      <c r="G263" s="113">
        <v>94.949270696889641</v>
      </c>
      <c r="H263">
        <v>225.215</v>
      </c>
      <c r="I263" s="175">
        <v>145.61314655172413</v>
      </c>
      <c r="J263" s="113">
        <v>0</v>
      </c>
      <c r="K263">
        <v>270.25799999999998</v>
      </c>
      <c r="L263">
        <v>12</v>
      </c>
      <c r="M263">
        <v>0</v>
      </c>
      <c r="N263">
        <v>0</v>
      </c>
      <c r="O263" s="1">
        <v>29</v>
      </c>
      <c r="P263" s="138">
        <v>41726</v>
      </c>
      <c r="Q263" s="1">
        <v>74</v>
      </c>
      <c r="R263" s="95">
        <f>CHOOSE($D$4,D263,E263,F263,G263,H263,I263,J263,K263,L263,M263,N263,O263,P263,101-B263)+0.000001*ROWS($A$20:A263)</f>
        <v>94.949514696889636</v>
      </c>
      <c r="S263" s="4">
        <f t="shared" si="35"/>
        <v>244</v>
      </c>
      <c r="T263" s="4"/>
      <c r="U263" s="14">
        <f>ROWS($U$20:U263)</f>
        <v>244</v>
      </c>
      <c r="V263" s="4">
        <v>244</v>
      </c>
      <c r="W263" s="4" t="str">
        <v>Product 18</v>
      </c>
      <c r="X263" s="94">
        <v>69.882352941176478</v>
      </c>
      <c r="Y263" s="94">
        <v>89.999999999999986</v>
      </c>
      <c r="Z263" s="94">
        <v>81.777414669571542</v>
      </c>
      <c r="AA263" s="94">
        <v>94.949270696889641</v>
      </c>
      <c r="AB263" s="4">
        <v>225.215</v>
      </c>
      <c r="AC263" s="94">
        <v>145.61314655172413</v>
      </c>
      <c r="AD263" s="94">
        <v>0</v>
      </c>
      <c r="AE263" s="4">
        <v>270.25799999999998</v>
      </c>
      <c r="AF263" s="4">
        <v>12</v>
      </c>
      <c r="AG263" s="4">
        <v>0</v>
      </c>
      <c r="AH263" s="4">
        <v>0</v>
      </c>
      <c r="AI263" s="4">
        <v>29</v>
      </c>
      <c r="AJ263" s="139">
        <v>41726</v>
      </c>
      <c r="AK263" s="94">
        <v>74</v>
      </c>
      <c r="AL263" s="162">
        <v>86.87700000000001</v>
      </c>
      <c r="AM263" s="162">
        <v>90</v>
      </c>
      <c r="AN263" s="162">
        <v>98</v>
      </c>
      <c r="AO263" s="162">
        <v>98.5</v>
      </c>
      <c r="AP263" s="17">
        <v>306</v>
      </c>
      <c r="AQ263" s="162">
        <v>0</v>
      </c>
      <c r="AR263" s="162">
        <v>40</v>
      </c>
      <c r="AS263" s="17">
        <v>367.2</v>
      </c>
      <c r="AT263" s="17">
        <v>12</v>
      </c>
      <c r="AU263" s="17">
        <v>0</v>
      </c>
      <c r="AV263" s="17">
        <v>0</v>
      </c>
      <c r="AW263" s="17">
        <v>20</v>
      </c>
      <c r="AX263" s="4">
        <v>81.777414669571542</v>
      </c>
      <c r="AY263" s="4">
        <v>89.999999999999986</v>
      </c>
      <c r="BD263" s="159" t="e">
        <v>#N/A</v>
      </c>
      <c r="BE263" s="159" t="e">
        <v>#N/A</v>
      </c>
      <c r="BF263" s="159" t="e">
        <v>#N/A</v>
      </c>
      <c r="BG263" s="159" t="e">
        <v>#N/A</v>
      </c>
      <c r="BH263" s="14" t="e">
        <v>#N/A</v>
      </c>
      <c r="BI263" s="159" t="e">
        <v>#N/A</v>
      </c>
      <c r="BJ263" s="159" t="e">
        <v>#N/A</v>
      </c>
      <c r="BK263" s="14" t="e">
        <v>#N/A</v>
      </c>
      <c r="BL263" s="14" t="e">
        <v>#N/A</v>
      </c>
      <c r="BM263" s="14" t="e">
        <v>#N/A</v>
      </c>
      <c r="BN263" s="14" t="e">
        <v>#N/A</v>
      </c>
      <c r="BO263" s="14" t="e">
        <v>#N/A</v>
      </c>
      <c r="BP263" s="182" t="e">
        <v>#N/A</v>
      </c>
      <c r="BQ263" s="183" t="e">
        <v>#N/A</v>
      </c>
    </row>
    <row r="264" spans="2:69" x14ac:dyDescent="0.35">
      <c r="B264" s="1">
        <v>245</v>
      </c>
      <c r="C264" t="str">
        <v>Product 2</v>
      </c>
      <c r="D264" s="113">
        <v>92.19801980198018</v>
      </c>
      <c r="E264" s="113">
        <v>93.193069306930695</v>
      </c>
      <c r="F264" s="113">
        <v>100.70788451133734</v>
      </c>
      <c r="G264" s="113">
        <v>98.236867347955453</v>
      </c>
      <c r="H264">
        <v>253.40247524752473</v>
      </c>
      <c r="I264" s="175">
        <v>180.84669263449834</v>
      </c>
      <c r="J264" s="113">
        <v>0</v>
      </c>
      <c r="K264">
        <v>304.08297029702965</v>
      </c>
      <c r="L264">
        <v>12</v>
      </c>
      <c r="M264">
        <v>0</v>
      </c>
      <c r="N264">
        <v>0</v>
      </c>
      <c r="O264" s="1">
        <v>16</v>
      </c>
      <c r="P264" s="138">
        <v>41724</v>
      </c>
      <c r="Q264" s="1">
        <v>81</v>
      </c>
      <c r="R264" s="95">
        <f>CHOOSE($D$4,D264,E264,F264,G264,H264,I264,J264,K264,L264,M264,N264,O264,P264,101-B264)+0.000001*ROWS($A$20:A264)</f>
        <v>98.23711234795546</v>
      </c>
      <c r="S264" s="4">
        <f t="shared" si="35"/>
        <v>176</v>
      </c>
      <c r="T264" s="4"/>
      <c r="U264" s="14">
        <f>ROWS($U$20:U264)</f>
        <v>245</v>
      </c>
      <c r="V264" s="4">
        <v>249</v>
      </c>
      <c r="W264" s="4" t="str">
        <v>Product 13</v>
      </c>
      <c r="X264" s="94">
        <v>85.893416927899679</v>
      </c>
      <c r="Y264" s="94">
        <v>96.551724137931032</v>
      </c>
      <c r="Z264" s="94">
        <v>94.128787878787875</v>
      </c>
      <c r="AA264" s="94">
        <v>94.509916642713421</v>
      </c>
      <c r="AB264" s="4">
        <v>299.91379310344826</v>
      </c>
      <c r="AC264" s="94">
        <v>187.24434876210981</v>
      </c>
      <c r="AD264" s="94">
        <v>47.567409144196951</v>
      </c>
      <c r="AE264" s="4">
        <v>359.89655172413791</v>
      </c>
      <c r="AF264" s="4">
        <v>12</v>
      </c>
      <c r="AG264" s="4">
        <v>0</v>
      </c>
      <c r="AH264" s="4">
        <v>0</v>
      </c>
      <c r="AI264" s="4">
        <v>22</v>
      </c>
      <c r="AJ264" s="139">
        <v>41732</v>
      </c>
      <c r="AK264" s="94">
        <v>114</v>
      </c>
      <c r="AL264" s="162">
        <v>87.494399999999999</v>
      </c>
      <c r="AM264" s="162">
        <v>90</v>
      </c>
      <c r="AN264" s="162">
        <v>98</v>
      </c>
      <c r="AO264" s="162">
        <v>99.2</v>
      </c>
      <c r="AP264" s="17">
        <v>330</v>
      </c>
      <c r="AQ264" s="162">
        <v>0</v>
      </c>
      <c r="AR264" s="162">
        <v>40</v>
      </c>
      <c r="AS264" s="17">
        <v>396</v>
      </c>
      <c r="AT264" s="17">
        <v>12</v>
      </c>
      <c r="AU264" s="17">
        <v>0</v>
      </c>
      <c r="AV264" s="17">
        <v>0</v>
      </c>
      <c r="AW264" s="17">
        <v>20</v>
      </c>
      <c r="AX264" s="4">
        <v>94.128787878787875</v>
      </c>
      <c r="AY264" s="4">
        <v>96.551724137931032</v>
      </c>
      <c r="BD264" s="159" t="e">
        <v>#N/A</v>
      </c>
      <c r="BE264" s="159" t="e">
        <v>#N/A</v>
      </c>
      <c r="BF264" s="159" t="e">
        <v>#N/A</v>
      </c>
      <c r="BG264" s="159" t="e">
        <v>#N/A</v>
      </c>
      <c r="BH264" s="14" t="e">
        <v>#N/A</v>
      </c>
      <c r="BI264" s="159" t="e">
        <v>#N/A</v>
      </c>
      <c r="BJ264" s="159" t="e">
        <v>#N/A</v>
      </c>
      <c r="BK264" s="14" t="e">
        <v>#N/A</v>
      </c>
      <c r="BL264" s="14" t="e">
        <v>#N/A</v>
      </c>
      <c r="BM264" s="14" t="e">
        <v>#N/A</v>
      </c>
      <c r="BN264" s="14" t="e">
        <v>#N/A</v>
      </c>
      <c r="BO264" s="14" t="e">
        <v>#N/A</v>
      </c>
      <c r="BP264" s="182" t="e">
        <v>#N/A</v>
      </c>
      <c r="BQ264" s="183" t="e">
        <v>#N/A</v>
      </c>
    </row>
    <row r="265" spans="2:69" x14ac:dyDescent="0.35">
      <c r="B265" s="1">
        <v>246</v>
      </c>
      <c r="C265" t="str">
        <v>Product 2</v>
      </c>
      <c r="D265" s="113">
        <v>87.656964006259784</v>
      </c>
      <c r="E265" s="113">
        <v>97.183098591549282</v>
      </c>
      <c r="F265" s="113">
        <v>91.284702093397755</v>
      </c>
      <c r="G265" s="113">
        <v>98.809267602552936</v>
      </c>
      <c r="H265">
        <v>239.52591549295775</v>
      </c>
      <c r="I265" s="175">
        <v>185.08791119092319</v>
      </c>
      <c r="J265" s="113">
        <v>0</v>
      </c>
      <c r="K265">
        <v>287.4310985915493</v>
      </c>
      <c r="L265">
        <v>12</v>
      </c>
      <c r="M265">
        <v>0</v>
      </c>
      <c r="N265">
        <v>0</v>
      </c>
      <c r="O265" s="1">
        <v>23</v>
      </c>
      <c r="P265" s="138">
        <v>41731</v>
      </c>
      <c r="Q265" s="1">
        <v>61</v>
      </c>
      <c r="R265" s="95">
        <f>CHOOSE($D$4,D265,E265,F265,G265,H265,I265,J265,K265,L265,M265,N265,O265,P265,101-B265)+0.000001*ROWS($A$20:A265)</f>
        <v>98.80951360255294</v>
      </c>
      <c r="S265" s="4">
        <f t="shared" si="35"/>
        <v>102</v>
      </c>
      <c r="T265" s="4"/>
      <c r="U265" s="14">
        <f>ROWS($U$20:U265)</f>
        <v>246</v>
      </c>
      <c r="V265" s="4">
        <v>133</v>
      </c>
      <c r="W265" s="4" t="str">
        <v>Product 24</v>
      </c>
      <c r="X265" s="94">
        <v>45.014245014245013</v>
      </c>
      <c r="Y265" s="94">
        <v>50.555555555555557</v>
      </c>
      <c r="Z265" s="94">
        <v>94.733258194796662</v>
      </c>
      <c r="AA265" s="94">
        <v>93.989341925889207</v>
      </c>
      <c r="AB265" s="4">
        <v>112.06944444444444</v>
      </c>
      <c r="AC265" s="94">
        <v>83.901759347835124</v>
      </c>
      <c r="AD265" s="94">
        <v>48.894154818325433</v>
      </c>
      <c r="AE265" s="4">
        <v>134.48333333333332</v>
      </c>
      <c r="AF265" s="4">
        <v>12</v>
      </c>
      <c r="AG265" s="4">
        <v>0</v>
      </c>
      <c r="AH265" s="4">
        <v>0</v>
      </c>
      <c r="AI265" s="4">
        <v>15</v>
      </c>
      <c r="AJ265" s="139">
        <v>41690</v>
      </c>
      <c r="AK265" s="94">
        <v>71</v>
      </c>
      <c r="AL265" s="162">
        <v>87.494399999999999</v>
      </c>
      <c r="AM265" s="162">
        <v>90</v>
      </c>
      <c r="AN265" s="162">
        <v>98</v>
      </c>
      <c r="AO265" s="162">
        <v>99.2</v>
      </c>
      <c r="AP265" s="17">
        <v>234</v>
      </c>
      <c r="AQ265" s="162">
        <v>0</v>
      </c>
      <c r="AR265" s="162">
        <v>40</v>
      </c>
      <c r="AS265" s="17">
        <v>280.80000000000007</v>
      </c>
      <c r="AT265" s="17">
        <v>12</v>
      </c>
      <c r="AU265" s="17">
        <v>0</v>
      </c>
      <c r="AV265" s="17">
        <v>0</v>
      </c>
      <c r="AW265" s="17">
        <v>20</v>
      </c>
      <c r="AX265" s="4">
        <v>94.733258194796662</v>
      </c>
      <c r="AY265" s="4">
        <v>50.555555555555557</v>
      </c>
      <c r="BD265" s="159">
        <v>45.014245014245013</v>
      </c>
      <c r="BE265" s="159">
        <v>50.555555555555557</v>
      </c>
      <c r="BF265" s="159">
        <v>94.733258194796662</v>
      </c>
      <c r="BG265" s="159">
        <v>93.989341925889207</v>
      </c>
      <c r="BH265" s="14">
        <v>112.06944444444444</v>
      </c>
      <c r="BI265" s="159">
        <v>83.901759347835124</v>
      </c>
      <c r="BJ265" s="159">
        <v>48.894154818325433</v>
      </c>
      <c r="BK265" s="14">
        <v>134.48333333333332</v>
      </c>
      <c r="BL265" s="14">
        <v>12</v>
      </c>
      <c r="BM265" s="14">
        <v>0</v>
      </c>
      <c r="BN265" s="14">
        <v>0</v>
      </c>
      <c r="BO265" s="14">
        <v>15</v>
      </c>
      <c r="BP265" s="182">
        <v>41690</v>
      </c>
      <c r="BQ265" s="183">
        <v>71</v>
      </c>
    </row>
    <row r="266" spans="2:69" x14ac:dyDescent="0.35">
      <c r="B266" s="1">
        <v>247</v>
      </c>
      <c r="C266" t="str">
        <v>Product 9</v>
      </c>
      <c r="D266" s="113">
        <v>38.290598290598297</v>
      </c>
      <c r="E266" s="113">
        <v>53.846153846153854</v>
      </c>
      <c r="F266" s="113">
        <v>71.111111111111114</v>
      </c>
      <c r="G266" s="113">
        <v>100</v>
      </c>
      <c r="H266">
        <v>103.38461538461539</v>
      </c>
      <c r="I266" s="175">
        <v>149.41634241245137</v>
      </c>
      <c r="J266" s="113">
        <v>0</v>
      </c>
      <c r="K266">
        <v>124.06153846153848</v>
      </c>
      <c r="L266">
        <v>12</v>
      </c>
      <c r="M266">
        <v>0</v>
      </c>
      <c r="N266">
        <v>0</v>
      </c>
      <c r="O266" s="1">
        <v>18</v>
      </c>
      <c r="P266" s="138">
        <v>41731</v>
      </c>
      <c r="Q266" s="1">
        <v>98</v>
      </c>
      <c r="R266" s="95">
        <f>CHOOSE($D$4,D266,E266,F266,G266,H266,I266,J266,K266,L266,M266,N266,O266,P266,101-B266)+0.000001*ROWS($A$20:A266)</f>
        <v>100.000247</v>
      </c>
      <c r="S266" s="4">
        <f t="shared" si="35"/>
        <v>1</v>
      </c>
      <c r="T266" s="4"/>
      <c r="U266" s="14">
        <f>ROWS($U$20:U266)</f>
        <v>247</v>
      </c>
      <c r="V266" s="4">
        <v>79</v>
      </c>
      <c r="W266" s="4" t="str">
        <v>Product 9</v>
      </c>
      <c r="X266" s="94">
        <v>55.940740740740736</v>
      </c>
      <c r="Y266" s="94">
        <v>64.166666666666657</v>
      </c>
      <c r="Z266" s="94">
        <v>92.832130832130829</v>
      </c>
      <c r="AA266" s="94">
        <v>93.911854008849843</v>
      </c>
      <c r="AB266" s="4">
        <v>160.83166666666668</v>
      </c>
      <c r="AC266" s="94">
        <v>85.55824005319738</v>
      </c>
      <c r="AD266" s="94">
        <v>0</v>
      </c>
      <c r="AE266" s="4">
        <v>192.99799999999999</v>
      </c>
      <c r="AF266" s="4">
        <v>12</v>
      </c>
      <c r="AG266" s="4">
        <v>0</v>
      </c>
      <c r="AH266" s="4">
        <v>0</v>
      </c>
      <c r="AI266" s="4">
        <v>14</v>
      </c>
      <c r="AJ266" s="139">
        <v>41666</v>
      </c>
      <c r="AK266" s="94">
        <v>56</v>
      </c>
      <c r="AL266" s="162">
        <v>87.317999999999998</v>
      </c>
      <c r="AM266" s="162">
        <v>90</v>
      </c>
      <c r="AN266" s="162">
        <v>98</v>
      </c>
      <c r="AO266" s="162">
        <v>99</v>
      </c>
      <c r="AP266" s="17">
        <v>270</v>
      </c>
      <c r="AQ266" s="162">
        <v>0</v>
      </c>
      <c r="AR266" s="162">
        <v>40</v>
      </c>
      <c r="AS266" s="17">
        <v>324.00000000000006</v>
      </c>
      <c r="AT266" s="17">
        <v>12</v>
      </c>
      <c r="AU266" s="17">
        <v>0</v>
      </c>
      <c r="AV266" s="17">
        <v>0</v>
      </c>
      <c r="AW266" s="17">
        <v>20</v>
      </c>
      <c r="AX266" s="4">
        <v>92.832130832130829</v>
      </c>
      <c r="AY266" s="4">
        <v>64.166666666666657</v>
      </c>
      <c r="BD266" s="159" t="e">
        <v>#N/A</v>
      </c>
      <c r="BE266" s="159" t="e">
        <v>#N/A</v>
      </c>
      <c r="BF266" s="159" t="e">
        <v>#N/A</v>
      </c>
      <c r="BG266" s="159" t="e">
        <v>#N/A</v>
      </c>
      <c r="BH266" s="14" t="e">
        <v>#N/A</v>
      </c>
      <c r="BI266" s="159" t="e">
        <v>#N/A</v>
      </c>
      <c r="BJ266" s="159" t="e">
        <v>#N/A</v>
      </c>
      <c r="BK266" s="14" t="e">
        <v>#N/A</v>
      </c>
      <c r="BL266" s="14" t="e">
        <v>#N/A</v>
      </c>
      <c r="BM266" s="14" t="e">
        <v>#N/A</v>
      </c>
      <c r="BN266" s="14" t="e">
        <v>#N/A</v>
      </c>
      <c r="BO266" s="14" t="e">
        <v>#N/A</v>
      </c>
      <c r="BP266" s="182" t="e">
        <v>#N/A</v>
      </c>
      <c r="BQ266" s="183" t="e">
        <v>#N/A</v>
      </c>
    </row>
    <row r="267" spans="2:69" x14ac:dyDescent="0.35">
      <c r="B267" s="1">
        <v>248</v>
      </c>
      <c r="C267" t="str">
        <v>Product 21</v>
      </c>
      <c r="D267" s="113">
        <v>87.676767676767682</v>
      </c>
      <c r="E267" s="113">
        <v>90.277777777777786</v>
      </c>
      <c r="F267" s="113">
        <v>97.496503496503493</v>
      </c>
      <c r="G267" s="113">
        <v>99.612681107445127</v>
      </c>
      <c r="H267">
        <v>290.45833333333331</v>
      </c>
      <c r="I267" s="175">
        <v>179.58009531578722</v>
      </c>
      <c r="J267" s="113">
        <v>53.149862396797602</v>
      </c>
      <c r="K267">
        <v>348.55</v>
      </c>
      <c r="L267">
        <v>12</v>
      </c>
      <c r="M267">
        <v>0</v>
      </c>
      <c r="N267">
        <v>0</v>
      </c>
      <c r="O267" s="1">
        <v>27</v>
      </c>
      <c r="P267" s="138">
        <v>41731</v>
      </c>
      <c r="Q267" s="1">
        <v>79</v>
      </c>
      <c r="R267" s="95">
        <f>CHOOSE($D$4,D267,E267,F267,G267,H267,I267,J267,K267,L267,M267,N267,O267,P267,101-B267)+0.000001*ROWS($A$20:A267)</f>
        <v>99.612929107445126</v>
      </c>
      <c r="S267" s="4">
        <f t="shared" si="35"/>
        <v>23</v>
      </c>
      <c r="T267" s="4"/>
      <c r="U267" s="14">
        <f>ROWS($U$20:U267)</f>
        <v>248</v>
      </c>
      <c r="V267" s="4">
        <v>38</v>
      </c>
      <c r="W267" s="4" t="str">
        <v>Product 14</v>
      </c>
      <c r="X267" s="94">
        <v>50.041152263374478</v>
      </c>
      <c r="Y267" s="94">
        <v>60.185185185185183</v>
      </c>
      <c r="Z267" s="94">
        <v>88.789886039886028</v>
      </c>
      <c r="AA267" s="94">
        <v>93.642759162849643</v>
      </c>
      <c r="AB267" s="4">
        <v>115.42685185185185</v>
      </c>
      <c r="AC267" s="94">
        <v>74.71665318109622</v>
      </c>
      <c r="AD267" s="94">
        <v>36.968264686022955</v>
      </c>
      <c r="AE267" s="4">
        <v>138.51222222222222</v>
      </c>
      <c r="AF267" s="4">
        <v>12</v>
      </c>
      <c r="AG267" s="4">
        <v>0</v>
      </c>
      <c r="AH267" s="4">
        <v>0</v>
      </c>
      <c r="AI267" s="4">
        <v>16</v>
      </c>
      <c r="AJ267" s="139">
        <v>41652</v>
      </c>
      <c r="AK267" s="94">
        <v>63</v>
      </c>
      <c r="AL267" s="162">
        <v>86.87700000000001</v>
      </c>
      <c r="AM267" s="162">
        <v>90</v>
      </c>
      <c r="AN267" s="162">
        <v>98</v>
      </c>
      <c r="AO267" s="162">
        <v>98.5</v>
      </c>
      <c r="AP267" s="17">
        <v>216</v>
      </c>
      <c r="AQ267" s="162">
        <v>0</v>
      </c>
      <c r="AR267" s="162">
        <v>40</v>
      </c>
      <c r="AS267" s="17">
        <v>259.2</v>
      </c>
      <c r="AT267" s="17">
        <v>12</v>
      </c>
      <c r="AU267" s="17">
        <v>0</v>
      </c>
      <c r="AV267" s="17">
        <v>0</v>
      </c>
      <c r="AW267" s="17">
        <v>20</v>
      </c>
      <c r="AX267" s="4">
        <v>88.789886039886028</v>
      </c>
      <c r="AY267" s="4">
        <v>60.185185185185183</v>
      </c>
      <c r="BD267" s="159" t="e">
        <v>#N/A</v>
      </c>
      <c r="BE267" s="159" t="e">
        <v>#N/A</v>
      </c>
      <c r="BF267" s="159" t="e">
        <v>#N/A</v>
      </c>
      <c r="BG267" s="159" t="e">
        <v>#N/A</v>
      </c>
      <c r="BH267" s="14" t="e">
        <v>#N/A</v>
      </c>
      <c r="BI267" s="159" t="e">
        <v>#N/A</v>
      </c>
      <c r="BJ267" s="159" t="e">
        <v>#N/A</v>
      </c>
      <c r="BK267" s="14" t="e">
        <v>#N/A</v>
      </c>
      <c r="BL267" s="14" t="e">
        <v>#N/A</v>
      </c>
      <c r="BM267" s="14" t="e">
        <v>#N/A</v>
      </c>
      <c r="BN267" s="14" t="e">
        <v>#N/A</v>
      </c>
      <c r="BO267" s="14" t="e">
        <v>#N/A</v>
      </c>
      <c r="BP267" s="182" t="e">
        <v>#N/A</v>
      </c>
      <c r="BQ267" s="183" t="e">
        <v>#N/A</v>
      </c>
    </row>
    <row r="268" spans="2:69" x14ac:dyDescent="0.35">
      <c r="B268" s="1">
        <v>249</v>
      </c>
      <c r="C268" t="str">
        <v>Product 13</v>
      </c>
      <c r="D268" s="113">
        <v>85.893416927899679</v>
      </c>
      <c r="E268" s="113">
        <v>96.551724137931032</v>
      </c>
      <c r="F268" s="113">
        <v>94.128787878787875</v>
      </c>
      <c r="G268" s="113">
        <v>94.509916642713421</v>
      </c>
      <c r="H268">
        <v>299.91379310344826</v>
      </c>
      <c r="I268" s="175">
        <v>187.24434876210981</v>
      </c>
      <c r="J268" s="113">
        <v>47.567409144196951</v>
      </c>
      <c r="K268">
        <v>359.89655172413791</v>
      </c>
      <c r="L268">
        <v>12</v>
      </c>
      <c r="M268">
        <v>0</v>
      </c>
      <c r="N268">
        <v>0</v>
      </c>
      <c r="O268" s="1">
        <v>22</v>
      </c>
      <c r="P268" s="138">
        <v>41732</v>
      </c>
      <c r="Q268" s="1">
        <v>114</v>
      </c>
      <c r="R268" s="95">
        <f>CHOOSE($D$4,D268,E268,F268,G268,H268,I268,J268,K268,L268,M268,N268,O268,P268,101-B268)+0.000001*ROWS($A$20:A268)</f>
        <v>94.510165642713417</v>
      </c>
      <c r="S268" s="4">
        <f t="shared" si="35"/>
        <v>245</v>
      </c>
      <c r="T268" s="4"/>
      <c r="U268" s="14">
        <f>ROWS($U$20:U268)</f>
        <v>249</v>
      </c>
      <c r="V268" s="4">
        <v>205</v>
      </c>
      <c r="W268" s="4" t="str">
        <v>Product 7</v>
      </c>
      <c r="X268" s="94">
        <v>48.888888888888879</v>
      </c>
      <c r="Y268" s="94">
        <v>55.999999999999993</v>
      </c>
      <c r="Z268" s="94">
        <v>94.144281644281662</v>
      </c>
      <c r="AA268" s="94">
        <v>92.731694136719796</v>
      </c>
      <c r="AB268" s="4">
        <v>123.36666666666666</v>
      </c>
      <c r="AC268" s="94">
        <v>149.3543179983858</v>
      </c>
      <c r="AD268" s="94">
        <v>0</v>
      </c>
      <c r="AE268" s="4">
        <v>148.04000000000002</v>
      </c>
      <c r="AF268" s="4">
        <v>12</v>
      </c>
      <c r="AG268" s="4">
        <v>0</v>
      </c>
      <c r="AH268" s="4">
        <v>0</v>
      </c>
      <c r="AI268" s="4">
        <v>30</v>
      </c>
      <c r="AJ268" s="139">
        <v>41716</v>
      </c>
      <c r="AK268" s="94">
        <v>77</v>
      </c>
      <c r="AL268" s="162">
        <v>86.87700000000001</v>
      </c>
      <c r="AM268" s="162">
        <v>90</v>
      </c>
      <c r="AN268" s="162">
        <v>98</v>
      </c>
      <c r="AO268" s="162">
        <v>98.5</v>
      </c>
      <c r="AP268" s="17">
        <v>234</v>
      </c>
      <c r="AQ268" s="162">
        <v>0</v>
      </c>
      <c r="AR268" s="162">
        <v>40</v>
      </c>
      <c r="AS268" s="17">
        <v>280.8</v>
      </c>
      <c r="AT268" s="17">
        <v>12</v>
      </c>
      <c r="AU268" s="17">
        <v>0</v>
      </c>
      <c r="AV268" s="17">
        <v>0</v>
      </c>
      <c r="AW268" s="17">
        <v>20</v>
      </c>
      <c r="AX268" s="4">
        <v>94.144281644281662</v>
      </c>
      <c r="AY268" s="4">
        <v>55.999999999999993</v>
      </c>
      <c r="BD268" s="159" t="e">
        <v>#N/A</v>
      </c>
      <c r="BE268" s="159" t="e">
        <v>#N/A</v>
      </c>
      <c r="BF268" s="159" t="e">
        <v>#N/A</v>
      </c>
      <c r="BG268" s="159" t="e">
        <v>#N/A</v>
      </c>
      <c r="BH268" s="14" t="e">
        <v>#N/A</v>
      </c>
      <c r="BI268" s="159" t="e">
        <v>#N/A</v>
      </c>
      <c r="BJ268" s="159" t="e">
        <v>#N/A</v>
      </c>
      <c r="BK268" s="14" t="e">
        <v>#N/A</v>
      </c>
      <c r="BL268" s="14" t="e">
        <v>#N/A</v>
      </c>
      <c r="BM268" s="14" t="e">
        <v>#N/A</v>
      </c>
      <c r="BN268" s="14" t="e">
        <v>#N/A</v>
      </c>
      <c r="BO268" s="14" t="e">
        <v>#N/A</v>
      </c>
      <c r="BP268" s="182" t="e">
        <v>#N/A</v>
      </c>
      <c r="BQ268" s="183" t="e">
        <v>#N/A</v>
      </c>
    </row>
    <row r="269" spans="2:69" x14ac:dyDescent="0.35">
      <c r="B269" s="1">
        <v>250</v>
      </c>
      <c r="C269" t="str">
        <v>Product 3</v>
      </c>
      <c r="D269" s="113">
        <v>80.127762430939228</v>
      </c>
      <c r="E269" s="113">
        <v>85.18518518518519</v>
      </c>
      <c r="F269" s="113">
        <v>96.289484746576974</v>
      </c>
      <c r="G269" s="113">
        <v>97.687744108269086</v>
      </c>
      <c r="H269">
        <v>296.92824074074076</v>
      </c>
      <c r="I269" s="175">
        <v>210.64273515501841</v>
      </c>
      <c r="J269" s="113">
        <v>48.407264066686508</v>
      </c>
      <c r="K269">
        <v>356.31388888888887</v>
      </c>
      <c r="L269">
        <v>12</v>
      </c>
      <c r="M269">
        <v>0</v>
      </c>
      <c r="N269">
        <v>0</v>
      </c>
      <c r="O269" s="1">
        <v>29</v>
      </c>
      <c r="P269" s="138">
        <v>41731</v>
      </c>
      <c r="Q269" s="1">
        <v>70</v>
      </c>
      <c r="R269" s="95">
        <f>CHOOSE($D$4,D269,E269,F269,G269,H269,I269,J269,K269,L269,M269,N269,O269,P269,101-B269)+0.000001*ROWS($A$20:A269)</f>
        <v>97.687994108269081</v>
      </c>
      <c r="S269" s="4">
        <f t="shared" si="35"/>
        <v>208</v>
      </c>
      <c r="T269" s="4"/>
      <c r="U269" s="14">
        <f>ROWS($U$20:U269)</f>
        <v>250</v>
      </c>
      <c r="V269" s="4">
        <v>19</v>
      </c>
      <c r="W269" s="4" t="str">
        <v>Product 2</v>
      </c>
      <c r="X269" s="94">
        <v>54.732478865557674</v>
      </c>
      <c r="Y269" s="94">
        <v>64.766839378238345</v>
      </c>
      <c r="Z269" s="94">
        <v>93.805192982456134</v>
      </c>
      <c r="AA269" s="94">
        <v>90.087706961197682</v>
      </c>
      <c r="AB269" s="4">
        <v>173.15077720207253</v>
      </c>
      <c r="AC269" s="94">
        <v>75.997725851384388</v>
      </c>
      <c r="AD269" s="94">
        <v>0</v>
      </c>
      <c r="AE269" s="4">
        <v>207.78093264248704</v>
      </c>
      <c r="AF269" s="4">
        <v>12</v>
      </c>
      <c r="AG269" s="4">
        <v>0</v>
      </c>
      <c r="AH269" s="4">
        <v>0</v>
      </c>
      <c r="AI269" s="4">
        <v>30</v>
      </c>
      <c r="AJ269" s="139">
        <v>41646</v>
      </c>
      <c r="AK269" s="94">
        <v>90</v>
      </c>
      <c r="AL269" s="162">
        <v>87.317999999999998</v>
      </c>
      <c r="AM269" s="162">
        <v>90</v>
      </c>
      <c r="AN269" s="162">
        <v>98</v>
      </c>
      <c r="AO269" s="162">
        <v>99</v>
      </c>
      <c r="AP269" s="17">
        <v>285</v>
      </c>
      <c r="AQ269" s="162">
        <v>0</v>
      </c>
      <c r="AR269" s="162">
        <v>40</v>
      </c>
      <c r="AS269" s="17">
        <v>342</v>
      </c>
      <c r="AT269" s="17">
        <v>12</v>
      </c>
      <c r="AU269" s="17">
        <v>0</v>
      </c>
      <c r="AV269" s="17">
        <v>0</v>
      </c>
      <c r="AW269" s="17">
        <v>20</v>
      </c>
      <c r="AX269" s="4">
        <v>93.805192982456134</v>
      </c>
      <c r="AY269" s="4">
        <v>64.766839378238345</v>
      </c>
      <c r="BD269" s="159">
        <v>54.732478865557674</v>
      </c>
      <c r="BE269" s="159">
        <v>64.766839378238345</v>
      </c>
      <c r="BF269" s="159">
        <v>93.805192982456134</v>
      </c>
      <c r="BG269" s="159">
        <v>90.087706961197682</v>
      </c>
      <c r="BH269" s="14">
        <v>173.15077720207253</v>
      </c>
      <c r="BI269" s="159">
        <v>75.997725851384388</v>
      </c>
      <c r="BJ269" s="159">
        <v>0</v>
      </c>
      <c r="BK269" s="14">
        <v>207.78093264248704</v>
      </c>
      <c r="BL269" s="14">
        <v>12</v>
      </c>
      <c r="BM269" s="14">
        <v>0</v>
      </c>
      <c r="BN269" s="14">
        <v>0</v>
      </c>
      <c r="BO269" s="14">
        <v>30</v>
      </c>
      <c r="BP269" s="182">
        <v>41646</v>
      </c>
      <c r="BQ269" s="183">
        <v>90</v>
      </c>
    </row>
    <row r="270" spans="2:69" x14ac:dyDescent="0.35">
      <c r="B270" s="1">
        <v>251</v>
      </c>
      <c r="C270" t="str">
        <v>Product 3</v>
      </c>
      <c r="D270" s="113">
        <v>98.180871152115785</v>
      </c>
      <c r="E270" s="113">
        <v>98.947368421052644</v>
      </c>
      <c r="F270" s="113">
        <v>101.96881516053506</v>
      </c>
      <c r="G270" s="113">
        <v>97.309504232820572</v>
      </c>
      <c r="H270">
        <v>349.18236842105262</v>
      </c>
      <c r="I270" s="175">
        <v>174.27016023115314</v>
      </c>
      <c r="J270" s="113">
        <v>48.344370860927157</v>
      </c>
      <c r="K270">
        <v>419.01884210526316</v>
      </c>
      <c r="L270">
        <v>12</v>
      </c>
      <c r="M270">
        <v>0</v>
      </c>
      <c r="N270">
        <v>0</v>
      </c>
      <c r="O270" s="1">
        <v>19</v>
      </c>
      <c r="P270" s="138">
        <v>41732</v>
      </c>
      <c r="Q270" s="1">
        <v>79</v>
      </c>
      <c r="R270" s="95">
        <f>CHOOSE($D$4,D270,E270,F270,G270,H270,I270,J270,K270,L270,M270,N270,O270,P270,101-B270)+0.000001*ROWS($A$20:A270)</f>
        <v>97.309755232820578</v>
      </c>
      <c r="S270" s="4">
        <f t="shared" si="35"/>
        <v>221</v>
      </c>
      <c r="T270" s="4"/>
      <c r="U270" s="14">
        <f>ROWS($U$20:U270)</f>
        <v>251</v>
      </c>
      <c r="V270" s="4">
        <v>165</v>
      </c>
      <c r="W270" s="4" t="str">
        <v>Product 15</v>
      </c>
      <c r="X270" s="94">
        <v>27.089947089947092</v>
      </c>
      <c r="Y270" s="94">
        <v>54.285714285714285</v>
      </c>
      <c r="Z270" s="94">
        <v>56.725146198830409</v>
      </c>
      <c r="AA270" s="94">
        <v>87.972508591065292</v>
      </c>
      <c r="AB270" s="4">
        <v>66.514285714285705</v>
      </c>
      <c r="AC270" s="94">
        <v>119.58904109589041</v>
      </c>
      <c r="AD270" s="94">
        <v>0</v>
      </c>
      <c r="AE270" s="4">
        <v>79.817142857142855</v>
      </c>
      <c r="AF270" s="4">
        <v>12</v>
      </c>
      <c r="AG270" s="4">
        <v>0</v>
      </c>
      <c r="AH270" s="4">
        <v>0</v>
      </c>
      <c r="AI270" s="4">
        <v>27</v>
      </c>
      <c r="AJ270" s="139">
        <v>41703</v>
      </c>
      <c r="AK270" s="94">
        <v>95</v>
      </c>
      <c r="AL270" s="162">
        <v>86.87700000000001</v>
      </c>
      <c r="AM270" s="162">
        <v>90</v>
      </c>
      <c r="AN270" s="162">
        <v>98</v>
      </c>
      <c r="AO270" s="162">
        <v>98.5</v>
      </c>
      <c r="AP270" s="17">
        <v>216</v>
      </c>
      <c r="AQ270" s="162">
        <v>0</v>
      </c>
      <c r="AR270" s="162">
        <v>40</v>
      </c>
      <c r="AS270" s="17">
        <v>259.2</v>
      </c>
      <c r="AT270" s="17">
        <v>12</v>
      </c>
      <c r="AU270" s="17">
        <v>0</v>
      </c>
      <c r="AV270" s="17">
        <v>0</v>
      </c>
      <c r="AW270" s="17">
        <v>20</v>
      </c>
      <c r="AX270" s="4">
        <v>56.725146198830409</v>
      </c>
      <c r="AY270" s="4">
        <v>54.285714285714285</v>
      </c>
      <c r="BD270" s="159" t="e">
        <v>#N/A</v>
      </c>
      <c r="BE270" s="159" t="e">
        <v>#N/A</v>
      </c>
      <c r="BF270" s="159" t="e">
        <v>#N/A</v>
      </c>
      <c r="BG270" s="159" t="e">
        <v>#N/A</v>
      </c>
      <c r="BH270" s="14" t="e">
        <v>#N/A</v>
      </c>
      <c r="BI270" s="159" t="e">
        <v>#N/A</v>
      </c>
      <c r="BJ270" s="159" t="e">
        <v>#N/A</v>
      </c>
      <c r="BK270" s="14" t="e">
        <v>#N/A</v>
      </c>
      <c r="BL270" s="14" t="e">
        <v>#N/A</v>
      </c>
      <c r="BM270" s="14" t="e">
        <v>#N/A</v>
      </c>
      <c r="BN270" s="14" t="e">
        <v>#N/A</v>
      </c>
      <c r="BO270" s="14" t="e">
        <v>#N/A</v>
      </c>
      <c r="BP270" s="182" t="e">
        <v>#N/A</v>
      </c>
      <c r="BQ270" s="183" t="e">
        <v>#N/A</v>
      </c>
    </row>
    <row r="271" spans="2:69" x14ac:dyDescent="0.35">
      <c r="B271" s="1">
        <v>252</v>
      </c>
      <c r="C271" t="str">
        <v>Product 17</v>
      </c>
      <c r="D271" s="113">
        <v>84.056895485466924</v>
      </c>
      <c r="E271" s="113">
        <v>91.972789115646265</v>
      </c>
      <c r="F271" s="113">
        <v>91.624081047157972</v>
      </c>
      <c r="G271" s="113">
        <v>99.748036889356399</v>
      </c>
      <c r="H271">
        <v>278.08843537414964</v>
      </c>
      <c r="I271" s="175">
        <v>178.58500251195909</v>
      </c>
      <c r="J271" s="113">
        <v>58.278830566269782</v>
      </c>
      <c r="K271">
        <v>333.70612244897961</v>
      </c>
      <c r="L271">
        <v>12</v>
      </c>
      <c r="M271">
        <v>0</v>
      </c>
      <c r="N271">
        <v>0</v>
      </c>
      <c r="O271" s="1">
        <v>25</v>
      </c>
      <c r="P271" s="138">
        <v>41731</v>
      </c>
      <c r="Q271" s="1">
        <v>101</v>
      </c>
      <c r="R271" s="95">
        <f>CHOOSE($D$4,D271,E271,F271,G271,H271,I271,J271,K271,L271,M271,N271,O271,P271,101-B271)+0.000001*ROWS($A$20:A271)</f>
        <v>99.748288889356402</v>
      </c>
      <c r="S271" s="4">
        <f t="shared" si="35"/>
        <v>16</v>
      </c>
      <c r="T271" s="4"/>
      <c r="U271" s="14">
        <f>ROWS($U$20:U271)</f>
        <v>252</v>
      </c>
      <c r="V271" s="4">
        <v>242</v>
      </c>
      <c r="W271" s="4" t="str">
        <v>Product 27</v>
      </c>
      <c r="X271" s="94">
        <v>37.878787878787882</v>
      </c>
      <c r="Y271" s="94">
        <v>42.222222222222221</v>
      </c>
      <c r="Z271" s="94">
        <v>102.37240829346095</v>
      </c>
      <c r="AA271" s="94">
        <v>87.633885102239532</v>
      </c>
      <c r="AB271" s="4">
        <v>114.11111111111111</v>
      </c>
      <c r="AC271" s="94">
        <v>232.35294117647061</v>
      </c>
      <c r="AD271" s="94">
        <v>0</v>
      </c>
      <c r="AE271" s="4">
        <v>136.93333333333334</v>
      </c>
      <c r="AF271" s="4">
        <v>12</v>
      </c>
      <c r="AG271" s="4">
        <v>0</v>
      </c>
      <c r="AH271" s="4">
        <v>0</v>
      </c>
      <c r="AI271" s="4">
        <v>15</v>
      </c>
      <c r="AJ271" s="139">
        <v>41724</v>
      </c>
      <c r="AK271" s="94">
        <v>111</v>
      </c>
      <c r="AL271" s="162">
        <v>87.494399999999999</v>
      </c>
      <c r="AM271" s="162">
        <v>90</v>
      </c>
      <c r="AN271" s="162">
        <v>98</v>
      </c>
      <c r="AO271" s="162">
        <v>99.2</v>
      </c>
      <c r="AP271" s="17">
        <v>263.99999999999994</v>
      </c>
      <c r="AQ271" s="162">
        <v>0</v>
      </c>
      <c r="AR271" s="162">
        <v>40</v>
      </c>
      <c r="AS271" s="17">
        <v>316.79999999999995</v>
      </c>
      <c r="AT271" s="17">
        <v>12</v>
      </c>
      <c r="AU271" s="17">
        <v>0</v>
      </c>
      <c r="AV271" s="17">
        <v>0</v>
      </c>
      <c r="AW271" s="17">
        <v>20</v>
      </c>
      <c r="AX271" s="4">
        <v>102.37240829346095</v>
      </c>
      <c r="AY271" s="4">
        <v>42.222222222222221</v>
      </c>
      <c r="BD271" s="159">
        <v>37.878787878787882</v>
      </c>
      <c r="BE271" s="159">
        <v>42.222222222222221</v>
      </c>
      <c r="BF271" s="159">
        <v>102.37240829346095</v>
      </c>
      <c r="BG271" s="159">
        <v>87.633885102239532</v>
      </c>
      <c r="BH271" s="14">
        <v>114.11111111111111</v>
      </c>
      <c r="BI271" s="159">
        <v>232.35294117647061</v>
      </c>
      <c r="BJ271" s="159">
        <v>0</v>
      </c>
      <c r="BK271" s="14">
        <v>136.93333333333334</v>
      </c>
      <c r="BL271" s="14">
        <v>12</v>
      </c>
      <c r="BM271" s="14">
        <v>0</v>
      </c>
      <c r="BN271" s="14">
        <v>0</v>
      </c>
      <c r="BO271" s="14">
        <v>15</v>
      </c>
      <c r="BP271" s="182">
        <v>41724</v>
      </c>
      <c r="BQ271" s="183">
        <v>111</v>
      </c>
    </row>
    <row r="272" spans="2:69" x14ac:dyDescent="0.35">
      <c r="B272" s="1">
        <v>0</v>
      </c>
      <c r="C272">
        <v>0</v>
      </c>
      <c r="D272" s="113">
        <v>0</v>
      </c>
      <c r="E272" s="113">
        <v>0</v>
      </c>
      <c r="F272" s="113">
        <v>0</v>
      </c>
      <c r="G272" s="113">
        <v>0</v>
      </c>
      <c r="H272">
        <v>0</v>
      </c>
      <c r="I272" s="175">
        <v>0</v>
      </c>
      <c r="J272" s="113">
        <v>0</v>
      </c>
      <c r="K272">
        <v>0</v>
      </c>
      <c r="L272">
        <v>0</v>
      </c>
      <c r="M272">
        <v>0</v>
      </c>
      <c r="N272">
        <v>0</v>
      </c>
      <c r="O272" s="1">
        <v>0</v>
      </c>
      <c r="P272" s="138">
        <v>0</v>
      </c>
      <c r="Q272" s="1">
        <v>0</v>
      </c>
      <c r="R272" s="95">
        <f>CHOOSE($D$4,D272,E272,F272,G272,H272,I272,J272,K272,L272,M272,N272,O272,P272,101-B272)+0.000001*ROWS($A$20:A272)</f>
        <v>2.5299999999999997E-4</v>
      </c>
      <c r="S272" s="4">
        <f t="shared" si="35"/>
        <v>360</v>
      </c>
      <c r="T272" s="4"/>
      <c r="U272" s="14">
        <f>ROWS($U$20:U272)</f>
        <v>253</v>
      </c>
      <c r="V272" s="4">
        <v>0</v>
      </c>
      <c r="W272" s="4">
        <v>0</v>
      </c>
      <c r="X272" s="94">
        <v>0</v>
      </c>
      <c r="Y272" s="94">
        <v>0</v>
      </c>
      <c r="Z272" s="94">
        <v>0</v>
      </c>
      <c r="AA272" s="94">
        <v>0</v>
      </c>
      <c r="AB272" s="4">
        <v>0</v>
      </c>
      <c r="AC272" s="94">
        <v>0</v>
      </c>
      <c r="AD272" s="94">
        <v>0</v>
      </c>
      <c r="AE272" s="4">
        <v>0</v>
      </c>
      <c r="AF272" s="4">
        <v>0</v>
      </c>
      <c r="AG272" s="4">
        <v>0</v>
      </c>
      <c r="AH272" s="4">
        <v>0</v>
      </c>
      <c r="AI272" s="4">
        <v>0</v>
      </c>
      <c r="AJ272" s="139">
        <v>0</v>
      </c>
      <c r="AK272" s="94">
        <v>0</v>
      </c>
      <c r="AL272" s="162">
        <v>0</v>
      </c>
      <c r="AM272" s="162">
        <v>0</v>
      </c>
      <c r="AN272" s="162">
        <v>0</v>
      </c>
      <c r="AO272" s="162">
        <v>0</v>
      </c>
      <c r="AP272" s="17">
        <v>0</v>
      </c>
      <c r="AQ272" s="162">
        <v>0</v>
      </c>
      <c r="AR272" s="162">
        <v>0</v>
      </c>
      <c r="AS272" s="17" t="str">
        <v/>
      </c>
      <c r="AT272" s="17">
        <v>0</v>
      </c>
      <c r="AU272" s="17">
        <v>0</v>
      </c>
      <c r="AV272" s="17">
        <v>0</v>
      </c>
      <c r="AW272" s="17">
        <v>0</v>
      </c>
      <c r="AX272" s="4">
        <v>71.111111111111114</v>
      </c>
      <c r="AY272" s="4">
        <v>53.846153846153854</v>
      </c>
      <c r="BD272" s="159" t="e">
        <v>#N/A</v>
      </c>
      <c r="BE272" s="159" t="e">
        <v>#N/A</v>
      </c>
      <c r="BF272" s="159" t="e">
        <v>#N/A</v>
      </c>
      <c r="BG272" s="159" t="e">
        <v>#N/A</v>
      </c>
      <c r="BH272" s="14" t="e">
        <v>#N/A</v>
      </c>
      <c r="BI272" s="159" t="e">
        <v>#N/A</v>
      </c>
      <c r="BJ272" s="159" t="e">
        <v>#N/A</v>
      </c>
      <c r="BK272" s="14" t="e">
        <v>#N/A</v>
      </c>
      <c r="BL272" s="14" t="e">
        <v>#N/A</v>
      </c>
      <c r="BM272" s="14" t="e">
        <v>#N/A</v>
      </c>
      <c r="BN272" s="14" t="e">
        <v>#N/A</v>
      </c>
      <c r="BO272" s="14" t="e">
        <v>#N/A</v>
      </c>
      <c r="BP272" s="182" t="e">
        <v>#N/A</v>
      </c>
      <c r="BQ272" s="183" t="e">
        <v>#N/A</v>
      </c>
    </row>
    <row r="273" spans="2:69" x14ac:dyDescent="0.35">
      <c r="B273" s="1">
        <v>0</v>
      </c>
      <c r="C273">
        <v>0</v>
      </c>
      <c r="D273" s="113">
        <v>0</v>
      </c>
      <c r="E273" s="113">
        <v>0</v>
      </c>
      <c r="F273" s="113">
        <v>0</v>
      </c>
      <c r="G273" s="113">
        <v>0</v>
      </c>
      <c r="H273">
        <v>0</v>
      </c>
      <c r="I273" s="175">
        <v>0</v>
      </c>
      <c r="J273" s="113">
        <v>0</v>
      </c>
      <c r="K273">
        <v>0</v>
      </c>
      <c r="L273">
        <v>0</v>
      </c>
      <c r="M273">
        <v>0</v>
      </c>
      <c r="N273">
        <v>0</v>
      </c>
      <c r="O273" s="1">
        <v>0</v>
      </c>
      <c r="P273" s="138">
        <v>0</v>
      </c>
      <c r="Q273" s="1">
        <v>0</v>
      </c>
      <c r="R273" s="95">
        <f>CHOOSE($D$4,D273,E273,F273,G273,H273,I273,J273,K273,L273,M273,N273,O273,P273,101-B273)+0.000001*ROWS($A$20:A273)</f>
        <v>2.5399999999999999E-4</v>
      </c>
      <c r="S273" s="4">
        <f t="shared" si="35"/>
        <v>359</v>
      </c>
      <c r="T273" s="4"/>
      <c r="U273" s="14">
        <f>ROWS($U$20:U273)</f>
        <v>254</v>
      </c>
      <c r="V273" s="4">
        <v>0</v>
      </c>
      <c r="W273" s="4">
        <v>0</v>
      </c>
      <c r="X273" s="94">
        <v>0</v>
      </c>
      <c r="Y273" s="94">
        <v>0</v>
      </c>
      <c r="Z273" s="94">
        <v>0</v>
      </c>
      <c r="AA273" s="94">
        <v>0</v>
      </c>
      <c r="AB273" s="4">
        <v>0</v>
      </c>
      <c r="AC273" s="94">
        <v>0</v>
      </c>
      <c r="AD273" s="94">
        <v>0</v>
      </c>
      <c r="AE273" s="4">
        <v>0</v>
      </c>
      <c r="AF273" s="4">
        <v>0</v>
      </c>
      <c r="AG273" s="4">
        <v>0</v>
      </c>
      <c r="AH273" s="4">
        <v>0</v>
      </c>
      <c r="AI273" s="4">
        <v>0</v>
      </c>
      <c r="AJ273" s="139">
        <v>0</v>
      </c>
      <c r="AK273" s="94">
        <v>0</v>
      </c>
      <c r="AL273" s="162">
        <v>0</v>
      </c>
      <c r="AM273" s="162">
        <v>0</v>
      </c>
      <c r="AN273" s="162">
        <v>0</v>
      </c>
      <c r="AO273" s="162">
        <v>0</v>
      </c>
      <c r="AP273" s="17">
        <v>0</v>
      </c>
      <c r="AQ273" s="162">
        <v>0</v>
      </c>
      <c r="AR273" s="162">
        <v>0</v>
      </c>
      <c r="AS273" s="17" t="str">
        <v/>
      </c>
      <c r="AT273" s="17">
        <v>0</v>
      </c>
      <c r="AU273" s="17">
        <v>0</v>
      </c>
      <c r="AV273" s="17">
        <v>0</v>
      </c>
      <c r="AW273" s="17">
        <v>0</v>
      </c>
      <c r="AX273" s="4">
        <v>71.111111111111114</v>
      </c>
      <c r="AY273" s="4">
        <v>53.846153846153854</v>
      </c>
      <c r="BD273" s="159" t="e">
        <v>#N/A</v>
      </c>
      <c r="BE273" s="159" t="e">
        <v>#N/A</v>
      </c>
      <c r="BF273" s="159" t="e">
        <v>#N/A</v>
      </c>
      <c r="BG273" s="159" t="e">
        <v>#N/A</v>
      </c>
      <c r="BH273" s="14" t="e">
        <v>#N/A</v>
      </c>
      <c r="BI273" s="159" t="e">
        <v>#N/A</v>
      </c>
      <c r="BJ273" s="159" t="e">
        <v>#N/A</v>
      </c>
      <c r="BK273" s="14" t="e">
        <v>#N/A</v>
      </c>
      <c r="BL273" s="14" t="e">
        <v>#N/A</v>
      </c>
      <c r="BM273" s="14" t="e">
        <v>#N/A</v>
      </c>
      <c r="BN273" s="14" t="e">
        <v>#N/A</v>
      </c>
      <c r="BO273" s="14" t="e">
        <v>#N/A</v>
      </c>
      <c r="BP273" s="182" t="e">
        <v>#N/A</v>
      </c>
      <c r="BQ273" s="183" t="e">
        <v>#N/A</v>
      </c>
    </row>
    <row r="274" spans="2:69" x14ac:dyDescent="0.35">
      <c r="B274" s="1">
        <v>0</v>
      </c>
      <c r="C274">
        <v>0</v>
      </c>
      <c r="D274" s="113">
        <v>0</v>
      </c>
      <c r="E274" s="113">
        <v>0</v>
      </c>
      <c r="F274" s="113">
        <v>0</v>
      </c>
      <c r="G274" s="113">
        <v>0</v>
      </c>
      <c r="H274">
        <v>0</v>
      </c>
      <c r="I274" s="175">
        <v>0</v>
      </c>
      <c r="J274" s="113">
        <v>0</v>
      </c>
      <c r="K274">
        <v>0</v>
      </c>
      <c r="L274">
        <v>0</v>
      </c>
      <c r="M274">
        <v>0</v>
      </c>
      <c r="N274">
        <v>0</v>
      </c>
      <c r="O274" s="1">
        <v>0</v>
      </c>
      <c r="P274" s="138">
        <v>0</v>
      </c>
      <c r="Q274" s="1">
        <v>0</v>
      </c>
      <c r="R274" s="95">
        <f>CHOOSE($D$4,D274,E274,F274,G274,H274,I274,J274,K274,L274,M274,N274,O274,P274,101-B274)+0.000001*ROWS($A$20:A274)</f>
        <v>2.5499999999999996E-4</v>
      </c>
      <c r="S274" s="4">
        <f t="shared" si="35"/>
        <v>358</v>
      </c>
      <c r="T274" s="4"/>
      <c r="U274" s="14">
        <f>ROWS($U$20:U274)</f>
        <v>255</v>
      </c>
      <c r="V274" s="4">
        <v>0</v>
      </c>
      <c r="W274" s="4">
        <v>0</v>
      </c>
      <c r="X274" s="94">
        <v>0</v>
      </c>
      <c r="Y274" s="94">
        <v>0</v>
      </c>
      <c r="Z274" s="94">
        <v>0</v>
      </c>
      <c r="AA274" s="94">
        <v>0</v>
      </c>
      <c r="AB274" s="4">
        <v>0</v>
      </c>
      <c r="AC274" s="94">
        <v>0</v>
      </c>
      <c r="AD274" s="94">
        <v>0</v>
      </c>
      <c r="AE274" s="4">
        <v>0</v>
      </c>
      <c r="AF274" s="4">
        <v>0</v>
      </c>
      <c r="AG274" s="4">
        <v>0</v>
      </c>
      <c r="AH274" s="4">
        <v>0</v>
      </c>
      <c r="AI274" s="4">
        <v>0</v>
      </c>
      <c r="AJ274" s="139">
        <v>0</v>
      </c>
      <c r="AK274" s="94">
        <v>0</v>
      </c>
      <c r="AL274" s="162">
        <v>0</v>
      </c>
      <c r="AM274" s="162">
        <v>0</v>
      </c>
      <c r="AN274" s="162">
        <v>0</v>
      </c>
      <c r="AO274" s="162">
        <v>0</v>
      </c>
      <c r="AP274" s="17">
        <v>0</v>
      </c>
      <c r="AQ274" s="162">
        <v>0</v>
      </c>
      <c r="AR274" s="162">
        <v>0</v>
      </c>
      <c r="AS274" s="17" t="str">
        <v/>
      </c>
      <c r="AT274" s="17">
        <v>0</v>
      </c>
      <c r="AU274" s="17">
        <v>0</v>
      </c>
      <c r="AV274" s="17">
        <v>0</v>
      </c>
      <c r="AW274" s="17">
        <v>0</v>
      </c>
      <c r="AX274" s="4">
        <v>71.111111111111114</v>
      </c>
      <c r="AY274" s="4">
        <v>53.846153846153854</v>
      </c>
      <c r="BD274" s="159" t="e">
        <v>#N/A</v>
      </c>
      <c r="BE274" s="159" t="e">
        <v>#N/A</v>
      </c>
      <c r="BF274" s="159" t="e">
        <v>#N/A</v>
      </c>
      <c r="BG274" s="159" t="e">
        <v>#N/A</v>
      </c>
      <c r="BH274" s="14" t="e">
        <v>#N/A</v>
      </c>
      <c r="BI274" s="159" t="e">
        <v>#N/A</v>
      </c>
      <c r="BJ274" s="159" t="e">
        <v>#N/A</v>
      </c>
      <c r="BK274" s="14" t="e">
        <v>#N/A</v>
      </c>
      <c r="BL274" s="14" t="e">
        <v>#N/A</v>
      </c>
      <c r="BM274" s="14" t="e">
        <v>#N/A</v>
      </c>
      <c r="BN274" s="14" t="e">
        <v>#N/A</v>
      </c>
      <c r="BO274" s="14" t="e">
        <v>#N/A</v>
      </c>
      <c r="BP274" s="182" t="e">
        <v>#N/A</v>
      </c>
      <c r="BQ274" s="183" t="e">
        <v>#N/A</v>
      </c>
    </row>
    <row r="275" spans="2:69" x14ac:dyDescent="0.35">
      <c r="B275" s="1">
        <v>0</v>
      </c>
      <c r="C275">
        <v>0</v>
      </c>
      <c r="D275" s="113">
        <v>0</v>
      </c>
      <c r="E275" s="113">
        <v>0</v>
      </c>
      <c r="F275" s="113">
        <v>0</v>
      </c>
      <c r="G275" s="113">
        <v>0</v>
      </c>
      <c r="H275">
        <v>0</v>
      </c>
      <c r="I275" s="175">
        <v>0</v>
      </c>
      <c r="J275" s="113">
        <v>0</v>
      </c>
      <c r="K275">
        <v>0</v>
      </c>
      <c r="L275">
        <v>0</v>
      </c>
      <c r="M275">
        <v>0</v>
      </c>
      <c r="N275">
        <v>0</v>
      </c>
      <c r="O275" s="1">
        <v>0</v>
      </c>
      <c r="P275" s="138">
        <v>0</v>
      </c>
      <c r="Q275" s="1">
        <v>0</v>
      </c>
      <c r="R275" s="95">
        <f>CHOOSE($D$4,D275,E275,F275,G275,H275,I275,J275,K275,L275,M275,N275,O275,P275,101-B275)+0.000001*ROWS($A$20:A275)</f>
        <v>2.5599999999999999E-4</v>
      </c>
      <c r="S275" s="4">
        <f t="shared" si="35"/>
        <v>357</v>
      </c>
      <c r="T275" s="4"/>
      <c r="U275" s="14">
        <f>ROWS($U$20:U275)</f>
        <v>256</v>
      </c>
      <c r="V275" s="4">
        <v>0</v>
      </c>
      <c r="W275" s="4">
        <v>0</v>
      </c>
      <c r="X275" s="94">
        <v>0</v>
      </c>
      <c r="Y275" s="94">
        <v>0</v>
      </c>
      <c r="Z275" s="94">
        <v>0</v>
      </c>
      <c r="AA275" s="94">
        <v>0</v>
      </c>
      <c r="AB275" s="4">
        <v>0</v>
      </c>
      <c r="AC275" s="94">
        <v>0</v>
      </c>
      <c r="AD275" s="94">
        <v>0</v>
      </c>
      <c r="AE275" s="4">
        <v>0</v>
      </c>
      <c r="AF275" s="4">
        <v>0</v>
      </c>
      <c r="AG275" s="4">
        <v>0</v>
      </c>
      <c r="AH275" s="4">
        <v>0</v>
      </c>
      <c r="AI275" s="4">
        <v>0</v>
      </c>
      <c r="AJ275" s="139">
        <v>0</v>
      </c>
      <c r="AK275" s="94">
        <v>0</v>
      </c>
      <c r="AL275" s="162">
        <v>0</v>
      </c>
      <c r="AM275" s="162">
        <v>0</v>
      </c>
      <c r="AN275" s="162">
        <v>0</v>
      </c>
      <c r="AO275" s="162">
        <v>0</v>
      </c>
      <c r="AP275" s="17">
        <v>0</v>
      </c>
      <c r="AQ275" s="162">
        <v>0</v>
      </c>
      <c r="AR275" s="162">
        <v>0</v>
      </c>
      <c r="AS275" s="17" t="str">
        <v/>
      </c>
      <c r="AT275" s="17">
        <v>0</v>
      </c>
      <c r="AU275" s="17">
        <v>0</v>
      </c>
      <c r="AV275" s="17">
        <v>0</v>
      </c>
      <c r="AW275" s="17">
        <v>0</v>
      </c>
      <c r="AX275" s="4">
        <v>71.111111111111114</v>
      </c>
      <c r="AY275" s="4">
        <v>53.846153846153854</v>
      </c>
      <c r="BD275" s="159" t="e">
        <v>#N/A</v>
      </c>
      <c r="BE275" s="159" t="e">
        <v>#N/A</v>
      </c>
      <c r="BF275" s="159" t="e">
        <v>#N/A</v>
      </c>
      <c r="BG275" s="159" t="e">
        <v>#N/A</v>
      </c>
      <c r="BH275" s="14" t="e">
        <v>#N/A</v>
      </c>
      <c r="BI275" s="159" t="e">
        <v>#N/A</v>
      </c>
      <c r="BJ275" s="159" t="e">
        <v>#N/A</v>
      </c>
      <c r="BK275" s="14" t="e">
        <v>#N/A</v>
      </c>
      <c r="BL275" s="14" t="e">
        <v>#N/A</v>
      </c>
      <c r="BM275" s="14" t="e">
        <v>#N/A</v>
      </c>
      <c r="BN275" s="14" t="e">
        <v>#N/A</v>
      </c>
      <c r="BO275" s="14" t="e">
        <v>#N/A</v>
      </c>
      <c r="BP275" s="182" t="e">
        <v>#N/A</v>
      </c>
      <c r="BQ275" s="183" t="e">
        <v>#N/A</v>
      </c>
    </row>
    <row r="276" spans="2:69" x14ac:dyDescent="0.35">
      <c r="B276" s="1">
        <v>0</v>
      </c>
      <c r="C276">
        <v>0</v>
      </c>
      <c r="D276" s="113">
        <v>0</v>
      </c>
      <c r="E276" s="113">
        <v>0</v>
      </c>
      <c r="F276" s="113">
        <v>0</v>
      </c>
      <c r="G276" s="113">
        <v>0</v>
      </c>
      <c r="H276">
        <v>0</v>
      </c>
      <c r="I276" s="175">
        <v>0</v>
      </c>
      <c r="J276" s="113">
        <v>0</v>
      </c>
      <c r="K276">
        <v>0</v>
      </c>
      <c r="L276">
        <v>0</v>
      </c>
      <c r="M276">
        <v>0</v>
      </c>
      <c r="N276">
        <v>0</v>
      </c>
      <c r="O276" s="1">
        <v>0</v>
      </c>
      <c r="P276" s="138">
        <v>0</v>
      </c>
      <c r="Q276" s="1">
        <v>0</v>
      </c>
      <c r="R276" s="95">
        <f>CHOOSE($D$4,D276,E276,F276,G276,H276,I276,J276,K276,L276,M276,N276,O276,P276,101-B276)+0.000001*ROWS($A$20:A276)</f>
        <v>2.5700000000000001E-4</v>
      </c>
      <c r="S276" s="4">
        <f t="shared" ref="S276:S339" si="36">RANK(R276,$R$20:$R$379)</f>
        <v>356</v>
      </c>
      <c r="T276" s="4"/>
      <c r="U276" s="14">
        <f>ROWS($U$20:U276)</f>
        <v>257</v>
      </c>
      <c r="V276" s="4">
        <v>0</v>
      </c>
      <c r="W276" s="4">
        <v>0</v>
      </c>
      <c r="X276" s="94">
        <v>0</v>
      </c>
      <c r="Y276" s="94">
        <v>0</v>
      </c>
      <c r="Z276" s="94">
        <v>0</v>
      </c>
      <c r="AA276" s="94">
        <v>0</v>
      </c>
      <c r="AB276" s="4">
        <v>0</v>
      </c>
      <c r="AC276" s="94">
        <v>0</v>
      </c>
      <c r="AD276" s="94">
        <v>0</v>
      </c>
      <c r="AE276" s="4">
        <v>0</v>
      </c>
      <c r="AF276" s="4">
        <v>0</v>
      </c>
      <c r="AG276" s="4">
        <v>0</v>
      </c>
      <c r="AH276" s="4">
        <v>0</v>
      </c>
      <c r="AI276" s="4">
        <v>0</v>
      </c>
      <c r="AJ276" s="139">
        <v>0</v>
      </c>
      <c r="AK276" s="94">
        <v>0</v>
      </c>
      <c r="AL276" s="162">
        <v>0</v>
      </c>
      <c r="AM276" s="162">
        <v>0</v>
      </c>
      <c r="AN276" s="162">
        <v>0</v>
      </c>
      <c r="AO276" s="162">
        <v>0</v>
      </c>
      <c r="AP276" s="17">
        <v>0</v>
      </c>
      <c r="AQ276" s="162">
        <v>0</v>
      </c>
      <c r="AR276" s="162">
        <v>0</v>
      </c>
      <c r="AS276" s="17" t="str">
        <v/>
      </c>
      <c r="AT276" s="17">
        <v>0</v>
      </c>
      <c r="AU276" s="17">
        <v>0</v>
      </c>
      <c r="AV276" s="17">
        <v>0</v>
      </c>
      <c r="AW276" s="17">
        <v>0</v>
      </c>
      <c r="AX276" s="4">
        <v>71.111111111111114</v>
      </c>
      <c r="AY276" s="4">
        <v>53.846153846153854</v>
      </c>
      <c r="BD276" s="159" t="e">
        <v>#N/A</v>
      </c>
      <c r="BE276" s="159" t="e">
        <v>#N/A</v>
      </c>
      <c r="BF276" s="159" t="e">
        <v>#N/A</v>
      </c>
      <c r="BG276" s="159" t="e">
        <v>#N/A</v>
      </c>
      <c r="BH276" s="14" t="e">
        <v>#N/A</v>
      </c>
      <c r="BI276" s="159" t="e">
        <v>#N/A</v>
      </c>
      <c r="BJ276" s="159" t="e">
        <v>#N/A</v>
      </c>
      <c r="BK276" s="14" t="e">
        <v>#N/A</v>
      </c>
      <c r="BL276" s="14" t="e">
        <v>#N/A</v>
      </c>
      <c r="BM276" s="14" t="e">
        <v>#N/A</v>
      </c>
      <c r="BN276" s="14" t="e">
        <v>#N/A</v>
      </c>
      <c r="BO276" s="14" t="e">
        <v>#N/A</v>
      </c>
      <c r="BP276" s="182" t="e">
        <v>#N/A</v>
      </c>
      <c r="BQ276" s="183" t="e">
        <v>#N/A</v>
      </c>
    </row>
    <row r="277" spans="2:69" x14ac:dyDescent="0.35">
      <c r="B277" s="1">
        <v>0</v>
      </c>
      <c r="C277">
        <v>0</v>
      </c>
      <c r="D277" s="113">
        <v>0</v>
      </c>
      <c r="E277" s="113">
        <v>0</v>
      </c>
      <c r="F277" s="113">
        <v>0</v>
      </c>
      <c r="G277" s="113">
        <v>0</v>
      </c>
      <c r="H277">
        <v>0</v>
      </c>
      <c r="I277" s="175">
        <v>0</v>
      </c>
      <c r="J277" s="113">
        <v>0</v>
      </c>
      <c r="K277">
        <v>0</v>
      </c>
      <c r="L277">
        <v>0</v>
      </c>
      <c r="M277">
        <v>0</v>
      </c>
      <c r="N277">
        <v>0</v>
      </c>
      <c r="O277" s="1">
        <v>0</v>
      </c>
      <c r="P277" s="138">
        <v>0</v>
      </c>
      <c r="Q277" s="1">
        <v>0</v>
      </c>
      <c r="R277" s="95">
        <f>CHOOSE($D$4,D277,E277,F277,G277,H277,I277,J277,K277,L277,M277,N277,O277,P277,101-B277)+0.000001*ROWS($A$20:A277)</f>
        <v>2.5799999999999998E-4</v>
      </c>
      <c r="S277" s="4">
        <f t="shared" si="36"/>
        <v>355</v>
      </c>
      <c r="T277" s="4"/>
      <c r="U277" s="14">
        <f>ROWS($U$20:U277)</f>
        <v>258</v>
      </c>
      <c r="V277" s="4">
        <v>0</v>
      </c>
      <c r="W277" s="4">
        <v>0</v>
      </c>
      <c r="X277" s="94">
        <v>0</v>
      </c>
      <c r="Y277" s="94">
        <v>0</v>
      </c>
      <c r="Z277" s="94">
        <v>0</v>
      </c>
      <c r="AA277" s="94">
        <v>0</v>
      </c>
      <c r="AB277" s="4">
        <v>0</v>
      </c>
      <c r="AC277" s="94">
        <v>0</v>
      </c>
      <c r="AD277" s="94">
        <v>0</v>
      </c>
      <c r="AE277" s="4">
        <v>0</v>
      </c>
      <c r="AF277" s="4">
        <v>0</v>
      </c>
      <c r="AG277" s="4">
        <v>0</v>
      </c>
      <c r="AH277" s="4">
        <v>0</v>
      </c>
      <c r="AI277" s="4">
        <v>0</v>
      </c>
      <c r="AJ277" s="139">
        <v>0</v>
      </c>
      <c r="AK277" s="94">
        <v>0</v>
      </c>
      <c r="AL277" s="162">
        <v>0</v>
      </c>
      <c r="AM277" s="162">
        <v>0</v>
      </c>
      <c r="AN277" s="162">
        <v>0</v>
      </c>
      <c r="AO277" s="162">
        <v>0</v>
      </c>
      <c r="AP277" s="17">
        <v>0</v>
      </c>
      <c r="AQ277" s="162">
        <v>0</v>
      </c>
      <c r="AR277" s="162">
        <v>0</v>
      </c>
      <c r="AS277" s="17" t="str">
        <v/>
      </c>
      <c r="AT277" s="17">
        <v>0</v>
      </c>
      <c r="AU277" s="17">
        <v>0</v>
      </c>
      <c r="AV277" s="17">
        <v>0</v>
      </c>
      <c r="AW277" s="17">
        <v>0</v>
      </c>
      <c r="AX277" s="4">
        <v>71.111111111111114</v>
      </c>
      <c r="AY277" s="4">
        <v>53.846153846153854</v>
      </c>
      <c r="BD277" s="159" t="e">
        <v>#N/A</v>
      </c>
      <c r="BE277" s="159" t="e">
        <v>#N/A</v>
      </c>
      <c r="BF277" s="159" t="e">
        <v>#N/A</v>
      </c>
      <c r="BG277" s="159" t="e">
        <v>#N/A</v>
      </c>
      <c r="BH277" s="14" t="e">
        <v>#N/A</v>
      </c>
      <c r="BI277" s="159" t="e">
        <v>#N/A</v>
      </c>
      <c r="BJ277" s="159" t="e">
        <v>#N/A</v>
      </c>
      <c r="BK277" s="14" t="e">
        <v>#N/A</v>
      </c>
      <c r="BL277" s="14" t="e">
        <v>#N/A</v>
      </c>
      <c r="BM277" s="14" t="e">
        <v>#N/A</v>
      </c>
      <c r="BN277" s="14" t="e">
        <v>#N/A</v>
      </c>
      <c r="BO277" s="14" t="e">
        <v>#N/A</v>
      </c>
      <c r="BP277" s="182" t="e">
        <v>#N/A</v>
      </c>
      <c r="BQ277" s="183" t="e">
        <v>#N/A</v>
      </c>
    </row>
    <row r="278" spans="2:69" x14ac:dyDescent="0.35">
      <c r="B278" s="1">
        <v>0</v>
      </c>
      <c r="C278">
        <v>0</v>
      </c>
      <c r="D278" s="113">
        <v>0</v>
      </c>
      <c r="E278" s="113">
        <v>0</v>
      </c>
      <c r="F278" s="113">
        <v>0</v>
      </c>
      <c r="G278" s="113">
        <v>0</v>
      </c>
      <c r="H278">
        <v>0</v>
      </c>
      <c r="I278" s="175">
        <v>0</v>
      </c>
      <c r="J278" s="113">
        <v>0</v>
      </c>
      <c r="K278">
        <v>0</v>
      </c>
      <c r="L278">
        <v>0</v>
      </c>
      <c r="M278">
        <v>0</v>
      </c>
      <c r="N278">
        <v>0</v>
      </c>
      <c r="O278" s="1">
        <v>0</v>
      </c>
      <c r="P278" s="138">
        <v>0</v>
      </c>
      <c r="Q278" s="1">
        <v>0</v>
      </c>
      <c r="R278" s="95">
        <f>CHOOSE($D$4,D278,E278,F278,G278,H278,I278,J278,K278,L278,M278,N278,O278,P278,101-B278)+0.000001*ROWS($A$20:A278)</f>
        <v>2.5900000000000001E-4</v>
      </c>
      <c r="S278" s="4">
        <f t="shared" si="36"/>
        <v>354</v>
      </c>
      <c r="T278" s="4"/>
      <c r="U278" s="14">
        <f>ROWS($U$20:U278)</f>
        <v>259</v>
      </c>
      <c r="V278" s="4">
        <v>0</v>
      </c>
      <c r="W278" s="4">
        <v>0</v>
      </c>
      <c r="X278" s="94">
        <v>0</v>
      </c>
      <c r="Y278" s="94">
        <v>0</v>
      </c>
      <c r="Z278" s="94">
        <v>0</v>
      </c>
      <c r="AA278" s="94">
        <v>0</v>
      </c>
      <c r="AB278" s="4">
        <v>0</v>
      </c>
      <c r="AC278" s="94">
        <v>0</v>
      </c>
      <c r="AD278" s="94">
        <v>0</v>
      </c>
      <c r="AE278" s="4">
        <v>0</v>
      </c>
      <c r="AF278" s="4">
        <v>0</v>
      </c>
      <c r="AG278" s="4">
        <v>0</v>
      </c>
      <c r="AH278" s="4">
        <v>0</v>
      </c>
      <c r="AI278" s="4">
        <v>0</v>
      </c>
      <c r="AJ278" s="139">
        <v>0</v>
      </c>
      <c r="AK278" s="94">
        <v>0</v>
      </c>
      <c r="AL278" s="162">
        <v>0</v>
      </c>
      <c r="AM278" s="162">
        <v>0</v>
      </c>
      <c r="AN278" s="162">
        <v>0</v>
      </c>
      <c r="AO278" s="162">
        <v>0</v>
      </c>
      <c r="AP278" s="17">
        <v>0</v>
      </c>
      <c r="AQ278" s="162">
        <v>0</v>
      </c>
      <c r="AR278" s="162">
        <v>0</v>
      </c>
      <c r="AS278" s="17" t="str">
        <v/>
      </c>
      <c r="AT278" s="17">
        <v>0</v>
      </c>
      <c r="AU278" s="17">
        <v>0</v>
      </c>
      <c r="AV278" s="17">
        <v>0</v>
      </c>
      <c r="AW278" s="17">
        <v>0</v>
      </c>
      <c r="AX278" s="4">
        <v>71.111111111111114</v>
      </c>
      <c r="AY278" s="4">
        <v>53.846153846153854</v>
      </c>
      <c r="BD278" s="159" t="e">
        <v>#N/A</v>
      </c>
      <c r="BE278" s="159" t="e">
        <v>#N/A</v>
      </c>
      <c r="BF278" s="159" t="e">
        <v>#N/A</v>
      </c>
      <c r="BG278" s="159" t="e">
        <v>#N/A</v>
      </c>
      <c r="BH278" s="14" t="e">
        <v>#N/A</v>
      </c>
      <c r="BI278" s="159" t="e">
        <v>#N/A</v>
      </c>
      <c r="BJ278" s="159" t="e">
        <v>#N/A</v>
      </c>
      <c r="BK278" s="14" t="e">
        <v>#N/A</v>
      </c>
      <c r="BL278" s="14" t="e">
        <v>#N/A</v>
      </c>
      <c r="BM278" s="14" t="e">
        <v>#N/A</v>
      </c>
      <c r="BN278" s="14" t="e">
        <v>#N/A</v>
      </c>
      <c r="BO278" s="14" t="e">
        <v>#N/A</v>
      </c>
      <c r="BP278" s="182" t="e">
        <v>#N/A</v>
      </c>
      <c r="BQ278" s="183" t="e">
        <v>#N/A</v>
      </c>
    </row>
    <row r="279" spans="2:69" x14ac:dyDescent="0.35">
      <c r="B279" s="1">
        <v>0</v>
      </c>
      <c r="C279">
        <v>0</v>
      </c>
      <c r="D279" s="113">
        <v>0</v>
      </c>
      <c r="E279" s="113">
        <v>0</v>
      </c>
      <c r="F279" s="113">
        <v>0</v>
      </c>
      <c r="G279" s="113">
        <v>0</v>
      </c>
      <c r="H279">
        <v>0</v>
      </c>
      <c r="I279" s="175">
        <v>0</v>
      </c>
      <c r="J279" s="113">
        <v>0</v>
      </c>
      <c r="K279">
        <v>0</v>
      </c>
      <c r="L279">
        <v>0</v>
      </c>
      <c r="M279">
        <v>0</v>
      </c>
      <c r="N279">
        <v>0</v>
      </c>
      <c r="O279" s="1">
        <v>0</v>
      </c>
      <c r="P279" s="138">
        <v>0</v>
      </c>
      <c r="Q279" s="1">
        <v>0</v>
      </c>
      <c r="R279" s="95">
        <f>CHOOSE($D$4,D279,E279,F279,G279,H279,I279,J279,K279,L279,M279,N279,O279,P279,101-B279)+0.000001*ROWS($A$20:A279)</f>
        <v>2.5999999999999998E-4</v>
      </c>
      <c r="S279" s="4">
        <f t="shared" si="36"/>
        <v>353</v>
      </c>
      <c r="T279" s="4"/>
      <c r="U279" s="14">
        <f>ROWS($U$20:U279)</f>
        <v>260</v>
      </c>
      <c r="V279" s="4">
        <v>0</v>
      </c>
      <c r="W279" s="4">
        <v>0</v>
      </c>
      <c r="X279" s="94">
        <v>0</v>
      </c>
      <c r="Y279" s="94">
        <v>0</v>
      </c>
      <c r="Z279" s="94">
        <v>0</v>
      </c>
      <c r="AA279" s="94">
        <v>0</v>
      </c>
      <c r="AB279" s="4">
        <v>0</v>
      </c>
      <c r="AC279" s="94">
        <v>0</v>
      </c>
      <c r="AD279" s="94">
        <v>0</v>
      </c>
      <c r="AE279" s="4">
        <v>0</v>
      </c>
      <c r="AF279" s="4">
        <v>0</v>
      </c>
      <c r="AG279" s="4">
        <v>0</v>
      </c>
      <c r="AH279" s="4">
        <v>0</v>
      </c>
      <c r="AI279" s="4">
        <v>0</v>
      </c>
      <c r="AJ279" s="139">
        <v>0</v>
      </c>
      <c r="AK279" s="94">
        <v>0</v>
      </c>
      <c r="AL279" s="162">
        <v>0</v>
      </c>
      <c r="AM279" s="162">
        <v>0</v>
      </c>
      <c r="AN279" s="162">
        <v>0</v>
      </c>
      <c r="AO279" s="162">
        <v>0</v>
      </c>
      <c r="AP279" s="17">
        <v>0</v>
      </c>
      <c r="AQ279" s="162">
        <v>0</v>
      </c>
      <c r="AR279" s="162">
        <v>0</v>
      </c>
      <c r="AS279" s="17" t="str">
        <v/>
      </c>
      <c r="AT279" s="17">
        <v>0</v>
      </c>
      <c r="AU279" s="17">
        <v>0</v>
      </c>
      <c r="AV279" s="17">
        <v>0</v>
      </c>
      <c r="AW279" s="17">
        <v>0</v>
      </c>
      <c r="AX279" s="4">
        <v>71.111111111111114</v>
      </c>
      <c r="AY279" s="4">
        <v>53.846153846153854</v>
      </c>
      <c r="BD279" s="159" t="e">
        <v>#N/A</v>
      </c>
      <c r="BE279" s="159" t="e">
        <v>#N/A</v>
      </c>
      <c r="BF279" s="159" t="e">
        <v>#N/A</v>
      </c>
      <c r="BG279" s="159" t="e">
        <v>#N/A</v>
      </c>
      <c r="BH279" s="14" t="e">
        <v>#N/A</v>
      </c>
      <c r="BI279" s="159" t="e">
        <v>#N/A</v>
      </c>
      <c r="BJ279" s="159" t="e">
        <v>#N/A</v>
      </c>
      <c r="BK279" s="14" t="e">
        <v>#N/A</v>
      </c>
      <c r="BL279" s="14" t="e">
        <v>#N/A</v>
      </c>
      <c r="BM279" s="14" t="e">
        <v>#N/A</v>
      </c>
      <c r="BN279" s="14" t="e">
        <v>#N/A</v>
      </c>
      <c r="BO279" s="14" t="e">
        <v>#N/A</v>
      </c>
      <c r="BP279" s="182" t="e">
        <v>#N/A</v>
      </c>
      <c r="BQ279" s="183" t="e">
        <v>#N/A</v>
      </c>
    </row>
    <row r="280" spans="2:69" x14ac:dyDescent="0.35">
      <c r="B280" s="1">
        <v>0</v>
      </c>
      <c r="C280">
        <v>0</v>
      </c>
      <c r="D280" s="113">
        <v>0</v>
      </c>
      <c r="E280" s="113">
        <v>0</v>
      </c>
      <c r="F280" s="113">
        <v>0</v>
      </c>
      <c r="G280" s="113">
        <v>0</v>
      </c>
      <c r="H280">
        <v>0</v>
      </c>
      <c r="I280" s="175">
        <v>0</v>
      </c>
      <c r="J280" s="113">
        <v>0</v>
      </c>
      <c r="K280">
        <v>0</v>
      </c>
      <c r="L280">
        <v>0</v>
      </c>
      <c r="M280">
        <v>0</v>
      </c>
      <c r="N280">
        <v>0</v>
      </c>
      <c r="O280" s="1">
        <v>0</v>
      </c>
      <c r="P280" s="138">
        <v>0</v>
      </c>
      <c r="Q280" s="1">
        <v>0</v>
      </c>
      <c r="R280" s="95">
        <f>CHOOSE($D$4,D280,E280,F280,G280,H280,I280,J280,K280,L280,M280,N280,O280,P280,101-B280)+0.000001*ROWS($A$20:A280)</f>
        <v>2.61E-4</v>
      </c>
      <c r="S280" s="4">
        <f t="shared" si="36"/>
        <v>352</v>
      </c>
      <c r="T280" s="4"/>
      <c r="U280" s="14">
        <f>ROWS($U$20:U280)</f>
        <v>261</v>
      </c>
      <c r="V280" s="4">
        <v>0</v>
      </c>
      <c r="W280" s="4">
        <v>0</v>
      </c>
      <c r="X280" s="94">
        <v>0</v>
      </c>
      <c r="Y280" s="94">
        <v>0</v>
      </c>
      <c r="Z280" s="94">
        <v>0</v>
      </c>
      <c r="AA280" s="94">
        <v>0</v>
      </c>
      <c r="AB280" s="4">
        <v>0</v>
      </c>
      <c r="AC280" s="94">
        <v>0</v>
      </c>
      <c r="AD280" s="94">
        <v>0</v>
      </c>
      <c r="AE280" s="4">
        <v>0</v>
      </c>
      <c r="AF280" s="4">
        <v>0</v>
      </c>
      <c r="AG280" s="4">
        <v>0</v>
      </c>
      <c r="AH280" s="4">
        <v>0</v>
      </c>
      <c r="AI280" s="4">
        <v>0</v>
      </c>
      <c r="AJ280" s="139">
        <v>0</v>
      </c>
      <c r="AK280" s="94">
        <v>0</v>
      </c>
      <c r="AL280" s="162">
        <v>0</v>
      </c>
      <c r="AM280" s="162">
        <v>0</v>
      </c>
      <c r="AN280" s="162">
        <v>0</v>
      </c>
      <c r="AO280" s="162">
        <v>0</v>
      </c>
      <c r="AP280" s="17">
        <v>0</v>
      </c>
      <c r="AQ280" s="162">
        <v>0</v>
      </c>
      <c r="AR280" s="162">
        <v>0</v>
      </c>
      <c r="AS280" s="17" t="str">
        <v/>
      </c>
      <c r="AT280" s="17">
        <v>0</v>
      </c>
      <c r="AU280" s="17">
        <v>0</v>
      </c>
      <c r="AV280" s="17">
        <v>0</v>
      </c>
      <c r="AW280" s="17">
        <v>0</v>
      </c>
      <c r="AX280" s="4">
        <v>71.111111111111114</v>
      </c>
      <c r="AY280" s="4">
        <v>53.846153846153854</v>
      </c>
      <c r="BD280" s="159" t="e">
        <v>#N/A</v>
      </c>
      <c r="BE280" s="159" t="e">
        <v>#N/A</v>
      </c>
      <c r="BF280" s="159" t="e">
        <v>#N/A</v>
      </c>
      <c r="BG280" s="159" t="e">
        <v>#N/A</v>
      </c>
      <c r="BH280" s="14" t="e">
        <v>#N/A</v>
      </c>
      <c r="BI280" s="159" t="e">
        <v>#N/A</v>
      </c>
      <c r="BJ280" s="159" t="e">
        <v>#N/A</v>
      </c>
      <c r="BK280" s="14" t="e">
        <v>#N/A</v>
      </c>
      <c r="BL280" s="14" t="e">
        <v>#N/A</v>
      </c>
      <c r="BM280" s="14" t="e">
        <v>#N/A</v>
      </c>
      <c r="BN280" s="14" t="e">
        <v>#N/A</v>
      </c>
      <c r="BO280" s="14" t="e">
        <v>#N/A</v>
      </c>
      <c r="BP280" s="182" t="e">
        <v>#N/A</v>
      </c>
      <c r="BQ280" s="183" t="e">
        <v>#N/A</v>
      </c>
    </row>
    <row r="281" spans="2:69" x14ac:dyDescent="0.35">
      <c r="B281" s="1">
        <v>0</v>
      </c>
      <c r="C281">
        <v>0</v>
      </c>
      <c r="D281" s="113">
        <v>0</v>
      </c>
      <c r="E281" s="113">
        <v>0</v>
      </c>
      <c r="F281" s="113">
        <v>0</v>
      </c>
      <c r="G281" s="113">
        <v>0</v>
      </c>
      <c r="H281">
        <v>0</v>
      </c>
      <c r="I281" s="175">
        <v>0</v>
      </c>
      <c r="J281" s="113">
        <v>0</v>
      </c>
      <c r="K281">
        <v>0</v>
      </c>
      <c r="L281">
        <v>0</v>
      </c>
      <c r="M281">
        <v>0</v>
      </c>
      <c r="N281">
        <v>0</v>
      </c>
      <c r="O281" s="1">
        <v>0</v>
      </c>
      <c r="P281" s="138">
        <v>0</v>
      </c>
      <c r="Q281" s="1">
        <v>0</v>
      </c>
      <c r="R281" s="95">
        <f>CHOOSE($D$4,D281,E281,F281,G281,H281,I281,J281,K281,L281,M281,N281,O281,P281,101-B281)+0.000001*ROWS($A$20:A281)</f>
        <v>2.6199999999999997E-4</v>
      </c>
      <c r="S281" s="4">
        <f t="shared" si="36"/>
        <v>351</v>
      </c>
      <c r="T281" s="4"/>
      <c r="U281" s="14">
        <f>ROWS($U$20:U281)</f>
        <v>262</v>
      </c>
      <c r="V281" s="4">
        <v>0</v>
      </c>
      <c r="W281" s="4">
        <v>0</v>
      </c>
      <c r="X281" s="94">
        <v>0</v>
      </c>
      <c r="Y281" s="94">
        <v>0</v>
      </c>
      <c r="Z281" s="94">
        <v>0</v>
      </c>
      <c r="AA281" s="94">
        <v>0</v>
      </c>
      <c r="AB281" s="4">
        <v>0</v>
      </c>
      <c r="AC281" s="94">
        <v>0</v>
      </c>
      <c r="AD281" s="94">
        <v>0</v>
      </c>
      <c r="AE281" s="4">
        <v>0</v>
      </c>
      <c r="AF281" s="4">
        <v>0</v>
      </c>
      <c r="AG281" s="4">
        <v>0</v>
      </c>
      <c r="AH281" s="4">
        <v>0</v>
      </c>
      <c r="AI281" s="4">
        <v>0</v>
      </c>
      <c r="AJ281" s="139">
        <v>0</v>
      </c>
      <c r="AK281" s="94">
        <v>0</v>
      </c>
      <c r="AL281" s="162">
        <v>0</v>
      </c>
      <c r="AM281" s="162">
        <v>0</v>
      </c>
      <c r="AN281" s="162">
        <v>0</v>
      </c>
      <c r="AO281" s="162">
        <v>0</v>
      </c>
      <c r="AP281" s="17">
        <v>0</v>
      </c>
      <c r="AQ281" s="162">
        <v>0</v>
      </c>
      <c r="AR281" s="162">
        <v>0</v>
      </c>
      <c r="AS281" s="17" t="str">
        <v/>
      </c>
      <c r="AT281" s="17">
        <v>0</v>
      </c>
      <c r="AU281" s="17">
        <v>0</v>
      </c>
      <c r="AV281" s="17">
        <v>0</v>
      </c>
      <c r="AW281" s="17">
        <v>0</v>
      </c>
      <c r="AX281" s="4">
        <v>71.111111111111114</v>
      </c>
      <c r="AY281" s="4">
        <v>53.846153846153854</v>
      </c>
      <c r="BD281" s="159" t="e">
        <v>#N/A</v>
      </c>
      <c r="BE281" s="159" t="e">
        <v>#N/A</v>
      </c>
      <c r="BF281" s="159" t="e">
        <v>#N/A</v>
      </c>
      <c r="BG281" s="159" t="e">
        <v>#N/A</v>
      </c>
      <c r="BH281" s="14" t="e">
        <v>#N/A</v>
      </c>
      <c r="BI281" s="159" t="e">
        <v>#N/A</v>
      </c>
      <c r="BJ281" s="159" t="e">
        <v>#N/A</v>
      </c>
      <c r="BK281" s="14" t="e">
        <v>#N/A</v>
      </c>
      <c r="BL281" s="14" t="e">
        <v>#N/A</v>
      </c>
      <c r="BM281" s="14" t="e">
        <v>#N/A</v>
      </c>
      <c r="BN281" s="14" t="e">
        <v>#N/A</v>
      </c>
      <c r="BO281" s="14" t="e">
        <v>#N/A</v>
      </c>
      <c r="BP281" s="182" t="e">
        <v>#N/A</v>
      </c>
      <c r="BQ281" s="183" t="e">
        <v>#N/A</v>
      </c>
    </row>
    <row r="282" spans="2:69" x14ac:dyDescent="0.35">
      <c r="B282" s="1">
        <v>0</v>
      </c>
      <c r="C282">
        <v>0</v>
      </c>
      <c r="D282" s="113">
        <v>0</v>
      </c>
      <c r="E282" s="113">
        <v>0</v>
      </c>
      <c r="F282" s="113">
        <v>0</v>
      </c>
      <c r="G282" s="113">
        <v>0</v>
      </c>
      <c r="H282">
        <v>0</v>
      </c>
      <c r="I282" s="175">
        <v>0</v>
      </c>
      <c r="J282" s="113">
        <v>0</v>
      </c>
      <c r="K282">
        <v>0</v>
      </c>
      <c r="L282">
        <v>0</v>
      </c>
      <c r="M282">
        <v>0</v>
      </c>
      <c r="N282">
        <v>0</v>
      </c>
      <c r="O282" s="1">
        <v>0</v>
      </c>
      <c r="P282" s="138">
        <v>0</v>
      </c>
      <c r="Q282" s="1">
        <v>0</v>
      </c>
      <c r="R282" s="95">
        <f>CHOOSE($D$4,D282,E282,F282,G282,H282,I282,J282,K282,L282,M282,N282,O282,P282,101-B282)+0.000001*ROWS($A$20:A282)</f>
        <v>2.63E-4</v>
      </c>
      <c r="S282" s="4">
        <f t="shared" si="36"/>
        <v>350</v>
      </c>
      <c r="T282" s="4"/>
      <c r="U282" s="14">
        <f>ROWS($U$20:U282)</f>
        <v>263</v>
      </c>
      <c r="V282" s="4">
        <v>0</v>
      </c>
      <c r="W282" s="4">
        <v>0</v>
      </c>
      <c r="X282" s="94">
        <v>0</v>
      </c>
      <c r="Y282" s="94">
        <v>0</v>
      </c>
      <c r="Z282" s="94">
        <v>0</v>
      </c>
      <c r="AA282" s="94">
        <v>0</v>
      </c>
      <c r="AB282" s="4">
        <v>0</v>
      </c>
      <c r="AC282" s="94">
        <v>0</v>
      </c>
      <c r="AD282" s="94">
        <v>0</v>
      </c>
      <c r="AE282" s="4">
        <v>0</v>
      </c>
      <c r="AF282" s="4">
        <v>0</v>
      </c>
      <c r="AG282" s="4">
        <v>0</v>
      </c>
      <c r="AH282" s="4">
        <v>0</v>
      </c>
      <c r="AI282" s="4">
        <v>0</v>
      </c>
      <c r="AJ282" s="139">
        <v>0</v>
      </c>
      <c r="AK282" s="94">
        <v>0</v>
      </c>
      <c r="AL282" s="162">
        <v>0</v>
      </c>
      <c r="AM282" s="162">
        <v>0</v>
      </c>
      <c r="AN282" s="162">
        <v>0</v>
      </c>
      <c r="AO282" s="162">
        <v>0</v>
      </c>
      <c r="AP282" s="17">
        <v>0</v>
      </c>
      <c r="AQ282" s="162">
        <v>0</v>
      </c>
      <c r="AR282" s="162">
        <v>0</v>
      </c>
      <c r="AS282" s="17" t="str">
        <v/>
      </c>
      <c r="AT282" s="17">
        <v>0</v>
      </c>
      <c r="AU282" s="17">
        <v>0</v>
      </c>
      <c r="AV282" s="17">
        <v>0</v>
      </c>
      <c r="AW282" s="17">
        <v>0</v>
      </c>
      <c r="AX282" s="4">
        <v>71.111111111111114</v>
      </c>
      <c r="AY282" s="4">
        <v>53.846153846153854</v>
      </c>
      <c r="BD282" s="159" t="e">
        <v>#N/A</v>
      </c>
      <c r="BE282" s="159" t="e">
        <v>#N/A</v>
      </c>
      <c r="BF282" s="159" t="e">
        <v>#N/A</v>
      </c>
      <c r="BG282" s="159" t="e">
        <v>#N/A</v>
      </c>
      <c r="BH282" s="14" t="e">
        <v>#N/A</v>
      </c>
      <c r="BI282" s="159" t="e">
        <v>#N/A</v>
      </c>
      <c r="BJ282" s="159" t="e">
        <v>#N/A</v>
      </c>
      <c r="BK282" s="14" t="e">
        <v>#N/A</v>
      </c>
      <c r="BL282" s="14" t="e">
        <v>#N/A</v>
      </c>
      <c r="BM282" s="14" t="e">
        <v>#N/A</v>
      </c>
      <c r="BN282" s="14" t="e">
        <v>#N/A</v>
      </c>
      <c r="BO282" s="14" t="e">
        <v>#N/A</v>
      </c>
      <c r="BP282" s="182" t="e">
        <v>#N/A</v>
      </c>
      <c r="BQ282" s="183" t="e">
        <v>#N/A</v>
      </c>
    </row>
    <row r="283" spans="2:69" x14ac:dyDescent="0.35">
      <c r="B283" s="1">
        <v>0</v>
      </c>
      <c r="C283">
        <v>0</v>
      </c>
      <c r="D283" s="113">
        <v>0</v>
      </c>
      <c r="E283" s="113">
        <v>0</v>
      </c>
      <c r="F283" s="113">
        <v>0</v>
      </c>
      <c r="G283" s="113">
        <v>0</v>
      </c>
      <c r="H283">
        <v>0</v>
      </c>
      <c r="I283" s="175">
        <v>0</v>
      </c>
      <c r="J283" s="113">
        <v>0</v>
      </c>
      <c r="K283">
        <v>0</v>
      </c>
      <c r="L283">
        <v>0</v>
      </c>
      <c r="M283">
        <v>0</v>
      </c>
      <c r="N283">
        <v>0</v>
      </c>
      <c r="O283" s="1">
        <v>0</v>
      </c>
      <c r="P283" s="138">
        <v>0</v>
      </c>
      <c r="Q283" s="1">
        <v>0</v>
      </c>
      <c r="R283" s="95">
        <f>CHOOSE($D$4,D283,E283,F283,G283,H283,I283,J283,K283,L283,M283,N283,O283,P283,101-B283)+0.000001*ROWS($A$20:A283)</f>
        <v>2.6399999999999997E-4</v>
      </c>
      <c r="S283" s="4">
        <f t="shared" si="36"/>
        <v>349</v>
      </c>
      <c r="T283" s="4"/>
      <c r="U283" s="14">
        <f>ROWS($U$20:U283)</f>
        <v>264</v>
      </c>
      <c r="V283" s="4">
        <v>0</v>
      </c>
      <c r="W283" s="4">
        <v>0</v>
      </c>
      <c r="X283" s="94">
        <v>0</v>
      </c>
      <c r="Y283" s="94">
        <v>0</v>
      </c>
      <c r="Z283" s="94">
        <v>0</v>
      </c>
      <c r="AA283" s="94">
        <v>0</v>
      </c>
      <c r="AB283" s="4">
        <v>0</v>
      </c>
      <c r="AC283" s="94">
        <v>0</v>
      </c>
      <c r="AD283" s="94">
        <v>0</v>
      </c>
      <c r="AE283" s="4">
        <v>0</v>
      </c>
      <c r="AF283" s="4">
        <v>0</v>
      </c>
      <c r="AG283" s="4">
        <v>0</v>
      </c>
      <c r="AH283" s="4">
        <v>0</v>
      </c>
      <c r="AI283" s="4">
        <v>0</v>
      </c>
      <c r="AJ283" s="139">
        <v>0</v>
      </c>
      <c r="AK283" s="94">
        <v>0</v>
      </c>
      <c r="AL283" s="162">
        <v>0</v>
      </c>
      <c r="AM283" s="162">
        <v>0</v>
      </c>
      <c r="AN283" s="162">
        <v>0</v>
      </c>
      <c r="AO283" s="162">
        <v>0</v>
      </c>
      <c r="AP283" s="17">
        <v>0</v>
      </c>
      <c r="AQ283" s="162">
        <v>0</v>
      </c>
      <c r="AR283" s="162">
        <v>0</v>
      </c>
      <c r="AS283" s="17" t="str">
        <v/>
      </c>
      <c r="AT283" s="17">
        <v>0</v>
      </c>
      <c r="AU283" s="17">
        <v>0</v>
      </c>
      <c r="AV283" s="17">
        <v>0</v>
      </c>
      <c r="AW283" s="17">
        <v>0</v>
      </c>
      <c r="AX283" s="4">
        <v>71.111111111111114</v>
      </c>
      <c r="AY283" s="4">
        <v>53.846153846153854</v>
      </c>
      <c r="BD283" s="159" t="e">
        <v>#N/A</v>
      </c>
      <c r="BE283" s="159" t="e">
        <v>#N/A</v>
      </c>
      <c r="BF283" s="159" t="e">
        <v>#N/A</v>
      </c>
      <c r="BG283" s="159" t="e">
        <v>#N/A</v>
      </c>
      <c r="BH283" s="14" t="e">
        <v>#N/A</v>
      </c>
      <c r="BI283" s="159" t="e">
        <v>#N/A</v>
      </c>
      <c r="BJ283" s="159" t="e">
        <v>#N/A</v>
      </c>
      <c r="BK283" s="14" t="e">
        <v>#N/A</v>
      </c>
      <c r="BL283" s="14" t="e">
        <v>#N/A</v>
      </c>
      <c r="BM283" s="14" t="e">
        <v>#N/A</v>
      </c>
      <c r="BN283" s="14" t="e">
        <v>#N/A</v>
      </c>
      <c r="BO283" s="14" t="e">
        <v>#N/A</v>
      </c>
      <c r="BP283" s="182" t="e">
        <v>#N/A</v>
      </c>
      <c r="BQ283" s="183" t="e">
        <v>#N/A</v>
      </c>
    </row>
    <row r="284" spans="2:69" x14ac:dyDescent="0.35">
      <c r="B284" s="1">
        <v>0</v>
      </c>
      <c r="C284">
        <v>0</v>
      </c>
      <c r="D284" s="113">
        <v>0</v>
      </c>
      <c r="E284" s="113">
        <v>0</v>
      </c>
      <c r="F284" s="113">
        <v>0</v>
      </c>
      <c r="G284" s="113">
        <v>0</v>
      </c>
      <c r="H284">
        <v>0</v>
      </c>
      <c r="I284" s="175">
        <v>0</v>
      </c>
      <c r="J284" s="113">
        <v>0</v>
      </c>
      <c r="K284">
        <v>0</v>
      </c>
      <c r="L284">
        <v>0</v>
      </c>
      <c r="M284">
        <v>0</v>
      </c>
      <c r="N284">
        <v>0</v>
      </c>
      <c r="O284" s="1">
        <v>0</v>
      </c>
      <c r="P284" s="138">
        <v>0</v>
      </c>
      <c r="Q284" s="1">
        <v>0</v>
      </c>
      <c r="R284" s="95">
        <f>CHOOSE($D$4,D284,E284,F284,G284,H284,I284,J284,K284,L284,M284,N284,O284,P284,101-B284)+0.000001*ROWS($A$20:A284)</f>
        <v>2.6499999999999999E-4</v>
      </c>
      <c r="S284" s="4">
        <f t="shared" si="36"/>
        <v>348</v>
      </c>
      <c r="T284" s="4"/>
      <c r="U284" s="14">
        <f>ROWS($U$20:U284)</f>
        <v>265</v>
      </c>
      <c r="V284" s="4">
        <v>0</v>
      </c>
      <c r="W284" s="4">
        <v>0</v>
      </c>
      <c r="X284" s="94">
        <v>0</v>
      </c>
      <c r="Y284" s="94">
        <v>0</v>
      </c>
      <c r="Z284" s="94">
        <v>0</v>
      </c>
      <c r="AA284" s="94">
        <v>0</v>
      </c>
      <c r="AB284" s="4">
        <v>0</v>
      </c>
      <c r="AC284" s="94">
        <v>0</v>
      </c>
      <c r="AD284" s="94">
        <v>0</v>
      </c>
      <c r="AE284" s="4">
        <v>0</v>
      </c>
      <c r="AF284" s="4">
        <v>0</v>
      </c>
      <c r="AG284" s="4">
        <v>0</v>
      </c>
      <c r="AH284" s="4">
        <v>0</v>
      </c>
      <c r="AI284" s="4">
        <v>0</v>
      </c>
      <c r="AJ284" s="139">
        <v>0</v>
      </c>
      <c r="AK284" s="94">
        <v>0</v>
      </c>
      <c r="AL284" s="162">
        <v>0</v>
      </c>
      <c r="AM284" s="162">
        <v>0</v>
      </c>
      <c r="AN284" s="162">
        <v>0</v>
      </c>
      <c r="AO284" s="162">
        <v>0</v>
      </c>
      <c r="AP284" s="17">
        <v>0</v>
      </c>
      <c r="AQ284" s="162">
        <v>0</v>
      </c>
      <c r="AR284" s="162">
        <v>0</v>
      </c>
      <c r="AS284" s="17" t="str">
        <v/>
      </c>
      <c r="AT284" s="17">
        <v>0</v>
      </c>
      <c r="AU284" s="17">
        <v>0</v>
      </c>
      <c r="AV284" s="17">
        <v>0</v>
      </c>
      <c r="AW284" s="17">
        <v>0</v>
      </c>
      <c r="AX284" s="4">
        <v>71.111111111111114</v>
      </c>
      <c r="AY284" s="4">
        <v>53.846153846153854</v>
      </c>
      <c r="BD284" s="159" t="e">
        <v>#N/A</v>
      </c>
      <c r="BE284" s="159" t="e">
        <v>#N/A</v>
      </c>
      <c r="BF284" s="159" t="e">
        <v>#N/A</v>
      </c>
      <c r="BG284" s="159" t="e">
        <v>#N/A</v>
      </c>
      <c r="BH284" s="14" t="e">
        <v>#N/A</v>
      </c>
      <c r="BI284" s="159" t="e">
        <v>#N/A</v>
      </c>
      <c r="BJ284" s="159" t="e">
        <v>#N/A</v>
      </c>
      <c r="BK284" s="14" t="e">
        <v>#N/A</v>
      </c>
      <c r="BL284" s="14" t="e">
        <v>#N/A</v>
      </c>
      <c r="BM284" s="14" t="e">
        <v>#N/A</v>
      </c>
      <c r="BN284" s="14" t="e">
        <v>#N/A</v>
      </c>
      <c r="BO284" s="14" t="e">
        <v>#N/A</v>
      </c>
      <c r="BP284" s="182" t="e">
        <v>#N/A</v>
      </c>
      <c r="BQ284" s="183" t="e">
        <v>#N/A</v>
      </c>
    </row>
    <row r="285" spans="2:69" x14ac:dyDescent="0.35">
      <c r="B285" s="1">
        <v>0</v>
      </c>
      <c r="C285">
        <v>0</v>
      </c>
      <c r="D285" s="113">
        <v>0</v>
      </c>
      <c r="E285" s="113">
        <v>0</v>
      </c>
      <c r="F285" s="113">
        <v>0</v>
      </c>
      <c r="G285" s="113">
        <v>0</v>
      </c>
      <c r="H285">
        <v>0</v>
      </c>
      <c r="I285" s="175">
        <v>0</v>
      </c>
      <c r="J285" s="113">
        <v>0</v>
      </c>
      <c r="K285">
        <v>0</v>
      </c>
      <c r="L285">
        <v>0</v>
      </c>
      <c r="M285">
        <v>0</v>
      </c>
      <c r="N285">
        <v>0</v>
      </c>
      <c r="O285" s="1">
        <v>0</v>
      </c>
      <c r="P285" s="138">
        <v>0</v>
      </c>
      <c r="Q285" s="1">
        <v>0</v>
      </c>
      <c r="R285" s="95">
        <f>CHOOSE($D$4,D285,E285,F285,G285,H285,I285,J285,K285,L285,M285,N285,O285,P285,101-B285)+0.000001*ROWS($A$20:A285)</f>
        <v>2.6600000000000001E-4</v>
      </c>
      <c r="S285" s="4">
        <f t="shared" si="36"/>
        <v>347</v>
      </c>
      <c r="T285" s="4"/>
      <c r="U285" s="14">
        <f>ROWS($U$20:U285)</f>
        <v>266</v>
      </c>
      <c r="V285" s="4">
        <v>0</v>
      </c>
      <c r="W285" s="4">
        <v>0</v>
      </c>
      <c r="X285" s="94">
        <v>0</v>
      </c>
      <c r="Y285" s="94">
        <v>0</v>
      </c>
      <c r="Z285" s="94">
        <v>0</v>
      </c>
      <c r="AA285" s="94">
        <v>0</v>
      </c>
      <c r="AB285" s="4">
        <v>0</v>
      </c>
      <c r="AC285" s="94">
        <v>0</v>
      </c>
      <c r="AD285" s="94">
        <v>0</v>
      </c>
      <c r="AE285" s="4">
        <v>0</v>
      </c>
      <c r="AF285" s="4">
        <v>0</v>
      </c>
      <c r="AG285" s="4">
        <v>0</v>
      </c>
      <c r="AH285" s="4">
        <v>0</v>
      </c>
      <c r="AI285" s="4">
        <v>0</v>
      </c>
      <c r="AJ285" s="139">
        <v>0</v>
      </c>
      <c r="AK285" s="94">
        <v>0</v>
      </c>
      <c r="AL285" s="162">
        <v>0</v>
      </c>
      <c r="AM285" s="162">
        <v>0</v>
      </c>
      <c r="AN285" s="162">
        <v>0</v>
      </c>
      <c r="AO285" s="162">
        <v>0</v>
      </c>
      <c r="AP285" s="17">
        <v>0</v>
      </c>
      <c r="AQ285" s="162">
        <v>0</v>
      </c>
      <c r="AR285" s="162">
        <v>0</v>
      </c>
      <c r="AS285" s="17" t="str">
        <v/>
      </c>
      <c r="AT285" s="17">
        <v>0</v>
      </c>
      <c r="AU285" s="17">
        <v>0</v>
      </c>
      <c r="AV285" s="17">
        <v>0</v>
      </c>
      <c r="AW285" s="17">
        <v>0</v>
      </c>
      <c r="AX285" s="4">
        <v>71.111111111111114</v>
      </c>
      <c r="AY285" s="4">
        <v>53.846153846153854</v>
      </c>
      <c r="BD285" s="159" t="e">
        <v>#N/A</v>
      </c>
      <c r="BE285" s="159" t="e">
        <v>#N/A</v>
      </c>
      <c r="BF285" s="159" t="e">
        <v>#N/A</v>
      </c>
      <c r="BG285" s="159" t="e">
        <v>#N/A</v>
      </c>
      <c r="BH285" s="14" t="e">
        <v>#N/A</v>
      </c>
      <c r="BI285" s="159" t="e">
        <v>#N/A</v>
      </c>
      <c r="BJ285" s="159" t="e">
        <v>#N/A</v>
      </c>
      <c r="BK285" s="14" t="e">
        <v>#N/A</v>
      </c>
      <c r="BL285" s="14" t="e">
        <v>#N/A</v>
      </c>
      <c r="BM285" s="14" t="e">
        <v>#N/A</v>
      </c>
      <c r="BN285" s="14" t="e">
        <v>#N/A</v>
      </c>
      <c r="BO285" s="14" t="e">
        <v>#N/A</v>
      </c>
      <c r="BP285" s="182" t="e">
        <v>#N/A</v>
      </c>
      <c r="BQ285" s="183" t="e">
        <v>#N/A</v>
      </c>
    </row>
    <row r="286" spans="2:69" x14ac:dyDescent="0.35">
      <c r="B286" s="1">
        <v>0</v>
      </c>
      <c r="C286">
        <v>0</v>
      </c>
      <c r="D286" s="113">
        <v>0</v>
      </c>
      <c r="E286" s="113">
        <v>0</v>
      </c>
      <c r="F286" s="113">
        <v>0</v>
      </c>
      <c r="G286" s="113">
        <v>0</v>
      </c>
      <c r="H286">
        <v>0</v>
      </c>
      <c r="I286" s="175">
        <v>0</v>
      </c>
      <c r="J286" s="113">
        <v>0</v>
      </c>
      <c r="K286">
        <v>0</v>
      </c>
      <c r="L286">
        <v>0</v>
      </c>
      <c r="M286">
        <v>0</v>
      </c>
      <c r="N286">
        <v>0</v>
      </c>
      <c r="O286" s="1">
        <v>0</v>
      </c>
      <c r="P286" s="138">
        <v>0</v>
      </c>
      <c r="Q286" s="1">
        <v>0</v>
      </c>
      <c r="R286" s="95">
        <f>CHOOSE($D$4,D286,E286,F286,G286,H286,I286,J286,K286,L286,M286,N286,O286,P286,101-B286)+0.000001*ROWS($A$20:A286)</f>
        <v>2.6699999999999998E-4</v>
      </c>
      <c r="S286" s="4">
        <f t="shared" si="36"/>
        <v>346</v>
      </c>
      <c r="T286" s="4"/>
      <c r="U286" s="14">
        <f>ROWS($U$20:U286)</f>
        <v>267</v>
      </c>
      <c r="V286" s="4">
        <v>0</v>
      </c>
      <c r="W286" s="4">
        <v>0</v>
      </c>
      <c r="X286" s="94">
        <v>0</v>
      </c>
      <c r="Y286" s="94">
        <v>0</v>
      </c>
      <c r="Z286" s="94">
        <v>0</v>
      </c>
      <c r="AA286" s="94">
        <v>0</v>
      </c>
      <c r="AB286" s="4">
        <v>0</v>
      </c>
      <c r="AC286" s="94">
        <v>0</v>
      </c>
      <c r="AD286" s="94">
        <v>0</v>
      </c>
      <c r="AE286" s="4">
        <v>0</v>
      </c>
      <c r="AF286" s="4">
        <v>0</v>
      </c>
      <c r="AG286" s="4">
        <v>0</v>
      </c>
      <c r="AH286" s="4">
        <v>0</v>
      </c>
      <c r="AI286" s="4">
        <v>0</v>
      </c>
      <c r="AJ286" s="139">
        <v>0</v>
      </c>
      <c r="AK286" s="94">
        <v>0</v>
      </c>
      <c r="AL286" s="162">
        <v>0</v>
      </c>
      <c r="AM286" s="162">
        <v>0</v>
      </c>
      <c r="AN286" s="162">
        <v>0</v>
      </c>
      <c r="AO286" s="162">
        <v>0</v>
      </c>
      <c r="AP286" s="17">
        <v>0</v>
      </c>
      <c r="AQ286" s="162">
        <v>0</v>
      </c>
      <c r="AR286" s="162">
        <v>0</v>
      </c>
      <c r="AS286" s="17" t="str">
        <v/>
      </c>
      <c r="AT286" s="17">
        <v>0</v>
      </c>
      <c r="AU286" s="17">
        <v>0</v>
      </c>
      <c r="AV286" s="17">
        <v>0</v>
      </c>
      <c r="AW286" s="17">
        <v>0</v>
      </c>
      <c r="AX286" s="4">
        <v>71.111111111111114</v>
      </c>
      <c r="AY286" s="4">
        <v>53.846153846153854</v>
      </c>
      <c r="BD286" s="159" t="e">
        <v>#N/A</v>
      </c>
      <c r="BE286" s="159" t="e">
        <v>#N/A</v>
      </c>
      <c r="BF286" s="159" t="e">
        <v>#N/A</v>
      </c>
      <c r="BG286" s="159" t="e">
        <v>#N/A</v>
      </c>
      <c r="BH286" s="14" t="e">
        <v>#N/A</v>
      </c>
      <c r="BI286" s="159" t="e">
        <v>#N/A</v>
      </c>
      <c r="BJ286" s="159" t="e">
        <v>#N/A</v>
      </c>
      <c r="BK286" s="14" t="e">
        <v>#N/A</v>
      </c>
      <c r="BL286" s="14" t="e">
        <v>#N/A</v>
      </c>
      <c r="BM286" s="14" t="e">
        <v>#N/A</v>
      </c>
      <c r="BN286" s="14" t="e">
        <v>#N/A</v>
      </c>
      <c r="BO286" s="14" t="e">
        <v>#N/A</v>
      </c>
      <c r="BP286" s="182" t="e">
        <v>#N/A</v>
      </c>
      <c r="BQ286" s="183" t="e">
        <v>#N/A</v>
      </c>
    </row>
    <row r="287" spans="2:69" x14ac:dyDescent="0.35">
      <c r="B287" s="1">
        <v>0</v>
      </c>
      <c r="C287">
        <v>0</v>
      </c>
      <c r="D287" s="113">
        <v>0</v>
      </c>
      <c r="E287" s="113">
        <v>0</v>
      </c>
      <c r="F287" s="113">
        <v>0</v>
      </c>
      <c r="G287" s="113">
        <v>0</v>
      </c>
      <c r="H287">
        <v>0</v>
      </c>
      <c r="I287" s="175">
        <v>0</v>
      </c>
      <c r="J287" s="113">
        <v>0</v>
      </c>
      <c r="K287">
        <v>0</v>
      </c>
      <c r="L287">
        <v>0</v>
      </c>
      <c r="M287">
        <v>0</v>
      </c>
      <c r="N287">
        <v>0</v>
      </c>
      <c r="O287" s="1">
        <v>0</v>
      </c>
      <c r="P287" s="138">
        <v>0</v>
      </c>
      <c r="Q287" s="1">
        <v>0</v>
      </c>
      <c r="R287" s="95">
        <f>CHOOSE($D$4,D287,E287,F287,G287,H287,I287,J287,K287,L287,M287,N287,O287,P287,101-B287)+0.000001*ROWS($A$20:A287)</f>
        <v>2.6800000000000001E-4</v>
      </c>
      <c r="S287" s="4">
        <f t="shared" si="36"/>
        <v>345</v>
      </c>
      <c r="T287" s="4"/>
      <c r="U287" s="14">
        <f>ROWS($U$20:U287)</f>
        <v>268</v>
      </c>
      <c r="V287" s="4">
        <v>0</v>
      </c>
      <c r="W287" s="4">
        <v>0</v>
      </c>
      <c r="X287" s="94">
        <v>0</v>
      </c>
      <c r="Y287" s="94">
        <v>0</v>
      </c>
      <c r="Z287" s="94">
        <v>0</v>
      </c>
      <c r="AA287" s="94">
        <v>0</v>
      </c>
      <c r="AB287" s="4">
        <v>0</v>
      </c>
      <c r="AC287" s="94">
        <v>0</v>
      </c>
      <c r="AD287" s="94">
        <v>0</v>
      </c>
      <c r="AE287" s="4">
        <v>0</v>
      </c>
      <c r="AF287" s="4">
        <v>0</v>
      </c>
      <c r="AG287" s="4">
        <v>0</v>
      </c>
      <c r="AH287" s="4">
        <v>0</v>
      </c>
      <c r="AI287" s="4">
        <v>0</v>
      </c>
      <c r="AJ287" s="139">
        <v>0</v>
      </c>
      <c r="AK287" s="94">
        <v>0</v>
      </c>
      <c r="AL287" s="162">
        <v>0</v>
      </c>
      <c r="AM287" s="162">
        <v>0</v>
      </c>
      <c r="AN287" s="162">
        <v>0</v>
      </c>
      <c r="AO287" s="162">
        <v>0</v>
      </c>
      <c r="AP287" s="17">
        <v>0</v>
      </c>
      <c r="AQ287" s="162">
        <v>0</v>
      </c>
      <c r="AR287" s="162">
        <v>0</v>
      </c>
      <c r="AS287" s="17" t="str">
        <v/>
      </c>
      <c r="AT287" s="17">
        <v>0</v>
      </c>
      <c r="AU287" s="17">
        <v>0</v>
      </c>
      <c r="AV287" s="17">
        <v>0</v>
      </c>
      <c r="AW287" s="17">
        <v>0</v>
      </c>
      <c r="AX287" s="4">
        <v>71.111111111111114</v>
      </c>
      <c r="AY287" s="4">
        <v>53.846153846153854</v>
      </c>
      <c r="BD287" s="159" t="e">
        <v>#N/A</v>
      </c>
      <c r="BE287" s="159" t="e">
        <v>#N/A</v>
      </c>
      <c r="BF287" s="159" t="e">
        <v>#N/A</v>
      </c>
      <c r="BG287" s="159" t="e">
        <v>#N/A</v>
      </c>
      <c r="BH287" s="14" t="e">
        <v>#N/A</v>
      </c>
      <c r="BI287" s="159" t="e">
        <v>#N/A</v>
      </c>
      <c r="BJ287" s="159" t="e">
        <v>#N/A</v>
      </c>
      <c r="BK287" s="14" t="e">
        <v>#N/A</v>
      </c>
      <c r="BL287" s="14" t="e">
        <v>#N/A</v>
      </c>
      <c r="BM287" s="14" t="e">
        <v>#N/A</v>
      </c>
      <c r="BN287" s="14" t="e">
        <v>#N/A</v>
      </c>
      <c r="BO287" s="14" t="e">
        <v>#N/A</v>
      </c>
      <c r="BP287" s="182" t="e">
        <v>#N/A</v>
      </c>
      <c r="BQ287" s="183" t="e">
        <v>#N/A</v>
      </c>
    </row>
    <row r="288" spans="2:69" x14ac:dyDescent="0.35">
      <c r="B288" s="1">
        <v>0</v>
      </c>
      <c r="C288">
        <v>0</v>
      </c>
      <c r="D288" s="113">
        <v>0</v>
      </c>
      <c r="E288" s="113">
        <v>0</v>
      </c>
      <c r="F288" s="113">
        <v>0</v>
      </c>
      <c r="G288" s="113">
        <v>0</v>
      </c>
      <c r="H288">
        <v>0</v>
      </c>
      <c r="I288" s="175">
        <v>0</v>
      </c>
      <c r="J288" s="113">
        <v>0</v>
      </c>
      <c r="K288">
        <v>0</v>
      </c>
      <c r="L288">
        <v>0</v>
      </c>
      <c r="M288">
        <v>0</v>
      </c>
      <c r="N288">
        <v>0</v>
      </c>
      <c r="O288" s="1">
        <v>0</v>
      </c>
      <c r="P288" s="138">
        <v>0</v>
      </c>
      <c r="Q288" s="1">
        <v>0</v>
      </c>
      <c r="R288" s="95">
        <f>CHOOSE($D$4,D288,E288,F288,G288,H288,I288,J288,K288,L288,M288,N288,O288,P288,101-B288)+0.000001*ROWS($A$20:A288)</f>
        <v>2.6899999999999998E-4</v>
      </c>
      <c r="S288" s="4">
        <f t="shared" si="36"/>
        <v>344</v>
      </c>
      <c r="T288" s="4"/>
      <c r="U288" s="14">
        <f>ROWS($U$20:U288)</f>
        <v>269</v>
      </c>
      <c r="V288" s="4">
        <v>0</v>
      </c>
      <c r="W288" s="4">
        <v>0</v>
      </c>
      <c r="X288" s="94">
        <v>0</v>
      </c>
      <c r="Y288" s="94">
        <v>0</v>
      </c>
      <c r="Z288" s="94">
        <v>0</v>
      </c>
      <c r="AA288" s="94">
        <v>0</v>
      </c>
      <c r="AB288" s="4">
        <v>0</v>
      </c>
      <c r="AC288" s="94">
        <v>0</v>
      </c>
      <c r="AD288" s="94">
        <v>0</v>
      </c>
      <c r="AE288" s="4">
        <v>0</v>
      </c>
      <c r="AF288" s="4">
        <v>0</v>
      </c>
      <c r="AG288" s="4">
        <v>0</v>
      </c>
      <c r="AH288" s="4">
        <v>0</v>
      </c>
      <c r="AI288" s="4">
        <v>0</v>
      </c>
      <c r="AJ288" s="139">
        <v>0</v>
      </c>
      <c r="AK288" s="94">
        <v>0</v>
      </c>
      <c r="AL288" s="162">
        <v>0</v>
      </c>
      <c r="AM288" s="162">
        <v>0</v>
      </c>
      <c r="AN288" s="162">
        <v>0</v>
      </c>
      <c r="AO288" s="162">
        <v>0</v>
      </c>
      <c r="AP288" s="17">
        <v>0</v>
      </c>
      <c r="AQ288" s="162">
        <v>0</v>
      </c>
      <c r="AR288" s="162">
        <v>0</v>
      </c>
      <c r="AS288" s="17" t="str">
        <v/>
      </c>
      <c r="AT288" s="17">
        <v>0</v>
      </c>
      <c r="AU288" s="17">
        <v>0</v>
      </c>
      <c r="AV288" s="17">
        <v>0</v>
      </c>
      <c r="AW288" s="17">
        <v>0</v>
      </c>
      <c r="AX288" s="4">
        <v>71.111111111111114</v>
      </c>
      <c r="AY288" s="4">
        <v>53.846153846153854</v>
      </c>
      <c r="BD288" s="159" t="e">
        <v>#N/A</v>
      </c>
      <c r="BE288" s="159" t="e">
        <v>#N/A</v>
      </c>
      <c r="BF288" s="159" t="e">
        <v>#N/A</v>
      </c>
      <c r="BG288" s="159" t="e">
        <v>#N/A</v>
      </c>
      <c r="BH288" s="14" t="e">
        <v>#N/A</v>
      </c>
      <c r="BI288" s="159" t="e">
        <v>#N/A</v>
      </c>
      <c r="BJ288" s="159" t="e">
        <v>#N/A</v>
      </c>
      <c r="BK288" s="14" t="e">
        <v>#N/A</v>
      </c>
      <c r="BL288" s="14" t="e">
        <v>#N/A</v>
      </c>
      <c r="BM288" s="14" t="e">
        <v>#N/A</v>
      </c>
      <c r="BN288" s="14" t="e">
        <v>#N/A</v>
      </c>
      <c r="BO288" s="14" t="e">
        <v>#N/A</v>
      </c>
      <c r="BP288" s="182" t="e">
        <v>#N/A</v>
      </c>
      <c r="BQ288" s="183" t="e">
        <v>#N/A</v>
      </c>
    </row>
    <row r="289" spans="2:69" x14ac:dyDescent="0.35">
      <c r="B289" s="1">
        <v>0</v>
      </c>
      <c r="C289">
        <v>0</v>
      </c>
      <c r="D289" s="113">
        <v>0</v>
      </c>
      <c r="E289" s="113">
        <v>0</v>
      </c>
      <c r="F289" s="113">
        <v>0</v>
      </c>
      <c r="G289" s="113">
        <v>0</v>
      </c>
      <c r="H289">
        <v>0</v>
      </c>
      <c r="I289" s="175">
        <v>0</v>
      </c>
      <c r="J289" s="113">
        <v>0</v>
      </c>
      <c r="K289">
        <v>0</v>
      </c>
      <c r="L289">
        <v>0</v>
      </c>
      <c r="M289">
        <v>0</v>
      </c>
      <c r="N289">
        <v>0</v>
      </c>
      <c r="O289" s="1">
        <v>0</v>
      </c>
      <c r="P289" s="138">
        <v>0</v>
      </c>
      <c r="Q289" s="1">
        <v>0</v>
      </c>
      <c r="R289" s="95">
        <f>CHOOSE($D$4,D289,E289,F289,G289,H289,I289,J289,K289,L289,M289,N289,O289,P289,101-B289)+0.000001*ROWS($A$20:A289)</f>
        <v>2.7E-4</v>
      </c>
      <c r="S289" s="4">
        <f t="shared" si="36"/>
        <v>343</v>
      </c>
      <c r="T289" s="4"/>
      <c r="U289" s="14">
        <f>ROWS($U$20:U289)</f>
        <v>270</v>
      </c>
      <c r="V289" s="4">
        <v>0</v>
      </c>
      <c r="W289" s="4">
        <v>0</v>
      </c>
      <c r="X289" s="94">
        <v>0</v>
      </c>
      <c r="Y289" s="94">
        <v>0</v>
      </c>
      <c r="Z289" s="94">
        <v>0</v>
      </c>
      <c r="AA289" s="94">
        <v>0</v>
      </c>
      <c r="AB289" s="4">
        <v>0</v>
      </c>
      <c r="AC289" s="94">
        <v>0</v>
      </c>
      <c r="AD289" s="94">
        <v>0</v>
      </c>
      <c r="AE289" s="4">
        <v>0</v>
      </c>
      <c r="AF289" s="4">
        <v>0</v>
      </c>
      <c r="AG289" s="4">
        <v>0</v>
      </c>
      <c r="AH289" s="4">
        <v>0</v>
      </c>
      <c r="AI289" s="4">
        <v>0</v>
      </c>
      <c r="AJ289" s="139">
        <v>0</v>
      </c>
      <c r="AK289" s="94">
        <v>0</v>
      </c>
      <c r="AL289" s="162">
        <v>0</v>
      </c>
      <c r="AM289" s="162">
        <v>0</v>
      </c>
      <c r="AN289" s="162">
        <v>0</v>
      </c>
      <c r="AO289" s="162">
        <v>0</v>
      </c>
      <c r="AP289" s="17">
        <v>0</v>
      </c>
      <c r="AQ289" s="162">
        <v>0</v>
      </c>
      <c r="AR289" s="162">
        <v>0</v>
      </c>
      <c r="AS289" s="17" t="str">
        <v/>
      </c>
      <c r="AT289" s="17">
        <v>0</v>
      </c>
      <c r="AU289" s="17">
        <v>0</v>
      </c>
      <c r="AV289" s="17">
        <v>0</v>
      </c>
      <c r="AW289" s="17">
        <v>0</v>
      </c>
      <c r="AX289" s="4">
        <v>71.111111111111114</v>
      </c>
      <c r="AY289" s="4">
        <v>53.846153846153854</v>
      </c>
      <c r="BD289" s="159" t="e">
        <v>#N/A</v>
      </c>
      <c r="BE289" s="159" t="e">
        <v>#N/A</v>
      </c>
      <c r="BF289" s="159" t="e">
        <v>#N/A</v>
      </c>
      <c r="BG289" s="159" t="e">
        <v>#N/A</v>
      </c>
      <c r="BH289" s="14" t="e">
        <v>#N/A</v>
      </c>
      <c r="BI289" s="159" t="e">
        <v>#N/A</v>
      </c>
      <c r="BJ289" s="159" t="e">
        <v>#N/A</v>
      </c>
      <c r="BK289" s="14" t="e">
        <v>#N/A</v>
      </c>
      <c r="BL289" s="14" t="e">
        <v>#N/A</v>
      </c>
      <c r="BM289" s="14" t="e">
        <v>#N/A</v>
      </c>
      <c r="BN289" s="14" t="e">
        <v>#N/A</v>
      </c>
      <c r="BO289" s="14" t="e">
        <v>#N/A</v>
      </c>
      <c r="BP289" s="182" t="e">
        <v>#N/A</v>
      </c>
      <c r="BQ289" s="183" t="e">
        <v>#N/A</v>
      </c>
    </row>
    <row r="290" spans="2:69" x14ac:dyDescent="0.35">
      <c r="B290" s="1">
        <v>0</v>
      </c>
      <c r="C290">
        <v>0</v>
      </c>
      <c r="D290" s="113">
        <v>0</v>
      </c>
      <c r="E290" s="113">
        <v>0</v>
      </c>
      <c r="F290" s="113">
        <v>0</v>
      </c>
      <c r="G290" s="113">
        <v>0</v>
      </c>
      <c r="H290">
        <v>0</v>
      </c>
      <c r="I290" s="175">
        <v>0</v>
      </c>
      <c r="J290" s="113">
        <v>0</v>
      </c>
      <c r="K290">
        <v>0</v>
      </c>
      <c r="L290">
        <v>0</v>
      </c>
      <c r="M290">
        <v>0</v>
      </c>
      <c r="N290">
        <v>0</v>
      </c>
      <c r="O290" s="1">
        <v>0</v>
      </c>
      <c r="P290" s="138">
        <v>0</v>
      </c>
      <c r="Q290" s="1">
        <v>0</v>
      </c>
      <c r="R290" s="95">
        <f>CHOOSE($D$4,D290,E290,F290,G290,H290,I290,J290,K290,L290,M290,N290,O290,P290,101-B290)+0.000001*ROWS($A$20:A290)</f>
        <v>2.7099999999999997E-4</v>
      </c>
      <c r="S290" s="4">
        <f t="shared" si="36"/>
        <v>342</v>
      </c>
      <c r="T290" s="4"/>
      <c r="U290" s="14">
        <f>ROWS($U$20:U290)</f>
        <v>271</v>
      </c>
      <c r="V290" s="4">
        <v>0</v>
      </c>
      <c r="W290" s="4">
        <v>0</v>
      </c>
      <c r="X290" s="94">
        <v>0</v>
      </c>
      <c r="Y290" s="94">
        <v>0</v>
      </c>
      <c r="Z290" s="94">
        <v>0</v>
      </c>
      <c r="AA290" s="94">
        <v>0</v>
      </c>
      <c r="AB290" s="4">
        <v>0</v>
      </c>
      <c r="AC290" s="94">
        <v>0</v>
      </c>
      <c r="AD290" s="94">
        <v>0</v>
      </c>
      <c r="AE290" s="4">
        <v>0</v>
      </c>
      <c r="AF290" s="4">
        <v>0</v>
      </c>
      <c r="AG290" s="4">
        <v>0</v>
      </c>
      <c r="AH290" s="4">
        <v>0</v>
      </c>
      <c r="AI290" s="4">
        <v>0</v>
      </c>
      <c r="AJ290" s="139">
        <v>0</v>
      </c>
      <c r="AK290" s="94">
        <v>0</v>
      </c>
      <c r="AL290" s="162">
        <v>0</v>
      </c>
      <c r="AM290" s="162">
        <v>0</v>
      </c>
      <c r="AN290" s="162">
        <v>0</v>
      </c>
      <c r="AO290" s="162">
        <v>0</v>
      </c>
      <c r="AP290" s="17">
        <v>0</v>
      </c>
      <c r="AQ290" s="162">
        <v>0</v>
      </c>
      <c r="AR290" s="162">
        <v>0</v>
      </c>
      <c r="AS290" s="17" t="str">
        <v/>
      </c>
      <c r="AT290" s="17">
        <v>0</v>
      </c>
      <c r="AU290" s="17">
        <v>0</v>
      </c>
      <c r="AV290" s="17">
        <v>0</v>
      </c>
      <c r="AW290" s="17">
        <v>0</v>
      </c>
      <c r="AX290" s="4">
        <v>71.111111111111114</v>
      </c>
      <c r="AY290" s="4">
        <v>53.846153846153854</v>
      </c>
      <c r="BD290" s="159" t="e">
        <v>#N/A</v>
      </c>
      <c r="BE290" s="159" t="e">
        <v>#N/A</v>
      </c>
      <c r="BF290" s="159" t="e">
        <v>#N/A</v>
      </c>
      <c r="BG290" s="159" t="e">
        <v>#N/A</v>
      </c>
      <c r="BH290" s="14" t="e">
        <v>#N/A</v>
      </c>
      <c r="BI290" s="159" t="e">
        <v>#N/A</v>
      </c>
      <c r="BJ290" s="159" t="e">
        <v>#N/A</v>
      </c>
      <c r="BK290" s="14" t="e">
        <v>#N/A</v>
      </c>
      <c r="BL290" s="14" t="e">
        <v>#N/A</v>
      </c>
      <c r="BM290" s="14" t="e">
        <v>#N/A</v>
      </c>
      <c r="BN290" s="14" t="e">
        <v>#N/A</v>
      </c>
      <c r="BO290" s="14" t="e">
        <v>#N/A</v>
      </c>
      <c r="BP290" s="182" t="e">
        <v>#N/A</v>
      </c>
      <c r="BQ290" s="183" t="e">
        <v>#N/A</v>
      </c>
    </row>
    <row r="291" spans="2:69" x14ac:dyDescent="0.35">
      <c r="B291" s="1">
        <v>0</v>
      </c>
      <c r="C291">
        <v>0</v>
      </c>
      <c r="D291" s="113">
        <v>0</v>
      </c>
      <c r="E291" s="113">
        <v>0</v>
      </c>
      <c r="F291" s="113">
        <v>0</v>
      </c>
      <c r="G291" s="113">
        <v>0</v>
      </c>
      <c r="H291">
        <v>0</v>
      </c>
      <c r="I291" s="175">
        <v>0</v>
      </c>
      <c r="J291" s="113">
        <v>0</v>
      </c>
      <c r="K291">
        <v>0</v>
      </c>
      <c r="L291">
        <v>0</v>
      </c>
      <c r="M291">
        <v>0</v>
      </c>
      <c r="N291">
        <v>0</v>
      </c>
      <c r="O291" s="1">
        <v>0</v>
      </c>
      <c r="P291" s="138">
        <v>0</v>
      </c>
      <c r="Q291" s="1">
        <v>0</v>
      </c>
      <c r="R291" s="95">
        <f>CHOOSE($D$4,D291,E291,F291,G291,H291,I291,J291,K291,L291,M291,N291,O291,P291,101-B291)+0.000001*ROWS($A$20:A291)</f>
        <v>2.72E-4</v>
      </c>
      <c r="S291" s="4">
        <f t="shared" si="36"/>
        <v>341</v>
      </c>
      <c r="T291" s="4"/>
      <c r="U291" s="14">
        <f>ROWS($U$20:U291)</f>
        <v>272</v>
      </c>
      <c r="V291" s="4">
        <v>0</v>
      </c>
      <c r="W291" s="4">
        <v>0</v>
      </c>
      <c r="X291" s="94">
        <v>0</v>
      </c>
      <c r="Y291" s="94">
        <v>0</v>
      </c>
      <c r="Z291" s="94">
        <v>0</v>
      </c>
      <c r="AA291" s="94">
        <v>0</v>
      </c>
      <c r="AB291" s="4">
        <v>0</v>
      </c>
      <c r="AC291" s="94">
        <v>0</v>
      </c>
      <c r="AD291" s="94">
        <v>0</v>
      </c>
      <c r="AE291" s="4">
        <v>0</v>
      </c>
      <c r="AF291" s="4">
        <v>0</v>
      </c>
      <c r="AG291" s="4">
        <v>0</v>
      </c>
      <c r="AH291" s="4">
        <v>0</v>
      </c>
      <c r="AI291" s="4">
        <v>0</v>
      </c>
      <c r="AJ291" s="139">
        <v>0</v>
      </c>
      <c r="AK291" s="94">
        <v>0</v>
      </c>
      <c r="AL291" s="162">
        <v>0</v>
      </c>
      <c r="AM291" s="162">
        <v>0</v>
      </c>
      <c r="AN291" s="162">
        <v>0</v>
      </c>
      <c r="AO291" s="162">
        <v>0</v>
      </c>
      <c r="AP291" s="17">
        <v>0</v>
      </c>
      <c r="AQ291" s="162">
        <v>0</v>
      </c>
      <c r="AR291" s="162">
        <v>0</v>
      </c>
      <c r="AS291" s="17" t="str">
        <v/>
      </c>
      <c r="AT291" s="17">
        <v>0</v>
      </c>
      <c r="AU291" s="17">
        <v>0</v>
      </c>
      <c r="AV291" s="17">
        <v>0</v>
      </c>
      <c r="AW291" s="17">
        <v>0</v>
      </c>
      <c r="AX291" s="4">
        <v>71.111111111111114</v>
      </c>
      <c r="AY291" s="4">
        <v>53.846153846153854</v>
      </c>
      <c r="BD291" s="159" t="e">
        <v>#N/A</v>
      </c>
      <c r="BE291" s="159" t="e">
        <v>#N/A</v>
      </c>
      <c r="BF291" s="159" t="e">
        <v>#N/A</v>
      </c>
      <c r="BG291" s="159" t="e">
        <v>#N/A</v>
      </c>
      <c r="BH291" s="14" t="e">
        <v>#N/A</v>
      </c>
      <c r="BI291" s="159" t="e">
        <v>#N/A</v>
      </c>
      <c r="BJ291" s="159" t="e">
        <v>#N/A</v>
      </c>
      <c r="BK291" s="14" t="e">
        <v>#N/A</v>
      </c>
      <c r="BL291" s="14" t="e">
        <v>#N/A</v>
      </c>
      <c r="BM291" s="14" t="e">
        <v>#N/A</v>
      </c>
      <c r="BN291" s="14" t="e">
        <v>#N/A</v>
      </c>
      <c r="BO291" s="14" t="e">
        <v>#N/A</v>
      </c>
      <c r="BP291" s="182" t="e">
        <v>#N/A</v>
      </c>
      <c r="BQ291" s="183" t="e">
        <v>#N/A</v>
      </c>
    </row>
    <row r="292" spans="2:69" x14ac:dyDescent="0.35">
      <c r="B292" s="1">
        <v>0</v>
      </c>
      <c r="C292">
        <v>0</v>
      </c>
      <c r="D292" s="113">
        <v>0</v>
      </c>
      <c r="E292" s="113">
        <v>0</v>
      </c>
      <c r="F292" s="113">
        <v>0</v>
      </c>
      <c r="G292" s="113">
        <v>0</v>
      </c>
      <c r="H292">
        <v>0</v>
      </c>
      <c r="I292" s="175">
        <v>0</v>
      </c>
      <c r="J292" s="113">
        <v>0</v>
      </c>
      <c r="K292">
        <v>0</v>
      </c>
      <c r="L292">
        <v>0</v>
      </c>
      <c r="M292">
        <v>0</v>
      </c>
      <c r="N292">
        <v>0</v>
      </c>
      <c r="O292" s="1">
        <v>0</v>
      </c>
      <c r="P292" s="138">
        <v>0</v>
      </c>
      <c r="Q292" s="1">
        <v>0</v>
      </c>
      <c r="R292" s="95">
        <f>CHOOSE($D$4,D292,E292,F292,G292,H292,I292,J292,K292,L292,M292,N292,O292,P292,101-B292)+0.000001*ROWS($A$20:A292)</f>
        <v>2.7299999999999997E-4</v>
      </c>
      <c r="S292" s="4">
        <f t="shared" si="36"/>
        <v>340</v>
      </c>
      <c r="T292" s="4"/>
      <c r="U292" s="14">
        <f>ROWS($U$20:U292)</f>
        <v>273</v>
      </c>
      <c r="V292" s="4">
        <v>0</v>
      </c>
      <c r="W292" s="4">
        <v>0</v>
      </c>
      <c r="X292" s="94">
        <v>0</v>
      </c>
      <c r="Y292" s="94">
        <v>0</v>
      </c>
      <c r="Z292" s="94">
        <v>0</v>
      </c>
      <c r="AA292" s="94">
        <v>0</v>
      </c>
      <c r="AB292" s="4">
        <v>0</v>
      </c>
      <c r="AC292" s="94">
        <v>0</v>
      </c>
      <c r="AD292" s="94">
        <v>0</v>
      </c>
      <c r="AE292" s="4">
        <v>0</v>
      </c>
      <c r="AF292" s="4">
        <v>0</v>
      </c>
      <c r="AG292" s="4">
        <v>0</v>
      </c>
      <c r="AH292" s="4">
        <v>0</v>
      </c>
      <c r="AI292" s="4">
        <v>0</v>
      </c>
      <c r="AJ292" s="139">
        <v>0</v>
      </c>
      <c r="AK292" s="94">
        <v>0</v>
      </c>
      <c r="AL292" s="162">
        <v>0</v>
      </c>
      <c r="AM292" s="162">
        <v>0</v>
      </c>
      <c r="AN292" s="162">
        <v>0</v>
      </c>
      <c r="AO292" s="162">
        <v>0</v>
      </c>
      <c r="AP292" s="17">
        <v>0</v>
      </c>
      <c r="AQ292" s="162">
        <v>0</v>
      </c>
      <c r="AR292" s="162">
        <v>0</v>
      </c>
      <c r="AS292" s="17" t="str">
        <v/>
      </c>
      <c r="AT292" s="17">
        <v>0</v>
      </c>
      <c r="AU292" s="17">
        <v>0</v>
      </c>
      <c r="AV292" s="17">
        <v>0</v>
      </c>
      <c r="AW292" s="17">
        <v>0</v>
      </c>
      <c r="AX292" s="4">
        <v>71.111111111111114</v>
      </c>
      <c r="AY292" s="4">
        <v>53.846153846153854</v>
      </c>
      <c r="BD292" s="159" t="e">
        <v>#N/A</v>
      </c>
      <c r="BE292" s="159" t="e">
        <v>#N/A</v>
      </c>
      <c r="BF292" s="159" t="e">
        <v>#N/A</v>
      </c>
      <c r="BG292" s="159" t="e">
        <v>#N/A</v>
      </c>
      <c r="BH292" s="14" t="e">
        <v>#N/A</v>
      </c>
      <c r="BI292" s="159" t="e">
        <v>#N/A</v>
      </c>
      <c r="BJ292" s="159" t="e">
        <v>#N/A</v>
      </c>
      <c r="BK292" s="14" t="e">
        <v>#N/A</v>
      </c>
      <c r="BL292" s="14" t="e">
        <v>#N/A</v>
      </c>
      <c r="BM292" s="14" t="e">
        <v>#N/A</v>
      </c>
      <c r="BN292" s="14" t="e">
        <v>#N/A</v>
      </c>
      <c r="BO292" s="14" t="e">
        <v>#N/A</v>
      </c>
      <c r="BP292" s="182" t="e">
        <v>#N/A</v>
      </c>
      <c r="BQ292" s="183" t="e">
        <v>#N/A</v>
      </c>
    </row>
    <row r="293" spans="2:69" x14ac:dyDescent="0.35">
      <c r="B293" s="1">
        <v>0</v>
      </c>
      <c r="C293">
        <v>0</v>
      </c>
      <c r="D293" s="113">
        <v>0</v>
      </c>
      <c r="E293" s="113">
        <v>0</v>
      </c>
      <c r="F293" s="113">
        <v>0</v>
      </c>
      <c r="G293" s="113">
        <v>0</v>
      </c>
      <c r="H293">
        <v>0</v>
      </c>
      <c r="I293" s="175">
        <v>0</v>
      </c>
      <c r="J293" s="113">
        <v>0</v>
      </c>
      <c r="K293">
        <v>0</v>
      </c>
      <c r="L293">
        <v>0</v>
      </c>
      <c r="M293">
        <v>0</v>
      </c>
      <c r="N293">
        <v>0</v>
      </c>
      <c r="O293" s="1">
        <v>0</v>
      </c>
      <c r="P293" s="138">
        <v>0</v>
      </c>
      <c r="Q293" s="1">
        <v>0</v>
      </c>
      <c r="R293" s="95">
        <f>CHOOSE($D$4,D293,E293,F293,G293,H293,I293,J293,K293,L293,M293,N293,O293,P293,101-B293)+0.000001*ROWS($A$20:A293)</f>
        <v>2.7399999999999999E-4</v>
      </c>
      <c r="S293" s="4">
        <f t="shared" si="36"/>
        <v>339</v>
      </c>
      <c r="T293" s="4"/>
      <c r="U293" s="14">
        <f>ROWS($U$20:U293)</f>
        <v>274</v>
      </c>
      <c r="V293" s="4">
        <v>0</v>
      </c>
      <c r="W293" s="4">
        <v>0</v>
      </c>
      <c r="X293" s="94">
        <v>0</v>
      </c>
      <c r="Y293" s="94">
        <v>0</v>
      </c>
      <c r="Z293" s="94">
        <v>0</v>
      </c>
      <c r="AA293" s="94">
        <v>0</v>
      </c>
      <c r="AB293" s="4">
        <v>0</v>
      </c>
      <c r="AC293" s="94">
        <v>0</v>
      </c>
      <c r="AD293" s="94">
        <v>0</v>
      </c>
      <c r="AE293" s="4">
        <v>0</v>
      </c>
      <c r="AF293" s="4">
        <v>0</v>
      </c>
      <c r="AG293" s="4">
        <v>0</v>
      </c>
      <c r="AH293" s="4">
        <v>0</v>
      </c>
      <c r="AI293" s="4">
        <v>0</v>
      </c>
      <c r="AJ293" s="139">
        <v>0</v>
      </c>
      <c r="AK293" s="94">
        <v>0</v>
      </c>
      <c r="AL293" s="162">
        <v>0</v>
      </c>
      <c r="AM293" s="162">
        <v>0</v>
      </c>
      <c r="AN293" s="162">
        <v>0</v>
      </c>
      <c r="AO293" s="162">
        <v>0</v>
      </c>
      <c r="AP293" s="17">
        <v>0</v>
      </c>
      <c r="AQ293" s="162">
        <v>0</v>
      </c>
      <c r="AR293" s="162">
        <v>0</v>
      </c>
      <c r="AS293" s="17" t="str">
        <v/>
      </c>
      <c r="AT293" s="17">
        <v>0</v>
      </c>
      <c r="AU293" s="17">
        <v>0</v>
      </c>
      <c r="AV293" s="17">
        <v>0</v>
      </c>
      <c r="AW293" s="17">
        <v>0</v>
      </c>
      <c r="AX293" s="4">
        <v>71.111111111111114</v>
      </c>
      <c r="AY293" s="4">
        <v>53.846153846153854</v>
      </c>
      <c r="BD293" s="159" t="e">
        <v>#N/A</v>
      </c>
      <c r="BE293" s="159" t="e">
        <v>#N/A</v>
      </c>
      <c r="BF293" s="159" t="e">
        <v>#N/A</v>
      </c>
      <c r="BG293" s="159" t="e">
        <v>#N/A</v>
      </c>
      <c r="BH293" s="14" t="e">
        <v>#N/A</v>
      </c>
      <c r="BI293" s="159" t="e">
        <v>#N/A</v>
      </c>
      <c r="BJ293" s="159" t="e">
        <v>#N/A</v>
      </c>
      <c r="BK293" s="14" t="e">
        <v>#N/A</v>
      </c>
      <c r="BL293" s="14" t="e">
        <v>#N/A</v>
      </c>
      <c r="BM293" s="14" t="e">
        <v>#N/A</v>
      </c>
      <c r="BN293" s="14" t="e">
        <v>#N/A</v>
      </c>
      <c r="BO293" s="14" t="e">
        <v>#N/A</v>
      </c>
      <c r="BP293" s="182" t="e">
        <v>#N/A</v>
      </c>
      <c r="BQ293" s="183" t="e">
        <v>#N/A</v>
      </c>
    </row>
    <row r="294" spans="2:69" x14ac:dyDescent="0.35">
      <c r="B294" s="1">
        <v>0</v>
      </c>
      <c r="C294">
        <v>0</v>
      </c>
      <c r="D294" s="113">
        <v>0</v>
      </c>
      <c r="E294" s="113">
        <v>0</v>
      </c>
      <c r="F294" s="113">
        <v>0</v>
      </c>
      <c r="G294" s="113">
        <v>0</v>
      </c>
      <c r="H294">
        <v>0</v>
      </c>
      <c r="I294" s="175">
        <v>0</v>
      </c>
      <c r="J294" s="113">
        <v>0</v>
      </c>
      <c r="K294">
        <v>0</v>
      </c>
      <c r="L294">
        <v>0</v>
      </c>
      <c r="M294">
        <v>0</v>
      </c>
      <c r="N294">
        <v>0</v>
      </c>
      <c r="O294" s="1">
        <v>0</v>
      </c>
      <c r="P294" s="138">
        <v>0</v>
      </c>
      <c r="Q294" s="1">
        <v>0</v>
      </c>
      <c r="R294" s="95">
        <f>CHOOSE($D$4,D294,E294,F294,G294,H294,I294,J294,K294,L294,M294,N294,O294,P294,101-B294)+0.000001*ROWS($A$20:A294)</f>
        <v>2.7499999999999996E-4</v>
      </c>
      <c r="S294" s="4">
        <f t="shared" si="36"/>
        <v>338</v>
      </c>
      <c r="T294" s="4"/>
      <c r="U294" s="14">
        <f>ROWS($U$20:U294)</f>
        <v>275</v>
      </c>
      <c r="V294" s="4">
        <v>0</v>
      </c>
      <c r="W294" s="4">
        <v>0</v>
      </c>
      <c r="X294" s="94">
        <v>0</v>
      </c>
      <c r="Y294" s="94">
        <v>0</v>
      </c>
      <c r="Z294" s="94">
        <v>0</v>
      </c>
      <c r="AA294" s="94">
        <v>0</v>
      </c>
      <c r="AB294" s="4">
        <v>0</v>
      </c>
      <c r="AC294" s="94">
        <v>0</v>
      </c>
      <c r="AD294" s="94">
        <v>0</v>
      </c>
      <c r="AE294" s="4">
        <v>0</v>
      </c>
      <c r="AF294" s="4">
        <v>0</v>
      </c>
      <c r="AG294" s="4">
        <v>0</v>
      </c>
      <c r="AH294" s="4">
        <v>0</v>
      </c>
      <c r="AI294" s="4">
        <v>0</v>
      </c>
      <c r="AJ294" s="139">
        <v>0</v>
      </c>
      <c r="AK294" s="94">
        <v>0</v>
      </c>
      <c r="AL294" s="162">
        <v>0</v>
      </c>
      <c r="AM294" s="162">
        <v>0</v>
      </c>
      <c r="AN294" s="162">
        <v>0</v>
      </c>
      <c r="AO294" s="162">
        <v>0</v>
      </c>
      <c r="AP294" s="17">
        <v>0</v>
      </c>
      <c r="AQ294" s="162">
        <v>0</v>
      </c>
      <c r="AR294" s="162">
        <v>0</v>
      </c>
      <c r="AS294" s="17" t="str">
        <v/>
      </c>
      <c r="AT294" s="17">
        <v>0</v>
      </c>
      <c r="AU294" s="17">
        <v>0</v>
      </c>
      <c r="AV294" s="17">
        <v>0</v>
      </c>
      <c r="AW294" s="17">
        <v>0</v>
      </c>
      <c r="AX294" s="4">
        <v>71.111111111111114</v>
      </c>
      <c r="AY294" s="4">
        <v>53.846153846153854</v>
      </c>
      <c r="BD294" s="159" t="e">
        <v>#N/A</v>
      </c>
      <c r="BE294" s="159" t="e">
        <v>#N/A</v>
      </c>
      <c r="BF294" s="159" t="e">
        <v>#N/A</v>
      </c>
      <c r="BG294" s="159" t="e">
        <v>#N/A</v>
      </c>
      <c r="BH294" s="14" t="e">
        <v>#N/A</v>
      </c>
      <c r="BI294" s="159" t="e">
        <v>#N/A</v>
      </c>
      <c r="BJ294" s="159" t="e">
        <v>#N/A</v>
      </c>
      <c r="BK294" s="14" t="e">
        <v>#N/A</v>
      </c>
      <c r="BL294" s="14" t="e">
        <v>#N/A</v>
      </c>
      <c r="BM294" s="14" t="e">
        <v>#N/A</v>
      </c>
      <c r="BN294" s="14" t="e">
        <v>#N/A</v>
      </c>
      <c r="BO294" s="14" t="e">
        <v>#N/A</v>
      </c>
      <c r="BP294" s="182" t="e">
        <v>#N/A</v>
      </c>
      <c r="BQ294" s="183" t="e">
        <v>#N/A</v>
      </c>
    </row>
    <row r="295" spans="2:69" x14ac:dyDescent="0.35">
      <c r="B295" s="1">
        <v>0</v>
      </c>
      <c r="C295">
        <v>0</v>
      </c>
      <c r="D295" s="113">
        <v>0</v>
      </c>
      <c r="E295" s="113">
        <v>0</v>
      </c>
      <c r="F295" s="113">
        <v>0</v>
      </c>
      <c r="G295" s="113">
        <v>0</v>
      </c>
      <c r="H295">
        <v>0</v>
      </c>
      <c r="I295" s="175">
        <v>0</v>
      </c>
      <c r="J295" s="113">
        <v>0</v>
      </c>
      <c r="K295">
        <v>0</v>
      </c>
      <c r="L295">
        <v>0</v>
      </c>
      <c r="M295">
        <v>0</v>
      </c>
      <c r="N295">
        <v>0</v>
      </c>
      <c r="O295" s="1">
        <v>0</v>
      </c>
      <c r="P295" s="138">
        <v>0</v>
      </c>
      <c r="Q295" s="1">
        <v>0</v>
      </c>
      <c r="R295" s="95">
        <f>CHOOSE($D$4,D295,E295,F295,G295,H295,I295,J295,K295,L295,M295,N295,O295,P295,101-B295)+0.000001*ROWS($A$20:A295)</f>
        <v>2.7599999999999999E-4</v>
      </c>
      <c r="S295" s="4">
        <f t="shared" si="36"/>
        <v>337</v>
      </c>
      <c r="T295" s="4"/>
      <c r="U295" s="14">
        <f>ROWS($U$20:U295)</f>
        <v>276</v>
      </c>
      <c r="V295" s="4">
        <v>0</v>
      </c>
      <c r="W295" s="4">
        <v>0</v>
      </c>
      <c r="X295" s="94">
        <v>0</v>
      </c>
      <c r="Y295" s="94">
        <v>0</v>
      </c>
      <c r="Z295" s="94">
        <v>0</v>
      </c>
      <c r="AA295" s="94">
        <v>0</v>
      </c>
      <c r="AB295" s="4">
        <v>0</v>
      </c>
      <c r="AC295" s="94">
        <v>0</v>
      </c>
      <c r="AD295" s="94">
        <v>0</v>
      </c>
      <c r="AE295" s="4">
        <v>0</v>
      </c>
      <c r="AF295" s="4">
        <v>0</v>
      </c>
      <c r="AG295" s="4">
        <v>0</v>
      </c>
      <c r="AH295" s="4">
        <v>0</v>
      </c>
      <c r="AI295" s="4">
        <v>0</v>
      </c>
      <c r="AJ295" s="139">
        <v>0</v>
      </c>
      <c r="AK295" s="94">
        <v>0</v>
      </c>
      <c r="AL295" s="162">
        <v>0</v>
      </c>
      <c r="AM295" s="162">
        <v>0</v>
      </c>
      <c r="AN295" s="162">
        <v>0</v>
      </c>
      <c r="AO295" s="162">
        <v>0</v>
      </c>
      <c r="AP295" s="17">
        <v>0</v>
      </c>
      <c r="AQ295" s="162">
        <v>0</v>
      </c>
      <c r="AR295" s="162">
        <v>0</v>
      </c>
      <c r="AS295" s="17" t="str">
        <v/>
      </c>
      <c r="AT295" s="17">
        <v>0</v>
      </c>
      <c r="AU295" s="17">
        <v>0</v>
      </c>
      <c r="AV295" s="17">
        <v>0</v>
      </c>
      <c r="AW295" s="17">
        <v>0</v>
      </c>
      <c r="AX295" s="4">
        <v>71.111111111111114</v>
      </c>
      <c r="AY295" s="4">
        <v>53.846153846153854</v>
      </c>
      <c r="BD295" s="159" t="e">
        <v>#N/A</v>
      </c>
      <c r="BE295" s="159" t="e">
        <v>#N/A</v>
      </c>
      <c r="BF295" s="159" t="e">
        <v>#N/A</v>
      </c>
      <c r="BG295" s="159" t="e">
        <v>#N/A</v>
      </c>
      <c r="BH295" s="14" t="e">
        <v>#N/A</v>
      </c>
      <c r="BI295" s="159" t="e">
        <v>#N/A</v>
      </c>
      <c r="BJ295" s="159" t="e">
        <v>#N/A</v>
      </c>
      <c r="BK295" s="14" t="e">
        <v>#N/A</v>
      </c>
      <c r="BL295" s="14" t="e">
        <v>#N/A</v>
      </c>
      <c r="BM295" s="14" t="e">
        <v>#N/A</v>
      </c>
      <c r="BN295" s="14" t="e">
        <v>#N/A</v>
      </c>
      <c r="BO295" s="14" t="e">
        <v>#N/A</v>
      </c>
      <c r="BP295" s="182" t="e">
        <v>#N/A</v>
      </c>
      <c r="BQ295" s="183" t="e">
        <v>#N/A</v>
      </c>
    </row>
    <row r="296" spans="2:69" x14ac:dyDescent="0.35">
      <c r="B296" s="1">
        <v>0</v>
      </c>
      <c r="C296">
        <v>0</v>
      </c>
      <c r="D296" s="113">
        <v>0</v>
      </c>
      <c r="E296" s="113">
        <v>0</v>
      </c>
      <c r="F296" s="113">
        <v>0</v>
      </c>
      <c r="G296" s="113">
        <v>0</v>
      </c>
      <c r="H296">
        <v>0</v>
      </c>
      <c r="I296" s="175">
        <v>0</v>
      </c>
      <c r="J296" s="113">
        <v>0</v>
      </c>
      <c r="K296">
        <v>0</v>
      </c>
      <c r="L296">
        <v>0</v>
      </c>
      <c r="M296">
        <v>0</v>
      </c>
      <c r="N296">
        <v>0</v>
      </c>
      <c r="O296" s="1">
        <v>0</v>
      </c>
      <c r="P296" s="138">
        <v>0</v>
      </c>
      <c r="Q296" s="1">
        <v>0</v>
      </c>
      <c r="R296" s="95">
        <f>CHOOSE($D$4,D296,E296,F296,G296,H296,I296,J296,K296,L296,M296,N296,O296,P296,101-B296)+0.000001*ROWS($A$20:A296)</f>
        <v>2.7700000000000001E-4</v>
      </c>
      <c r="S296" s="4">
        <f t="shared" si="36"/>
        <v>336</v>
      </c>
      <c r="T296" s="4"/>
      <c r="U296" s="14">
        <f>ROWS($U$20:U296)</f>
        <v>277</v>
      </c>
      <c r="V296" s="4">
        <v>0</v>
      </c>
      <c r="W296" s="4">
        <v>0</v>
      </c>
      <c r="X296" s="94">
        <v>0</v>
      </c>
      <c r="Y296" s="94">
        <v>0</v>
      </c>
      <c r="Z296" s="94">
        <v>0</v>
      </c>
      <c r="AA296" s="94">
        <v>0</v>
      </c>
      <c r="AB296" s="4">
        <v>0</v>
      </c>
      <c r="AC296" s="94">
        <v>0</v>
      </c>
      <c r="AD296" s="94">
        <v>0</v>
      </c>
      <c r="AE296" s="4">
        <v>0</v>
      </c>
      <c r="AF296" s="4">
        <v>0</v>
      </c>
      <c r="AG296" s="4">
        <v>0</v>
      </c>
      <c r="AH296" s="4">
        <v>0</v>
      </c>
      <c r="AI296" s="4">
        <v>0</v>
      </c>
      <c r="AJ296" s="139">
        <v>0</v>
      </c>
      <c r="AK296" s="94">
        <v>0</v>
      </c>
      <c r="AL296" s="162">
        <v>0</v>
      </c>
      <c r="AM296" s="162">
        <v>0</v>
      </c>
      <c r="AN296" s="162">
        <v>0</v>
      </c>
      <c r="AO296" s="162">
        <v>0</v>
      </c>
      <c r="AP296" s="17">
        <v>0</v>
      </c>
      <c r="AQ296" s="162">
        <v>0</v>
      </c>
      <c r="AR296" s="162">
        <v>0</v>
      </c>
      <c r="AS296" s="17" t="str">
        <v/>
      </c>
      <c r="AT296" s="17">
        <v>0</v>
      </c>
      <c r="AU296" s="17">
        <v>0</v>
      </c>
      <c r="AV296" s="17">
        <v>0</v>
      </c>
      <c r="AW296" s="17">
        <v>0</v>
      </c>
      <c r="AX296" s="4">
        <v>71.111111111111114</v>
      </c>
      <c r="AY296" s="4">
        <v>53.846153846153854</v>
      </c>
      <c r="BD296" s="159" t="e">
        <v>#N/A</v>
      </c>
      <c r="BE296" s="159" t="e">
        <v>#N/A</v>
      </c>
      <c r="BF296" s="159" t="e">
        <v>#N/A</v>
      </c>
      <c r="BG296" s="159" t="e">
        <v>#N/A</v>
      </c>
      <c r="BH296" s="14" t="e">
        <v>#N/A</v>
      </c>
      <c r="BI296" s="159" t="e">
        <v>#N/A</v>
      </c>
      <c r="BJ296" s="159" t="e">
        <v>#N/A</v>
      </c>
      <c r="BK296" s="14" t="e">
        <v>#N/A</v>
      </c>
      <c r="BL296" s="14" t="e">
        <v>#N/A</v>
      </c>
      <c r="BM296" s="14" t="e">
        <v>#N/A</v>
      </c>
      <c r="BN296" s="14" t="e">
        <v>#N/A</v>
      </c>
      <c r="BO296" s="14" t="e">
        <v>#N/A</v>
      </c>
      <c r="BP296" s="182" t="e">
        <v>#N/A</v>
      </c>
      <c r="BQ296" s="183" t="e">
        <v>#N/A</v>
      </c>
    </row>
    <row r="297" spans="2:69" x14ac:dyDescent="0.35">
      <c r="B297" s="1">
        <v>0</v>
      </c>
      <c r="C297">
        <v>0</v>
      </c>
      <c r="D297" s="113">
        <v>0</v>
      </c>
      <c r="E297" s="113">
        <v>0</v>
      </c>
      <c r="F297" s="113">
        <v>0</v>
      </c>
      <c r="G297" s="113">
        <v>0</v>
      </c>
      <c r="H297">
        <v>0</v>
      </c>
      <c r="I297" s="175">
        <v>0</v>
      </c>
      <c r="J297" s="113">
        <v>0</v>
      </c>
      <c r="K297">
        <v>0</v>
      </c>
      <c r="L297">
        <v>0</v>
      </c>
      <c r="M297">
        <v>0</v>
      </c>
      <c r="N297">
        <v>0</v>
      </c>
      <c r="O297" s="1">
        <v>0</v>
      </c>
      <c r="P297" s="138">
        <v>0</v>
      </c>
      <c r="Q297" s="1">
        <v>0</v>
      </c>
      <c r="R297" s="95">
        <f>CHOOSE($D$4,D297,E297,F297,G297,H297,I297,J297,K297,L297,M297,N297,O297,P297,101-B297)+0.000001*ROWS($A$20:A297)</f>
        <v>2.7799999999999998E-4</v>
      </c>
      <c r="S297" s="4">
        <f t="shared" si="36"/>
        <v>335</v>
      </c>
      <c r="T297" s="4"/>
      <c r="U297" s="14">
        <f>ROWS($U$20:U297)</f>
        <v>278</v>
      </c>
      <c r="V297" s="4">
        <v>0</v>
      </c>
      <c r="W297" s="4">
        <v>0</v>
      </c>
      <c r="X297" s="94">
        <v>0</v>
      </c>
      <c r="Y297" s="94">
        <v>0</v>
      </c>
      <c r="Z297" s="94">
        <v>0</v>
      </c>
      <c r="AA297" s="94">
        <v>0</v>
      </c>
      <c r="AB297" s="4">
        <v>0</v>
      </c>
      <c r="AC297" s="94">
        <v>0</v>
      </c>
      <c r="AD297" s="94">
        <v>0</v>
      </c>
      <c r="AE297" s="4">
        <v>0</v>
      </c>
      <c r="AF297" s="4">
        <v>0</v>
      </c>
      <c r="AG297" s="4">
        <v>0</v>
      </c>
      <c r="AH297" s="4">
        <v>0</v>
      </c>
      <c r="AI297" s="4">
        <v>0</v>
      </c>
      <c r="AJ297" s="139">
        <v>0</v>
      </c>
      <c r="AK297" s="94">
        <v>0</v>
      </c>
      <c r="AL297" s="162">
        <v>0</v>
      </c>
      <c r="AM297" s="162">
        <v>0</v>
      </c>
      <c r="AN297" s="162">
        <v>0</v>
      </c>
      <c r="AO297" s="162">
        <v>0</v>
      </c>
      <c r="AP297" s="17">
        <v>0</v>
      </c>
      <c r="AQ297" s="162">
        <v>0</v>
      </c>
      <c r="AR297" s="162">
        <v>0</v>
      </c>
      <c r="AS297" s="17" t="str">
        <v/>
      </c>
      <c r="AT297" s="17">
        <v>0</v>
      </c>
      <c r="AU297" s="17">
        <v>0</v>
      </c>
      <c r="AV297" s="17">
        <v>0</v>
      </c>
      <c r="AW297" s="17">
        <v>0</v>
      </c>
      <c r="AX297" s="4">
        <v>71.111111111111114</v>
      </c>
      <c r="AY297" s="4">
        <v>53.846153846153854</v>
      </c>
      <c r="BD297" s="159" t="e">
        <v>#N/A</v>
      </c>
      <c r="BE297" s="159" t="e">
        <v>#N/A</v>
      </c>
      <c r="BF297" s="159" t="e">
        <v>#N/A</v>
      </c>
      <c r="BG297" s="159" t="e">
        <v>#N/A</v>
      </c>
      <c r="BH297" s="14" t="e">
        <v>#N/A</v>
      </c>
      <c r="BI297" s="159" t="e">
        <v>#N/A</v>
      </c>
      <c r="BJ297" s="159" t="e">
        <v>#N/A</v>
      </c>
      <c r="BK297" s="14" t="e">
        <v>#N/A</v>
      </c>
      <c r="BL297" s="14" t="e">
        <v>#N/A</v>
      </c>
      <c r="BM297" s="14" t="e">
        <v>#N/A</v>
      </c>
      <c r="BN297" s="14" t="e">
        <v>#N/A</v>
      </c>
      <c r="BO297" s="14" t="e">
        <v>#N/A</v>
      </c>
      <c r="BP297" s="182" t="e">
        <v>#N/A</v>
      </c>
      <c r="BQ297" s="183" t="e">
        <v>#N/A</v>
      </c>
    </row>
    <row r="298" spans="2:69" x14ac:dyDescent="0.35">
      <c r="B298" s="1">
        <v>0</v>
      </c>
      <c r="C298">
        <v>0</v>
      </c>
      <c r="D298" s="113">
        <v>0</v>
      </c>
      <c r="E298" s="113">
        <v>0</v>
      </c>
      <c r="F298" s="113">
        <v>0</v>
      </c>
      <c r="G298" s="113">
        <v>0</v>
      </c>
      <c r="H298">
        <v>0</v>
      </c>
      <c r="I298" s="175">
        <v>0</v>
      </c>
      <c r="J298" s="113">
        <v>0</v>
      </c>
      <c r="K298">
        <v>0</v>
      </c>
      <c r="L298">
        <v>0</v>
      </c>
      <c r="M298">
        <v>0</v>
      </c>
      <c r="N298">
        <v>0</v>
      </c>
      <c r="O298" s="1">
        <v>0</v>
      </c>
      <c r="P298" s="138">
        <v>0</v>
      </c>
      <c r="Q298" s="1">
        <v>0</v>
      </c>
      <c r="R298" s="95">
        <f>CHOOSE($D$4,D298,E298,F298,G298,H298,I298,J298,K298,L298,M298,N298,O298,P298,101-B298)+0.000001*ROWS($A$20:A298)</f>
        <v>2.7900000000000001E-4</v>
      </c>
      <c r="S298" s="4">
        <f t="shared" si="36"/>
        <v>334</v>
      </c>
      <c r="T298" s="4"/>
      <c r="U298" s="14">
        <f>ROWS($U$20:U298)</f>
        <v>279</v>
      </c>
      <c r="V298" s="4">
        <v>0</v>
      </c>
      <c r="W298" s="4">
        <v>0</v>
      </c>
      <c r="X298" s="94">
        <v>0</v>
      </c>
      <c r="Y298" s="94">
        <v>0</v>
      </c>
      <c r="Z298" s="94">
        <v>0</v>
      </c>
      <c r="AA298" s="94">
        <v>0</v>
      </c>
      <c r="AB298" s="4">
        <v>0</v>
      </c>
      <c r="AC298" s="94">
        <v>0</v>
      </c>
      <c r="AD298" s="94">
        <v>0</v>
      </c>
      <c r="AE298" s="4">
        <v>0</v>
      </c>
      <c r="AF298" s="4">
        <v>0</v>
      </c>
      <c r="AG298" s="4">
        <v>0</v>
      </c>
      <c r="AH298" s="4">
        <v>0</v>
      </c>
      <c r="AI298" s="4">
        <v>0</v>
      </c>
      <c r="AJ298" s="139">
        <v>0</v>
      </c>
      <c r="AK298" s="94">
        <v>0</v>
      </c>
      <c r="AL298" s="162">
        <v>0</v>
      </c>
      <c r="AM298" s="162">
        <v>0</v>
      </c>
      <c r="AN298" s="162">
        <v>0</v>
      </c>
      <c r="AO298" s="162">
        <v>0</v>
      </c>
      <c r="AP298" s="17">
        <v>0</v>
      </c>
      <c r="AQ298" s="162">
        <v>0</v>
      </c>
      <c r="AR298" s="162">
        <v>0</v>
      </c>
      <c r="AS298" s="17" t="str">
        <v/>
      </c>
      <c r="AT298" s="17">
        <v>0</v>
      </c>
      <c r="AU298" s="17">
        <v>0</v>
      </c>
      <c r="AV298" s="17">
        <v>0</v>
      </c>
      <c r="AW298" s="17">
        <v>0</v>
      </c>
      <c r="AX298" s="4">
        <v>71.111111111111114</v>
      </c>
      <c r="AY298" s="4">
        <v>53.846153846153854</v>
      </c>
      <c r="BD298" s="159" t="e">
        <v>#N/A</v>
      </c>
      <c r="BE298" s="159" t="e">
        <v>#N/A</v>
      </c>
      <c r="BF298" s="159" t="e">
        <v>#N/A</v>
      </c>
      <c r="BG298" s="159" t="e">
        <v>#N/A</v>
      </c>
      <c r="BH298" s="14" t="e">
        <v>#N/A</v>
      </c>
      <c r="BI298" s="159" t="e">
        <v>#N/A</v>
      </c>
      <c r="BJ298" s="159" t="e">
        <v>#N/A</v>
      </c>
      <c r="BK298" s="14" t="e">
        <v>#N/A</v>
      </c>
      <c r="BL298" s="14" t="e">
        <v>#N/A</v>
      </c>
      <c r="BM298" s="14" t="e">
        <v>#N/A</v>
      </c>
      <c r="BN298" s="14" t="e">
        <v>#N/A</v>
      </c>
      <c r="BO298" s="14" t="e">
        <v>#N/A</v>
      </c>
      <c r="BP298" s="182" t="e">
        <v>#N/A</v>
      </c>
      <c r="BQ298" s="183" t="e">
        <v>#N/A</v>
      </c>
    </row>
    <row r="299" spans="2:69" x14ac:dyDescent="0.35">
      <c r="B299" s="1">
        <v>0</v>
      </c>
      <c r="C299">
        <v>0</v>
      </c>
      <c r="D299" s="113">
        <v>0</v>
      </c>
      <c r="E299" s="113">
        <v>0</v>
      </c>
      <c r="F299" s="113">
        <v>0</v>
      </c>
      <c r="G299" s="113">
        <v>0</v>
      </c>
      <c r="H299">
        <v>0</v>
      </c>
      <c r="I299" s="175">
        <v>0</v>
      </c>
      <c r="J299" s="113">
        <v>0</v>
      </c>
      <c r="K299">
        <v>0</v>
      </c>
      <c r="L299">
        <v>0</v>
      </c>
      <c r="M299">
        <v>0</v>
      </c>
      <c r="N299">
        <v>0</v>
      </c>
      <c r="O299" s="1">
        <v>0</v>
      </c>
      <c r="P299" s="138">
        <v>0</v>
      </c>
      <c r="Q299" s="1">
        <v>0</v>
      </c>
      <c r="R299" s="95">
        <f>CHOOSE($D$4,D299,E299,F299,G299,H299,I299,J299,K299,L299,M299,N299,O299,P299,101-B299)+0.000001*ROWS($A$20:A299)</f>
        <v>2.7999999999999998E-4</v>
      </c>
      <c r="S299" s="4">
        <f t="shared" si="36"/>
        <v>333</v>
      </c>
      <c r="T299" s="4"/>
      <c r="U299" s="14">
        <f>ROWS($U$20:U299)</f>
        <v>280</v>
      </c>
      <c r="V299" s="4">
        <v>0</v>
      </c>
      <c r="W299" s="4">
        <v>0</v>
      </c>
      <c r="X299" s="94">
        <v>0</v>
      </c>
      <c r="Y299" s="94">
        <v>0</v>
      </c>
      <c r="Z299" s="94">
        <v>0</v>
      </c>
      <c r="AA299" s="94">
        <v>0</v>
      </c>
      <c r="AB299" s="4">
        <v>0</v>
      </c>
      <c r="AC299" s="94">
        <v>0</v>
      </c>
      <c r="AD299" s="94">
        <v>0</v>
      </c>
      <c r="AE299" s="4">
        <v>0</v>
      </c>
      <c r="AF299" s="4">
        <v>0</v>
      </c>
      <c r="AG299" s="4">
        <v>0</v>
      </c>
      <c r="AH299" s="4">
        <v>0</v>
      </c>
      <c r="AI299" s="4">
        <v>0</v>
      </c>
      <c r="AJ299" s="139">
        <v>0</v>
      </c>
      <c r="AK299" s="94">
        <v>0</v>
      </c>
      <c r="AL299" s="162">
        <v>0</v>
      </c>
      <c r="AM299" s="162">
        <v>0</v>
      </c>
      <c r="AN299" s="162">
        <v>0</v>
      </c>
      <c r="AO299" s="162">
        <v>0</v>
      </c>
      <c r="AP299" s="17">
        <v>0</v>
      </c>
      <c r="AQ299" s="162">
        <v>0</v>
      </c>
      <c r="AR299" s="162">
        <v>0</v>
      </c>
      <c r="AS299" s="17" t="str">
        <v/>
      </c>
      <c r="AT299" s="17">
        <v>0</v>
      </c>
      <c r="AU299" s="17">
        <v>0</v>
      </c>
      <c r="AV299" s="17">
        <v>0</v>
      </c>
      <c r="AW299" s="17">
        <v>0</v>
      </c>
      <c r="AX299" s="4">
        <v>71.111111111111114</v>
      </c>
      <c r="AY299" s="4">
        <v>53.846153846153854</v>
      </c>
      <c r="BD299" s="159" t="e">
        <v>#N/A</v>
      </c>
      <c r="BE299" s="159" t="e">
        <v>#N/A</v>
      </c>
      <c r="BF299" s="159" t="e">
        <v>#N/A</v>
      </c>
      <c r="BG299" s="159" t="e">
        <v>#N/A</v>
      </c>
      <c r="BH299" s="14" t="e">
        <v>#N/A</v>
      </c>
      <c r="BI299" s="159" t="e">
        <v>#N/A</v>
      </c>
      <c r="BJ299" s="159" t="e">
        <v>#N/A</v>
      </c>
      <c r="BK299" s="14" t="e">
        <v>#N/A</v>
      </c>
      <c r="BL299" s="14" t="e">
        <v>#N/A</v>
      </c>
      <c r="BM299" s="14" t="e">
        <v>#N/A</v>
      </c>
      <c r="BN299" s="14" t="e">
        <v>#N/A</v>
      </c>
      <c r="BO299" s="14" t="e">
        <v>#N/A</v>
      </c>
      <c r="BP299" s="182" t="e">
        <v>#N/A</v>
      </c>
      <c r="BQ299" s="183" t="e">
        <v>#N/A</v>
      </c>
    </row>
    <row r="300" spans="2:69" x14ac:dyDescent="0.35">
      <c r="B300" s="1">
        <v>0</v>
      </c>
      <c r="C300">
        <v>0</v>
      </c>
      <c r="D300" s="113">
        <v>0</v>
      </c>
      <c r="E300" s="113">
        <v>0</v>
      </c>
      <c r="F300" s="113">
        <v>0</v>
      </c>
      <c r="G300" s="113">
        <v>0</v>
      </c>
      <c r="H300">
        <v>0</v>
      </c>
      <c r="I300" s="175">
        <v>0</v>
      </c>
      <c r="J300" s="113">
        <v>0</v>
      </c>
      <c r="K300">
        <v>0</v>
      </c>
      <c r="L300">
        <v>0</v>
      </c>
      <c r="M300">
        <v>0</v>
      </c>
      <c r="N300">
        <v>0</v>
      </c>
      <c r="O300" s="1">
        <v>0</v>
      </c>
      <c r="P300" s="138">
        <v>0</v>
      </c>
      <c r="Q300" s="1">
        <v>0</v>
      </c>
      <c r="R300" s="95">
        <f>CHOOSE($D$4,D300,E300,F300,G300,H300,I300,J300,K300,L300,M300,N300,O300,P300,101-B300)+0.000001*ROWS($A$20:A300)</f>
        <v>2.81E-4</v>
      </c>
      <c r="S300" s="4">
        <f t="shared" si="36"/>
        <v>332</v>
      </c>
      <c r="T300" s="4"/>
      <c r="U300" s="14">
        <f>ROWS($U$20:U300)</f>
        <v>281</v>
      </c>
      <c r="V300" s="4">
        <v>0</v>
      </c>
      <c r="W300" s="4">
        <v>0</v>
      </c>
      <c r="X300" s="94">
        <v>0</v>
      </c>
      <c r="Y300" s="94">
        <v>0</v>
      </c>
      <c r="Z300" s="94">
        <v>0</v>
      </c>
      <c r="AA300" s="94">
        <v>0</v>
      </c>
      <c r="AB300" s="4">
        <v>0</v>
      </c>
      <c r="AC300" s="94">
        <v>0</v>
      </c>
      <c r="AD300" s="94">
        <v>0</v>
      </c>
      <c r="AE300" s="4">
        <v>0</v>
      </c>
      <c r="AF300" s="4">
        <v>0</v>
      </c>
      <c r="AG300" s="4">
        <v>0</v>
      </c>
      <c r="AH300" s="4">
        <v>0</v>
      </c>
      <c r="AI300" s="4">
        <v>0</v>
      </c>
      <c r="AJ300" s="139">
        <v>0</v>
      </c>
      <c r="AK300" s="94">
        <v>0</v>
      </c>
      <c r="AL300" s="162">
        <v>0</v>
      </c>
      <c r="AM300" s="162">
        <v>0</v>
      </c>
      <c r="AN300" s="162">
        <v>0</v>
      </c>
      <c r="AO300" s="162">
        <v>0</v>
      </c>
      <c r="AP300" s="17">
        <v>0</v>
      </c>
      <c r="AQ300" s="162">
        <v>0</v>
      </c>
      <c r="AR300" s="162">
        <v>0</v>
      </c>
      <c r="AS300" s="17" t="str">
        <v/>
      </c>
      <c r="AT300" s="17">
        <v>0</v>
      </c>
      <c r="AU300" s="17">
        <v>0</v>
      </c>
      <c r="AV300" s="17">
        <v>0</v>
      </c>
      <c r="AW300" s="17">
        <v>0</v>
      </c>
      <c r="AX300" s="4">
        <v>71.111111111111114</v>
      </c>
      <c r="AY300" s="4">
        <v>53.846153846153854</v>
      </c>
      <c r="BD300" s="159" t="e">
        <v>#N/A</v>
      </c>
      <c r="BE300" s="159" t="e">
        <v>#N/A</v>
      </c>
      <c r="BF300" s="159" t="e">
        <v>#N/A</v>
      </c>
      <c r="BG300" s="159" t="e">
        <v>#N/A</v>
      </c>
      <c r="BH300" s="14" t="e">
        <v>#N/A</v>
      </c>
      <c r="BI300" s="159" t="e">
        <v>#N/A</v>
      </c>
      <c r="BJ300" s="159" t="e">
        <v>#N/A</v>
      </c>
      <c r="BK300" s="14" t="e">
        <v>#N/A</v>
      </c>
      <c r="BL300" s="14" t="e">
        <v>#N/A</v>
      </c>
      <c r="BM300" s="14" t="e">
        <v>#N/A</v>
      </c>
      <c r="BN300" s="14" t="e">
        <v>#N/A</v>
      </c>
      <c r="BO300" s="14" t="e">
        <v>#N/A</v>
      </c>
      <c r="BP300" s="182" t="e">
        <v>#N/A</v>
      </c>
      <c r="BQ300" s="183" t="e">
        <v>#N/A</v>
      </c>
    </row>
    <row r="301" spans="2:69" x14ac:dyDescent="0.35">
      <c r="B301" s="1">
        <v>0</v>
      </c>
      <c r="C301">
        <v>0</v>
      </c>
      <c r="D301" s="113">
        <v>0</v>
      </c>
      <c r="E301" s="113">
        <v>0</v>
      </c>
      <c r="F301" s="113">
        <v>0</v>
      </c>
      <c r="G301" s="113">
        <v>0</v>
      </c>
      <c r="H301">
        <v>0</v>
      </c>
      <c r="I301" s="175">
        <v>0</v>
      </c>
      <c r="J301" s="113">
        <v>0</v>
      </c>
      <c r="K301">
        <v>0</v>
      </c>
      <c r="L301">
        <v>0</v>
      </c>
      <c r="M301">
        <v>0</v>
      </c>
      <c r="N301">
        <v>0</v>
      </c>
      <c r="O301" s="1">
        <v>0</v>
      </c>
      <c r="P301" s="138">
        <v>0</v>
      </c>
      <c r="Q301" s="1">
        <v>0</v>
      </c>
      <c r="R301" s="95">
        <f>CHOOSE($D$4,D301,E301,F301,G301,H301,I301,J301,K301,L301,M301,N301,O301,P301,101-B301)+0.000001*ROWS($A$20:A301)</f>
        <v>2.8199999999999997E-4</v>
      </c>
      <c r="S301" s="4">
        <f t="shared" si="36"/>
        <v>331</v>
      </c>
      <c r="T301" s="4"/>
      <c r="U301" s="14">
        <f>ROWS($U$20:U301)</f>
        <v>282</v>
      </c>
      <c r="V301" s="4">
        <v>0</v>
      </c>
      <c r="W301" s="4">
        <v>0</v>
      </c>
      <c r="X301" s="94">
        <v>0</v>
      </c>
      <c r="Y301" s="94">
        <v>0</v>
      </c>
      <c r="Z301" s="94">
        <v>0</v>
      </c>
      <c r="AA301" s="94">
        <v>0</v>
      </c>
      <c r="AB301" s="4">
        <v>0</v>
      </c>
      <c r="AC301" s="94">
        <v>0</v>
      </c>
      <c r="AD301" s="94">
        <v>0</v>
      </c>
      <c r="AE301" s="4">
        <v>0</v>
      </c>
      <c r="AF301" s="4">
        <v>0</v>
      </c>
      <c r="AG301" s="4">
        <v>0</v>
      </c>
      <c r="AH301" s="4">
        <v>0</v>
      </c>
      <c r="AI301" s="4">
        <v>0</v>
      </c>
      <c r="AJ301" s="139">
        <v>0</v>
      </c>
      <c r="AK301" s="94">
        <v>0</v>
      </c>
      <c r="AL301" s="162">
        <v>0</v>
      </c>
      <c r="AM301" s="162">
        <v>0</v>
      </c>
      <c r="AN301" s="162">
        <v>0</v>
      </c>
      <c r="AO301" s="162">
        <v>0</v>
      </c>
      <c r="AP301" s="17">
        <v>0</v>
      </c>
      <c r="AQ301" s="162">
        <v>0</v>
      </c>
      <c r="AR301" s="162">
        <v>0</v>
      </c>
      <c r="AS301" s="17" t="str">
        <v/>
      </c>
      <c r="AT301" s="17">
        <v>0</v>
      </c>
      <c r="AU301" s="17">
        <v>0</v>
      </c>
      <c r="AV301" s="17">
        <v>0</v>
      </c>
      <c r="AW301" s="17">
        <v>0</v>
      </c>
      <c r="AX301" s="4">
        <v>71.111111111111114</v>
      </c>
      <c r="AY301" s="4">
        <v>53.846153846153854</v>
      </c>
      <c r="BD301" s="159" t="e">
        <v>#N/A</v>
      </c>
      <c r="BE301" s="159" t="e">
        <v>#N/A</v>
      </c>
      <c r="BF301" s="159" t="e">
        <v>#N/A</v>
      </c>
      <c r="BG301" s="159" t="e">
        <v>#N/A</v>
      </c>
      <c r="BH301" s="14" t="e">
        <v>#N/A</v>
      </c>
      <c r="BI301" s="159" t="e">
        <v>#N/A</v>
      </c>
      <c r="BJ301" s="159" t="e">
        <v>#N/A</v>
      </c>
      <c r="BK301" s="14" t="e">
        <v>#N/A</v>
      </c>
      <c r="BL301" s="14" t="e">
        <v>#N/A</v>
      </c>
      <c r="BM301" s="14" t="e">
        <v>#N/A</v>
      </c>
      <c r="BN301" s="14" t="e">
        <v>#N/A</v>
      </c>
      <c r="BO301" s="14" t="e">
        <v>#N/A</v>
      </c>
      <c r="BP301" s="182" t="e">
        <v>#N/A</v>
      </c>
      <c r="BQ301" s="183" t="e">
        <v>#N/A</v>
      </c>
    </row>
    <row r="302" spans="2:69" x14ac:dyDescent="0.35">
      <c r="B302" s="1">
        <v>0</v>
      </c>
      <c r="C302">
        <v>0</v>
      </c>
      <c r="D302" s="113">
        <v>0</v>
      </c>
      <c r="E302" s="113">
        <v>0</v>
      </c>
      <c r="F302" s="113">
        <v>0</v>
      </c>
      <c r="G302" s="113">
        <v>0</v>
      </c>
      <c r="H302">
        <v>0</v>
      </c>
      <c r="I302" s="175">
        <v>0</v>
      </c>
      <c r="J302" s="113">
        <v>0</v>
      </c>
      <c r="K302">
        <v>0</v>
      </c>
      <c r="L302">
        <v>0</v>
      </c>
      <c r="M302">
        <v>0</v>
      </c>
      <c r="N302">
        <v>0</v>
      </c>
      <c r="O302" s="1">
        <v>0</v>
      </c>
      <c r="P302" s="138">
        <v>0</v>
      </c>
      <c r="Q302" s="1">
        <v>0</v>
      </c>
      <c r="R302" s="95">
        <f>CHOOSE($D$4,D302,E302,F302,G302,H302,I302,J302,K302,L302,M302,N302,O302,P302,101-B302)+0.000001*ROWS($A$20:A302)</f>
        <v>2.8299999999999999E-4</v>
      </c>
      <c r="S302" s="4">
        <f t="shared" si="36"/>
        <v>330</v>
      </c>
      <c r="T302" s="4"/>
      <c r="U302" s="14">
        <f>ROWS($U$20:U302)</f>
        <v>283</v>
      </c>
      <c r="V302" s="4">
        <v>0</v>
      </c>
      <c r="W302" s="4">
        <v>0</v>
      </c>
      <c r="X302" s="94">
        <v>0</v>
      </c>
      <c r="Y302" s="94">
        <v>0</v>
      </c>
      <c r="Z302" s="94">
        <v>0</v>
      </c>
      <c r="AA302" s="94">
        <v>0</v>
      </c>
      <c r="AB302" s="4">
        <v>0</v>
      </c>
      <c r="AC302" s="94">
        <v>0</v>
      </c>
      <c r="AD302" s="94">
        <v>0</v>
      </c>
      <c r="AE302" s="4">
        <v>0</v>
      </c>
      <c r="AF302" s="4">
        <v>0</v>
      </c>
      <c r="AG302" s="4">
        <v>0</v>
      </c>
      <c r="AH302" s="4">
        <v>0</v>
      </c>
      <c r="AI302" s="4">
        <v>0</v>
      </c>
      <c r="AJ302" s="139">
        <v>0</v>
      </c>
      <c r="AK302" s="94">
        <v>0</v>
      </c>
      <c r="AL302" s="162">
        <v>0</v>
      </c>
      <c r="AM302" s="162">
        <v>0</v>
      </c>
      <c r="AN302" s="162">
        <v>0</v>
      </c>
      <c r="AO302" s="162">
        <v>0</v>
      </c>
      <c r="AP302" s="17">
        <v>0</v>
      </c>
      <c r="AQ302" s="162">
        <v>0</v>
      </c>
      <c r="AR302" s="162">
        <v>0</v>
      </c>
      <c r="AS302" s="17" t="str">
        <v/>
      </c>
      <c r="AT302" s="17">
        <v>0</v>
      </c>
      <c r="AU302" s="17">
        <v>0</v>
      </c>
      <c r="AV302" s="17">
        <v>0</v>
      </c>
      <c r="AW302" s="17">
        <v>0</v>
      </c>
      <c r="AX302" s="4">
        <v>71.111111111111114</v>
      </c>
      <c r="AY302" s="4">
        <v>53.846153846153854</v>
      </c>
      <c r="BD302" s="159" t="e">
        <v>#N/A</v>
      </c>
      <c r="BE302" s="159" t="e">
        <v>#N/A</v>
      </c>
      <c r="BF302" s="159" t="e">
        <v>#N/A</v>
      </c>
      <c r="BG302" s="159" t="e">
        <v>#N/A</v>
      </c>
      <c r="BH302" s="14" t="e">
        <v>#N/A</v>
      </c>
      <c r="BI302" s="159" t="e">
        <v>#N/A</v>
      </c>
      <c r="BJ302" s="159" t="e">
        <v>#N/A</v>
      </c>
      <c r="BK302" s="14" t="e">
        <v>#N/A</v>
      </c>
      <c r="BL302" s="14" t="e">
        <v>#N/A</v>
      </c>
      <c r="BM302" s="14" t="e">
        <v>#N/A</v>
      </c>
      <c r="BN302" s="14" t="e">
        <v>#N/A</v>
      </c>
      <c r="BO302" s="14" t="e">
        <v>#N/A</v>
      </c>
      <c r="BP302" s="182" t="e">
        <v>#N/A</v>
      </c>
      <c r="BQ302" s="183" t="e">
        <v>#N/A</v>
      </c>
    </row>
    <row r="303" spans="2:69" x14ac:dyDescent="0.35">
      <c r="B303" s="1">
        <v>0</v>
      </c>
      <c r="C303">
        <v>0</v>
      </c>
      <c r="D303" s="113">
        <v>0</v>
      </c>
      <c r="E303" s="113">
        <v>0</v>
      </c>
      <c r="F303" s="113">
        <v>0</v>
      </c>
      <c r="G303" s="113">
        <v>0</v>
      </c>
      <c r="H303">
        <v>0</v>
      </c>
      <c r="I303" s="175">
        <v>0</v>
      </c>
      <c r="J303" s="113">
        <v>0</v>
      </c>
      <c r="K303">
        <v>0</v>
      </c>
      <c r="L303">
        <v>0</v>
      </c>
      <c r="M303">
        <v>0</v>
      </c>
      <c r="N303">
        <v>0</v>
      </c>
      <c r="O303" s="1">
        <v>0</v>
      </c>
      <c r="P303" s="138">
        <v>0</v>
      </c>
      <c r="Q303" s="1">
        <v>0</v>
      </c>
      <c r="R303" s="95">
        <f>CHOOSE($D$4,D303,E303,F303,G303,H303,I303,J303,K303,L303,M303,N303,O303,P303,101-B303)+0.000001*ROWS($A$20:A303)</f>
        <v>2.8399999999999996E-4</v>
      </c>
      <c r="S303" s="4">
        <f t="shared" si="36"/>
        <v>329</v>
      </c>
      <c r="T303" s="4"/>
      <c r="U303" s="14">
        <f>ROWS($U$20:U303)</f>
        <v>284</v>
      </c>
      <c r="V303" s="4">
        <v>0</v>
      </c>
      <c r="W303" s="4">
        <v>0</v>
      </c>
      <c r="X303" s="94">
        <v>0</v>
      </c>
      <c r="Y303" s="94">
        <v>0</v>
      </c>
      <c r="Z303" s="94">
        <v>0</v>
      </c>
      <c r="AA303" s="94">
        <v>0</v>
      </c>
      <c r="AB303" s="4">
        <v>0</v>
      </c>
      <c r="AC303" s="94">
        <v>0</v>
      </c>
      <c r="AD303" s="94">
        <v>0</v>
      </c>
      <c r="AE303" s="4">
        <v>0</v>
      </c>
      <c r="AF303" s="4">
        <v>0</v>
      </c>
      <c r="AG303" s="4">
        <v>0</v>
      </c>
      <c r="AH303" s="4">
        <v>0</v>
      </c>
      <c r="AI303" s="4">
        <v>0</v>
      </c>
      <c r="AJ303" s="139">
        <v>0</v>
      </c>
      <c r="AK303" s="94">
        <v>0</v>
      </c>
      <c r="AL303" s="162">
        <v>0</v>
      </c>
      <c r="AM303" s="162">
        <v>0</v>
      </c>
      <c r="AN303" s="162">
        <v>0</v>
      </c>
      <c r="AO303" s="162">
        <v>0</v>
      </c>
      <c r="AP303" s="17">
        <v>0</v>
      </c>
      <c r="AQ303" s="162">
        <v>0</v>
      </c>
      <c r="AR303" s="162">
        <v>0</v>
      </c>
      <c r="AS303" s="17" t="str">
        <v/>
      </c>
      <c r="AT303" s="17">
        <v>0</v>
      </c>
      <c r="AU303" s="17">
        <v>0</v>
      </c>
      <c r="AV303" s="17">
        <v>0</v>
      </c>
      <c r="AW303" s="17">
        <v>0</v>
      </c>
      <c r="AX303" s="4">
        <v>71.111111111111114</v>
      </c>
      <c r="AY303" s="4">
        <v>53.846153846153854</v>
      </c>
      <c r="BD303" s="159" t="e">
        <v>#N/A</v>
      </c>
      <c r="BE303" s="159" t="e">
        <v>#N/A</v>
      </c>
      <c r="BF303" s="159" t="e">
        <v>#N/A</v>
      </c>
      <c r="BG303" s="159" t="e">
        <v>#N/A</v>
      </c>
      <c r="BH303" s="14" t="e">
        <v>#N/A</v>
      </c>
      <c r="BI303" s="159" t="e">
        <v>#N/A</v>
      </c>
      <c r="BJ303" s="159" t="e">
        <v>#N/A</v>
      </c>
      <c r="BK303" s="14" t="e">
        <v>#N/A</v>
      </c>
      <c r="BL303" s="14" t="e">
        <v>#N/A</v>
      </c>
      <c r="BM303" s="14" t="e">
        <v>#N/A</v>
      </c>
      <c r="BN303" s="14" t="e">
        <v>#N/A</v>
      </c>
      <c r="BO303" s="14" t="e">
        <v>#N/A</v>
      </c>
      <c r="BP303" s="182" t="e">
        <v>#N/A</v>
      </c>
      <c r="BQ303" s="183" t="e">
        <v>#N/A</v>
      </c>
    </row>
    <row r="304" spans="2:69" x14ac:dyDescent="0.35">
      <c r="B304" s="1">
        <v>0</v>
      </c>
      <c r="C304">
        <v>0</v>
      </c>
      <c r="D304" s="113">
        <v>0</v>
      </c>
      <c r="E304" s="113">
        <v>0</v>
      </c>
      <c r="F304" s="113">
        <v>0</v>
      </c>
      <c r="G304" s="113">
        <v>0</v>
      </c>
      <c r="H304">
        <v>0</v>
      </c>
      <c r="I304" s="175">
        <v>0</v>
      </c>
      <c r="J304" s="113">
        <v>0</v>
      </c>
      <c r="K304">
        <v>0</v>
      </c>
      <c r="L304">
        <v>0</v>
      </c>
      <c r="M304">
        <v>0</v>
      </c>
      <c r="N304">
        <v>0</v>
      </c>
      <c r="O304" s="1">
        <v>0</v>
      </c>
      <c r="P304" s="138">
        <v>0</v>
      </c>
      <c r="Q304" s="1">
        <v>0</v>
      </c>
      <c r="R304" s="95">
        <f>CHOOSE($D$4,D304,E304,F304,G304,H304,I304,J304,K304,L304,M304,N304,O304,P304,101-B304)+0.000001*ROWS($A$20:A304)</f>
        <v>2.8499999999999999E-4</v>
      </c>
      <c r="S304" s="4">
        <f t="shared" si="36"/>
        <v>328</v>
      </c>
      <c r="T304" s="4"/>
      <c r="U304" s="14">
        <f>ROWS($U$20:U304)</f>
        <v>285</v>
      </c>
      <c r="V304" s="4">
        <v>0</v>
      </c>
      <c r="W304" s="4">
        <v>0</v>
      </c>
      <c r="X304" s="94">
        <v>0</v>
      </c>
      <c r="Y304" s="94">
        <v>0</v>
      </c>
      <c r="Z304" s="94">
        <v>0</v>
      </c>
      <c r="AA304" s="94">
        <v>0</v>
      </c>
      <c r="AB304" s="4">
        <v>0</v>
      </c>
      <c r="AC304" s="94">
        <v>0</v>
      </c>
      <c r="AD304" s="94">
        <v>0</v>
      </c>
      <c r="AE304" s="4">
        <v>0</v>
      </c>
      <c r="AF304" s="4">
        <v>0</v>
      </c>
      <c r="AG304" s="4">
        <v>0</v>
      </c>
      <c r="AH304" s="4">
        <v>0</v>
      </c>
      <c r="AI304" s="4">
        <v>0</v>
      </c>
      <c r="AJ304" s="139">
        <v>0</v>
      </c>
      <c r="AK304" s="94">
        <v>0</v>
      </c>
      <c r="AL304" s="162">
        <v>0</v>
      </c>
      <c r="AM304" s="162">
        <v>0</v>
      </c>
      <c r="AN304" s="162">
        <v>0</v>
      </c>
      <c r="AO304" s="162">
        <v>0</v>
      </c>
      <c r="AP304" s="17">
        <v>0</v>
      </c>
      <c r="AQ304" s="162">
        <v>0</v>
      </c>
      <c r="AR304" s="162">
        <v>0</v>
      </c>
      <c r="AS304" s="17" t="str">
        <v/>
      </c>
      <c r="AT304" s="17">
        <v>0</v>
      </c>
      <c r="AU304" s="17">
        <v>0</v>
      </c>
      <c r="AV304" s="17">
        <v>0</v>
      </c>
      <c r="AW304" s="17">
        <v>0</v>
      </c>
      <c r="AX304" s="4">
        <v>71.111111111111114</v>
      </c>
      <c r="AY304" s="4">
        <v>53.846153846153854</v>
      </c>
      <c r="BD304" s="159" t="e">
        <v>#N/A</v>
      </c>
      <c r="BE304" s="159" t="e">
        <v>#N/A</v>
      </c>
      <c r="BF304" s="159" t="e">
        <v>#N/A</v>
      </c>
      <c r="BG304" s="159" t="e">
        <v>#N/A</v>
      </c>
      <c r="BH304" s="14" t="e">
        <v>#N/A</v>
      </c>
      <c r="BI304" s="159" t="e">
        <v>#N/A</v>
      </c>
      <c r="BJ304" s="159" t="e">
        <v>#N/A</v>
      </c>
      <c r="BK304" s="14" t="e">
        <v>#N/A</v>
      </c>
      <c r="BL304" s="14" t="e">
        <v>#N/A</v>
      </c>
      <c r="BM304" s="14" t="e">
        <v>#N/A</v>
      </c>
      <c r="BN304" s="14" t="e">
        <v>#N/A</v>
      </c>
      <c r="BO304" s="14" t="e">
        <v>#N/A</v>
      </c>
      <c r="BP304" s="182" t="e">
        <v>#N/A</v>
      </c>
      <c r="BQ304" s="183" t="e">
        <v>#N/A</v>
      </c>
    </row>
    <row r="305" spans="2:69" x14ac:dyDescent="0.35">
      <c r="B305" s="1">
        <v>0</v>
      </c>
      <c r="C305">
        <v>0</v>
      </c>
      <c r="D305" s="113">
        <v>0</v>
      </c>
      <c r="E305" s="113">
        <v>0</v>
      </c>
      <c r="F305" s="113">
        <v>0</v>
      </c>
      <c r="G305" s="113">
        <v>0</v>
      </c>
      <c r="H305">
        <v>0</v>
      </c>
      <c r="I305" s="175">
        <v>0</v>
      </c>
      <c r="J305" s="113">
        <v>0</v>
      </c>
      <c r="K305">
        <v>0</v>
      </c>
      <c r="L305">
        <v>0</v>
      </c>
      <c r="M305">
        <v>0</v>
      </c>
      <c r="N305">
        <v>0</v>
      </c>
      <c r="O305" s="1">
        <v>0</v>
      </c>
      <c r="P305" s="138">
        <v>0</v>
      </c>
      <c r="Q305" s="1">
        <v>0</v>
      </c>
      <c r="R305" s="95">
        <f>CHOOSE($D$4,D305,E305,F305,G305,H305,I305,J305,K305,L305,M305,N305,O305,P305,101-B305)+0.000001*ROWS($A$20:A305)</f>
        <v>2.8600000000000001E-4</v>
      </c>
      <c r="S305" s="4">
        <f t="shared" si="36"/>
        <v>327</v>
      </c>
      <c r="T305" s="4"/>
      <c r="U305" s="14">
        <f>ROWS($U$20:U305)</f>
        <v>286</v>
      </c>
      <c r="V305" s="4">
        <v>0</v>
      </c>
      <c r="W305" s="4">
        <v>0</v>
      </c>
      <c r="X305" s="94">
        <v>0</v>
      </c>
      <c r="Y305" s="94">
        <v>0</v>
      </c>
      <c r="Z305" s="94">
        <v>0</v>
      </c>
      <c r="AA305" s="94">
        <v>0</v>
      </c>
      <c r="AB305" s="4">
        <v>0</v>
      </c>
      <c r="AC305" s="94">
        <v>0</v>
      </c>
      <c r="AD305" s="94">
        <v>0</v>
      </c>
      <c r="AE305" s="4">
        <v>0</v>
      </c>
      <c r="AF305" s="4">
        <v>0</v>
      </c>
      <c r="AG305" s="4">
        <v>0</v>
      </c>
      <c r="AH305" s="4">
        <v>0</v>
      </c>
      <c r="AI305" s="4">
        <v>0</v>
      </c>
      <c r="AJ305" s="139">
        <v>0</v>
      </c>
      <c r="AK305" s="94">
        <v>0</v>
      </c>
      <c r="AL305" s="162">
        <v>0</v>
      </c>
      <c r="AM305" s="162">
        <v>0</v>
      </c>
      <c r="AN305" s="162">
        <v>0</v>
      </c>
      <c r="AO305" s="162">
        <v>0</v>
      </c>
      <c r="AP305" s="17">
        <v>0</v>
      </c>
      <c r="AQ305" s="162">
        <v>0</v>
      </c>
      <c r="AR305" s="162">
        <v>0</v>
      </c>
      <c r="AS305" s="17" t="str">
        <v/>
      </c>
      <c r="AT305" s="17">
        <v>0</v>
      </c>
      <c r="AU305" s="17">
        <v>0</v>
      </c>
      <c r="AV305" s="17">
        <v>0</v>
      </c>
      <c r="AW305" s="17">
        <v>0</v>
      </c>
      <c r="AX305" s="4">
        <v>71.111111111111114</v>
      </c>
      <c r="AY305" s="4">
        <v>53.846153846153854</v>
      </c>
      <c r="BD305" s="159" t="e">
        <v>#N/A</v>
      </c>
      <c r="BE305" s="159" t="e">
        <v>#N/A</v>
      </c>
      <c r="BF305" s="159" t="e">
        <v>#N/A</v>
      </c>
      <c r="BG305" s="159" t="e">
        <v>#N/A</v>
      </c>
      <c r="BH305" s="14" t="e">
        <v>#N/A</v>
      </c>
      <c r="BI305" s="159" t="e">
        <v>#N/A</v>
      </c>
      <c r="BJ305" s="159" t="e">
        <v>#N/A</v>
      </c>
      <c r="BK305" s="14" t="e">
        <v>#N/A</v>
      </c>
      <c r="BL305" s="14" t="e">
        <v>#N/A</v>
      </c>
      <c r="BM305" s="14" t="e">
        <v>#N/A</v>
      </c>
      <c r="BN305" s="14" t="e">
        <v>#N/A</v>
      </c>
      <c r="BO305" s="14" t="e">
        <v>#N/A</v>
      </c>
      <c r="BP305" s="182" t="e">
        <v>#N/A</v>
      </c>
      <c r="BQ305" s="183" t="e">
        <v>#N/A</v>
      </c>
    </row>
    <row r="306" spans="2:69" x14ac:dyDescent="0.35">
      <c r="B306" s="1">
        <v>0</v>
      </c>
      <c r="C306">
        <v>0</v>
      </c>
      <c r="D306" s="113">
        <v>0</v>
      </c>
      <c r="E306" s="113">
        <v>0</v>
      </c>
      <c r="F306" s="113">
        <v>0</v>
      </c>
      <c r="G306" s="113">
        <v>0</v>
      </c>
      <c r="H306">
        <v>0</v>
      </c>
      <c r="I306" s="175">
        <v>0</v>
      </c>
      <c r="J306" s="113">
        <v>0</v>
      </c>
      <c r="K306">
        <v>0</v>
      </c>
      <c r="L306">
        <v>0</v>
      </c>
      <c r="M306">
        <v>0</v>
      </c>
      <c r="N306">
        <v>0</v>
      </c>
      <c r="O306" s="1">
        <v>0</v>
      </c>
      <c r="P306" s="138">
        <v>0</v>
      </c>
      <c r="Q306" s="1">
        <v>0</v>
      </c>
      <c r="R306" s="95">
        <f>CHOOSE($D$4,D306,E306,F306,G306,H306,I306,J306,K306,L306,M306,N306,O306,P306,101-B306)+0.000001*ROWS($A$20:A306)</f>
        <v>2.8699999999999998E-4</v>
      </c>
      <c r="S306" s="4">
        <f t="shared" si="36"/>
        <v>326</v>
      </c>
      <c r="T306" s="4"/>
      <c r="U306" s="14">
        <f>ROWS($U$20:U306)</f>
        <v>287</v>
      </c>
      <c r="V306" s="4">
        <v>0</v>
      </c>
      <c r="W306" s="4">
        <v>0</v>
      </c>
      <c r="X306" s="94">
        <v>0</v>
      </c>
      <c r="Y306" s="94">
        <v>0</v>
      </c>
      <c r="Z306" s="94">
        <v>0</v>
      </c>
      <c r="AA306" s="94">
        <v>0</v>
      </c>
      <c r="AB306" s="4">
        <v>0</v>
      </c>
      <c r="AC306" s="94">
        <v>0</v>
      </c>
      <c r="AD306" s="94">
        <v>0</v>
      </c>
      <c r="AE306" s="4">
        <v>0</v>
      </c>
      <c r="AF306" s="4">
        <v>0</v>
      </c>
      <c r="AG306" s="4">
        <v>0</v>
      </c>
      <c r="AH306" s="4">
        <v>0</v>
      </c>
      <c r="AI306" s="4">
        <v>0</v>
      </c>
      <c r="AJ306" s="139">
        <v>0</v>
      </c>
      <c r="AK306" s="94">
        <v>0</v>
      </c>
      <c r="AL306" s="162">
        <v>0</v>
      </c>
      <c r="AM306" s="162">
        <v>0</v>
      </c>
      <c r="AN306" s="162">
        <v>0</v>
      </c>
      <c r="AO306" s="162">
        <v>0</v>
      </c>
      <c r="AP306" s="17">
        <v>0</v>
      </c>
      <c r="AQ306" s="162">
        <v>0</v>
      </c>
      <c r="AR306" s="162">
        <v>0</v>
      </c>
      <c r="AS306" s="17" t="str">
        <v/>
      </c>
      <c r="AT306" s="17">
        <v>0</v>
      </c>
      <c r="AU306" s="17">
        <v>0</v>
      </c>
      <c r="AV306" s="17">
        <v>0</v>
      </c>
      <c r="AW306" s="17">
        <v>0</v>
      </c>
      <c r="AX306" s="4">
        <v>71.111111111111114</v>
      </c>
      <c r="AY306" s="4">
        <v>53.846153846153854</v>
      </c>
      <c r="BD306" s="159" t="e">
        <v>#N/A</v>
      </c>
      <c r="BE306" s="159" t="e">
        <v>#N/A</v>
      </c>
      <c r="BF306" s="159" t="e">
        <v>#N/A</v>
      </c>
      <c r="BG306" s="159" t="e">
        <v>#N/A</v>
      </c>
      <c r="BH306" s="14" t="e">
        <v>#N/A</v>
      </c>
      <c r="BI306" s="159" t="e">
        <v>#N/A</v>
      </c>
      <c r="BJ306" s="159" t="e">
        <v>#N/A</v>
      </c>
      <c r="BK306" s="14" t="e">
        <v>#N/A</v>
      </c>
      <c r="BL306" s="14" t="e">
        <v>#N/A</v>
      </c>
      <c r="BM306" s="14" t="e">
        <v>#N/A</v>
      </c>
      <c r="BN306" s="14" t="e">
        <v>#N/A</v>
      </c>
      <c r="BO306" s="14" t="e">
        <v>#N/A</v>
      </c>
      <c r="BP306" s="182" t="e">
        <v>#N/A</v>
      </c>
      <c r="BQ306" s="183" t="e">
        <v>#N/A</v>
      </c>
    </row>
    <row r="307" spans="2:69" x14ac:dyDescent="0.35">
      <c r="B307" s="1">
        <v>0</v>
      </c>
      <c r="C307">
        <v>0</v>
      </c>
      <c r="D307" s="113">
        <v>0</v>
      </c>
      <c r="E307" s="113">
        <v>0</v>
      </c>
      <c r="F307" s="113">
        <v>0</v>
      </c>
      <c r="G307" s="113">
        <v>0</v>
      </c>
      <c r="H307">
        <v>0</v>
      </c>
      <c r="I307" s="175">
        <v>0</v>
      </c>
      <c r="J307" s="113">
        <v>0</v>
      </c>
      <c r="K307">
        <v>0</v>
      </c>
      <c r="L307">
        <v>0</v>
      </c>
      <c r="M307">
        <v>0</v>
      </c>
      <c r="N307">
        <v>0</v>
      </c>
      <c r="O307" s="1">
        <v>0</v>
      </c>
      <c r="P307" s="138">
        <v>0</v>
      </c>
      <c r="Q307" s="1">
        <v>0</v>
      </c>
      <c r="R307" s="95">
        <f>CHOOSE($D$4,D307,E307,F307,G307,H307,I307,J307,K307,L307,M307,N307,O307,P307,101-B307)+0.000001*ROWS($A$20:A307)</f>
        <v>2.8800000000000001E-4</v>
      </c>
      <c r="S307" s="4">
        <f t="shared" si="36"/>
        <v>325</v>
      </c>
      <c r="T307" s="4"/>
      <c r="U307" s="14">
        <f>ROWS($U$20:U307)</f>
        <v>288</v>
      </c>
      <c r="V307" s="4">
        <v>0</v>
      </c>
      <c r="W307" s="4">
        <v>0</v>
      </c>
      <c r="X307" s="94">
        <v>0</v>
      </c>
      <c r="Y307" s="94">
        <v>0</v>
      </c>
      <c r="Z307" s="94">
        <v>0</v>
      </c>
      <c r="AA307" s="94">
        <v>0</v>
      </c>
      <c r="AB307" s="4">
        <v>0</v>
      </c>
      <c r="AC307" s="94">
        <v>0</v>
      </c>
      <c r="AD307" s="94">
        <v>0</v>
      </c>
      <c r="AE307" s="4">
        <v>0</v>
      </c>
      <c r="AF307" s="4">
        <v>0</v>
      </c>
      <c r="AG307" s="4">
        <v>0</v>
      </c>
      <c r="AH307" s="4">
        <v>0</v>
      </c>
      <c r="AI307" s="4">
        <v>0</v>
      </c>
      <c r="AJ307" s="139">
        <v>0</v>
      </c>
      <c r="AK307" s="94">
        <v>0</v>
      </c>
      <c r="AL307" s="162">
        <v>0</v>
      </c>
      <c r="AM307" s="162">
        <v>0</v>
      </c>
      <c r="AN307" s="162">
        <v>0</v>
      </c>
      <c r="AO307" s="162">
        <v>0</v>
      </c>
      <c r="AP307" s="17">
        <v>0</v>
      </c>
      <c r="AQ307" s="162">
        <v>0</v>
      </c>
      <c r="AR307" s="162">
        <v>0</v>
      </c>
      <c r="AS307" s="17" t="str">
        <v/>
      </c>
      <c r="AT307" s="17">
        <v>0</v>
      </c>
      <c r="AU307" s="17">
        <v>0</v>
      </c>
      <c r="AV307" s="17">
        <v>0</v>
      </c>
      <c r="AW307" s="17">
        <v>0</v>
      </c>
      <c r="AX307" s="4">
        <v>71.111111111111114</v>
      </c>
      <c r="AY307" s="4">
        <v>53.846153846153854</v>
      </c>
      <c r="BD307" s="159" t="e">
        <v>#N/A</v>
      </c>
      <c r="BE307" s="159" t="e">
        <v>#N/A</v>
      </c>
      <c r="BF307" s="159" t="e">
        <v>#N/A</v>
      </c>
      <c r="BG307" s="159" t="e">
        <v>#N/A</v>
      </c>
      <c r="BH307" s="14" t="e">
        <v>#N/A</v>
      </c>
      <c r="BI307" s="159" t="e">
        <v>#N/A</v>
      </c>
      <c r="BJ307" s="159" t="e">
        <v>#N/A</v>
      </c>
      <c r="BK307" s="14" t="e">
        <v>#N/A</v>
      </c>
      <c r="BL307" s="14" t="e">
        <v>#N/A</v>
      </c>
      <c r="BM307" s="14" t="e">
        <v>#N/A</v>
      </c>
      <c r="BN307" s="14" t="e">
        <v>#N/A</v>
      </c>
      <c r="BO307" s="14" t="e">
        <v>#N/A</v>
      </c>
      <c r="BP307" s="182" t="e">
        <v>#N/A</v>
      </c>
      <c r="BQ307" s="183" t="e">
        <v>#N/A</v>
      </c>
    </row>
    <row r="308" spans="2:69" x14ac:dyDescent="0.35">
      <c r="B308" s="1">
        <v>0</v>
      </c>
      <c r="C308">
        <v>0</v>
      </c>
      <c r="D308" s="113">
        <v>0</v>
      </c>
      <c r="E308" s="113">
        <v>0</v>
      </c>
      <c r="F308" s="113">
        <v>0</v>
      </c>
      <c r="G308" s="113">
        <v>0</v>
      </c>
      <c r="H308">
        <v>0</v>
      </c>
      <c r="I308" s="175">
        <v>0</v>
      </c>
      <c r="J308" s="113">
        <v>0</v>
      </c>
      <c r="K308">
        <v>0</v>
      </c>
      <c r="L308">
        <v>0</v>
      </c>
      <c r="M308">
        <v>0</v>
      </c>
      <c r="N308">
        <v>0</v>
      </c>
      <c r="O308" s="1">
        <v>0</v>
      </c>
      <c r="P308" s="138">
        <v>0</v>
      </c>
      <c r="Q308" s="1">
        <v>0</v>
      </c>
      <c r="R308" s="95">
        <f>CHOOSE($D$4,D308,E308,F308,G308,H308,I308,J308,K308,L308,M308,N308,O308,P308,101-B308)+0.000001*ROWS($A$20:A308)</f>
        <v>2.8899999999999998E-4</v>
      </c>
      <c r="S308" s="4">
        <f t="shared" si="36"/>
        <v>324</v>
      </c>
      <c r="T308" s="4"/>
      <c r="U308" s="14">
        <f>ROWS($U$20:U308)</f>
        <v>289</v>
      </c>
      <c r="V308" s="4">
        <v>0</v>
      </c>
      <c r="W308" s="4">
        <v>0</v>
      </c>
      <c r="X308" s="94">
        <v>0</v>
      </c>
      <c r="Y308" s="94">
        <v>0</v>
      </c>
      <c r="Z308" s="94">
        <v>0</v>
      </c>
      <c r="AA308" s="94">
        <v>0</v>
      </c>
      <c r="AB308" s="4">
        <v>0</v>
      </c>
      <c r="AC308" s="94">
        <v>0</v>
      </c>
      <c r="AD308" s="94">
        <v>0</v>
      </c>
      <c r="AE308" s="4">
        <v>0</v>
      </c>
      <c r="AF308" s="4">
        <v>0</v>
      </c>
      <c r="AG308" s="4">
        <v>0</v>
      </c>
      <c r="AH308" s="4">
        <v>0</v>
      </c>
      <c r="AI308" s="4">
        <v>0</v>
      </c>
      <c r="AJ308" s="139">
        <v>0</v>
      </c>
      <c r="AK308" s="94">
        <v>0</v>
      </c>
      <c r="AL308" s="162">
        <v>0</v>
      </c>
      <c r="AM308" s="162">
        <v>0</v>
      </c>
      <c r="AN308" s="162">
        <v>0</v>
      </c>
      <c r="AO308" s="162">
        <v>0</v>
      </c>
      <c r="AP308" s="17">
        <v>0</v>
      </c>
      <c r="AQ308" s="162">
        <v>0</v>
      </c>
      <c r="AR308" s="162">
        <v>0</v>
      </c>
      <c r="AS308" s="17" t="str">
        <v/>
      </c>
      <c r="AT308" s="17">
        <v>0</v>
      </c>
      <c r="AU308" s="17">
        <v>0</v>
      </c>
      <c r="AV308" s="17">
        <v>0</v>
      </c>
      <c r="AW308" s="17">
        <v>0</v>
      </c>
      <c r="AX308" s="4">
        <v>71.111111111111114</v>
      </c>
      <c r="AY308" s="4">
        <v>53.846153846153854</v>
      </c>
      <c r="BD308" s="159" t="e">
        <v>#N/A</v>
      </c>
      <c r="BE308" s="159" t="e">
        <v>#N/A</v>
      </c>
      <c r="BF308" s="159" t="e">
        <v>#N/A</v>
      </c>
      <c r="BG308" s="159" t="e">
        <v>#N/A</v>
      </c>
      <c r="BH308" s="14" t="e">
        <v>#N/A</v>
      </c>
      <c r="BI308" s="159" t="e">
        <v>#N/A</v>
      </c>
      <c r="BJ308" s="159" t="e">
        <v>#N/A</v>
      </c>
      <c r="BK308" s="14" t="e">
        <v>#N/A</v>
      </c>
      <c r="BL308" s="14" t="e">
        <v>#N/A</v>
      </c>
      <c r="BM308" s="14" t="e">
        <v>#N/A</v>
      </c>
      <c r="BN308" s="14" t="e">
        <v>#N/A</v>
      </c>
      <c r="BO308" s="14" t="e">
        <v>#N/A</v>
      </c>
      <c r="BP308" s="182" t="e">
        <v>#N/A</v>
      </c>
      <c r="BQ308" s="183" t="e">
        <v>#N/A</v>
      </c>
    </row>
    <row r="309" spans="2:69" x14ac:dyDescent="0.35">
      <c r="B309" s="1">
        <v>0</v>
      </c>
      <c r="C309">
        <v>0</v>
      </c>
      <c r="D309" s="113">
        <v>0</v>
      </c>
      <c r="E309" s="113">
        <v>0</v>
      </c>
      <c r="F309" s="113">
        <v>0</v>
      </c>
      <c r="G309" s="113">
        <v>0</v>
      </c>
      <c r="H309">
        <v>0</v>
      </c>
      <c r="I309" s="175">
        <v>0</v>
      </c>
      <c r="J309" s="113">
        <v>0</v>
      </c>
      <c r="K309">
        <v>0</v>
      </c>
      <c r="L309">
        <v>0</v>
      </c>
      <c r="M309">
        <v>0</v>
      </c>
      <c r="N309">
        <v>0</v>
      </c>
      <c r="O309" s="1">
        <v>0</v>
      </c>
      <c r="P309" s="138">
        <v>0</v>
      </c>
      <c r="Q309" s="1">
        <v>0</v>
      </c>
      <c r="R309" s="95">
        <f>CHOOSE($D$4,D309,E309,F309,G309,H309,I309,J309,K309,L309,M309,N309,O309,P309,101-B309)+0.000001*ROWS($A$20:A309)</f>
        <v>2.9E-4</v>
      </c>
      <c r="S309" s="4">
        <f t="shared" si="36"/>
        <v>323</v>
      </c>
      <c r="T309" s="4"/>
      <c r="U309" s="14">
        <f>ROWS($U$20:U309)</f>
        <v>290</v>
      </c>
      <c r="V309" s="4">
        <v>0</v>
      </c>
      <c r="W309" s="4">
        <v>0</v>
      </c>
      <c r="X309" s="94">
        <v>0</v>
      </c>
      <c r="Y309" s="94">
        <v>0</v>
      </c>
      <c r="Z309" s="94">
        <v>0</v>
      </c>
      <c r="AA309" s="94">
        <v>0</v>
      </c>
      <c r="AB309" s="4">
        <v>0</v>
      </c>
      <c r="AC309" s="94">
        <v>0</v>
      </c>
      <c r="AD309" s="94">
        <v>0</v>
      </c>
      <c r="AE309" s="4">
        <v>0</v>
      </c>
      <c r="AF309" s="4">
        <v>0</v>
      </c>
      <c r="AG309" s="4">
        <v>0</v>
      </c>
      <c r="AH309" s="4">
        <v>0</v>
      </c>
      <c r="AI309" s="4">
        <v>0</v>
      </c>
      <c r="AJ309" s="139">
        <v>0</v>
      </c>
      <c r="AK309" s="94">
        <v>0</v>
      </c>
      <c r="AL309" s="162">
        <v>0</v>
      </c>
      <c r="AM309" s="162">
        <v>0</v>
      </c>
      <c r="AN309" s="162">
        <v>0</v>
      </c>
      <c r="AO309" s="162">
        <v>0</v>
      </c>
      <c r="AP309" s="17">
        <v>0</v>
      </c>
      <c r="AQ309" s="162">
        <v>0</v>
      </c>
      <c r="AR309" s="162">
        <v>0</v>
      </c>
      <c r="AS309" s="17" t="str">
        <v/>
      </c>
      <c r="AT309" s="17">
        <v>0</v>
      </c>
      <c r="AU309" s="17">
        <v>0</v>
      </c>
      <c r="AV309" s="17">
        <v>0</v>
      </c>
      <c r="AW309" s="17">
        <v>0</v>
      </c>
      <c r="AX309" s="4">
        <v>71.111111111111114</v>
      </c>
      <c r="AY309" s="4">
        <v>53.846153846153854</v>
      </c>
      <c r="BD309" s="159" t="e">
        <v>#N/A</v>
      </c>
      <c r="BE309" s="159" t="e">
        <v>#N/A</v>
      </c>
      <c r="BF309" s="159" t="e">
        <v>#N/A</v>
      </c>
      <c r="BG309" s="159" t="e">
        <v>#N/A</v>
      </c>
      <c r="BH309" s="14" t="e">
        <v>#N/A</v>
      </c>
      <c r="BI309" s="159" t="e">
        <v>#N/A</v>
      </c>
      <c r="BJ309" s="159" t="e">
        <v>#N/A</v>
      </c>
      <c r="BK309" s="14" t="e">
        <v>#N/A</v>
      </c>
      <c r="BL309" s="14" t="e">
        <v>#N/A</v>
      </c>
      <c r="BM309" s="14" t="e">
        <v>#N/A</v>
      </c>
      <c r="BN309" s="14" t="e">
        <v>#N/A</v>
      </c>
      <c r="BO309" s="14" t="e">
        <v>#N/A</v>
      </c>
      <c r="BP309" s="182" t="e">
        <v>#N/A</v>
      </c>
      <c r="BQ309" s="183" t="e">
        <v>#N/A</v>
      </c>
    </row>
    <row r="310" spans="2:69" x14ac:dyDescent="0.35">
      <c r="B310" s="1">
        <v>0</v>
      </c>
      <c r="C310">
        <v>0</v>
      </c>
      <c r="D310" s="113">
        <v>0</v>
      </c>
      <c r="E310" s="113">
        <v>0</v>
      </c>
      <c r="F310" s="113">
        <v>0</v>
      </c>
      <c r="G310" s="113">
        <v>0</v>
      </c>
      <c r="H310">
        <v>0</v>
      </c>
      <c r="I310" s="175">
        <v>0</v>
      </c>
      <c r="J310" s="113">
        <v>0</v>
      </c>
      <c r="K310">
        <v>0</v>
      </c>
      <c r="L310">
        <v>0</v>
      </c>
      <c r="M310">
        <v>0</v>
      </c>
      <c r="N310">
        <v>0</v>
      </c>
      <c r="O310" s="1">
        <v>0</v>
      </c>
      <c r="P310" s="138">
        <v>0</v>
      </c>
      <c r="Q310" s="1">
        <v>0</v>
      </c>
      <c r="R310" s="95">
        <f>CHOOSE($D$4,D310,E310,F310,G310,H310,I310,J310,K310,L310,M310,N310,O310,P310,101-B310)+0.000001*ROWS($A$20:A310)</f>
        <v>2.9099999999999997E-4</v>
      </c>
      <c r="S310" s="4">
        <f t="shared" si="36"/>
        <v>322</v>
      </c>
      <c r="T310" s="4"/>
      <c r="U310" s="14">
        <f>ROWS($U$20:U310)</f>
        <v>291</v>
      </c>
      <c r="V310" s="4">
        <v>0</v>
      </c>
      <c r="W310" s="4">
        <v>0</v>
      </c>
      <c r="X310" s="94">
        <v>0</v>
      </c>
      <c r="Y310" s="94">
        <v>0</v>
      </c>
      <c r="Z310" s="94">
        <v>0</v>
      </c>
      <c r="AA310" s="94">
        <v>0</v>
      </c>
      <c r="AB310" s="4">
        <v>0</v>
      </c>
      <c r="AC310" s="94">
        <v>0</v>
      </c>
      <c r="AD310" s="94">
        <v>0</v>
      </c>
      <c r="AE310" s="4">
        <v>0</v>
      </c>
      <c r="AF310" s="4">
        <v>0</v>
      </c>
      <c r="AG310" s="4">
        <v>0</v>
      </c>
      <c r="AH310" s="4">
        <v>0</v>
      </c>
      <c r="AI310" s="4">
        <v>0</v>
      </c>
      <c r="AJ310" s="139">
        <v>0</v>
      </c>
      <c r="AK310" s="94">
        <v>0</v>
      </c>
      <c r="AL310" s="162">
        <v>0</v>
      </c>
      <c r="AM310" s="162">
        <v>0</v>
      </c>
      <c r="AN310" s="162">
        <v>0</v>
      </c>
      <c r="AO310" s="162">
        <v>0</v>
      </c>
      <c r="AP310" s="17">
        <v>0</v>
      </c>
      <c r="AQ310" s="162">
        <v>0</v>
      </c>
      <c r="AR310" s="162">
        <v>0</v>
      </c>
      <c r="AS310" s="17" t="str">
        <v/>
      </c>
      <c r="AT310" s="17">
        <v>0</v>
      </c>
      <c r="AU310" s="17">
        <v>0</v>
      </c>
      <c r="AV310" s="17">
        <v>0</v>
      </c>
      <c r="AW310" s="17">
        <v>0</v>
      </c>
      <c r="AX310" s="4">
        <v>71.111111111111114</v>
      </c>
      <c r="AY310" s="4">
        <v>53.846153846153854</v>
      </c>
      <c r="BD310" s="159" t="e">
        <v>#N/A</v>
      </c>
      <c r="BE310" s="159" t="e">
        <v>#N/A</v>
      </c>
      <c r="BF310" s="159" t="e">
        <v>#N/A</v>
      </c>
      <c r="BG310" s="159" t="e">
        <v>#N/A</v>
      </c>
      <c r="BH310" s="14" t="e">
        <v>#N/A</v>
      </c>
      <c r="BI310" s="159" t="e">
        <v>#N/A</v>
      </c>
      <c r="BJ310" s="159" t="e">
        <v>#N/A</v>
      </c>
      <c r="BK310" s="14" t="e">
        <v>#N/A</v>
      </c>
      <c r="BL310" s="14" t="e">
        <v>#N/A</v>
      </c>
      <c r="BM310" s="14" t="e">
        <v>#N/A</v>
      </c>
      <c r="BN310" s="14" t="e">
        <v>#N/A</v>
      </c>
      <c r="BO310" s="14" t="e">
        <v>#N/A</v>
      </c>
      <c r="BP310" s="182" t="e">
        <v>#N/A</v>
      </c>
      <c r="BQ310" s="183" t="e">
        <v>#N/A</v>
      </c>
    </row>
    <row r="311" spans="2:69" x14ac:dyDescent="0.35">
      <c r="B311" s="1">
        <v>0</v>
      </c>
      <c r="C311">
        <v>0</v>
      </c>
      <c r="D311" s="113">
        <v>0</v>
      </c>
      <c r="E311" s="113">
        <v>0</v>
      </c>
      <c r="F311" s="113">
        <v>0</v>
      </c>
      <c r="G311" s="113">
        <v>0</v>
      </c>
      <c r="H311">
        <v>0</v>
      </c>
      <c r="I311" s="175">
        <v>0</v>
      </c>
      <c r="J311" s="113">
        <v>0</v>
      </c>
      <c r="K311">
        <v>0</v>
      </c>
      <c r="L311">
        <v>0</v>
      </c>
      <c r="M311">
        <v>0</v>
      </c>
      <c r="N311">
        <v>0</v>
      </c>
      <c r="O311" s="1">
        <v>0</v>
      </c>
      <c r="P311" s="138">
        <v>0</v>
      </c>
      <c r="Q311" s="1">
        <v>0</v>
      </c>
      <c r="R311" s="95">
        <f>CHOOSE($D$4,D311,E311,F311,G311,H311,I311,J311,K311,L311,M311,N311,O311,P311,101-B311)+0.000001*ROWS($A$20:A311)</f>
        <v>2.92E-4</v>
      </c>
      <c r="S311" s="4">
        <f t="shared" si="36"/>
        <v>321</v>
      </c>
      <c r="T311" s="4"/>
      <c r="U311" s="14">
        <f>ROWS($U$20:U311)</f>
        <v>292</v>
      </c>
      <c r="V311" s="4">
        <v>0</v>
      </c>
      <c r="W311" s="4">
        <v>0</v>
      </c>
      <c r="X311" s="94">
        <v>0</v>
      </c>
      <c r="Y311" s="94">
        <v>0</v>
      </c>
      <c r="Z311" s="94">
        <v>0</v>
      </c>
      <c r="AA311" s="94">
        <v>0</v>
      </c>
      <c r="AB311" s="4">
        <v>0</v>
      </c>
      <c r="AC311" s="94">
        <v>0</v>
      </c>
      <c r="AD311" s="94">
        <v>0</v>
      </c>
      <c r="AE311" s="4">
        <v>0</v>
      </c>
      <c r="AF311" s="4">
        <v>0</v>
      </c>
      <c r="AG311" s="4">
        <v>0</v>
      </c>
      <c r="AH311" s="4">
        <v>0</v>
      </c>
      <c r="AI311" s="4">
        <v>0</v>
      </c>
      <c r="AJ311" s="139">
        <v>0</v>
      </c>
      <c r="AK311" s="94">
        <v>0</v>
      </c>
      <c r="AL311" s="162">
        <v>0</v>
      </c>
      <c r="AM311" s="162">
        <v>0</v>
      </c>
      <c r="AN311" s="162">
        <v>0</v>
      </c>
      <c r="AO311" s="162">
        <v>0</v>
      </c>
      <c r="AP311" s="17">
        <v>0</v>
      </c>
      <c r="AQ311" s="162">
        <v>0</v>
      </c>
      <c r="AR311" s="162">
        <v>0</v>
      </c>
      <c r="AS311" s="17" t="str">
        <v/>
      </c>
      <c r="AT311" s="17">
        <v>0</v>
      </c>
      <c r="AU311" s="17">
        <v>0</v>
      </c>
      <c r="AV311" s="17">
        <v>0</v>
      </c>
      <c r="AW311" s="17">
        <v>0</v>
      </c>
      <c r="AX311" s="4">
        <v>71.111111111111114</v>
      </c>
      <c r="AY311" s="4">
        <v>53.846153846153854</v>
      </c>
      <c r="BD311" s="159" t="e">
        <v>#N/A</v>
      </c>
      <c r="BE311" s="159" t="e">
        <v>#N/A</v>
      </c>
      <c r="BF311" s="159" t="e">
        <v>#N/A</v>
      </c>
      <c r="BG311" s="159" t="e">
        <v>#N/A</v>
      </c>
      <c r="BH311" s="14" t="e">
        <v>#N/A</v>
      </c>
      <c r="BI311" s="159" t="e">
        <v>#N/A</v>
      </c>
      <c r="BJ311" s="159" t="e">
        <v>#N/A</v>
      </c>
      <c r="BK311" s="14" t="e">
        <v>#N/A</v>
      </c>
      <c r="BL311" s="14" t="e">
        <v>#N/A</v>
      </c>
      <c r="BM311" s="14" t="e">
        <v>#N/A</v>
      </c>
      <c r="BN311" s="14" t="e">
        <v>#N/A</v>
      </c>
      <c r="BO311" s="14" t="e">
        <v>#N/A</v>
      </c>
      <c r="BP311" s="182" t="e">
        <v>#N/A</v>
      </c>
      <c r="BQ311" s="183" t="e">
        <v>#N/A</v>
      </c>
    </row>
    <row r="312" spans="2:69" x14ac:dyDescent="0.35">
      <c r="B312" s="1">
        <v>0</v>
      </c>
      <c r="C312">
        <v>0</v>
      </c>
      <c r="D312" s="113">
        <v>0</v>
      </c>
      <c r="E312" s="113">
        <v>0</v>
      </c>
      <c r="F312" s="113">
        <v>0</v>
      </c>
      <c r="G312" s="113">
        <v>0</v>
      </c>
      <c r="H312">
        <v>0</v>
      </c>
      <c r="I312" s="175">
        <v>0</v>
      </c>
      <c r="J312" s="113">
        <v>0</v>
      </c>
      <c r="K312">
        <v>0</v>
      </c>
      <c r="L312">
        <v>0</v>
      </c>
      <c r="M312">
        <v>0</v>
      </c>
      <c r="N312">
        <v>0</v>
      </c>
      <c r="O312" s="1">
        <v>0</v>
      </c>
      <c r="P312" s="138">
        <v>0</v>
      </c>
      <c r="Q312" s="1">
        <v>0</v>
      </c>
      <c r="R312" s="95">
        <f>CHOOSE($D$4,D312,E312,F312,G312,H312,I312,J312,K312,L312,M312,N312,O312,P312,101-B312)+0.000001*ROWS($A$20:A312)</f>
        <v>2.9299999999999997E-4</v>
      </c>
      <c r="S312" s="4">
        <f t="shared" si="36"/>
        <v>320</v>
      </c>
      <c r="T312" s="4"/>
      <c r="U312" s="14">
        <f>ROWS($U$20:U312)</f>
        <v>293</v>
      </c>
      <c r="V312" s="4">
        <v>0</v>
      </c>
      <c r="W312" s="4">
        <v>0</v>
      </c>
      <c r="X312" s="94">
        <v>0</v>
      </c>
      <c r="Y312" s="94">
        <v>0</v>
      </c>
      <c r="Z312" s="94">
        <v>0</v>
      </c>
      <c r="AA312" s="94">
        <v>0</v>
      </c>
      <c r="AB312" s="4">
        <v>0</v>
      </c>
      <c r="AC312" s="94">
        <v>0</v>
      </c>
      <c r="AD312" s="94">
        <v>0</v>
      </c>
      <c r="AE312" s="4">
        <v>0</v>
      </c>
      <c r="AF312" s="4">
        <v>0</v>
      </c>
      <c r="AG312" s="4">
        <v>0</v>
      </c>
      <c r="AH312" s="4">
        <v>0</v>
      </c>
      <c r="AI312" s="4">
        <v>0</v>
      </c>
      <c r="AJ312" s="139">
        <v>0</v>
      </c>
      <c r="AK312" s="94">
        <v>0</v>
      </c>
      <c r="AL312" s="162">
        <v>0</v>
      </c>
      <c r="AM312" s="162">
        <v>0</v>
      </c>
      <c r="AN312" s="162">
        <v>0</v>
      </c>
      <c r="AO312" s="162">
        <v>0</v>
      </c>
      <c r="AP312" s="17">
        <v>0</v>
      </c>
      <c r="AQ312" s="162">
        <v>0</v>
      </c>
      <c r="AR312" s="162">
        <v>0</v>
      </c>
      <c r="AS312" s="17" t="str">
        <v/>
      </c>
      <c r="AT312" s="17">
        <v>0</v>
      </c>
      <c r="AU312" s="17">
        <v>0</v>
      </c>
      <c r="AV312" s="17">
        <v>0</v>
      </c>
      <c r="AW312" s="17">
        <v>0</v>
      </c>
      <c r="AX312" s="4">
        <v>71.111111111111114</v>
      </c>
      <c r="AY312" s="4">
        <v>53.846153846153854</v>
      </c>
      <c r="BD312" s="159" t="e">
        <v>#N/A</v>
      </c>
      <c r="BE312" s="159" t="e">
        <v>#N/A</v>
      </c>
      <c r="BF312" s="159" t="e">
        <v>#N/A</v>
      </c>
      <c r="BG312" s="159" t="e">
        <v>#N/A</v>
      </c>
      <c r="BH312" s="14" t="e">
        <v>#N/A</v>
      </c>
      <c r="BI312" s="159" t="e">
        <v>#N/A</v>
      </c>
      <c r="BJ312" s="159" t="e">
        <v>#N/A</v>
      </c>
      <c r="BK312" s="14" t="e">
        <v>#N/A</v>
      </c>
      <c r="BL312" s="14" t="e">
        <v>#N/A</v>
      </c>
      <c r="BM312" s="14" t="e">
        <v>#N/A</v>
      </c>
      <c r="BN312" s="14" t="e">
        <v>#N/A</v>
      </c>
      <c r="BO312" s="14" t="e">
        <v>#N/A</v>
      </c>
      <c r="BP312" s="182" t="e">
        <v>#N/A</v>
      </c>
      <c r="BQ312" s="183" t="e">
        <v>#N/A</v>
      </c>
    </row>
    <row r="313" spans="2:69" x14ac:dyDescent="0.35">
      <c r="B313" s="1">
        <v>0</v>
      </c>
      <c r="C313">
        <v>0</v>
      </c>
      <c r="D313" s="113">
        <v>0</v>
      </c>
      <c r="E313" s="113">
        <v>0</v>
      </c>
      <c r="F313" s="113">
        <v>0</v>
      </c>
      <c r="G313" s="113">
        <v>0</v>
      </c>
      <c r="H313">
        <v>0</v>
      </c>
      <c r="I313" s="175">
        <v>0</v>
      </c>
      <c r="J313" s="113">
        <v>0</v>
      </c>
      <c r="K313">
        <v>0</v>
      </c>
      <c r="L313">
        <v>0</v>
      </c>
      <c r="M313">
        <v>0</v>
      </c>
      <c r="N313">
        <v>0</v>
      </c>
      <c r="O313" s="1">
        <v>0</v>
      </c>
      <c r="P313" s="138">
        <v>0</v>
      </c>
      <c r="Q313" s="1">
        <v>0</v>
      </c>
      <c r="R313" s="95">
        <f>CHOOSE($D$4,D313,E313,F313,G313,H313,I313,J313,K313,L313,M313,N313,O313,P313,101-B313)+0.000001*ROWS($A$20:A313)</f>
        <v>2.9399999999999999E-4</v>
      </c>
      <c r="S313" s="4">
        <f t="shared" si="36"/>
        <v>319</v>
      </c>
      <c r="T313" s="4"/>
      <c r="U313" s="14">
        <f>ROWS($U$20:U313)</f>
        <v>294</v>
      </c>
      <c r="V313" s="4">
        <v>0</v>
      </c>
      <c r="W313" s="4">
        <v>0</v>
      </c>
      <c r="X313" s="94">
        <v>0</v>
      </c>
      <c r="Y313" s="94">
        <v>0</v>
      </c>
      <c r="Z313" s="94">
        <v>0</v>
      </c>
      <c r="AA313" s="94">
        <v>0</v>
      </c>
      <c r="AB313" s="4">
        <v>0</v>
      </c>
      <c r="AC313" s="94">
        <v>0</v>
      </c>
      <c r="AD313" s="94">
        <v>0</v>
      </c>
      <c r="AE313" s="4">
        <v>0</v>
      </c>
      <c r="AF313" s="4">
        <v>0</v>
      </c>
      <c r="AG313" s="4">
        <v>0</v>
      </c>
      <c r="AH313" s="4">
        <v>0</v>
      </c>
      <c r="AI313" s="4">
        <v>0</v>
      </c>
      <c r="AJ313" s="139">
        <v>0</v>
      </c>
      <c r="AK313" s="94">
        <v>0</v>
      </c>
      <c r="AL313" s="162">
        <v>0</v>
      </c>
      <c r="AM313" s="162">
        <v>0</v>
      </c>
      <c r="AN313" s="162">
        <v>0</v>
      </c>
      <c r="AO313" s="162">
        <v>0</v>
      </c>
      <c r="AP313" s="17">
        <v>0</v>
      </c>
      <c r="AQ313" s="162">
        <v>0</v>
      </c>
      <c r="AR313" s="162">
        <v>0</v>
      </c>
      <c r="AS313" s="17" t="str">
        <v/>
      </c>
      <c r="AT313" s="17">
        <v>0</v>
      </c>
      <c r="AU313" s="17">
        <v>0</v>
      </c>
      <c r="AV313" s="17">
        <v>0</v>
      </c>
      <c r="AW313" s="17">
        <v>0</v>
      </c>
      <c r="AX313" s="4">
        <v>71.111111111111114</v>
      </c>
      <c r="AY313" s="4">
        <v>53.846153846153854</v>
      </c>
      <c r="BD313" s="159" t="e">
        <v>#N/A</v>
      </c>
      <c r="BE313" s="159" t="e">
        <v>#N/A</v>
      </c>
      <c r="BF313" s="159" t="e">
        <v>#N/A</v>
      </c>
      <c r="BG313" s="159" t="e">
        <v>#N/A</v>
      </c>
      <c r="BH313" s="14" t="e">
        <v>#N/A</v>
      </c>
      <c r="BI313" s="159" t="e">
        <v>#N/A</v>
      </c>
      <c r="BJ313" s="159" t="e">
        <v>#N/A</v>
      </c>
      <c r="BK313" s="14" t="e">
        <v>#N/A</v>
      </c>
      <c r="BL313" s="14" t="e">
        <v>#N/A</v>
      </c>
      <c r="BM313" s="14" t="e">
        <v>#N/A</v>
      </c>
      <c r="BN313" s="14" t="e">
        <v>#N/A</v>
      </c>
      <c r="BO313" s="14" t="e">
        <v>#N/A</v>
      </c>
      <c r="BP313" s="182" t="e">
        <v>#N/A</v>
      </c>
      <c r="BQ313" s="183" t="e">
        <v>#N/A</v>
      </c>
    </row>
    <row r="314" spans="2:69" x14ac:dyDescent="0.35">
      <c r="B314" s="1">
        <v>0</v>
      </c>
      <c r="C314">
        <v>0</v>
      </c>
      <c r="D314" s="113">
        <v>0</v>
      </c>
      <c r="E314" s="113">
        <v>0</v>
      </c>
      <c r="F314" s="113">
        <v>0</v>
      </c>
      <c r="G314" s="113">
        <v>0</v>
      </c>
      <c r="H314">
        <v>0</v>
      </c>
      <c r="I314" s="175">
        <v>0</v>
      </c>
      <c r="J314" s="113">
        <v>0</v>
      </c>
      <c r="K314">
        <v>0</v>
      </c>
      <c r="L314">
        <v>0</v>
      </c>
      <c r="M314">
        <v>0</v>
      </c>
      <c r="N314">
        <v>0</v>
      </c>
      <c r="O314" s="1">
        <v>0</v>
      </c>
      <c r="P314" s="138">
        <v>0</v>
      </c>
      <c r="Q314" s="1">
        <v>0</v>
      </c>
      <c r="R314" s="95">
        <f>CHOOSE($D$4,D314,E314,F314,G314,H314,I314,J314,K314,L314,M314,N314,O314,P314,101-B314)+0.000001*ROWS($A$20:A314)</f>
        <v>2.9499999999999996E-4</v>
      </c>
      <c r="S314" s="4">
        <f t="shared" si="36"/>
        <v>318</v>
      </c>
      <c r="T314" s="4"/>
      <c r="U314" s="14">
        <f>ROWS($U$20:U314)</f>
        <v>295</v>
      </c>
      <c r="V314" s="4">
        <v>0</v>
      </c>
      <c r="W314" s="4">
        <v>0</v>
      </c>
      <c r="X314" s="94">
        <v>0</v>
      </c>
      <c r="Y314" s="94">
        <v>0</v>
      </c>
      <c r="Z314" s="94">
        <v>0</v>
      </c>
      <c r="AA314" s="94">
        <v>0</v>
      </c>
      <c r="AB314" s="4">
        <v>0</v>
      </c>
      <c r="AC314" s="94">
        <v>0</v>
      </c>
      <c r="AD314" s="94">
        <v>0</v>
      </c>
      <c r="AE314" s="4">
        <v>0</v>
      </c>
      <c r="AF314" s="4">
        <v>0</v>
      </c>
      <c r="AG314" s="4">
        <v>0</v>
      </c>
      <c r="AH314" s="4">
        <v>0</v>
      </c>
      <c r="AI314" s="4">
        <v>0</v>
      </c>
      <c r="AJ314" s="139">
        <v>0</v>
      </c>
      <c r="AK314" s="94">
        <v>0</v>
      </c>
      <c r="AL314" s="162">
        <v>0</v>
      </c>
      <c r="AM314" s="162">
        <v>0</v>
      </c>
      <c r="AN314" s="162">
        <v>0</v>
      </c>
      <c r="AO314" s="162">
        <v>0</v>
      </c>
      <c r="AP314" s="17">
        <v>0</v>
      </c>
      <c r="AQ314" s="162">
        <v>0</v>
      </c>
      <c r="AR314" s="162">
        <v>0</v>
      </c>
      <c r="AS314" s="17" t="str">
        <v/>
      </c>
      <c r="AT314" s="17">
        <v>0</v>
      </c>
      <c r="AU314" s="17">
        <v>0</v>
      </c>
      <c r="AV314" s="17">
        <v>0</v>
      </c>
      <c r="AW314" s="17">
        <v>0</v>
      </c>
      <c r="AX314" s="4">
        <v>71.111111111111114</v>
      </c>
      <c r="AY314" s="4">
        <v>53.846153846153854</v>
      </c>
      <c r="BD314" s="159" t="e">
        <v>#N/A</v>
      </c>
      <c r="BE314" s="159" t="e">
        <v>#N/A</v>
      </c>
      <c r="BF314" s="159" t="e">
        <v>#N/A</v>
      </c>
      <c r="BG314" s="159" t="e">
        <v>#N/A</v>
      </c>
      <c r="BH314" s="14" t="e">
        <v>#N/A</v>
      </c>
      <c r="BI314" s="159" t="e">
        <v>#N/A</v>
      </c>
      <c r="BJ314" s="159" t="e">
        <v>#N/A</v>
      </c>
      <c r="BK314" s="14" t="e">
        <v>#N/A</v>
      </c>
      <c r="BL314" s="14" t="e">
        <v>#N/A</v>
      </c>
      <c r="BM314" s="14" t="e">
        <v>#N/A</v>
      </c>
      <c r="BN314" s="14" t="e">
        <v>#N/A</v>
      </c>
      <c r="BO314" s="14" t="e">
        <v>#N/A</v>
      </c>
      <c r="BP314" s="182" t="e">
        <v>#N/A</v>
      </c>
      <c r="BQ314" s="183" t="e">
        <v>#N/A</v>
      </c>
    </row>
    <row r="315" spans="2:69" x14ac:dyDescent="0.35">
      <c r="B315" s="1">
        <v>0</v>
      </c>
      <c r="C315">
        <v>0</v>
      </c>
      <c r="D315" s="113">
        <v>0</v>
      </c>
      <c r="E315" s="113">
        <v>0</v>
      </c>
      <c r="F315" s="113">
        <v>0</v>
      </c>
      <c r="G315" s="113">
        <v>0</v>
      </c>
      <c r="H315">
        <v>0</v>
      </c>
      <c r="I315" s="175">
        <v>0</v>
      </c>
      <c r="J315" s="113">
        <v>0</v>
      </c>
      <c r="K315">
        <v>0</v>
      </c>
      <c r="L315">
        <v>0</v>
      </c>
      <c r="M315">
        <v>0</v>
      </c>
      <c r="N315">
        <v>0</v>
      </c>
      <c r="O315" s="1">
        <v>0</v>
      </c>
      <c r="P315" s="138">
        <v>0</v>
      </c>
      <c r="Q315" s="1">
        <v>0</v>
      </c>
      <c r="R315" s="95">
        <f>CHOOSE($D$4,D315,E315,F315,G315,H315,I315,J315,K315,L315,M315,N315,O315,P315,101-B315)+0.000001*ROWS($A$20:A315)</f>
        <v>2.9599999999999998E-4</v>
      </c>
      <c r="S315" s="4">
        <f t="shared" si="36"/>
        <v>317</v>
      </c>
      <c r="T315" s="4"/>
      <c r="U315" s="14">
        <f>ROWS($U$20:U315)</f>
        <v>296</v>
      </c>
      <c r="V315" s="4">
        <v>0</v>
      </c>
      <c r="W315" s="4">
        <v>0</v>
      </c>
      <c r="X315" s="94">
        <v>0</v>
      </c>
      <c r="Y315" s="94">
        <v>0</v>
      </c>
      <c r="Z315" s="94">
        <v>0</v>
      </c>
      <c r="AA315" s="94">
        <v>0</v>
      </c>
      <c r="AB315" s="4">
        <v>0</v>
      </c>
      <c r="AC315" s="94">
        <v>0</v>
      </c>
      <c r="AD315" s="94">
        <v>0</v>
      </c>
      <c r="AE315" s="4">
        <v>0</v>
      </c>
      <c r="AF315" s="4">
        <v>0</v>
      </c>
      <c r="AG315" s="4">
        <v>0</v>
      </c>
      <c r="AH315" s="4">
        <v>0</v>
      </c>
      <c r="AI315" s="4">
        <v>0</v>
      </c>
      <c r="AJ315" s="139">
        <v>0</v>
      </c>
      <c r="AK315" s="94">
        <v>0</v>
      </c>
      <c r="AL315" s="162">
        <v>0</v>
      </c>
      <c r="AM315" s="162">
        <v>0</v>
      </c>
      <c r="AN315" s="162">
        <v>0</v>
      </c>
      <c r="AO315" s="162">
        <v>0</v>
      </c>
      <c r="AP315" s="17">
        <v>0</v>
      </c>
      <c r="AQ315" s="162">
        <v>0</v>
      </c>
      <c r="AR315" s="162">
        <v>0</v>
      </c>
      <c r="AS315" s="17" t="str">
        <v/>
      </c>
      <c r="AT315" s="17">
        <v>0</v>
      </c>
      <c r="AU315" s="17">
        <v>0</v>
      </c>
      <c r="AV315" s="17">
        <v>0</v>
      </c>
      <c r="AW315" s="17">
        <v>0</v>
      </c>
      <c r="AX315" s="4">
        <v>71.111111111111114</v>
      </c>
      <c r="AY315" s="4">
        <v>53.846153846153854</v>
      </c>
      <c r="BD315" s="159" t="e">
        <v>#N/A</v>
      </c>
      <c r="BE315" s="159" t="e">
        <v>#N/A</v>
      </c>
      <c r="BF315" s="159" t="e">
        <v>#N/A</v>
      </c>
      <c r="BG315" s="159" t="e">
        <v>#N/A</v>
      </c>
      <c r="BH315" s="14" t="e">
        <v>#N/A</v>
      </c>
      <c r="BI315" s="159" t="e">
        <v>#N/A</v>
      </c>
      <c r="BJ315" s="159" t="e">
        <v>#N/A</v>
      </c>
      <c r="BK315" s="14" t="e">
        <v>#N/A</v>
      </c>
      <c r="BL315" s="14" t="e">
        <v>#N/A</v>
      </c>
      <c r="BM315" s="14" t="e">
        <v>#N/A</v>
      </c>
      <c r="BN315" s="14" t="e">
        <v>#N/A</v>
      </c>
      <c r="BO315" s="14" t="e">
        <v>#N/A</v>
      </c>
      <c r="BP315" s="182" t="e">
        <v>#N/A</v>
      </c>
      <c r="BQ315" s="183" t="e">
        <v>#N/A</v>
      </c>
    </row>
    <row r="316" spans="2:69" x14ac:dyDescent="0.35">
      <c r="B316" s="1">
        <v>0</v>
      </c>
      <c r="C316">
        <v>0</v>
      </c>
      <c r="D316" s="113">
        <v>0</v>
      </c>
      <c r="E316" s="113">
        <v>0</v>
      </c>
      <c r="F316" s="113">
        <v>0</v>
      </c>
      <c r="G316" s="113">
        <v>0</v>
      </c>
      <c r="H316">
        <v>0</v>
      </c>
      <c r="I316" s="175">
        <v>0</v>
      </c>
      <c r="J316" s="113">
        <v>0</v>
      </c>
      <c r="K316">
        <v>0</v>
      </c>
      <c r="L316">
        <v>0</v>
      </c>
      <c r="M316">
        <v>0</v>
      </c>
      <c r="N316">
        <v>0</v>
      </c>
      <c r="O316" s="1">
        <v>0</v>
      </c>
      <c r="P316" s="138">
        <v>0</v>
      </c>
      <c r="Q316" s="1">
        <v>0</v>
      </c>
      <c r="R316" s="95">
        <f>CHOOSE($D$4,D316,E316,F316,G316,H316,I316,J316,K316,L316,M316,N316,O316,P316,101-B316)+0.000001*ROWS($A$20:A316)</f>
        <v>2.9700000000000001E-4</v>
      </c>
      <c r="S316" s="4">
        <f t="shared" si="36"/>
        <v>316</v>
      </c>
      <c r="T316" s="4"/>
      <c r="U316" s="14">
        <f>ROWS($U$20:U316)</f>
        <v>297</v>
      </c>
      <c r="V316" s="4">
        <v>0</v>
      </c>
      <c r="W316" s="4">
        <v>0</v>
      </c>
      <c r="X316" s="94">
        <v>0</v>
      </c>
      <c r="Y316" s="94">
        <v>0</v>
      </c>
      <c r="Z316" s="94">
        <v>0</v>
      </c>
      <c r="AA316" s="94">
        <v>0</v>
      </c>
      <c r="AB316" s="4">
        <v>0</v>
      </c>
      <c r="AC316" s="94">
        <v>0</v>
      </c>
      <c r="AD316" s="94">
        <v>0</v>
      </c>
      <c r="AE316" s="4">
        <v>0</v>
      </c>
      <c r="AF316" s="4">
        <v>0</v>
      </c>
      <c r="AG316" s="4">
        <v>0</v>
      </c>
      <c r="AH316" s="4">
        <v>0</v>
      </c>
      <c r="AI316" s="4">
        <v>0</v>
      </c>
      <c r="AJ316" s="139">
        <v>0</v>
      </c>
      <c r="AK316" s="94">
        <v>0</v>
      </c>
      <c r="AL316" s="162">
        <v>0</v>
      </c>
      <c r="AM316" s="162">
        <v>0</v>
      </c>
      <c r="AN316" s="162">
        <v>0</v>
      </c>
      <c r="AO316" s="162">
        <v>0</v>
      </c>
      <c r="AP316" s="17">
        <v>0</v>
      </c>
      <c r="AQ316" s="162">
        <v>0</v>
      </c>
      <c r="AR316" s="162">
        <v>0</v>
      </c>
      <c r="AS316" s="17" t="str">
        <v/>
      </c>
      <c r="AT316" s="17">
        <v>0</v>
      </c>
      <c r="AU316" s="17">
        <v>0</v>
      </c>
      <c r="AV316" s="17">
        <v>0</v>
      </c>
      <c r="AW316" s="17">
        <v>0</v>
      </c>
      <c r="AX316" s="4">
        <v>71.111111111111114</v>
      </c>
      <c r="AY316" s="4">
        <v>53.846153846153854</v>
      </c>
      <c r="BD316" s="159" t="e">
        <v>#N/A</v>
      </c>
      <c r="BE316" s="159" t="e">
        <v>#N/A</v>
      </c>
      <c r="BF316" s="159" t="e">
        <v>#N/A</v>
      </c>
      <c r="BG316" s="159" t="e">
        <v>#N/A</v>
      </c>
      <c r="BH316" s="14" t="e">
        <v>#N/A</v>
      </c>
      <c r="BI316" s="159" t="e">
        <v>#N/A</v>
      </c>
      <c r="BJ316" s="159" t="e">
        <v>#N/A</v>
      </c>
      <c r="BK316" s="14" t="e">
        <v>#N/A</v>
      </c>
      <c r="BL316" s="14" t="e">
        <v>#N/A</v>
      </c>
      <c r="BM316" s="14" t="e">
        <v>#N/A</v>
      </c>
      <c r="BN316" s="14" t="e">
        <v>#N/A</v>
      </c>
      <c r="BO316" s="14" t="e">
        <v>#N/A</v>
      </c>
      <c r="BP316" s="182" t="e">
        <v>#N/A</v>
      </c>
      <c r="BQ316" s="183" t="e">
        <v>#N/A</v>
      </c>
    </row>
    <row r="317" spans="2:69" x14ac:dyDescent="0.35">
      <c r="B317" s="1">
        <v>0</v>
      </c>
      <c r="C317">
        <v>0</v>
      </c>
      <c r="D317" s="113">
        <v>0</v>
      </c>
      <c r="E317" s="113">
        <v>0</v>
      </c>
      <c r="F317" s="113">
        <v>0</v>
      </c>
      <c r="G317" s="113">
        <v>0</v>
      </c>
      <c r="H317">
        <v>0</v>
      </c>
      <c r="I317" s="175">
        <v>0</v>
      </c>
      <c r="J317" s="113">
        <v>0</v>
      </c>
      <c r="K317">
        <v>0</v>
      </c>
      <c r="L317">
        <v>0</v>
      </c>
      <c r="M317">
        <v>0</v>
      </c>
      <c r="N317">
        <v>0</v>
      </c>
      <c r="O317" s="1">
        <v>0</v>
      </c>
      <c r="P317" s="138">
        <v>0</v>
      </c>
      <c r="Q317" s="1">
        <v>0</v>
      </c>
      <c r="R317" s="95">
        <f>CHOOSE($D$4,D317,E317,F317,G317,H317,I317,J317,K317,L317,M317,N317,O317,P317,101-B317)+0.000001*ROWS($A$20:A317)</f>
        <v>2.9799999999999998E-4</v>
      </c>
      <c r="S317" s="4">
        <f t="shared" si="36"/>
        <v>315</v>
      </c>
      <c r="T317" s="4"/>
      <c r="U317" s="14">
        <f>ROWS($U$20:U317)</f>
        <v>298</v>
      </c>
      <c r="V317" s="4">
        <v>0</v>
      </c>
      <c r="W317" s="4">
        <v>0</v>
      </c>
      <c r="X317" s="94">
        <v>0</v>
      </c>
      <c r="Y317" s="94">
        <v>0</v>
      </c>
      <c r="Z317" s="94">
        <v>0</v>
      </c>
      <c r="AA317" s="94">
        <v>0</v>
      </c>
      <c r="AB317" s="4">
        <v>0</v>
      </c>
      <c r="AC317" s="94">
        <v>0</v>
      </c>
      <c r="AD317" s="94">
        <v>0</v>
      </c>
      <c r="AE317" s="4">
        <v>0</v>
      </c>
      <c r="AF317" s="4">
        <v>0</v>
      </c>
      <c r="AG317" s="4">
        <v>0</v>
      </c>
      <c r="AH317" s="4">
        <v>0</v>
      </c>
      <c r="AI317" s="4">
        <v>0</v>
      </c>
      <c r="AJ317" s="139">
        <v>0</v>
      </c>
      <c r="AK317" s="94">
        <v>0</v>
      </c>
      <c r="AL317" s="162">
        <v>0</v>
      </c>
      <c r="AM317" s="162">
        <v>0</v>
      </c>
      <c r="AN317" s="162">
        <v>0</v>
      </c>
      <c r="AO317" s="162">
        <v>0</v>
      </c>
      <c r="AP317" s="17">
        <v>0</v>
      </c>
      <c r="AQ317" s="162">
        <v>0</v>
      </c>
      <c r="AR317" s="162">
        <v>0</v>
      </c>
      <c r="AS317" s="17" t="str">
        <v/>
      </c>
      <c r="AT317" s="17">
        <v>0</v>
      </c>
      <c r="AU317" s="17">
        <v>0</v>
      </c>
      <c r="AV317" s="17">
        <v>0</v>
      </c>
      <c r="AW317" s="17">
        <v>0</v>
      </c>
      <c r="AX317" s="4">
        <v>71.111111111111114</v>
      </c>
      <c r="AY317" s="4">
        <v>53.846153846153854</v>
      </c>
      <c r="BD317" s="159" t="e">
        <v>#N/A</v>
      </c>
      <c r="BE317" s="159" t="e">
        <v>#N/A</v>
      </c>
      <c r="BF317" s="159" t="e">
        <v>#N/A</v>
      </c>
      <c r="BG317" s="159" t="e">
        <v>#N/A</v>
      </c>
      <c r="BH317" s="14" t="e">
        <v>#N/A</v>
      </c>
      <c r="BI317" s="159" t="e">
        <v>#N/A</v>
      </c>
      <c r="BJ317" s="159" t="e">
        <v>#N/A</v>
      </c>
      <c r="BK317" s="14" t="e">
        <v>#N/A</v>
      </c>
      <c r="BL317" s="14" t="e">
        <v>#N/A</v>
      </c>
      <c r="BM317" s="14" t="e">
        <v>#N/A</v>
      </c>
      <c r="BN317" s="14" t="e">
        <v>#N/A</v>
      </c>
      <c r="BO317" s="14" t="e">
        <v>#N/A</v>
      </c>
      <c r="BP317" s="182" t="e">
        <v>#N/A</v>
      </c>
      <c r="BQ317" s="183" t="e">
        <v>#N/A</v>
      </c>
    </row>
    <row r="318" spans="2:69" x14ac:dyDescent="0.35">
      <c r="B318" s="1">
        <v>0</v>
      </c>
      <c r="C318">
        <v>0</v>
      </c>
      <c r="D318" s="113">
        <v>0</v>
      </c>
      <c r="E318" s="113">
        <v>0</v>
      </c>
      <c r="F318" s="113">
        <v>0</v>
      </c>
      <c r="G318" s="113">
        <v>0</v>
      </c>
      <c r="H318">
        <v>0</v>
      </c>
      <c r="I318" s="175">
        <v>0</v>
      </c>
      <c r="J318" s="113">
        <v>0</v>
      </c>
      <c r="K318">
        <v>0</v>
      </c>
      <c r="L318">
        <v>0</v>
      </c>
      <c r="M318">
        <v>0</v>
      </c>
      <c r="N318">
        <v>0</v>
      </c>
      <c r="O318" s="1">
        <v>0</v>
      </c>
      <c r="P318" s="138">
        <v>0</v>
      </c>
      <c r="Q318" s="1">
        <v>0</v>
      </c>
      <c r="R318" s="95">
        <f>CHOOSE($D$4,D318,E318,F318,G318,H318,I318,J318,K318,L318,M318,N318,O318,P318,101-B318)+0.000001*ROWS($A$20:A318)</f>
        <v>2.99E-4</v>
      </c>
      <c r="S318" s="4">
        <f t="shared" si="36"/>
        <v>314</v>
      </c>
      <c r="T318" s="4"/>
      <c r="U318" s="14">
        <f>ROWS($U$20:U318)</f>
        <v>299</v>
      </c>
      <c r="V318" s="4">
        <v>0</v>
      </c>
      <c r="W318" s="4">
        <v>0</v>
      </c>
      <c r="X318" s="94">
        <v>0</v>
      </c>
      <c r="Y318" s="94">
        <v>0</v>
      </c>
      <c r="Z318" s="94">
        <v>0</v>
      </c>
      <c r="AA318" s="94">
        <v>0</v>
      </c>
      <c r="AB318" s="4">
        <v>0</v>
      </c>
      <c r="AC318" s="94">
        <v>0</v>
      </c>
      <c r="AD318" s="94">
        <v>0</v>
      </c>
      <c r="AE318" s="4">
        <v>0</v>
      </c>
      <c r="AF318" s="4">
        <v>0</v>
      </c>
      <c r="AG318" s="4">
        <v>0</v>
      </c>
      <c r="AH318" s="4">
        <v>0</v>
      </c>
      <c r="AI318" s="4">
        <v>0</v>
      </c>
      <c r="AJ318" s="139">
        <v>0</v>
      </c>
      <c r="AK318" s="94">
        <v>0</v>
      </c>
      <c r="AL318" s="162">
        <v>0</v>
      </c>
      <c r="AM318" s="162">
        <v>0</v>
      </c>
      <c r="AN318" s="162">
        <v>0</v>
      </c>
      <c r="AO318" s="162">
        <v>0</v>
      </c>
      <c r="AP318" s="17">
        <v>0</v>
      </c>
      <c r="AQ318" s="162">
        <v>0</v>
      </c>
      <c r="AR318" s="162">
        <v>0</v>
      </c>
      <c r="AS318" s="17" t="str">
        <v/>
      </c>
      <c r="AT318" s="17">
        <v>0</v>
      </c>
      <c r="AU318" s="17">
        <v>0</v>
      </c>
      <c r="AV318" s="17">
        <v>0</v>
      </c>
      <c r="AW318" s="17">
        <v>0</v>
      </c>
      <c r="AX318" s="4">
        <v>71.111111111111114</v>
      </c>
      <c r="AY318" s="4">
        <v>53.846153846153854</v>
      </c>
      <c r="BD318" s="159" t="e">
        <v>#N/A</v>
      </c>
      <c r="BE318" s="159" t="e">
        <v>#N/A</v>
      </c>
      <c r="BF318" s="159" t="e">
        <v>#N/A</v>
      </c>
      <c r="BG318" s="159" t="e">
        <v>#N/A</v>
      </c>
      <c r="BH318" s="14" t="e">
        <v>#N/A</v>
      </c>
      <c r="BI318" s="159" t="e">
        <v>#N/A</v>
      </c>
      <c r="BJ318" s="159" t="e">
        <v>#N/A</v>
      </c>
      <c r="BK318" s="14" t="e">
        <v>#N/A</v>
      </c>
      <c r="BL318" s="14" t="e">
        <v>#N/A</v>
      </c>
      <c r="BM318" s="14" t="e">
        <v>#N/A</v>
      </c>
      <c r="BN318" s="14" t="e">
        <v>#N/A</v>
      </c>
      <c r="BO318" s="14" t="e">
        <v>#N/A</v>
      </c>
      <c r="BP318" s="182" t="e">
        <v>#N/A</v>
      </c>
      <c r="BQ318" s="183" t="e">
        <v>#N/A</v>
      </c>
    </row>
    <row r="319" spans="2:69" x14ac:dyDescent="0.35">
      <c r="B319" s="1">
        <v>0</v>
      </c>
      <c r="C319">
        <v>0</v>
      </c>
      <c r="D319" s="113">
        <v>0</v>
      </c>
      <c r="E319" s="113">
        <v>0</v>
      </c>
      <c r="F319" s="113">
        <v>0</v>
      </c>
      <c r="G319" s="113">
        <v>0</v>
      </c>
      <c r="H319">
        <v>0</v>
      </c>
      <c r="I319" s="175">
        <v>0</v>
      </c>
      <c r="J319" s="113">
        <v>0</v>
      </c>
      <c r="K319">
        <v>0</v>
      </c>
      <c r="L319">
        <v>0</v>
      </c>
      <c r="M319">
        <v>0</v>
      </c>
      <c r="N319">
        <v>0</v>
      </c>
      <c r="O319" s="1">
        <v>0</v>
      </c>
      <c r="P319" s="138">
        <v>0</v>
      </c>
      <c r="Q319" s="1">
        <v>0</v>
      </c>
      <c r="R319" s="95">
        <f>CHOOSE($D$4,D319,E319,F319,G319,H319,I319,J319,K319,L319,M319,N319,O319,P319,101-B319)+0.000001*ROWS($A$20:A319)</f>
        <v>2.9999999999999997E-4</v>
      </c>
      <c r="S319" s="4">
        <f t="shared" si="36"/>
        <v>313</v>
      </c>
      <c r="T319" s="4"/>
      <c r="U319" s="14">
        <f>ROWS($U$20:U319)</f>
        <v>300</v>
      </c>
      <c r="V319" s="4">
        <v>0</v>
      </c>
      <c r="W319" s="4">
        <v>0</v>
      </c>
      <c r="X319" s="94">
        <v>0</v>
      </c>
      <c r="Y319" s="94">
        <v>0</v>
      </c>
      <c r="Z319" s="94">
        <v>0</v>
      </c>
      <c r="AA319" s="94">
        <v>0</v>
      </c>
      <c r="AB319" s="4">
        <v>0</v>
      </c>
      <c r="AC319" s="94">
        <v>0</v>
      </c>
      <c r="AD319" s="94">
        <v>0</v>
      </c>
      <c r="AE319" s="4">
        <v>0</v>
      </c>
      <c r="AF319" s="4">
        <v>0</v>
      </c>
      <c r="AG319" s="4">
        <v>0</v>
      </c>
      <c r="AH319" s="4">
        <v>0</v>
      </c>
      <c r="AI319" s="4">
        <v>0</v>
      </c>
      <c r="AJ319" s="139">
        <v>0</v>
      </c>
      <c r="AK319" s="94">
        <v>0</v>
      </c>
      <c r="AL319" s="162">
        <v>0</v>
      </c>
      <c r="AM319" s="162">
        <v>0</v>
      </c>
      <c r="AN319" s="162">
        <v>0</v>
      </c>
      <c r="AO319" s="162">
        <v>0</v>
      </c>
      <c r="AP319" s="17">
        <v>0</v>
      </c>
      <c r="AQ319" s="162">
        <v>0</v>
      </c>
      <c r="AR319" s="162">
        <v>0</v>
      </c>
      <c r="AS319" s="17" t="str">
        <v/>
      </c>
      <c r="AT319" s="17">
        <v>0</v>
      </c>
      <c r="AU319" s="17">
        <v>0</v>
      </c>
      <c r="AV319" s="17">
        <v>0</v>
      </c>
      <c r="AW319" s="17">
        <v>0</v>
      </c>
      <c r="AX319" s="4">
        <v>71.111111111111114</v>
      </c>
      <c r="AY319" s="4">
        <v>53.846153846153854</v>
      </c>
      <c r="BD319" s="159" t="e">
        <v>#N/A</v>
      </c>
      <c r="BE319" s="159" t="e">
        <v>#N/A</v>
      </c>
      <c r="BF319" s="159" t="e">
        <v>#N/A</v>
      </c>
      <c r="BG319" s="159" t="e">
        <v>#N/A</v>
      </c>
      <c r="BH319" s="14" t="e">
        <v>#N/A</v>
      </c>
      <c r="BI319" s="159" t="e">
        <v>#N/A</v>
      </c>
      <c r="BJ319" s="159" t="e">
        <v>#N/A</v>
      </c>
      <c r="BK319" s="14" t="e">
        <v>#N/A</v>
      </c>
      <c r="BL319" s="14" t="e">
        <v>#N/A</v>
      </c>
      <c r="BM319" s="14" t="e">
        <v>#N/A</v>
      </c>
      <c r="BN319" s="14" t="e">
        <v>#N/A</v>
      </c>
      <c r="BO319" s="14" t="e">
        <v>#N/A</v>
      </c>
      <c r="BP319" s="182" t="e">
        <v>#N/A</v>
      </c>
      <c r="BQ319" s="183" t="e">
        <v>#N/A</v>
      </c>
    </row>
    <row r="320" spans="2:69" x14ac:dyDescent="0.35">
      <c r="B320" s="1">
        <v>0</v>
      </c>
      <c r="C320">
        <v>0</v>
      </c>
      <c r="D320" s="113">
        <v>0</v>
      </c>
      <c r="E320" s="113">
        <v>0</v>
      </c>
      <c r="F320" s="113">
        <v>0</v>
      </c>
      <c r="G320" s="113">
        <v>0</v>
      </c>
      <c r="H320">
        <v>0</v>
      </c>
      <c r="I320" s="175">
        <v>0</v>
      </c>
      <c r="J320" s="113">
        <v>0</v>
      </c>
      <c r="K320">
        <v>0</v>
      </c>
      <c r="L320">
        <v>0</v>
      </c>
      <c r="M320">
        <v>0</v>
      </c>
      <c r="N320">
        <v>0</v>
      </c>
      <c r="O320" s="1">
        <v>0</v>
      </c>
      <c r="P320" s="138">
        <v>0</v>
      </c>
      <c r="Q320" s="1">
        <v>0</v>
      </c>
      <c r="R320" s="95">
        <f>CHOOSE($D$4,D320,E320,F320,G320,H320,I320,J320,K320,L320,M320,N320,O320,P320,101-B320)+0.000001*ROWS($A$20:A320)</f>
        <v>3.01E-4</v>
      </c>
      <c r="S320" s="4">
        <f t="shared" si="36"/>
        <v>312</v>
      </c>
      <c r="T320" s="4"/>
      <c r="U320" s="14">
        <f>ROWS($U$20:U320)</f>
        <v>301</v>
      </c>
      <c r="V320" s="4">
        <v>0</v>
      </c>
      <c r="W320" s="4">
        <v>0</v>
      </c>
      <c r="X320" s="94">
        <v>0</v>
      </c>
      <c r="Y320" s="94">
        <v>0</v>
      </c>
      <c r="Z320" s="94">
        <v>0</v>
      </c>
      <c r="AA320" s="94">
        <v>0</v>
      </c>
      <c r="AB320" s="4">
        <v>0</v>
      </c>
      <c r="AC320" s="94">
        <v>0</v>
      </c>
      <c r="AD320" s="94">
        <v>0</v>
      </c>
      <c r="AE320" s="4">
        <v>0</v>
      </c>
      <c r="AF320" s="4">
        <v>0</v>
      </c>
      <c r="AG320" s="4">
        <v>0</v>
      </c>
      <c r="AH320" s="4">
        <v>0</v>
      </c>
      <c r="AI320" s="4">
        <v>0</v>
      </c>
      <c r="AJ320" s="139">
        <v>0</v>
      </c>
      <c r="AK320" s="94">
        <v>0</v>
      </c>
      <c r="AL320" s="162">
        <v>0</v>
      </c>
      <c r="AM320" s="162">
        <v>0</v>
      </c>
      <c r="AN320" s="162">
        <v>0</v>
      </c>
      <c r="AO320" s="162">
        <v>0</v>
      </c>
      <c r="AP320" s="17">
        <v>0</v>
      </c>
      <c r="AQ320" s="162">
        <v>0</v>
      </c>
      <c r="AR320" s="162">
        <v>0</v>
      </c>
      <c r="AS320" s="17" t="str">
        <v/>
      </c>
      <c r="AT320" s="17">
        <v>0</v>
      </c>
      <c r="AU320" s="17">
        <v>0</v>
      </c>
      <c r="AV320" s="17">
        <v>0</v>
      </c>
      <c r="AW320" s="17">
        <v>0</v>
      </c>
      <c r="AX320" s="4">
        <v>71.111111111111114</v>
      </c>
      <c r="AY320" s="4">
        <v>53.846153846153854</v>
      </c>
      <c r="BD320" s="159" t="e">
        <v>#N/A</v>
      </c>
      <c r="BE320" s="159" t="e">
        <v>#N/A</v>
      </c>
      <c r="BF320" s="159" t="e">
        <v>#N/A</v>
      </c>
      <c r="BG320" s="159" t="e">
        <v>#N/A</v>
      </c>
      <c r="BH320" s="14" t="e">
        <v>#N/A</v>
      </c>
      <c r="BI320" s="159" t="e">
        <v>#N/A</v>
      </c>
      <c r="BJ320" s="159" t="e">
        <v>#N/A</v>
      </c>
      <c r="BK320" s="14" t="e">
        <v>#N/A</v>
      </c>
      <c r="BL320" s="14" t="e">
        <v>#N/A</v>
      </c>
      <c r="BM320" s="14" t="e">
        <v>#N/A</v>
      </c>
      <c r="BN320" s="14" t="e">
        <v>#N/A</v>
      </c>
      <c r="BO320" s="14" t="e">
        <v>#N/A</v>
      </c>
      <c r="BP320" s="182" t="e">
        <v>#N/A</v>
      </c>
      <c r="BQ320" s="183" t="e">
        <v>#N/A</v>
      </c>
    </row>
    <row r="321" spans="2:69" x14ac:dyDescent="0.35">
      <c r="B321" s="1">
        <v>0</v>
      </c>
      <c r="C321">
        <v>0</v>
      </c>
      <c r="D321" s="113">
        <v>0</v>
      </c>
      <c r="E321" s="113">
        <v>0</v>
      </c>
      <c r="F321" s="113">
        <v>0</v>
      </c>
      <c r="G321" s="113">
        <v>0</v>
      </c>
      <c r="H321">
        <v>0</v>
      </c>
      <c r="I321" s="175">
        <v>0</v>
      </c>
      <c r="J321" s="113">
        <v>0</v>
      </c>
      <c r="K321">
        <v>0</v>
      </c>
      <c r="L321">
        <v>0</v>
      </c>
      <c r="M321">
        <v>0</v>
      </c>
      <c r="N321">
        <v>0</v>
      </c>
      <c r="O321" s="1">
        <v>0</v>
      </c>
      <c r="P321" s="138">
        <v>0</v>
      </c>
      <c r="Q321" s="1">
        <v>0</v>
      </c>
      <c r="R321" s="95">
        <f>CHOOSE($D$4,D321,E321,F321,G321,H321,I321,J321,K321,L321,M321,N321,O321,P321,101-B321)+0.000001*ROWS($A$20:A321)</f>
        <v>3.0199999999999997E-4</v>
      </c>
      <c r="S321" s="4">
        <f t="shared" si="36"/>
        <v>311</v>
      </c>
      <c r="T321" s="4"/>
      <c r="U321" s="14">
        <f>ROWS($U$20:U321)</f>
        <v>302</v>
      </c>
      <c r="V321" s="4">
        <v>0</v>
      </c>
      <c r="W321" s="4">
        <v>0</v>
      </c>
      <c r="X321" s="94">
        <v>0</v>
      </c>
      <c r="Y321" s="94">
        <v>0</v>
      </c>
      <c r="Z321" s="94">
        <v>0</v>
      </c>
      <c r="AA321" s="94">
        <v>0</v>
      </c>
      <c r="AB321" s="4">
        <v>0</v>
      </c>
      <c r="AC321" s="94">
        <v>0</v>
      </c>
      <c r="AD321" s="94">
        <v>0</v>
      </c>
      <c r="AE321" s="4">
        <v>0</v>
      </c>
      <c r="AF321" s="4">
        <v>0</v>
      </c>
      <c r="AG321" s="4">
        <v>0</v>
      </c>
      <c r="AH321" s="4">
        <v>0</v>
      </c>
      <c r="AI321" s="4">
        <v>0</v>
      </c>
      <c r="AJ321" s="139">
        <v>0</v>
      </c>
      <c r="AK321" s="94">
        <v>0</v>
      </c>
      <c r="AL321" s="162">
        <v>0</v>
      </c>
      <c r="AM321" s="162">
        <v>0</v>
      </c>
      <c r="AN321" s="162">
        <v>0</v>
      </c>
      <c r="AO321" s="162">
        <v>0</v>
      </c>
      <c r="AP321" s="17">
        <v>0</v>
      </c>
      <c r="AQ321" s="162">
        <v>0</v>
      </c>
      <c r="AR321" s="162">
        <v>0</v>
      </c>
      <c r="AS321" s="17" t="str">
        <v/>
      </c>
      <c r="AT321" s="17">
        <v>0</v>
      </c>
      <c r="AU321" s="17">
        <v>0</v>
      </c>
      <c r="AV321" s="17">
        <v>0</v>
      </c>
      <c r="AW321" s="17">
        <v>0</v>
      </c>
      <c r="AX321" s="4">
        <v>71.111111111111114</v>
      </c>
      <c r="AY321" s="4">
        <v>53.846153846153854</v>
      </c>
      <c r="BD321" s="159" t="e">
        <v>#N/A</v>
      </c>
      <c r="BE321" s="159" t="e">
        <v>#N/A</v>
      </c>
      <c r="BF321" s="159" t="e">
        <v>#N/A</v>
      </c>
      <c r="BG321" s="159" t="e">
        <v>#N/A</v>
      </c>
      <c r="BH321" s="14" t="e">
        <v>#N/A</v>
      </c>
      <c r="BI321" s="159" t="e">
        <v>#N/A</v>
      </c>
      <c r="BJ321" s="159" t="e">
        <v>#N/A</v>
      </c>
      <c r="BK321" s="14" t="e">
        <v>#N/A</v>
      </c>
      <c r="BL321" s="14" t="e">
        <v>#N/A</v>
      </c>
      <c r="BM321" s="14" t="e">
        <v>#N/A</v>
      </c>
      <c r="BN321" s="14" t="e">
        <v>#N/A</v>
      </c>
      <c r="BO321" s="14" t="e">
        <v>#N/A</v>
      </c>
      <c r="BP321" s="182" t="e">
        <v>#N/A</v>
      </c>
      <c r="BQ321" s="183" t="e">
        <v>#N/A</v>
      </c>
    </row>
    <row r="322" spans="2:69" x14ac:dyDescent="0.35">
      <c r="B322" s="1">
        <v>0</v>
      </c>
      <c r="C322">
        <v>0</v>
      </c>
      <c r="D322" s="113">
        <v>0</v>
      </c>
      <c r="E322" s="113">
        <v>0</v>
      </c>
      <c r="F322" s="113">
        <v>0</v>
      </c>
      <c r="G322" s="113">
        <v>0</v>
      </c>
      <c r="H322">
        <v>0</v>
      </c>
      <c r="I322" s="175">
        <v>0</v>
      </c>
      <c r="J322" s="113">
        <v>0</v>
      </c>
      <c r="K322">
        <v>0</v>
      </c>
      <c r="L322">
        <v>0</v>
      </c>
      <c r="M322">
        <v>0</v>
      </c>
      <c r="N322">
        <v>0</v>
      </c>
      <c r="O322" s="1">
        <v>0</v>
      </c>
      <c r="P322" s="138">
        <v>0</v>
      </c>
      <c r="Q322" s="1">
        <v>0</v>
      </c>
      <c r="R322" s="95">
        <f>CHOOSE($D$4,D322,E322,F322,G322,H322,I322,J322,K322,L322,M322,N322,O322,P322,101-B322)+0.000001*ROWS($A$20:A322)</f>
        <v>3.0299999999999999E-4</v>
      </c>
      <c r="S322" s="4">
        <f t="shared" si="36"/>
        <v>310</v>
      </c>
      <c r="T322" s="4"/>
      <c r="U322" s="14">
        <f>ROWS($U$20:U322)</f>
        <v>303</v>
      </c>
      <c r="V322" s="4">
        <v>0</v>
      </c>
      <c r="W322" s="4">
        <v>0</v>
      </c>
      <c r="X322" s="94">
        <v>0</v>
      </c>
      <c r="Y322" s="94">
        <v>0</v>
      </c>
      <c r="Z322" s="94">
        <v>0</v>
      </c>
      <c r="AA322" s="94">
        <v>0</v>
      </c>
      <c r="AB322" s="4">
        <v>0</v>
      </c>
      <c r="AC322" s="94">
        <v>0</v>
      </c>
      <c r="AD322" s="94">
        <v>0</v>
      </c>
      <c r="AE322" s="4">
        <v>0</v>
      </c>
      <c r="AF322" s="4">
        <v>0</v>
      </c>
      <c r="AG322" s="4">
        <v>0</v>
      </c>
      <c r="AH322" s="4">
        <v>0</v>
      </c>
      <c r="AI322" s="4">
        <v>0</v>
      </c>
      <c r="AJ322" s="139">
        <v>0</v>
      </c>
      <c r="AK322" s="94">
        <v>0</v>
      </c>
      <c r="AL322" s="162">
        <v>0</v>
      </c>
      <c r="AM322" s="162">
        <v>0</v>
      </c>
      <c r="AN322" s="162">
        <v>0</v>
      </c>
      <c r="AO322" s="162">
        <v>0</v>
      </c>
      <c r="AP322" s="17">
        <v>0</v>
      </c>
      <c r="AQ322" s="162">
        <v>0</v>
      </c>
      <c r="AR322" s="162">
        <v>0</v>
      </c>
      <c r="AS322" s="17" t="str">
        <v/>
      </c>
      <c r="AT322" s="17">
        <v>0</v>
      </c>
      <c r="AU322" s="17">
        <v>0</v>
      </c>
      <c r="AV322" s="17">
        <v>0</v>
      </c>
      <c r="AW322" s="17">
        <v>0</v>
      </c>
      <c r="AX322" s="4">
        <v>71.111111111111114</v>
      </c>
      <c r="AY322" s="4">
        <v>53.846153846153854</v>
      </c>
      <c r="BD322" s="159" t="e">
        <v>#N/A</v>
      </c>
      <c r="BE322" s="159" t="e">
        <v>#N/A</v>
      </c>
      <c r="BF322" s="159" t="e">
        <v>#N/A</v>
      </c>
      <c r="BG322" s="159" t="e">
        <v>#N/A</v>
      </c>
      <c r="BH322" s="14" t="e">
        <v>#N/A</v>
      </c>
      <c r="BI322" s="159" t="e">
        <v>#N/A</v>
      </c>
      <c r="BJ322" s="159" t="e">
        <v>#N/A</v>
      </c>
      <c r="BK322" s="14" t="e">
        <v>#N/A</v>
      </c>
      <c r="BL322" s="14" t="e">
        <v>#N/A</v>
      </c>
      <c r="BM322" s="14" t="e">
        <v>#N/A</v>
      </c>
      <c r="BN322" s="14" t="e">
        <v>#N/A</v>
      </c>
      <c r="BO322" s="14" t="e">
        <v>#N/A</v>
      </c>
      <c r="BP322" s="182" t="e">
        <v>#N/A</v>
      </c>
      <c r="BQ322" s="183" t="e">
        <v>#N/A</v>
      </c>
    </row>
    <row r="323" spans="2:69" x14ac:dyDescent="0.35">
      <c r="B323" s="1">
        <v>0</v>
      </c>
      <c r="C323">
        <v>0</v>
      </c>
      <c r="D323" s="113">
        <v>0</v>
      </c>
      <c r="E323" s="113">
        <v>0</v>
      </c>
      <c r="F323" s="113">
        <v>0</v>
      </c>
      <c r="G323" s="113">
        <v>0</v>
      </c>
      <c r="H323">
        <v>0</v>
      </c>
      <c r="I323" s="175">
        <v>0</v>
      </c>
      <c r="J323" s="113">
        <v>0</v>
      </c>
      <c r="K323">
        <v>0</v>
      </c>
      <c r="L323">
        <v>0</v>
      </c>
      <c r="M323">
        <v>0</v>
      </c>
      <c r="N323">
        <v>0</v>
      </c>
      <c r="O323" s="1">
        <v>0</v>
      </c>
      <c r="P323" s="138">
        <v>0</v>
      </c>
      <c r="Q323" s="1">
        <v>0</v>
      </c>
      <c r="R323" s="95">
        <f>CHOOSE($D$4,D323,E323,F323,G323,H323,I323,J323,K323,L323,M323,N323,O323,P323,101-B323)+0.000001*ROWS($A$20:A323)</f>
        <v>3.0399999999999996E-4</v>
      </c>
      <c r="S323" s="4">
        <f t="shared" si="36"/>
        <v>309</v>
      </c>
      <c r="T323" s="4"/>
      <c r="U323" s="14">
        <f>ROWS($U$20:U323)</f>
        <v>304</v>
      </c>
      <c r="V323" s="4">
        <v>0</v>
      </c>
      <c r="W323" s="4">
        <v>0</v>
      </c>
      <c r="X323" s="94">
        <v>0</v>
      </c>
      <c r="Y323" s="94">
        <v>0</v>
      </c>
      <c r="Z323" s="94">
        <v>0</v>
      </c>
      <c r="AA323" s="94">
        <v>0</v>
      </c>
      <c r="AB323" s="4">
        <v>0</v>
      </c>
      <c r="AC323" s="94">
        <v>0</v>
      </c>
      <c r="AD323" s="94">
        <v>0</v>
      </c>
      <c r="AE323" s="4">
        <v>0</v>
      </c>
      <c r="AF323" s="4">
        <v>0</v>
      </c>
      <c r="AG323" s="4">
        <v>0</v>
      </c>
      <c r="AH323" s="4">
        <v>0</v>
      </c>
      <c r="AI323" s="4">
        <v>0</v>
      </c>
      <c r="AJ323" s="139">
        <v>0</v>
      </c>
      <c r="AK323" s="94">
        <v>0</v>
      </c>
      <c r="AL323" s="162">
        <v>0</v>
      </c>
      <c r="AM323" s="162">
        <v>0</v>
      </c>
      <c r="AN323" s="162">
        <v>0</v>
      </c>
      <c r="AO323" s="162">
        <v>0</v>
      </c>
      <c r="AP323" s="17">
        <v>0</v>
      </c>
      <c r="AQ323" s="162">
        <v>0</v>
      </c>
      <c r="AR323" s="162">
        <v>0</v>
      </c>
      <c r="AS323" s="17" t="str">
        <v/>
      </c>
      <c r="AT323" s="17">
        <v>0</v>
      </c>
      <c r="AU323" s="17">
        <v>0</v>
      </c>
      <c r="AV323" s="17">
        <v>0</v>
      </c>
      <c r="AW323" s="17">
        <v>0</v>
      </c>
      <c r="AX323" s="4">
        <v>71.111111111111114</v>
      </c>
      <c r="AY323" s="4">
        <v>53.846153846153854</v>
      </c>
      <c r="BD323" s="159" t="e">
        <v>#N/A</v>
      </c>
      <c r="BE323" s="159" t="e">
        <v>#N/A</v>
      </c>
      <c r="BF323" s="159" t="e">
        <v>#N/A</v>
      </c>
      <c r="BG323" s="159" t="e">
        <v>#N/A</v>
      </c>
      <c r="BH323" s="14" t="e">
        <v>#N/A</v>
      </c>
      <c r="BI323" s="159" t="e">
        <v>#N/A</v>
      </c>
      <c r="BJ323" s="159" t="e">
        <v>#N/A</v>
      </c>
      <c r="BK323" s="14" t="e">
        <v>#N/A</v>
      </c>
      <c r="BL323" s="14" t="e">
        <v>#N/A</v>
      </c>
      <c r="BM323" s="14" t="e">
        <v>#N/A</v>
      </c>
      <c r="BN323" s="14" t="e">
        <v>#N/A</v>
      </c>
      <c r="BO323" s="14" t="e">
        <v>#N/A</v>
      </c>
      <c r="BP323" s="182" t="e">
        <v>#N/A</v>
      </c>
      <c r="BQ323" s="183" t="e">
        <v>#N/A</v>
      </c>
    </row>
    <row r="324" spans="2:69" x14ac:dyDescent="0.35">
      <c r="B324" s="1">
        <v>0</v>
      </c>
      <c r="C324">
        <v>0</v>
      </c>
      <c r="D324" s="113">
        <v>0</v>
      </c>
      <c r="E324" s="113">
        <v>0</v>
      </c>
      <c r="F324" s="113">
        <v>0</v>
      </c>
      <c r="G324" s="113">
        <v>0</v>
      </c>
      <c r="H324">
        <v>0</v>
      </c>
      <c r="I324" s="175">
        <v>0</v>
      </c>
      <c r="J324" s="113">
        <v>0</v>
      </c>
      <c r="K324">
        <v>0</v>
      </c>
      <c r="L324">
        <v>0</v>
      </c>
      <c r="M324">
        <v>0</v>
      </c>
      <c r="N324">
        <v>0</v>
      </c>
      <c r="O324" s="1">
        <v>0</v>
      </c>
      <c r="P324" s="138">
        <v>0</v>
      </c>
      <c r="Q324" s="1">
        <v>0</v>
      </c>
      <c r="R324" s="95">
        <f>CHOOSE($D$4,D324,E324,F324,G324,H324,I324,J324,K324,L324,M324,N324,O324,P324,101-B324)+0.000001*ROWS($A$20:A324)</f>
        <v>3.0499999999999999E-4</v>
      </c>
      <c r="S324" s="4">
        <f t="shared" si="36"/>
        <v>308</v>
      </c>
      <c r="T324" s="4"/>
      <c r="U324" s="14">
        <f>ROWS($U$20:U324)</f>
        <v>305</v>
      </c>
      <c r="V324" s="4">
        <v>0</v>
      </c>
      <c r="W324" s="4">
        <v>0</v>
      </c>
      <c r="X324" s="94">
        <v>0</v>
      </c>
      <c r="Y324" s="94">
        <v>0</v>
      </c>
      <c r="Z324" s="94">
        <v>0</v>
      </c>
      <c r="AA324" s="94">
        <v>0</v>
      </c>
      <c r="AB324" s="4">
        <v>0</v>
      </c>
      <c r="AC324" s="94">
        <v>0</v>
      </c>
      <c r="AD324" s="94">
        <v>0</v>
      </c>
      <c r="AE324" s="4">
        <v>0</v>
      </c>
      <c r="AF324" s="4">
        <v>0</v>
      </c>
      <c r="AG324" s="4">
        <v>0</v>
      </c>
      <c r="AH324" s="4">
        <v>0</v>
      </c>
      <c r="AI324" s="4">
        <v>0</v>
      </c>
      <c r="AJ324" s="139">
        <v>0</v>
      </c>
      <c r="AK324" s="94">
        <v>0</v>
      </c>
      <c r="AL324" s="162">
        <v>0</v>
      </c>
      <c r="AM324" s="162">
        <v>0</v>
      </c>
      <c r="AN324" s="162">
        <v>0</v>
      </c>
      <c r="AO324" s="162">
        <v>0</v>
      </c>
      <c r="AP324" s="17">
        <v>0</v>
      </c>
      <c r="AQ324" s="162">
        <v>0</v>
      </c>
      <c r="AR324" s="162">
        <v>0</v>
      </c>
      <c r="AS324" s="17" t="str">
        <v/>
      </c>
      <c r="AT324" s="17">
        <v>0</v>
      </c>
      <c r="AU324" s="17">
        <v>0</v>
      </c>
      <c r="AV324" s="17">
        <v>0</v>
      </c>
      <c r="AW324" s="17">
        <v>0</v>
      </c>
      <c r="AX324" s="4">
        <v>71.111111111111114</v>
      </c>
      <c r="AY324" s="4">
        <v>53.846153846153854</v>
      </c>
      <c r="BD324" s="159" t="e">
        <v>#N/A</v>
      </c>
      <c r="BE324" s="159" t="e">
        <v>#N/A</v>
      </c>
      <c r="BF324" s="159" t="e">
        <v>#N/A</v>
      </c>
      <c r="BG324" s="159" t="e">
        <v>#N/A</v>
      </c>
      <c r="BH324" s="14" t="e">
        <v>#N/A</v>
      </c>
      <c r="BI324" s="159" t="e">
        <v>#N/A</v>
      </c>
      <c r="BJ324" s="159" t="e">
        <v>#N/A</v>
      </c>
      <c r="BK324" s="14" t="e">
        <v>#N/A</v>
      </c>
      <c r="BL324" s="14" t="e">
        <v>#N/A</v>
      </c>
      <c r="BM324" s="14" t="e">
        <v>#N/A</v>
      </c>
      <c r="BN324" s="14" t="e">
        <v>#N/A</v>
      </c>
      <c r="BO324" s="14" t="e">
        <v>#N/A</v>
      </c>
      <c r="BP324" s="182" t="e">
        <v>#N/A</v>
      </c>
      <c r="BQ324" s="183" t="e">
        <v>#N/A</v>
      </c>
    </row>
    <row r="325" spans="2:69" x14ac:dyDescent="0.35">
      <c r="B325" s="1">
        <v>0</v>
      </c>
      <c r="C325">
        <v>0</v>
      </c>
      <c r="D325" s="113">
        <v>0</v>
      </c>
      <c r="E325" s="113">
        <v>0</v>
      </c>
      <c r="F325" s="113">
        <v>0</v>
      </c>
      <c r="G325" s="113">
        <v>0</v>
      </c>
      <c r="H325">
        <v>0</v>
      </c>
      <c r="I325" s="175">
        <v>0</v>
      </c>
      <c r="J325" s="113">
        <v>0</v>
      </c>
      <c r="K325">
        <v>0</v>
      </c>
      <c r="L325">
        <v>0</v>
      </c>
      <c r="M325">
        <v>0</v>
      </c>
      <c r="N325">
        <v>0</v>
      </c>
      <c r="O325" s="1">
        <v>0</v>
      </c>
      <c r="P325" s="138">
        <v>0</v>
      </c>
      <c r="Q325" s="1">
        <v>0</v>
      </c>
      <c r="R325" s="95">
        <f>CHOOSE($D$4,D325,E325,F325,G325,H325,I325,J325,K325,L325,M325,N325,O325,P325,101-B325)+0.000001*ROWS($A$20:A325)</f>
        <v>3.0600000000000001E-4</v>
      </c>
      <c r="S325" s="4">
        <f t="shared" si="36"/>
        <v>307</v>
      </c>
      <c r="T325" s="4"/>
      <c r="U325" s="14">
        <f>ROWS($U$20:U325)</f>
        <v>306</v>
      </c>
      <c r="V325" s="4">
        <v>0</v>
      </c>
      <c r="W325" s="4">
        <v>0</v>
      </c>
      <c r="X325" s="94">
        <v>0</v>
      </c>
      <c r="Y325" s="94">
        <v>0</v>
      </c>
      <c r="Z325" s="94">
        <v>0</v>
      </c>
      <c r="AA325" s="94">
        <v>0</v>
      </c>
      <c r="AB325" s="4">
        <v>0</v>
      </c>
      <c r="AC325" s="94">
        <v>0</v>
      </c>
      <c r="AD325" s="94">
        <v>0</v>
      </c>
      <c r="AE325" s="4">
        <v>0</v>
      </c>
      <c r="AF325" s="4">
        <v>0</v>
      </c>
      <c r="AG325" s="4">
        <v>0</v>
      </c>
      <c r="AH325" s="4">
        <v>0</v>
      </c>
      <c r="AI325" s="4">
        <v>0</v>
      </c>
      <c r="AJ325" s="139">
        <v>0</v>
      </c>
      <c r="AK325" s="94">
        <v>0</v>
      </c>
      <c r="AL325" s="162">
        <v>0</v>
      </c>
      <c r="AM325" s="162">
        <v>0</v>
      </c>
      <c r="AN325" s="162">
        <v>0</v>
      </c>
      <c r="AO325" s="162">
        <v>0</v>
      </c>
      <c r="AP325" s="17">
        <v>0</v>
      </c>
      <c r="AQ325" s="162">
        <v>0</v>
      </c>
      <c r="AR325" s="162">
        <v>0</v>
      </c>
      <c r="AS325" s="17" t="str">
        <v/>
      </c>
      <c r="AT325" s="17">
        <v>0</v>
      </c>
      <c r="AU325" s="17">
        <v>0</v>
      </c>
      <c r="AV325" s="17">
        <v>0</v>
      </c>
      <c r="AW325" s="17">
        <v>0</v>
      </c>
      <c r="AX325" s="4">
        <v>71.111111111111114</v>
      </c>
      <c r="AY325" s="4">
        <v>53.846153846153854</v>
      </c>
      <c r="BD325" s="159" t="e">
        <v>#N/A</v>
      </c>
      <c r="BE325" s="159" t="e">
        <v>#N/A</v>
      </c>
      <c r="BF325" s="159" t="e">
        <v>#N/A</v>
      </c>
      <c r="BG325" s="159" t="e">
        <v>#N/A</v>
      </c>
      <c r="BH325" s="14" t="e">
        <v>#N/A</v>
      </c>
      <c r="BI325" s="159" t="e">
        <v>#N/A</v>
      </c>
      <c r="BJ325" s="159" t="e">
        <v>#N/A</v>
      </c>
      <c r="BK325" s="14" t="e">
        <v>#N/A</v>
      </c>
      <c r="BL325" s="14" t="e">
        <v>#N/A</v>
      </c>
      <c r="BM325" s="14" t="e">
        <v>#N/A</v>
      </c>
      <c r="BN325" s="14" t="e">
        <v>#N/A</v>
      </c>
      <c r="BO325" s="14" t="e">
        <v>#N/A</v>
      </c>
      <c r="BP325" s="182" t="e">
        <v>#N/A</v>
      </c>
      <c r="BQ325" s="183" t="e">
        <v>#N/A</v>
      </c>
    </row>
    <row r="326" spans="2:69" x14ac:dyDescent="0.35">
      <c r="B326" s="1">
        <v>0</v>
      </c>
      <c r="C326">
        <v>0</v>
      </c>
      <c r="D326" s="113">
        <v>0</v>
      </c>
      <c r="E326" s="113">
        <v>0</v>
      </c>
      <c r="F326" s="113">
        <v>0</v>
      </c>
      <c r="G326" s="113">
        <v>0</v>
      </c>
      <c r="H326">
        <v>0</v>
      </c>
      <c r="I326" s="175">
        <v>0</v>
      </c>
      <c r="J326" s="113">
        <v>0</v>
      </c>
      <c r="K326">
        <v>0</v>
      </c>
      <c r="L326">
        <v>0</v>
      </c>
      <c r="M326">
        <v>0</v>
      </c>
      <c r="N326">
        <v>0</v>
      </c>
      <c r="O326" s="1">
        <v>0</v>
      </c>
      <c r="P326" s="138">
        <v>0</v>
      </c>
      <c r="Q326" s="1">
        <v>0</v>
      </c>
      <c r="R326" s="95">
        <f>CHOOSE($D$4,D326,E326,F326,G326,H326,I326,J326,K326,L326,M326,N326,O326,P326,101-B326)+0.000001*ROWS($A$20:A326)</f>
        <v>3.0699999999999998E-4</v>
      </c>
      <c r="S326" s="4">
        <f t="shared" si="36"/>
        <v>306</v>
      </c>
      <c r="T326" s="4"/>
      <c r="U326" s="14">
        <f>ROWS($U$20:U326)</f>
        <v>307</v>
      </c>
      <c r="V326" s="4">
        <v>0</v>
      </c>
      <c r="W326" s="4">
        <v>0</v>
      </c>
      <c r="X326" s="94">
        <v>0</v>
      </c>
      <c r="Y326" s="94">
        <v>0</v>
      </c>
      <c r="Z326" s="94">
        <v>0</v>
      </c>
      <c r="AA326" s="94">
        <v>0</v>
      </c>
      <c r="AB326" s="4">
        <v>0</v>
      </c>
      <c r="AC326" s="94">
        <v>0</v>
      </c>
      <c r="AD326" s="94">
        <v>0</v>
      </c>
      <c r="AE326" s="4">
        <v>0</v>
      </c>
      <c r="AF326" s="4">
        <v>0</v>
      </c>
      <c r="AG326" s="4">
        <v>0</v>
      </c>
      <c r="AH326" s="4">
        <v>0</v>
      </c>
      <c r="AI326" s="4">
        <v>0</v>
      </c>
      <c r="AJ326" s="139">
        <v>0</v>
      </c>
      <c r="AK326" s="94">
        <v>0</v>
      </c>
      <c r="AL326" s="162">
        <v>0</v>
      </c>
      <c r="AM326" s="162">
        <v>0</v>
      </c>
      <c r="AN326" s="162">
        <v>0</v>
      </c>
      <c r="AO326" s="162">
        <v>0</v>
      </c>
      <c r="AP326" s="17">
        <v>0</v>
      </c>
      <c r="AQ326" s="162">
        <v>0</v>
      </c>
      <c r="AR326" s="162">
        <v>0</v>
      </c>
      <c r="AS326" s="17" t="str">
        <v/>
      </c>
      <c r="AT326" s="17">
        <v>0</v>
      </c>
      <c r="AU326" s="17">
        <v>0</v>
      </c>
      <c r="AV326" s="17">
        <v>0</v>
      </c>
      <c r="AW326" s="17">
        <v>0</v>
      </c>
      <c r="AX326" s="4">
        <v>71.111111111111114</v>
      </c>
      <c r="AY326" s="4">
        <v>53.846153846153854</v>
      </c>
      <c r="BD326" s="159" t="e">
        <v>#N/A</v>
      </c>
      <c r="BE326" s="159" t="e">
        <v>#N/A</v>
      </c>
      <c r="BF326" s="159" t="e">
        <v>#N/A</v>
      </c>
      <c r="BG326" s="159" t="e">
        <v>#N/A</v>
      </c>
      <c r="BH326" s="14" t="e">
        <v>#N/A</v>
      </c>
      <c r="BI326" s="159" t="e">
        <v>#N/A</v>
      </c>
      <c r="BJ326" s="159" t="e">
        <v>#N/A</v>
      </c>
      <c r="BK326" s="14" t="e">
        <v>#N/A</v>
      </c>
      <c r="BL326" s="14" t="e">
        <v>#N/A</v>
      </c>
      <c r="BM326" s="14" t="e">
        <v>#N/A</v>
      </c>
      <c r="BN326" s="14" t="e">
        <v>#N/A</v>
      </c>
      <c r="BO326" s="14" t="e">
        <v>#N/A</v>
      </c>
      <c r="BP326" s="182" t="e">
        <v>#N/A</v>
      </c>
      <c r="BQ326" s="183" t="e">
        <v>#N/A</v>
      </c>
    </row>
    <row r="327" spans="2:69" x14ac:dyDescent="0.35">
      <c r="B327" s="1">
        <v>0</v>
      </c>
      <c r="C327">
        <v>0</v>
      </c>
      <c r="D327" s="113">
        <v>0</v>
      </c>
      <c r="E327" s="113">
        <v>0</v>
      </c>
      <c r="F327" s="113">
        <v>0</v>
      </c>
      <c r="G327" s="113">
        <v>0</v>
      </c>
      <c r="H327">
        <v>0</v>
      </c>
      <c r="I327" s="175">
        <v>0</v>
      </c>
      <c r="J327" s="113">
        <v>0</v>
      </c>
      <c r="K327">
        <v>0</v>
      </c>
      <c r="L327">
        <v>0</v>
      </c>
      <c r="M327">
        <v>0</v>
      </c>
      <c r="N327">
        <v>0</v>
      </c>
      <c r="O327" s="1">
        <v>0</v>
      </c>
      <c r="P327" s="138">
        <v>0</v>
      </c>
      <c r="Q327" s="1">
        <v>0</v>
      </c>
      <c r="R327" s="95">
        <f>CHOOSE($D$4,D327,E327,F327,G327,H327,I327,J327,K327,L327,M327,N327,O327,P327,101-B327)+0.000001*ROWS($A$20:A327)</f>
        <v>3.0800000000000001E-4</v>
      </c>
      <c r="S327" s="4">
        <f t="shared" si="36"/>
        <v>305</v>
      </c>
      <c r="T327" s="4"/>
      <c r="U327" s="14">
        <f>ROWS($U$20:U327)</f>
        <v>308</v>
      </c>
      <c r="V327" s="4">
        <v>0</v>
      </c>
      <c r="W327" s="4">
        <v>0</v>
      </c>
      <c r="X327" s="94">
        <v>0</v>
      </c>
      <c r="Y327" s="94">
        <v>0</v>
      </c>
      <c r="Z327" s="94">
        <v>0</v>
      </c>
      <c r="AA327" s="94">
        <v>0</v>
      </c>
      <c r="AB327" s="4">
        <v>0</v>
      </c>
      <c r="AC327" s="94">
        <v>0</v>
      </c>
      <c r="AD327" s="94">
        <v>0</v>
      </c>
      <c r="AE327" s="4">
        <v>0</v>
      </c>
      <c r="AF327" s="4">
        <v>0</v>
      </c>
      <c r="AG327" s="4">
        <v>0</v>
      </c>
      <c r="AH327" s="4">
        <v>0</v>
      </c>
      <c r="AI327" s="4">
        <v>0</v>
      </c>
      <c r="AJ327" s="139">
        <v>0</v>
      </c>
      <c r="AK327" s="94">
        <v>0</v>
      </c>
      <c r="AL327" s="162">
        <v>0</v>
      </c>
      <c r="AM327" s="162">
        <v>0</v>
      </c>
      <c r="AN327" s="162">
        <v>0</v>
      </c>
      <c r="AO327" s="162">
        <v>0</v>
      </c>
      <c r="AP327" s="17">
        <v>0</v>
      </c>
      <c r="AQ327" s="162">
        <v>0</v>
      </c>
      <c r="AR327" s="162">
        <v>0</v>
      </c>
      <c r="AS327" s="17" t="str">
        <v/>
      </c>
      <c r="AT327" s="17">
        <v>0</v>
      </c>
      <c r="AU327" s="17">
        <v>0</v>
      </c>
      <c r="AV327" s="17">
        <v>0</v>
      </c>
      <c r="AW327" s="17">
        <v>0</v>
      </c>
      <c r="AX327" s="4">
        <v>71.111111111111114</v>
      </c>
      <c r="AY327" s="4">
        <v>53.846153846153854</v>
      </c>
      <c r="BD327" s="159" t="e">
        <v>#N/A</v>
      </c>
      <c r="BE327" s="159" t="e">
        <v>#N/A</v>
      </c>
      <c r="BF327" s="159" t="e">
        <v>#N/A</v>
      </c>
      <c r="BG327" s="159" t="e">
        <v>#N/A</v>
      </c>
      <c r="BH327" s="14" t="e">
        <v>#N/A</v>
      </c>
      <c r="BI327" s="159" t="e">
        <v>#N/A</v>
      </c>
      <c r="BJ327" s="159" t="e">
        <v>#N/A</v>
      </c>
      <c r="BK327" s="14" t="e">
        <v>#N/A</v>
      </c>
      <c r="BL327" s="14" t="e">
        <v>#N/A</v>
      </c>
      <c r="BM327" s="14" t="e">
        <v>#N/A</v>
      </c>
      <c r="BN327" s="14" t="e">
        <v>#N/A</v>
      </c>
      <c r="BO327" s="14" t="e">
        <v>#N/A</v>
      </c>
      <c r="BP327" s="182" t="e">
        <v>#N/A</v>
      </c>
      <c r="BQ327" s="183" t="e">
        <v>#N/A</v>
      </c>
    </row>
    <row r="328" spans="2:69" x14ac:dyDescent="0.35">
      <c r="B328" s="1">
        <v>0</v>
      </c>
      <c r="C328">
        <v>0</v>
      </c>
      <c r="D328" s="113">
        <v>0</v>
      </c>
      <c r="E328" s="113">
        <v>0</v>
      </c>
      <c r="F328" s="113">
        <v>0</v>
      </c>
      <c r="G328" s="113">
        <v>0</v>
      </c>
      <c r="H328">
        <v>0</v>
      </c>
      <c r="I328" s="175">
        <v>0</v>
      </c>
      <c r="J328" s="113">
        <v>0</v>
      </c>
      <c r="K328">
        <v>0</v>
      </c>
      <c r="L328">
        <v>0</v>
      </c>
      <c r="M328">
        <v>0</v>
      </c>
      <c r="N328">
        <v>0</v>
      </c>
      <c r="O328" s="1">
        <v>0</v>
      </c>
      <c r="P328" s="138">
        <v>0</v>
      </c>
      <c r="Q328" s="1">
        <v>0</v>
      </c>
      <c r="R328" s="95">
        <f>CHOOSE($D$4,D328,E328,F328,G328,H328,I328,J328,K328,L328,M328,N328,O328,P328,101-B328)+0.000001*ROWS($A$20:A328)</f>
        <v>3.0899999999999998E-4</v>
      </c>
      <c r="S328" s="4">
        <f t="shared" si="36"/>
        <v>304</v>
      </c>
      <c r="T328" s="4"/>
      <c r="U328" s="14">
        <f>ROWS($U$20:U328)</f>
        <v>309</v>
      </c>
      <c r="V328" s="4">
        <v>0</v>
      </c>
      <c r="W328" s="4">
        <v>0</v>
      </c>
      <c r="X328" s="94">
        <v>0</v>
      </c>
      <c r="Y328" s="94">
        <v>0</v>
      </c>
      <c r="Z328" s="94">
        <v>0</v>
      </c>
      <c r="AA328" s="94">
        <v>0</v>
      </c>
      <c r="AB328" s="4">
        <v>0</v>
      </c>
      <c r="AC328" s="94">
        <v>0</v>
      </c>
      <c r="AD328" s="94">
        <v>0</v>
      </c>
      <c r="AE328" s="4">
        <v>0</v>
      </c>
      <c r="AF328" s="4">
        <v>0</v>
      </c>
      <c r="AG328" s="4">
        <v>0</v>
      </c>
      <c r="AH328" s="4">
        <v>0</v>
      </c>
      <c r="AI328" s="4">
        <v>0</v>
      </c>
      <c r="AJ328" s="139">
        <v>0</v>
      </c>
      <c r="AK328" s="94">
        <v>0</v>
      </c>
      <c r="AL328" s="162">
        <v>0</v>
      </c>
      <c r="AM328" s="162">
        <v>0</v>
      </c>
      <c r="AN328" s="162">
        <v>0</v>
      </c>
      <c r="AO328" s="162">
        <v>0</v>
      </c>
      <c r="AP328" s="17">
        <v>0</v>
      </c>
      <c r="AQ328" s="162">
        <v>0</v>
      </c>
      <c r="AR328" s="162">
        <v>0</v>
      </c>
      <c r="AS328" s="17" t="str">
        <v/>
      </c>
      <c r="AT328" s="17">
        <v>0</v>
      </c>
      <c r="AU328" s="17">
        <v>0</v>
      </c>
      <c r="AV328" s="17">
        <v>0</v>
      </c>
      <c r="AW328" s="17">
        <v>0</v>
      </c>
      <c r="AX328" s="4">
        <v>71.111111111111114</v>
      </c>
      <c r="AY328" s="4">
        <v>53.846153846153854</v>
      </c>
      <c r="BD328" s="159" t="e">
        <v>#N/A</v>
      </c>
      <c r="BE328" s="159" t="e">
        <v>#N/A</v>
      </c>
      <c r="BF328" s="159" t="e">
        <v>#N/A</v>
      </c>
      <c r="BG328" s="159" t="e">
        <v>#N/A</v>
      </c>
      <c r="BH328" s="14" t="e">
        <v>#N/A</v>
      </c>
      <c r="BI328" s="159" t="e">
        <v>#N/A</v>
      </c>
      <c r="BJ328" s="159" t="e">
        <v>#N/A</v>
      </c>
      <c r="BK328" s="14" t="e">
        <v>#N/A</v>
      </c>
      <c r="BL328" s="14" t="e">
        <v>#N/A</v>
      </c>
      <c r="BM328" s="14" t="e">
        <v>#N/A</v>
      </c>
      <c r="BN328" s="14" t="e">
        <v>#N/A</v>
      </c>
      <c r="BO328" s="14" t="e">
        <v>#N/A</v>
      </c>
      <c r="BP328" s="182" t="e">
        <v>#N/A</v>
      </c>
      <c r="BQ328" s="183" t="e">
        <v>#N/A</v>
      </c>
    </row>
    <row r="329" spans="2:69" x14ac:dyDescent="0.35">
      <c r="B329" s="1">
        <v>0</v>
      </c>
      <c r="C329">
        <v>0</v>
      </c>
      <c r="D329" s="113">
        <v>0</v>
      </c>
      <c r="E329" s="113">
        <v>0</v>
      </c>
      <c r="F329" s="113">
        <v>0</v>
      </c>
      <c r="G329" s="113">
        <v>0</v>
      </c>
      <c r="H329">
        <v>0</v>
      </c>
      <c r="I329" s="175">
        <v>0</v>
      </c>
      <c r="J329" s="113">
        <v>0</v>
      </c>
      <c r="K329">
        <v>0</v>
      </c>
      <c r="L329">
        <v>0</v>
      </c>
      <c r="M329">
        <v>0</v>
      </c>
      <c r="N329">
        <v>0</v>
      </c>
      <c r="O329" s="1">
        <v>0</v>
      </c>
      <c r="P329" s="138">
        <v>0</v>
      </c>
      <c r="Q329" s="1">
        <v>0</v>
      </c>
      <c r="R329" s="95">
        <f>CHOOSE($D$4,D329,E329,F329,G329,H329,I329,J329,K329,L329,M329,N329,O329,P329,101-B329)+0.000001*ROWS($A$20:A329)</f>
        <v>3.1E-4</v>
      </c>
      <c r="S329" s="4">
        <f t="shared" si="36"/>
        <v>303</v>
      </c>
      <c r="T329" s="4"/>
      <c r="U329" s="14">
        <f>ROWS($U$20:U329)</f>
        <v>310</v>
      </c>
      <c r="V329" s="4">
        <v>0</v>
      </c>
      <c r="W329" s="4">
        <v>0</v>
      </c>
      <c r="X329" s="94">
        <v>0</v>
      </c>
      <c r="Y329" s="94">
        <v>0</v>
      </c>
      <c r="Z329" s="94">
        <v>0</v>
      </c>
      <c r="AA329" s="94">
        <v>0</v>
      </c>
      <c r="AB329" s="4">
        <v>0</v>
      </c>
      <c r="AC329" s="94">
        <v>0</v>
      </c>
      <c r="AD329" s="94">
        <v>0</v>
      </c>
      <c r="AE329" s="4">
        <v>0</v>
      </c>
      <c r="AF329" s="4">
        <v>0</v>
      </c>
      <c r="AG329" s="4">
        <v>0</v>
      </c>
      <c r="AH329" s="4">
        <v>0</v>
      </c>
      <c r="AI329" s="4">
        <v>0</v>
      </c>
      <c r="AJ329" s="139">
        <v>0</v>
      </c>
      <c r="AK329" s="94">
        <v>0</v>
      </c>
      <c r="AL329" s="162">
        <v>0</v>
      </c>
      <c r="AM329" s="162">
        <v>0</v>
      </c>
      <c r="AN329" s="162">
        <v>0</v>
      </c>
      <c r="AO329" s="162">
        <v>0</v>
      </c>
      <c r="AP329" s="17">
        <v>0</v>
      </c>
      <c r="AQ329" s="162">
        <v>0</v>
      </c>
      <c r="AR329" s="162">
        <v>0</v>
      </c>
      <c r="AS329" s="17" t="str">
        <v/>
      </c>
      <c r="AT329" s="17">
        <v>0</v>
      </c>
      <c r="AU329" s="17">
        <v>0</v>
      </c>
      <c r="AV329" s="17">
        <v>0</v>
      </c>
      <c r="AW329" s="17">
        <v>0</v>
      </c>
      <c r="AX329" s="4">
        <v>71.111111111111114</v>
      </c>
      <c r="AY329" s="4">
        <v>53.846153846153854</v>
      </c>
      <c r="BD329" s="159" t="e">
        <v>#N/A</v>
      </c>
      <c r="BE329" s="159" t="e">
        <v>#N/A</v>
      </c>
      <c r="BF329" s="159" t="e">
        <v>#N/A</v>
      </c>
      <c r="BG329" s="159" t="e">
        <v>#N/A</v>
      </c>
      <c r="BH329" s="14" t="e">
        <v>#N/A</v>
      </c>
      <c r="BI329" s="159" t="e">
        <v>#N/A</v>
      </c>
      <c r="BJ329" s="159" t="e">
        <v>#N/A</v>
      </c>
      <c r="BK329" s="14" t="e">
        <v>#N/A</v>
      </c>
      <c r="BL329" s="14" t="e">
        <v>#N/A</v>
      </c>
      <c r="BM329" s="14" t="e">
        <v>#N/A</v>
      </c>
      <c r="BN329" s="14" t="e">
        <v>#N/A</v>
      </c>
      <c r="BO329" s="14" t="e">
        <v>#N/A</v>
      </c>
      <c r="BP329" s="182" t="e">
        <v>#N/A</v>
      </c>
      <c r="BQ329" s="183" t="e">
        <v>#N/A</v>
      </c>
    </row>
    <row r="330" spans="2:69" x14ac:dyDescent="0.35">
      <c r="B330" s="1">
        <v>0</v>
      </c>
      <c r="C330">
        <v>0</v>
      </c>
      <c r="D330" s="113">
        <v>0</v>
      </c>
      <c r="E330" s="113">
        <v>0</v>
      </c>
      <c r="F330" s="113">
        <v>0</v>
      </c>
      <c r="G330" s="113">
        <v>0</v>
      </c>
      <c r="H330">
        <v>0</v>
      </c>
      <c r="I330" s="175">
        <v>0</v>
      </c>
      <c r="J330" s="113">
        <v>0</v>
      </c>
      <c r="K330">
        <v>0</v>
      </c>
      <c r="L330">
        <v>0</v>
      </c>
      <c r="M330">
        <v>0</v>
      </c>
      <c r="N330">
        <v>0</v>
      </c>
      <c r="O330" s="1">
        <v>0</v>
      </c>
      <c r="P330" s="138">
        <v>0</v>
      </c>
      <c r="Q330" s="1">
        <v>0</v>
      </c>
      <c r="R330" s="95">
        <f>CHOOSE($D$4,D330,E330,F330,G330,H330,I330,J330,K330,L330,M330,N330,O330,P330,101-B330)+0.000001*ROWS($A$20:A330)</f>
        <v>3.1099999999999997E-4</v>
      </c>
      <c r="S330" s="4">
        <f t="shared" si="36"/>
        <v>302</v>
      </c>
      <c r="T330" s="4"/>
      <c r="U330" s="14">
        <f>ROWS($U$20:U330)</f>
        <v>311</v>
      </c>
      <c r="V330" s="4">
        <v>0</v>
      </c>
      <c r="W330" s="4">
        <v>0</v>
      </c>
      <c r="X330" s="94">
        <v>0</v>
      </c>
      <c r="Y330" s="94">
        <v>0</v>
      </c>
      <c r="Z330" s="94">
        <v>0</v>
      </c>
      <c r="AA330" s="94">
        <v>0</v>
      </c>
      <c r="AB330" s="4">
        <v>0</v>
      </c>
      <c r="AC330" s="94">
        <v>0</v>
      </c>
      <c r="AD330" s="94">
        <v>0</v>
      </c>
      <c r="AE330" s="4">
        <v>0</v>
      </c>
      <c r="AF330" s="4">
        <v>0</v>
      </c>
      <c r="AG330" s="4">
        <v>0</v>
      </c>
      <c r="AH330" s="4">
        <v>0</v>
      </c>
      <c r="AI330" s="4">
        <v>0</v>
      </c>
      <c r="AJ330" s="139">
        <v>0</v>
      </c>
      <c r="AK330" s="94">
        <v>0</v>
      </c>
      <c r="AL330" s="162">
        <v>0</v>
      </c>
      <c r="AM330" s="162">
        <v>0</v>
      </c>
      <c r="AN330" s="162">
        <v>0</v>
      </c>
      <c r="AO330" s="162">
        <v>0</v>
      </c>
      <c r="AP330" s="17">
        <v>0</v>
      </c>
      <c r="AQ330" s="162">
        <v>0</v>
      </c>
      <c r="AR330" s="162">
        <v>0</v>
      </c>
      <c r="AS330" s="17" t="str">
        <v/>
      </c>
      <c r="AT330" s="17">
        <v>0</v>
      </c>
      <c r="AU330" s="17">
        <v>0</v>
      </c>
      <c r="AV330" s="17">
        <v>0</v>
      </c>
      <c r="AW330" s="17">
        <v>0</v>
      </c>
      <c r="AX330" s="4">
        <v>71.111111111111114</v>
      </c>
      <c r="AY330" s="4">
        <v>53.846153846153854</v>
      </c>
      <c r="BD330" s="159" t="e">
        <v>#N/A</v>
      </c>
      <c r="BE330" s="159" t="e">
        <v>#N/A</v>
      </c>
      <c r="BF330" s="159" t="e">
        <v>#N/A</v>
      </c>
      <c r="BG330" s="159" t="e">
        <v>#N/A</v>
      </c>
      <c r="BH330" s="14" t="e">
        <v>#N/A</v>
      </c>
      <c r="BI330" s="159" t="e">
        <v>#N/A</v>
      </c>
      <c r="BJ330" s="159" t="e">
        <v>#N/A</v>
      </c>
      <c r="BK330" s="14" t="e">
        <v>#N/A</v>
      </c>
      <c r="BL330" s="14" t="e">
        <v>#N/A</v>
      </c>
      <c r="BM330" s="14" t="e">
        <v>#N/A</v>
      </c>
      <c r="BN330" s="14" t="e">
        <v>#N/A</v>
      </c>
      <c r="BO330" s="14" t="e">
        <v>#N/A</v>
      </c>
      <c r="BP330" s="182" t="e">
        <v>#N/A</v>
      </c>
      <c r="BQ330" s="183" t="e">
        <v>#N/A</v>
      </c>
    </row>
    <row r="331" spans="2:69" x14ac:dyDescent="0.35">
      <c r="B331" s="1">
        <v>0</v>
      </c>
      <c r="C331">
        <v>0</v>
      </c>
      <c r="D331" s="113">
        <v>0</v>
      </c>
      <c r="E331" s="113">
        <v>0</v>
      </c>
      <c r="F331" s="113">
        <v>0</v>
      </c>
      <c r="G331" s="113">
        <v>0</v>
      </c>
      <c r="H331">
        <v>0</v>
      </c>
      <c r="I331" s="175">
        <v>0</v>
      </c>
      <c r="J331" s="113">
        <v>0</v>
      </c>
      <c r="K331">
        <v>0</v>
      </c>
      <c r="L331">
        <v>0</v>
      </c>
      <c r="M331">
        <v>0</v>
      </c>
      <c r="N331">
        <v>0</v>
      </c>
      <c r="O331" s="1">
        <v>0</v>
      </c>
      <c r="P331" s="138">
        <v>0</v>
      </c>
      <c r="Q331" s="1">
        <v>0</v>
      </c>
      <c r="R331" s="95">
        <f>CHOOSE($D$4,D331,E331,F331,G331,H331,I331,J331,K331,L331,M331,N331,O331,P331,101-B331)+0.000001*ROWS($A$20:A331)</f>
        <v>3.1199999999999999E-4</v>
      </c>
      <c r="S331" s="4">
        <f t="shared" si="36"/>
        <v>301</v>
      </c>
      <c r="T331" s="4"/>
      <c r="U331" s="14">
        <f>ROWS($U$20:U331)</f>
        <v>312</v>
      </c>
      <c r="V331" s="4">
        <v>0</v>
      </c>
      <c r="W331" s="4">
        <v>0</v>
      </c>
      <c r="X331" s="94">
        <v>0</v>
      </c>
      <c r="Y331" s="94">
        <v>0</v>
      </c>
      <c r="Z331" s="94">
        <v>0</v>
      </c>
      <c r="AA331" s="94">
        <v>0</v>
      </c>
      <c r="AB331" s="4">
        <v>0</v>
      </c>
      <c r="AC331" s="94">
        <v>0</v>
      </c>
      <c r="AD331" s="94">
        <v>0</v>
      </c>
      <c r="AE331" s="4">
        <v>0</v>
      </c>
      <c r="AF331" s="4">
        <v>0</v>
      </c>
      <c r="AG331" s="4">
        <v>0</v>
      </c>
      <c r="AH331" s="4">
        <v>0</v>
      </c>
      <c r="AI331" s="4">
        <v>0</v>
      </c>
      <c r="AJ331" s="139">
        <v>0</v>
      </c>
      <c r="AK331" s="94">
        <v>0</v>
      </c>
      <c r="AL331" s="162">
        <v>0</v>
      </c>
      <c r="AM331" s="162">
        <v>0</v>
      </c>
      <c r="AN331" s="162">
        <v>0</v>
      </c>
      <c r="AO331" s="162">
        <v>0</v>
      </c>
      <c r="AP331" s="17">
        <v>0</v>
      </c>
      <c r="AQ331" s="162">
        <v>0</v>
      </c>
      <c r="AR331" s="162">
        <v>0</v>
      </c>
      <c r="AS331" s="17" t="str">
        <v/>
      </c>
      <c r="AT331" s="17">
        <v>0</v>
      </c>
      <c r="AU331" s="17">
        <v>0</v>
      </c>
      <c r="AV331" s="17">
        <v>0</v>
      </c>
      <c r="AW331" s="17">
        <v>0</v>
      </c>
      <c r="AX331" s="4">
        <v>71.111111111111114</v>
      </c>
      <c r="AY331" s="4">
        <v>53.846153846153854</v>
      </c>
      <c r="BD331" s="159" t="e">
        <v>#N/A</v>
      </c>
      <c r="BE331" s="159" t="e">
        <v>#N/A</v>
      </c>
      <c r="BF331" s="159" t="e">
        <v>#N/A</v>
      </c>
      <c r="BG331" s="159" t="e">
        <v>#N/A</v>
      </c>
      <c r="BH331" s="14" t="e">
        <v>#N/A</v>
      </c>
      <c r="BI331" s="159" t="e">
        <v>#N/A</v>
      </c>
      <c r="BJ331" s="159" t="e">
        <v>#N/A</v>
      </c>
      <c r="BK331" s="14" t="e">
        <v>#N/A</v>
      </c>
      <c r="BL331" s="14" t="e">
        <v>#N/A</v>
      </c>
      <c r="BM331" s="14" t="e">
        <v>#N/A</v>
      </c>
      <c r="BN331" s="14" t="e">
        <v>#N/A</v>
      </c>
      <c r="BO331" s="14" t="e">
        <v>#N/A</v>
      </c>
      <c r="BP331" s="182" t="e">
        <v>#N/A</v>
      </c>
      <c r="BQ331" s="183" t="e">
        <v>#N/A</v>
      </c>
    </row>
    <row r="332" spans="2:69" x14ac:dyDescent="0.35">
      <c r="B332" s="1">
        <v>0</v>
      </c>
      <c r="C332">
        <v>0</v>
      </c>
      <c r="D332" s="113">
        <v>0</v>
      </c>
      <c r="E332" s="113">
        <v>0</v>
      </c>
      <c r="F332" s="113">
        <v>0</v>
      </c>
      <c r="G332" s="113">
        <v>0</v>
      </c>
      <c r="H332">
        <v>0</v>
      </c>
      <c r="I332" s="175">
        <v>0</v>
      </c>
      <c r="J332" s="113">
        <v>0</v>
      </c>
      <c r="K332">
        <v>0</v>
      </c>
      <c r="L332">
        <v>0</v>
      </c>
      <c r="M332">
        <v>0</v>
      </c>
      <c r="N332">
        <v>0</v>
      </c>
      <c r="O332" s="1">
        <v>0</v>
      </c>
      <c r="P332" s="138">
        <v>0</v>
      </c>
      <c r="Q332" s="1">
        <v>0</v>
      </c>
      <c r="R332" s="95">
        <f>CHOOSE($D$4,D332,E332,F332,G332,H332,I332,J332,K332,L332,M332,N332,O332,P332,101-B332)+0.000001*ROWS($A$20:A332)</f>
        <v>3.1299999999999996E-4</v>
      </c>
      <c r="S332" s="4">
        <f t="shared" si="36"/>
        <v>300</v>
      </c>
      <c r="T332" s="4"/>
      <c r="U332" s="14">
        <f>ROWS($U$20:U332)</f>
        <v>313</v>
      </c>
      <c r="V332" s="4">
        <v>0</v>
      </c>
      <c r="W332" s="4">
        <v>0</v>
      </c>
      <c r="X332" s="94">
        <v>0</v>
      </c>
      <c r="Y332" s="94">
        <v>0</v>
      </c>
      <c r="Z332" s="94">
        <v>0</v>
      </c>
      <c r="AA332" s="94">
        <v>0</v>
      </c>
      <c r="AB332" s="4">
        <v>0</v>
      </c>
      <c r="AC332" s="94">
        <v>0</v>
      </c>
      <c r="AD332" s="94">
        <v>0</v>
      </c>
      <c r="AE332" s="4">
        <v>0</v>
      </c>
      <c r="AF332" s="4">
        <v>0</v>
      </c>
      <c r="AG332" s="4">
        <v>0</v>
      </c>
      <c r="AH332" s="4">
        <v>0</v>
      </c>
      <c r="AI332" s="4">
        <v>0</v>
      </c>
      <c r="AJ332" s="139">
        <v>0</v>
      </c>
      <c r="AK332" s="94">
        <v>0</v>
      </c>
      <c r="AL332" s="162">
        <v>0</v>
      </c>
      <c r="AM332" s="162">
        <v>0</v>
      </c>
      <c r="AN332" s="162">
        <v>0</v>
      </c>
      <c r="AO332" s="162">
        <v>0</v>
      </c>
      <c r="AP332" s="17">
        <v>0</v>
      </c>
      <c r="AQ332" s="162">
        <v>0</v>
      </c>
      <c r="AR332" s="162">
        <v>0</v>
      </c>
      <c r="AS332" s="17" t="str">
        <v/>
      </c>
      <c r="AT332" s="17">
        <v>0</v>
      </c>
      <c r="AU332" s="17">
        <v>0</v>
      </c>
      <c r="AV332" s="17">
        <v>0</v>
      </c>
      <c r="AW332" s="17">
        <v>0</v>
      </c>
      <c r="AX332" s="4">
        <v>71.111111111111114</v>
      </c>
      <c r="AY332" s="4">
        <v>53.846153846153854</v>
      </c>
      <c r="BD332" s="159" t="e">
        <v>#N/A</v>
      </c>
      <c r="BE332" s="159" t="e">
        <v>#N/A</v>
      </c>
      <c r="BF332" s="159" t="e">
        <v>#N/A</v>
      </c>
      <c r="BG332" s="159" t="e">
        <v>#N/A</v>
      </c>
      <c r="BH332" s="14" t="e">
        <v>#N/A</v>
      </c>
      <c r="BI332" s="159" t="e">
        <v>#N/A</v>
      </c>
      <c r="BJ332" s="159" t="e">
        <v>#N/A</v>
      </c>
      <c r="BK332" s="14" t="e">
        <v>#N/A</v>
      </c>
      <c r="BL332" s="14" t="e">
        <v>#N/A</v>
      </c>
      <c r="BM332" s="14" t="e">
        <v>#N/A</v>
      </c>
      <c r="BN332" s="14" t="e">
        <v>#N/A</v>
      </c>
      <c r="BO332" s="14" t="e">
        <v>#N/A</v>
      </c>
      <c r="BP332" s="182" t="e">
        <v>#N/A</v>
      </c>
      <c r="BQ332" s="183" t="e">
        <v>#N/A</v>
      </c>
    </row>
    <row r="333" spans="2:69" x14ac:dyDescent="0.35">
      <c r="B333" s="1">
        <v>0</v>
      </c>
      <c r="C333">
        <v>0</v>
      </c>
      <c r="D333" s="113">
        <v>0</v>
      </c>
      <c r="E333" s="113">
        <v>0</v>
      </c>
      <c r="F333" s="113">
        <v>0</v>
      </c>
      <c r="G333" s="113">
        <v>0</v>
      </c>
      <c r="H333">
        <v>0</v>
      </c>
      <c r="I333" s="175">
        <v>0</v>
      </c>
      <c r="J333" s="113">
        <v>0</v>
      </c>
      <c r="K333">
        <v>0</v>
      </c>
      <c r="L333">
        <v>0</v>
      </c>
      <c r="M333">
        <v>0</v>
      </c>
      <c r="N333">
        <v>0</v>
      </c>
      <c r="O333" s="1">
        <v>0</v>
      </c>
      <c r="P333" s="138">
        <v>0</v>
      </c>
      <c r="Q333" s="1">
        <v>0</v>
      </c>
      <c r="R333" s="95">
        <f>CHOOSE($D$4,D333,E333,F333,G333,H333,I333,J333,K333,L333,M333,N333,O333,P333,101-B333)+0.000001*ROWS($A$20:A333)</f>
        <v>3.1399999999999999E-4</v>
      </c>
      <c r="S333" s="4">
        <f t="shared" si="36"/>
        <v>299</v>
      </c>
      <c r="T333" s="4"/>
      <c r="U333" s="14">
        <f>ROWS($U$20:U333)</f>
        <v>314</v>
      </c>
      <c r="V333" s="4">
        <v>0</v>
      </c>
      <c r="W333" s="4">
        <v>0</v>
      </c>
      <c r="X333" s="94">
        <v>0</v>
      </c>
      <c r="Y333" s="94">
        <v>0</v>
      </c>
      <c r="Z333" s="94">
        <v>0</v>
      </c>
      <c r="AA333" s="94">
        <v>0</v>
      </c>
      <c r="AB333" s="4">
        <v>0</v>
      </c>
      <c r="AC333" s="94">
        <v>0</v>
      </c>
      <c r="AD333" s="94">
        <v>0</v>
      </c>
      <c r="AE333" s="4">
        <v>0</v>
      </c>
      <c r="AF333" s="4">
        <v>0</v>
      </c>
      <c r="AG333" s="4">
        <v>0</v>
      </c>
      <c r="AH333" s="4">
        <v>0</v>
      </c>
      <c r="AI333" s="4">
        <v>0</v>
      </c>
      <c r="AJ333" s="139">
        <v>0</v>
      </c>
      <c r="AK333" s="94">
        <v>0</v>
      </c>
      <c r="AL333" s="162">
        <v>0</v>
      </c>
      <c r="AM333" s="162">
        <v>0</v>
      </c>
      <c r="AN333" s="162">
        <v>0</v>
      </c>
      <c r="AO333" s="162">
        <v>0</v>
      </c>
      <c r="AP333" s="17">
        <v>0</v>
      </c>
      <c r="AQ333" s="162">
        <v>0</v>
      </c>
      <c r="AR333" s="162">
        <v>0</v>
      </c>
      <c r="AS333" s="17" t="str">
        <v/>
      </c>
      <c r="AT333" s="17">
        <v>0</v>
      </c>
      <c r="AU333" s="17">
        <v>0</v>
      </c>
      <c r="AV333" s="17">
        <v>0</v>
      </c>
      <c r="AW333" s="17">
        <v>0</v>
      </c>
      <c r="AX333" s="4">
        <v>71.111111111111114</v>
      </c>
      <c r="AY333" s="4">
        <v>53.846153846153854</v>
      </c>
      <c r="BD333" s="159" t="e">
        <v>#N/A</v>
      </c>
      <c r="BE333" s="159" t="e">
        <v>#N/A</v>
      </c>
      <c r="BF333" s="159" t="e">
        <v>#N/A</v>
      </c>
      <c r="BG333" s="159" t="e">
        <v>#N/A</v>
      </c>
      <c r="BH333" s="14" t="e">
        <v>#N/A</v>
      </c>
      <c r="BI333" s="159" t="e">
        <v>#N/A</v>
      </c>
      <c r="BJ333" s="159" t="e">
        <v>#N/A</v>
      </c>
      <c r="BK333" s="14" t="e">
        <v>#N/A</v>
      </c>
      <c r="BL333" s="14" t="e">
        <v>#N/A</v>
      </c>
      <c r="BM333" s="14" t="e">
        <v>#N/A</v>
      </c>
      <c r="BN333" s="14" t="e">
        <v>#N/A</v>
      </c>
      <c r="BO333" s="14" t="e">
        <v>#N/A</v>
      </c>
      <c r="BP333" s="182" t="e">
        <v>#N/A</v>
      </c>
      <c r="BQ333" s="183" t="e">
        <v>#N/A</v>
      </c>
    </row>
    <row r="334" spans="2:69" x14ac:dyDescent="0.35">
      <c r="B334" s="1">
        <v>0</v>
      </c>
      <c r="C334">
        <v>0</v>
      </c>
      <c r="D334" s="113">
        <v>0</v>
      </c>
      <c r="E334" s="113">
        <v>0</v>
      </c>
      <c r="F334" s="113">
        <v>0</v>
      </c>
      <c r="G334" s="113">
        <v>0</v>
      </c>
      <c r="H334">
        <v>0</v>
      </c>
      <c r="I334" s="175">
        <v>0</v>
      </c>
      <c r="J334" s="113">
        <v>0</v>
      </c>
      <c r="K334">
        <v>0</v>
      </c>
      <c r="L334">
        <v>0</v>
      </c>
      <c r="M334">
        <v>0</v>
      </c>
      <c r="N334">
        <v>0</v>
      </c>
      <c r="O334" s="1">
        <v>0</v>
      </c>
      <c r="P334" s="138">
        <v>0</v>
      </c>
      <c r="Q334" s="1">
        <v>0</v>
      </c>
      <c r="R334" s="95">
        <f>CHOOSE($D$4,D334,E334,F334,G334,H334,I334,J334,K334,L334,M334,N334,O334,P334,101-B334)+0.000001*ROWS($A$20:A334)</f>
        <v>3.1499999999999996E-4</v>
      </c>
      <c r="S334" s="4">
        <f t="shared" si="36"/>
        <v>298</v>
      </c>
      <c r="T334" s="4"/>
      <c r="U334" s="14">
        <f>ROWS($U$20:U334)</f>
        <v>315</v>
      </c>
      <c r="V334" s="4">
        <v>0</v>
      </c>
      <c r="W334" s="4">
        <v>0</v>
      </c>
      <c r="X334" s="94">
        <v>0</v>
      </c>
      <c r="Y334" s="94">
        <v>0</v>
      </c>
      <c r="Z334" s="94">
        <v>0</v>
      </c>
      <c r="AA334" s="94">
        <v>0</v>
      </c>
      <c r="AB334" s="4">
        <v>0</v>
      </c>
      <c r="AC334" s="94">
        <v>0</v>
      </c>
      <c r="AD334" s="94">
        <v>0</v>
      </c>
      <c r="AE334" s="4">
        <v>0</v>
      </c>
      <c r="AF334" s="4">
        <v>0</v>
      </c>
      <c r="AG334" s="4">
        <v>0</v>
      </c>
      <c r="AH334" s="4">
        <v>0</v>
      </c>
      <c r="AI334" s="4">
        <v>0</v>
      </c>
      <c r="AJ334" s="139">
        <v>0</v>
      </c>
      <c r="AK334" s="94">
        <v>0</v>
      </c>
      <c r="AL334" s="162">
        <v>0</v>
      </c>
      <c r="AM334" s="162">
        <v>0</v>
      </c>
      <c r="AN334" s="162">
        <v>0</v>
      </c>
      <c r="AO334" s="162">
        <v>0</v>
      </c>
      <c r="AP334" s="17">
        <v>0</v>
      </c>
      <c r="AQ334" s="162">
        <v>0</v>
      </c>
      <c r="AR334" s="162">
        <v>0</v>
      </c>
      <c r="AS334" s="17" t="str">
        <v/>
      </c>
      <c r="AT334" s="17">
        <v>0</v>
      </c>
      <c r="AU334" s="17">
        <v>0</v>
      </c>
      <c r="AV334" s="17">
        <v>0</v>
      </c>
      <c r="AW334" s="17">
        <v>0</v>
      </c>
      <c r="AX334" s="4">
        <v>71.111111111111114</v>
      </c>
      <c r="AY334" s="4">
        <v>53.846153846153854</v>
      </c>
      <c r="BD334" s="159" t="e">
        <v>#N/A</v>
      </c>
      <c r="BE334" s="159" t="e">
        <v>#N/A</v>
      </c>
      <c r="BF334" s="159" t="e">
        <v>#N/A</v>
      </c>
      <c r="BG334" s="159" t="e">
        <v>#N/A</v>
      </c>
      <c r="BH334" s="14" t="e">
        <v>#N/A</v>
      </c>
      <c r="BI334" s="159" t="e">
        <v>#N/A</v>
      </c>
      <c r="BJ334" s="159" t="e">
        <v>#N/A</v>
      </c>
      <c r="BK334" s="14" t="e">
        <v>#N/A</v>
      </c>
      <c r="BL334" s="14" t="e">
        <v>#N/A</v>
      </c>
      <c r="BM334" s="14" t="e">
        <v>#N/A</v>
      </c>
      <c r="BN334" s="14" t="e">
        <v>#N/A</v>
      </c>
      <c r="BO334" s="14" t="e">
        <v>#N/A</v>
      </c>
      <c r="BP334" s="182" t="e">
        <v>#N/A</v>
      </c>
      <c r="BQ334" s="183" t="e">
        <v>#N/A</v>
      </c>
    </row>
    <row r="335" spans="2:69" x14ac:dyDescent="0.35">
      <c r="B335" s="1">
        <v>0</v>
      </c>
      <c r="C335">
        <v>0</v>
      </c>
      <c r="D335" s="113">
        <v>0</v>
      </c>
      <c r="E335" s="113">
        <v>0</v>
      </c>
      <c r="F335" s="113">
        <v>0</v>
      </c>
      <c r="G335" s="113">
        <v>0</v>
      </c>
      <c r="H335">
        <v>0</v>
      </c>
      <c r="I335" s="175">
        <v>0</v>
      </c>
      <c r="J335" s="113">
        <v>0</v>
      </c>
      <c r="K335">
        <v>0</v>
      </c>
      <c r="L335">
        <v>0</v>
      </c>
      <c r="M335">
        <v>0</v>
      </c>
      <c r="N335">
        <v>0</v>
      </c>
      <c r="O335" s="1">
        <v>0</v>
      </c>
      <c r="P335" s="138">
        <v>0</v>
      </c>
      <c r="Q335" s="1">
        <v>0</v>
      </c>
      <c r="R335" s="95">
        <f>CHOOSE($D$4,D335,E335,F335,G335,H335,I335,J335,K335,L335,M335,N335,O335,P335,101-B335)+0.000001*ROWS($A$20:A335)</f>
        <v>3.1599999999999998E-4</v>
      </c>
      <c r="S335" s="4">
        <f t="shared" si="36"/>
        <v>297</v>
      </c>
      <c r="T335" s="4"/>
      <c r="U335" s="14">
        <f>ROWS($U$20:U335)</f>
        <v>316</v>
      </c>
      <c r="V335" s="4">
        <v>0</v>
      </c>
      <c r="W335" s="4">
        <v>0</v>
      </c>
      <c r="X335" s="94">
        <v>0</v>
      </c>
      <c r="Y335" s="94">
        <v>0</v>
      </c>
      <c r="Z335" s="94">
        <v>0</v>
      </c>
      <c r="AA335" s="94">
        <v>0</v>
      </c>
      <c r="AB335" s="4">
        <v>0</v>
      </c>
      <c r="AC335" s="94">
        <v>0</v>
      </c>
      <c r="AD335" s="94">
        <v>0</v>
      </c>
      <c r="AE335" s="4">
        <v>0</v>
      </c>
      <c r="AF335" s="4">
        <v>0</v>
      </c>
      <c r="AG335" s="4">
        <v>0</v>
      </c>
      <c r="AH335" s="4">
        <v>0</v>
      </c>
      <c r="AI335" s="4">
        <v>0</v>
      </c>
      <c r="AJ335" s="139">
        <v>0</v>
      </c>
      <c r="AK335" s="94">
        <v>0</v>
      </c>
      <c r="AL335" s="162">
        <v>0</v>
      </c>
      <c r="AM335" s="162">
        <v>0</v>
      </c>
      <c r="AN335" s="162">
        <v>0</v>
      </c>
      <c r="AO335" s="162">
        <v>0</v>
      </c>
      <c r="AP335" s="17">
        <v>0</v>
      </c>
      <c r="AQ335" s="162">
        <v>0</v>
      </c>
      <c r="AR335" s="162">
        <v>0</v>
      </c>
      <c r="AS335" s="17" t="str">
        <v/>
      </c>
      <c r="AT335" s="17">
        <v>0</v>
      </c>
      <c r="AU335" s="17">
        <v>0</v>
      </c>
      <c r="AV335" s="17">
        <v>0</v>
      </c>
      <c r="AW335" s="17">
        <v>0</v>
      </c>
      <c r="AX335" s="4">
        <v>71.111111111111114</v>
      </c>
      <c r="AY335" s="4">
        <v>53.846153846153854</v>
      </c>
      <c r="BD335" s="159" t="e">
        <v>#N/A</v>
      </c>
      <c r="BE335" s="159" t="e">
        <v>#N/A</v>
      </c>
      <c r="BF335" s="159" t="e">
        <v>#N/A</v>
      </c>
      <c r="BG335" s="159" t="e">
        <v>#N/A</v>
      </c>
      <c r="BH335" s="14" t="e">
        <v>#N/A</v>
      </c>
      <c r="BI335" s="159" t="e">
        <v>#N/A</v>
      </c>
      <c r="BJ335" s="159" t="e">
        <v>#N/A</v>
      </c>
      <c r="BK335" s="14" t="e">
        <v>#N/A</v>
      </c>
      <c r="BL335" s="14" t="e">
        <v>#N/A</v>
      </c>
      <c r="BM335" s="14" t="e">
        <v>#N/A</v>
      </c>
      <c r="BN335" s="14" t="e">
        <v>#N/A</v>
      </c>
      <c r="BO335" s="14" t="e">
        <v>#N/A</v>
      </c>
      <c r="BP335" s="182" t="e">
        <v>#N/A</v>
      </c>
      <c r="BQ335" s="183" t="e">
        <v>#N/A</v>
      </c>
    </row>
    <row r="336" spans="2:69" x14ac:dyDescent="0.35">
      <c r="B336" s="1">
        <v>0</v>
      </c>
      <c r="C336">
        <v>0</v>
      </c>
      <c r="D336" s="113">
        <v>0</v>
      </c>
      <c r="E336" s="113">
        <v>0</v>
      </c>
      <c r="F336" s="113">
        <v>0</v>
      </c>
      <c r="G336" s="113">
        <v>0</v>
      </c>
      <c r="H336">
        <v>0</v>
      </c>
      <c r="I336" s="175">
        <v>0</v>
      </c>
      <c r="J336" s="113">
        <v>0</v>
      </c>
      <c r="K336">
        <v>0</v>
      </c>
      <c r="L336">
        <v>0</v>
      </c>
      <c r="M336">
        <v>0</v>
      </c>
      <c r="N336">
        <v>0</v>
      </c>
      <c r="O336" s="1">
        <v>0</v>
      </c>
      <c r="P336" s="138">
        <v>0</v>
      </c>
      <c r="Q336" s="1">
        <v>0</v>
      </c>
      <c r="R336" s="95">
        <f>CHOOSE($D$4,D336,E336,F336,G336,H336,I336,J336,K336,L336,M336,N336,O336,P336,101-B336)+0.000001*ROWS($A$20:A336)</f>
        <v>3.1700000000000001E-4</v>
      </c>
      <c r="S336" s="4">
        <f t="shared" si="36"/>
        <v>296</v>
      </c>
      <c r="T336" s="4"/>
      <c r="U336" s="14">
        <f>ROWS($U$20:U336)</f>
        <v>317</v>
      </c>
      <c r="V336" s="4">
        <v>0</v>
      </c>
      <c r="W336" s="4">
        <v>0</v>
      </c>
      <c r="X336" s="94">
        <v>0</v>
      </c>
      <c r="Y336" s="94">
        <v>0</v>
      </c>
      <c r="Z336" s="94">
        <v>0</v>
      </c>
      <c r="AA336" s="94">
        <v>0</v>
      </c>
      <c r="AB336" s="4">
        <v>0</v>
      </c>
      <c r="AC336" s="94">
        <v>0</v>
      </c>
      <c r="AD336" s="94">
        <v>0</v>
      </c>
      <c r="AE336" s="4">
        <v>0</v>
      </c>
      <c r="AF336" s="4">
        <v>0</v>
      </c>
      <c r="AG336" s="4">
        <v>0</v>
      </c>
      <c r="AH336" s="4">
        <v>0</v>
      </c>
      <c r="AI336" s="4">
        <v>0</v>
      </c>
      <c r="AJ336" s="139">
        <v>0</v>
      </c>
      <c r="AK336" s="94">
        <v>0</v>
      </c>
      <c r="AL336" s="162">
        <v>0</v>
      </c>
      <c r="AM336" s="162">
        <v>0</v>
      </c>
      <c r="AN336" s="162">
        <v>0</v>
      </c>
      <c r="AO336" s="162">
        <v>0</v>
      </c>
      <c r="AP336" s="17">
        <v>0</v>
      </c>
      <c r="AQ336" s="162">
        <v>0</v>
      </c>
      <c r="AR336" s="162">
        <v>0</v>
      </c>
      <c r="AS336" s="17" t="str">
        <v/>
      </c>
      <c r="AT336" s="17">
        <v>0</v>
      </c>
      <c r="AU336" s="17">
        <v>0</v>
      </c>
      <c r="AV336" s="17">
        <v>0</v>
      </c>
      <c r="AW336" s="17">
        <v>0</v>
      </c>
      <c r="AX336" s="4">
        <v>71.111111111111114</v>
      </c>
      <c r="AY336" s="4">
        <v>53.846153846153854</v>
      </c>
      <c r="BD336" s="159" t="e">
        <v>#N/A</v>
      </c>
      <c r="BE336" s="159" t="e">
        <v>#N/A</v>
      </c>
      <c r="BF336" s="159" t="e">
        <v>#N/A</v>
      </c>
      <c r="BG336" s="159" t="e">
        <v>#N/A</v>
      </c>
      <c r="BH336" s="14" t="e">
        <v>#N/A</v>
      </c>
      <c r="BI336" s="159" t="e">
        <v>#N/A</v>
      </c>
      <c r="BJ336" s="159" t="e">
        <v>#N/A</v>
      </c>
      <c r="BK336" s="14" t="e">
        <v>#N/A</v>
      </c>
      <c r="BL336" s="14" t="e">
        <v>#N/A</v>
      </c>
      <c r="BM336" s="14" t="e">
        <v>#N/A</v>
      </c>
      <c r="BN336" s="14" t="e">
        <v>#N/A</v>
      </c>
      <c r="BO336" s="14" t="e">
        <v>#N/A</v>
      </c>
      <c r="BP336" s="182" t="e">
        <v>#N/A</v>
      </c>
      <c r="BQ336" s="183" t="e">
        <v>#N/A</v>
      </c>
    </row>
    <row r="337" spans="2:69" x14ac:dyDescent="0.35">
      <c r="B337" s="1">
        <v>0</v>
      </c>
      <c r="C337">
        <v>0</v>
      </c>
      <c r="D337" s="113">
        <v>0</v>
      </c>
      <c r="E337" s="113">
        <v>0</v>
      </c>
      <c r="F337" s="113">
        <v>0</v>
      </c>
      <c r="G337" s="113">
        <v>0</v>
      </c>
      <c r="H337">
        <v>0</v>
      </c>
      <c r="I337" s="175">
        <v>0</v>
      </c>
      <c r="J337" s="113">
        <v>0</v>
      </c>
      <c r="K337">
        <v>0</v>
      </c>
      <c r="L337">
        <v>0</v>
      </c>
      <c r="M337">
        <v>0</v>
      </c>
      <c r="N337">
        <v>0</v>
      </c>
      <c r="O337" s="1">
        <v>0</v>
      </c>
      <c r="P337" s="138">
        <v>0</v>
      </c>
      <c r="Q337" s="1">
        <v>0</v>
      </c>
      <c r="R337" s="95">
        <f>CHOOSE($D$4,D337,E337,F337,G337,H337,I337,J337,K337,L337,M337,N337,O337,P337,101-B337)+0.000001*ROWS($A$20:A337)</f>
        <v>3.1799999999999998E-4</v>
      </c>
      <c r="S337" s="4">
        <f t="shared" si="36"/>
        <v>295</v>
      </c>
      <c r="T337" s="4"/>
      <c r="U337" s="14">
        <f>ROWS($U$20:U337)</f>
        <v>318</v>
      </c>
      <c r="V337" s="4">
        <v>0</v>
      </c>
      <c r="W337" s="4">
        <v>0</v>
      </c>
      <c r="X337" s="94">
        <v>0</v>
      </c>
      <c r="Y337" s="94">
        <v>0</v>
      </c>
      <c r="Z337" s="94">
        <v>0</v>
      </c>
      <c r="AA337" s="94">
        <v>0</v>
      </c>
      <c r="AB337" s="4">
        <v>0</v>
      </c>
      <c r="AC337" s="94">
        <v>0</v>
      </c>
      <c r="AD337" s="94">
        <v>0</v>
      </c>
      <c r="AE337" s="4">
        <v>0</v>
      </c>
      <c r="AF337" s="4">
        <v>0</v>
      </c>
      <c r="AG337" s="4">
        <v>0</v>
      </c>
      <c r="AH337" s="4">
        <v>0</v>
      </c>
      <c r="AI337" s="4">
        <v>0</v>
      </c>
      <c r="AJ337" s="139">
        <v>0</v>
      </c>
      <c r="AK337" s="94">
        <v>0</v>
      </c>
      <c r="AL337" s="162">
        <v>0</v>
      </c>
      <c r="AM337" s="162">
        <v>0</v>
      </c>
      <c r="AN337" s="162">
        <v>0</v>
      </c>
      <c r="AO337" s="162">
        <v>0</v>
      </c>
      <c r="AP337" s="17">
        <v>0</v>
      </c>
      <c r="AQ337" s="162">
        <v>0</v>
      </c>
      <c r="AR337" s="162">
        <v>0</v>
      </c>
      <c r="AS337" s="17" t="str">
        <v/>
      </c>
      <c r="AT337" s="17">
        <v>0</v>
      </c>
      <c r="AU337" s="17">
        <v>0</v>
      </c>
      <c r="AV337" s="17">
        <v>0</v>
      </c>
      <c r="AW337" s="17">
        <v>0</v>
      </c>
      <c r="AX337" s="4">
        <v>71.111111111111114</v>
      </c>
      <c r="AY337" s="4">
        <v>53.846153846153854</v>
      </c>
      <c r="BD337" s="159" t="e">
        <v>#N/A</v>
      </c>
      <c r="BE337" s="159" t="e">
        <v>#N/A</v>
      </c>
      <c r="BF337" s="159" t="e">
        <v>#N/A</v>
      </c>
      <c r="BG337" s="159" t="e">
        <v>#N/A</v>
      </c>
      <c r="BH337" s="14" t="e">
        <v>#N/A</v>
      </c>
      <c r="BI337" s="159" t="e">
        <v>#N/A</v>
      </c>
      <c r="BJ337" s="159" t="e">
        <v>#N/A</v>
      </c>
      <c r="BK337" s="14" t="e">
        <v>#N/A</v>
      </c>
      <c r="BL337" s="14" t="e">
        <v>#N/A</v>
      </c>
      <c r="BM337" s="14" t="e">
        <v>#N/A</v>
      </c>
      <c r="BN337" s="14" t="e">
        <v>#N/A</v>
      </c>
      <c r="BO337" s="14" t="e">
        <v>#N/A</v>
      </c>
      <c r="BP337" s="182" t="e">
        <v>#N/A</v>
      </c>
      <c r="BQ337" s="183" t="e">
        <v>#N/A</v>
      </c>
    </row>
    <row r="338" spans="2:69" x14ac:dyDescent="0.35">
      <c r="B338" s="1">
        <v>0</v>
      </c>
      <c r="C338">
        <v>0</v>
      </c>
      <c r="D338" s="113">
        <v>0</v>
      </c>
      <c r="E338" s="113">
        <v>0</v>
      </c>
      <c r="F338" s="113">
        <v>0</v>
      </c>
      <c r="G338" s="113">
        <v>0</v>
      </c>
      <c r="H338">
        <v>0</v>
      </c>
      <c r="I338" s="175">
        <v>0</v>
      </c>
      <c r="J338" s="113">
        <v>0</v>
      </c>
      <c r="K338">
        <v>0</v>
      </c>
      <c r="L338">
        <v>0</v>
      </c>
      <c r="M338">
        <v>0</v>
      </c>
      <c r="N338">
        <v>0</v>
      </c>
      <c r="O338" s="1">
        <v>0</v>
      </c>
      <c r="P338" s="138">
        <v>0</v>
      </c>
      <c r="Q338" s="1">
        <v>0</v>
      </c>
      <c r="R338" s="95">
        <f>CHOOSE($D$4,D338,E338,F338,G338,H338,I338,J338,K338,L338,M338,N338,O338,P338,101-B338)+0.000001*ROWS($A$20:A338)</f>
        <v>3.19E-4</v>
      </c>
      <c r="S338" s="4">
        <f t="shared" si="36"/>
        <v>294</v>
      </c>
      <c r="T338" s="4"/>
      <c r="U338" s="14">
        <f>ROWS($U$20:U338)</f>
        <v>319</v>
      </c>
      <c r="V338" s="4">
        <v>0</v>
      </c>
      <c r="W338" s="4">
        <v>0</v>
      </c>
      <c r="X338" s="94">
        <v>0</v>
      </c>
      <c r="Y338" s="94">
        <v>0</v>
      </c>
      <c r="Z338" s="94">
        <v>0</v>
      </c>
      <c r="AA338" s="94">
        <v>0</v>
      </c>
      <c r="AB338" s="4">
        <v>0</v>
      </c>
      <c r="AC338" s="94">
        <v>0</v>
      </c>
      <c r="AD338" s="94">
        <v>0</v>
      </c>
      <c r="AE338" s="4">
        <v>0</v>
      </c>
      <c r="AF338" s="4">
        <v>0</v>
      </c>
      <c r="AG338" s="4">
        <v>0</v>
      </c>
      <c r="AH338" s="4">
        <v>0</v>
      </c>
      <c r="AI338" s="4">
        <v>0</v>
      </c>
      <c r="AJ338" s="139">
        <v>0</v>
      </c>
      <c r="AK338" s="94">
        <v>0</v>
      </c>
      <c r="AL338" s="162">
        <v>0</v>
      </c>
      <c r="AM338" s="162">
        <v>0</v>
      </c>
      <c r="AN338" s="162">
        <v>0</v>
      </c>
      <c r="AO338" s="162">
        <v>0</v>
      </c>
      <c r="AP338" s="17">
        <v>0</v>
      </c>
      <c r="AQ338" s="162">
        <v>0</v>
      </c>
      <c r="AR338" s="162">
        <v>0</v>
      </c>
      <c r="AS338" s="17" t="str">
        <v/>
      </c>
      <c r="AT338" s="17">
        <v>0</v>
      </c>
      <c r="AU338" s="17">
        <v>0</v>
      </c>
      <c r="AV338" s="17">
        <v>0</v>
      </c>
      <c r="AW338" s="17">
        <v>0</v>
      </c>
      <c r="AX338" s="4">
        <v>71.111111111111114</v>
      </c>
      <c r="AY338" s="4">
        <v>53.846153846153854</v>
      </c>
      <c r="BD338" s="159" t="e">
        <v>#N/A</v>
      </c>
      <c r="BE338" s="159" t="e">
        <v>#N/A</v>
      </c>
      <c r="BF338" s="159" t="e">
        <v>#N/A</v>
      </c>
      <c r="BG338" s="159" t="e">
        <v>#N/A</v>
      </c>
      <c r="BH338" s="14" t="e">
        <v>#N/A</v>
      </c>
      <c r="BI338" s="159" t="e">
        <v>#N/A</v>
      </c>
      <c r="BJ338" s="159" t="e">
        <v>#N/A</v>
      </c>
      <c r="BK338" s="14" t="e">
        <v>#N/A</v>
      </c>
      <c r="BL338" s="14" t="e">
        <v>#N/A</v>
      </c>
      <c r="BM338" s="14" t="e">
        <v>#N/A</v>
      </c>
      <c r="BN338" s="14" t="e">
        <v>#N/A</v>
      </c>
      <c r="BO338" s="14" t="e">
        <v>#N/A</v>
      </c>
      <c r="BP338" s="182" t="e">
        <v>#N/A</v>
      </c>
      <c r="BQ338" s="183" t="e">
        <v>#N/A</v>
      </c>
    </row>
    <row r="339" spans="2:69" x14ac:dyDescent="0.35">
      <c r="B339" s="1">
        <v>0</v>
      </c>
      <c r="C339">
        <v>0</v>
      </c>
      <c r="D339" s="113">
        <v>0</v>
      </c>
      <c r="E339" s="113">
        <v>0</v>
      </c>
      <c r="F339" s="113">
        <v>0</v>
      </c>
      <c r="G339" s="113">
        <v>0</v>
      </c>
      <c r="H339">
        <v>0</v>
      </c>
      <c r="I339" s="175">
        <v>0</v>
      </c>
      <c r="J339" s="113">
        <v>0</v>
      </c>
      <c r="K339">
        <v>0</v>
      </c>
      <c r="L339">
        <v>0</v>
      </c>
      <c r="M339">
        <v>0</v>
      </c>
      <c r="N339">
        <v>0</v>
      </c>
      <c r="O339" s="1">
        <v>0</v>
      </c>
      <c r="P339" s="138">
        <v>0</v>
      </c>
      <c r="Q339" s="1">
        <v>0</v>
      </c>
      <c r="R339" s="95">
        <f>CHOOSE($D$4,D339,E339,F339,G339,H339,I339,J339,K339,L339,M339,N339,O339,P339,101-B339)+0.000001*ROWS($A$20:A339)</f>
        <v>3.1999999999999997E-4</v>
      </c>
      <c r="S339" s="4">
        <f t="shared" si="36"/>
        <v>293</v>
      </c>
      <c r="T339" s="4"/>
      <c r="U339" s="14">
        <f>ROWS($U$20:U339)</f>
        <v>320</v>
      </c>
      <c r="V339" s="4">
        <v>0</v>
      </c>
      <c r="W339" s="4">
        <v>0</v>
      </c>
      <c r="X339" s="94">
        <v>0</v>
      </c>
      <c r="Y339" s="94">
        <v>0</v>
      </c>
      <c r="Z339" s="94">
        <v>0</v>
      </c>
      <c r="AA339" s="94">
        <v>0</v>
      </c>
      <c r="AB339" s="4">
        <v>0</v>
      </c>
      <c r="AC339" s="94">
        <v>0</v>
      </c>
      <c r="AD339" s="94">
        <v>0</v>
      </c>
      <c r="AE339" s="4">
        <v>0</v>
      </c>
      <c r="AF339" s="4">
        <v>0</v>
      </c>
      <c r="AG339" s="4">
        <v>0</v>
      </c>
      <c r="AH339" s="4">
        <v>0</v>
      </c>
      <c r="AI339" s="4">
        <v>0</v>
      </c>
      <c r="AJ339" s="139">
        <v>0</v>
      </c>
      <c r="AK339" s="94">
        <v>0</v>
      </c>
      <c r="AL339" s="162">
        <v>0</v>
      </c>
      <c r="AM339" s="162">
        <v>0</v>
      </c>
      <c r="AN339" s="162">
        <v>0</v>
      </c>
      <c r="AO339" s="162">
        <v>0</v>
      </c>
      <c r="AP339" s="17">
        <v>0</v>
      </c>
      <c r="AQ339" s="162">
        <v>0</v>
      </c>
      <c r="AR339" s="162">
        <v>0</v>
      </c>
      <c r="AS339" s="17" t="str">
        <v/>
      </c>
      <c r="AT339" s="17">
        <v>0</v>
      </c>
      <c r="AU339" s="17">
        <v>0</v>
      </c>
      <c r="AV339" s="17">
        <v>0</v>
      </c>
      <c r="AW339" s="17">
        <v>0</v>
      </c>
      <c r="AX339" s="4">
        <v>71.111111111111114</v>
      </c>
      <c r="AY339" s="4">
        <v>53.846153846153854</v>
      </c>
      <c r="BD339" s="159" t="e">
        <v>#N/A</v>
      </c>
      <c r="BE339" s="159" t="e">
        <v>#N/A</v>
      </c>
      <c r="BF339" s="159" t="e">
        <v>#N/A</v>
      </c>
      <c r="BG339" s="159" t="e">
        <v>#N/A</v>
      </c>
      <c r="BH339" s="14" t="e">
        <v>#N/A</v>
      </c>
      <c r="BI339" s="159" t="e">
        <v>#N/A</v>
      </c>
      <c r="BJ339" s="159" t="e">
        <v>#N/A</v>
      </c>
      <c r="BK339" s="14" t="e">
        <v>#N/A</v>
      </c>
      <c r="BL339" s="14" t="e">
        <v>#N/A</v>
      </c>
      <c r="BM339" s="14" t="e">
        <v>#N/A</v>
      </c>
      <c r="BN339" s="14" t="e">
        <v>#N/A</v>
      </c>
      <c r="BO339" s="14" t="e">
        <v>#N/A</v>
      </c>
      <c r="BP339" s="182" t="e">
        <v>#N/A</v>
      </c>
      <c r="BQ339" s="183" t="e">
        <v>#N/A</v>
      </c>
    </row>
    <row r="340" spans="2:69" x14ac:dyDescent="0.35">
      <c r="B340" s="1">
        <v>0</v>
      </c>
      <c r="C340">
        <v>0</v>
      </c>
      <c r="D340" s="113">
        <v>0</v>
      </c>
      <c r="E340" s="113">
        <v>0</v>
      </c>
      <c r="F340" s="113">
        <v>0</v>
      </c>
      <c r="G340" s="113">
        <v>0</v>
      </c>
      <c r="H340">
        <v>0</v>
      </c>
      <c r="I340" s="175">
        <v>0</v>
      </c>
      <c r="J340" s="113">
        <v>0</v>
      </c>
      <c r="K340">
        <v>0</v>
      </c>
      <c r="L340">
        <v>0</v>
      </c>
      <c r="M340">
        <v>0</v>
      </c>
      <c r="N340">
        <v>0</v>
      </c>
      <c r="O340" s="1">
        <v>0</v>
      </c>
      <c r="P340" s="138">
        <v>0</v>
      </c>
      <c r="Q340" s="1">
        <v>0</v>
      </c>
      <c r="R340" s="95">
        <f>CHOOSE($D$4,D340,E340,F340,G340,H340,I340,J340,K340,L340,M340,N340,O340,P340,101-B340)+0.000001*ROWS($A$20:A340)</f>
        <v>3.21E-4</v>
      </c>
      <c r="S340" s="4">
        <f t="shared" ref="S340:S379" si="37">RANK(R340,$R$20:$R$379)</f>
        <v>292</v>
      </c>
      <c r="T340" s="4"/>
      <c r="U340" s="14">
        <f>ROWS($U$20:U340)</f>
        <v>321</v>
      </c>
      <c r="V340" s="4">
        <v>0</v>
      </c>
      <c r="W340" s="4">
        <v>0</v>
      </c>
      <c r="X340" s="94">
        <v>0</v>
      </c>
      <c r="Y340" s="94">
        <v>0</v>
      </c>
      <c r="Z340" s="94">
        <v>0</v>
      </c>
      <c r="AA340" s="94">
        <v>0</v>
      </c>
      <c r="AB340" s="4">
        <v>0</v>
      </c>
      <c r="AC340" s="94">
        <v>0</v>
      </c>
      <c r="AD340" s="94">
        <v>0</v>
      </c>
      <c r="AE340" s="4">
        <v>0</v>
      </c>
      <c r="AF340" s="4">
        <v>0</v>
      </c>
      <c r="AG340" s="4">
        <v>0</v>
      </c>
      <c r="AH340" s="4">
        <v>0</v>
      </c>
      <c r="AI340" s="4">
        <v>0</v>
      </c>
      <c r="AJ340" s="139">
        <v>0</v>
      </c>
      <c r="AK340" s="94">
        <v>0</v>
      </c>
      <c r="AL340" s="162">
        <v>0</v>
      </c>
      <c r="AM340" s="162">
        <v>0</v>
      </c>
      <c r="AN340" s="162">
        <v>0</v>
      </c>
      <c r="AO340" s="162">
        <v>0</v>
      </c>
      <c r="AP340" s="17">
        <v>0</v>
      </c>
      <c r="AQ340" s="162">
        <v>0</v>
      </c>
      <c r="AR340" s="162">
        <v>0</v>
      </c>
      <c r="AS340" s="17" t="str">
        <v/>
      </c>
      <c r="AT340" s="17">
        <v>0</v>
      </c>
      <c r="AU340" s="17">
        <v>0</v>
      </c>
      <c r="AV340" s="17">
        <v>0</v>
      </c>
      <c r="AW340" s="17">
        <v>0</v>
      </c>
      <c r="AX340" s="4">
        <v>71.111111111111114</v>
      </c>
      <c r="AY340" s="4">
        <v>53.846153846153854</v>
      </c>
      <c r="BD340" s="159" t="e">
        <v>#N/A</v>
      </c>
      <c r="BE340" s="159" t="e">
        <v>#N/A</v>
      </c>
      <c r="BF340" s="159" t="e">
        <v>#N/A</v>
      </c>
      <c r="BG340" s="159" t="e">
        <v>#N/A</v>
      </c>
      <c r="BH340" s="14" t="e">
        <v>#N/A</v>
      </c>
      <c r="BI340" s="159" t="e">
        <v>#N/A</v>
      </c>
      <c r="BJ340" s="159" t="e">
        <v>#N/A</v>
      </c>
      <c r="BK340" s="14" t="e">
        <v>#N/A</v>
      </c>
      <c r="BL340" s="14" t="e">
        <v>#N/A</v>
      </c>
      <c r="BM340" s="14" t="e">
        <v>#N/A</v>
      </c>
      <c r="BN340" s="14" t="e">
        <v>#N/A</v>
      </c>
      <c r="BO340" s="14" t="e">
        <v>#N/A</v>
      </c>
      <c r="BP340" s="182" t="e">
        <v>#N/A</v>
      </c>
      <c r="BQ340" s="183" t="e">
        <v>#N/A</v>
      </c>
    </row>
    <row r="341" spans="2:69" x14ac:dyDescent="0.35">
      <c r="B341" s="1">
        <v>0</v>
      </c>
      <c r="C341">
        <v>0</v>
      </c>
      <c r="D341" s="113">
        <v>0</v>
      </c>
      <c r="E341" s="113">
        <v>0</v>
      </c>
      <c r="F341" s="113">
        <v>0</v>
      </c>
      <c r="G341" s="113">
        <v>0</v>
      </c>
      <c r="H341">
        <v>0</v>
      </c>
      <c r="I341" s="175">
        <v>0</v>
      </c>
      <c r="J341" s="113">
        <v>0</v>
      </c>
      <c r="K341">
        <v>0</v>
      </c>
      <c r="L341">
        <v>0</v>
      </c>
      <c r="M341">
        <v>0</v>
      </c>
      <c r="N341">
        <v>0</v>
      </c>
      <c r="O341" s="1">
        <v>0</v>
      </c>
      <c r="P341" s="138">
        <v>0</v>
      </c>
      <c r="Q341" s="1">
        <v>0</v>
      </c>
      <c r="R341" s="95">
        <f>CHOOSE($D$4,D341,E341,F341,G341,H341,I341,J341,K341,L341,M341,N341,O341,P341,101-B341)+0.000001*ROWS($A$20:A341)</f>
        <v>3.2199999999999997E-4</v>
      </c>
      <c r="S341" s="4">
        <f t="shared" si="37"/>
        <v>291</v>
      </c>
      <c r="T341" s="4"/>
      <c r="U341" s="14">
        <f>ROWS($U$20:U341)</f>
        <v>322</v>
      </c>
      <c r="V341" s="4">
        <v>0</v>
      </c>
      <c r="W341" s="4">
        <v>0</v>
      </c>
      <c r="X341" s="94">
        <v>0</v>
      </c>
      <c r="Y341" s="94">
        <v>0</v>
      </c>
      <c r="Z341" s="94">
        <v>0</v>
      </c>
      <c r="AA341" s="94">
        <v>0</v>
      </c>
      <c r="AB341" s="4">
        <v>0</v>
      </c>
      <c r="AC341" s="94">
        <v>0</v>
      </c>
      <c r="AD341" s="94">
        <v>0</v>
      </c>
      <c r="AE341" s="4">
        <v>0</v>
      </c>
      <c r="AF341" s="4">
        <v>0</v>
      </c>
      <c r="AG341" s="4">
        <v>0</v>
      </c>
      <c r="AH341" s="4">
        <v>0</v>
      </c>
      <c r="AI341" s="4">
        <v>0</v>
      </c>
      <c r="AJ341" s="139">
        <v>0</v>
      </c>
      <c r="AK341" s="94">
        <v>0</v>
      </c>
      <c r="AL341" s="162">
        <v>0</v>
      </c>
      <c r="AM341" s="162">
        <v>0</v>
      </c>
      <c r="AN341" s="162">
        <v>0</v>
      </c>
      <c r="AO341" s="162">
        <v>0</v>
      </c>
      <c r="AP341" s="17">
        <v>0</v>
      </c>
      <c r="AQ341" s="162">
        <v>0</v>
      </c>
      <c r="AR341" s="162">
        <v>0</v>
      </c>
      <c r="AS341" s="17" t="str">
        <v/>
      </c>
      <c r="AT341" s="17">
        <v>0</v>
      </c>
      <c r="AU341" s="17">
        <v>0</v>
      </c>
      <c r="AV341" s="17">
        <v>0</v>
      </c>
      <c r="AW341" s="17">
        <v>0</v>
      </c>
      <c r="AX341" s="4">
        <v>71.111111111111114</v>
      </c>
      <c r="AY341" s="4">
        <v>53.846153846153854</v>
      </c>
      <c r="BD341" s="159" t="e">
        <v>#N/A</v>
      </c>
      <c r="BE341" s="159" t="e">
        <v>#N/A</v>
      </c>
      <c r="BF341" s="159" t="e">
        <v>#N/A</v>
      </c>
      <c r="BG341" s="159" t="e">
        <v>#N/A</v>
      </c>
      <c r="BH341" s="14" t="e">
        <v>#N/A</v>
      </c>
      <c r="BI341" s="159" t="e">
        <v>#N/A</v>
      </c>
      <c r="BJ341" s="159" t="e">
        <v>#N/A</v>
      </c>
      <c r="BK341" s="14" t="e">
        <v>#N/A</v>
      </c>
      <c r="BL341" s="14" t="e">
        <v>#N/A</v>
      </c>
      <c r="BM341" s="14" t="e">
        <v>#N/A</v>
      </c>
      <c r="BN341" s="14" t="e">
        <v>#N/A</v>
      </c>
      <c r="BO341" s="14" t="e">
        <v>#N/A</v>
      </c>
      <c r="BP341" s="182" t="e">
        <v>#N/A</v>
      </c>
      <c r="BQ341" s="183" t="e">
        <v>#N/A</v>
      </c>
    </row>
    <row r="342" spans="2:69" x14ac:dyDescent="0.35">
      <c r="B342" s="1">
        <v>0</v>
      </c>
      <c r="C342">
        <v>0</v>
      </c>
      <c r="D342" s="113">
        <v>0</v>
      </c>
      <c r="E342" s="113">
        <v>0</v>
      </c>
      <c r="F342" s="113">
        <v>0</v>
      </c>
      <c r="G342" s="113">
        <v>0</v>
      </c>
      <c r="H342">
        <v>0</v>
      </c>
      <c r="I342" s="175">
        <v>0</v>
      </c>
      <c r="J342" s="113">
        <v>0</v>
      </c>
      <c r="K342">
        <v>0</v>
      </c>
      <c r="L342">
        <v>0</v>
      </c>
      <c r="M342">
        <v>0</v>
      </c>
      <c r="N342">
        <v>0</v>
      </c>
      <c r="O342" s="1">
        <v>0</v>
      </c>
      <c r="P342" s="138">
        <v>0</v>
      </c>
      <c r="Q342" s="1">
        <v>0</v>
      </c>
      <c r="R342" s="95">
        <f>CHOOSE($D$4,D342,E342,F342,G342,H342,I342,J342,K342,L342,M342,N342,O342,P342,101-B342)+0.000001*ROWS($A$20:A342)</f>
        <v>3.2299999999999999E-4</v>
      </c>
      <c r="S342" s="4">
        <f t="shared" si="37"/>
        <v>290</v>
      </c>
      <c r="T342" s="4"/>
      <c r="U342" s="14">
        <f>ROWS($U$20:U342)</f>
        <v>323</v>
      </c>
      <c r="V342" s="4">
        <v>0</v>
      </c>
      <c r="W342" s="4">
        <v>0</v>
      </c>
      <c r="X342" s="94">
        <v>0</v>
      </c>
      <c r="Y342" s="94">
        <v>0</v>
      </c>
      <c r="Z342" s="94">
        <v>0</v>
      </c>
      <c r="AA342" s="94">
        <v>0</v>
      </c>
      <c r="AB342" s="4">
        <v>0</v>
      </c>
      <c r="AC342" s="94">
        <v>0</v>
      </c>
      <c r="AD342" s="94">
        <v>0</v>
      </c>
      <c r="AE342" s="4">
        <v>0</v>
      </c>
      <c r="AF342" s="4">
        <v>0</v>
      </c>
      <c r="AG342" s="4">
        <v>0</v>
      </c>
      <c r="AH342" s="4">
        <v>0</v>
      </c>
      <c r="AI342" s="4">
        <v>0</v>
      </c>
      <c r="AJ342" s="139">
        <v>0</v>
      </c>
      <c r="AK342" s="94">
        <v>0</v>
      </c>
      <c r="AL342" s="162">
        <v>0</v>
      </c>
      <c r="AM342" s="162">
        <v>0</v>
      </c>
      <c r="AN342" s="162">
        <v>0</v>
      </c>
      <c r="AO342" s="162">
        <v>0</v>
      </c>
      <c r="AP342" s="17">
        <v>0</v>
      </c>
      <c r="AQ342" s="162">
        <v>0</v>
      </c>
      <c r="AR342" s="162">
        <v>0</v>
      </c>
      <c r="AS342" s="17" t="str">
        <v/>
      </c>
      <c r="AT342" s="17">
        <v>0</v>
      </c>
      <c r="AU342" s="17">
        <v>0</v>
      </c>
      <c r="AV342" s="17">
        <v>0</v>
      </c>
      <c r="AW342" s="17">
        <v>0</v>
      </c>
      <c r="AX342" s="4">
        <v>71.111111111111114</v>
      </c>
      <c r="AY342" s="4">
        <v>53.846153846153854</v>
      </c>
      <c r="BD342" s="159" t="e">
        <v>#N/A</v>
      </c>
      <c r="BE342" s="159" t="e">
        <v>#N/A</v>
      </c>
      <c r="BF342" s="159" t="e">
        <v>#N/A</v>
      </c>
      <c r="BG342" s="159" t="e">
        <v>#N/A</v>
      </c>
      <c r="BH342" s="14" t="e">
        <v>#N/A</v>
      </c>
      <c r="BI342" s="159" t="e">
        <v>#N/A</v>
      </c>
      <c r="BJ342" s="159" t="e">
        <v>#N/A</v>
      </c>
      <c r="BK342" s="14" t="e">
        <v>#N/A</v>
      </c>
      <c r="BL342" s="14" t="e">
        <v>#N/A</v>
      </c>
      <c r="BM342" s="14" t="e">
        <v>#N/A</v>
      </c>
      <c r="BN342" s="14" t="e">
        <v>#N/A</v>
      </c>
      <c r="BO342" s="14" t="e">
        <v>#N/A</v>
      </c>
      <c r="BP342" s="182" t="e">
        <v>#N/A</v>
      </c>
      <c r="BQ342" s="183" t="e">
        <v>#N/A</v>
      </c>
    </row>
    <row r="343" spans="2:69" x14ac:dyDescent="0.35">
      <c r="B343" s="1">
        <v>0</v>
      </c>
      <c r="C343">
        <v>0</v>
      </c>
      <c r="D343" s="113">
        <v>0</v>
      </c>
      <c r="E343" s="113">
        <v>0</v>
      </c>
      <c r="F343" s="113">
        <v>0</v>
      </c>
      <c r="G343" s="113">
        <v>0</v>
      </c>
      <c r="H343">
        <v>0</v>
      </c>
      <c r="I343" s="175">
        <v>0</v>
      </c>
      <c r="J343" s="113">
        <v>0</v>
      </c>
      <c r="K343">
        <v>0</v>
      </c>
      <c r="L343">
        <v>0</v>
      </c>
      <c r="M343">
        <v>0</v>
      </c>
      <c r="N343">
        <v>0</v>
      </c>
      <c r="O343" s="1">
        <v>0</v>
      </c>
      <c r="P343" s="138">
        <v>0</v>
      </c>
      <c r="Q343" s="1">
        <v>0</v>
      </c>
      <c r="R343" s="95">
        <f>CHOOSE($D$4,D343,E343,F343,G343,H343,I343,J343,K343,L343,M343,N343,O343,P343,101-B343)+0.000001*ROWS($A$20:A343)</f>
        <v>3.2399999999999996E-4</v>
      </c>
      <c r="S343" s="4">
        <f t="shared" si="37"/>
        <v>289</v>
      </c>
      <c r="T343" s="4"/>
      <c r="U343" s="14">
        <f>ROWS($U$20:U343)</f>
        <v>324</v>
      </c>
      <c r="V343" s="4">
        <v>0</v>
      </c>
      <c r="W343" s="4">
        <v>0</v>
      </c>
      <c r="X343" s="94">
        <v>0</v>
      </c>
      <c r="Y343" s="94">
        <v>0</v>
      </c>
      <c r="Z343" s="94">
        <v>0</v>
      </c>
      <c r="AA343" s="94">
        <v>0</v>
      </c>
      <c r="AB343" s="4">
        <v>0</v>
      </c>
      <c r="AC343" s="94">
        <v>0</v>
      </c>
      <c r="AD343" s="94">
        <v>0</v>
      </c>
      <c r="AE343" s="4">
        <v>0</v>
      </c>
      <c r="AF343" s="4">
        <v>0</v>
      </c>
      <c r="AG343" s="4">
        <v>0</v>
      </c>
      <c r="AH343" s="4">
        <v>0</v>
      </c>
      <c r="AI343" s="4">
        <v>0</v>
      </c>
      <c r="AJ343" s="139">
        <v>0</v>
      </c>
      <c r="AK343" s="94">
        <v>0</v>
      </c>
      <c r="AL343" s="162">
        <v>0</v>
      </c>
      <c r="AM343" s="162">
        <v>0</v>
      </c>
      <c r="AN343" s="162">
        <v>0</v>
      </c>
      <c r="AO343" s="162">
        <v>0</v>
      </c>
      <c r="AP343" s="17">
        <v>0</v>
      </c>
      <c r="AQ343" s="162">
        <v>0</v>
      </c>
      <c r="AR343" s="162">
        <v>0</v>
      </c>
      <c r="AS343" s="17" t="str">
        <v/>
      </c>
      <c r="AT343" s="17">
        <v>0</v>
      </c>
      <c r="AU343" s="17">
        <v>0</v>
      </c>
      <c r="AV343" s="17">
        <v>0</v>
      </c>
      <c r="AW343" s="17">
        <v>0</v>
      </c>
      <c r="AX343" s="4">
        <v>71.111111111111114</v>
      </c>
      <c r="AY343" s="4">
        <v>53.846153846153854</v>
      </c>
      <c r="BD343" s="159" t="e">
        <v>#N/A</v>
      </c>
      <c r="BE343" s="159" t="e">
        <v>#N/A</v>
      </c>
      <c r="BF343" s="159" t="e">
        <v>#N/A</v>
      </c>
      <c r="BG343" s="159" t="e">
        <v>#N/A</v>
      </c>
      <c r="BH343" s="14" t="e">
        <v>#N/A</v>
      </c>
      <c r="BI343" s="159" t="e">
        <v>#N/A</v>
      </c>
      <c r="BJ343" s="159" t="e">
        <v>#N/A</v>
      </c>
      <c r="BK343" s="14" t="e">
        <v>#N/A</v>
      </c>
      <c r="BL343" s="14" t="e">
        <v>#N/A</v>
      </c>
      <c r="BM343" s="14" t="e">
        <v>#N/A</v>
      </c>
      <c r="BN343" s="14" t="e">
        <v>#N/A</v>
      </c>
      <c r="BO343" s="14" t="e">
        <v>#N/A</v>
      </c>
      <c r="BP343" s="182" t="e">
        <v>#N/A</v>
      </c>
      <c r="BQ343" s="183" t="e">
        <v>#N/A</v>
      </c>
    </row>
    <row r="344" spans="2:69" x14ac:dyDescent="0.35">
      <c r="B344" s="1">
        <v>0</v>
      </c>
      <c r="C344">
        <v>0</v>
      </c>
      <c r="D344" s="113">
        <v>0</v>
      </c>
      <c r="E344" s="113">
        <v>0</v>
      </c>
      <c r="F344" s="113">
        <v>0</v>
      </c>
      <c r="G344" s="113">
        <v>0</v>
      </c>
      <c r="H344">
        <v>0</v>
      </c>
      <c r="I344" s="175">
        <v>0</v>
      </c>
      <c r="J344" s="113">
        <v>0</v>
      </c>
      <c r="K344">
        <v>0</v>
      </c>
      <c r="L344">
        <v>0</v>
      </c>
      <c r="M344">
        <v>0</v>
      </c>
      <c r="N344">
        <v>0</v>
      </c>
      <c r="O344" s="1">
        <v>0</v>
      </c>
      <c r="P344" s="138">
        <v>0</v>
      </c>
      <c r="Q344" s="1">
        <v>0</v>
      </c>
      <c r="R344" s="95">
        <f>CHOOSE($D$4,D344,E344,F344,G344,H344,I344,J344,K344,L344,M344,N344,O344,P344,101-B344)+0.000001*ROWS($A$20:A344)</f>
        <v>3.2499999999999999E-4</v>
      </c>
      <c r="S344" s="4">
        <f t="shared" si="37"/>
        <v>288</v>
      </c>
      <c r="T344" s="4"/>
      <c r="U344" s="14">
        <f>ROWS($U$20:U344)</f>
        <v>325</v>
      </c>
      <c r="V344" s="4">
        <v>0</v>
      </c>
      <c r="W344" s="4">
        <v>0</v>
      </c>
      <c r="X344" s="94">
        <v>0</v>
      </c>
      <c r="Y344" s="94">
        <v>0</v>
      </c>
      <c r="Z344" s="94">
        <v>0</v>
      </c>
      <c r="AA344" s="94">
        <v>0</v>
      </c>
      <c r="AB344" s="4">
        <v>0</v>
      </c>
      <c r="AC344" s="94">
        <v>0</v>
      </c>
      <c r="AD344" s="94">
        <v>0</v>
      </c>
      <c r="AE344" s="4">
        <v>0</v>
      </c>
      <c r="AF344" s="4">
        <v>0</v>
      </c>
      <c r="AG344" s="4">
        <v>0</v>
      </c>
      <c r="AH344" s="4">
        <v>0</v>
      </c>
      <c r="AI344" s="4">
        <v>0</v>
      </c>
      <c r="AJ344" s="139">
        <v>0</v>
      </c>
      <c r="AK344" s="94">
        <v>0</v>
      </c>
      <c r="AL344" s="162">
        <v>0</v>
      </c>
      <c r="AM344" s="162">
        <v>0</v>
      </c>
      <c r="AN344" s="162">
        <v>0</v>
      </c>
      <c r="AO344" s="162">
        <v>0</v>
      </c>
      <c r="AP344" s="17">
        <v>0</v>
      </c>
      <c r="AQ344" s="162">
        <v>0</v>
      </c>
      <c r="AR344" s="162">
        <v>0</v>
      </c>
      <c r="AS344" s="17" t="str">
        <v/>
      </c>
      <c r="AT344" s="17">
        <v>0</v>
      </c>
      <c r="AU344" s="17">
        <v>0</v>
      </c>
      <c r="AV344" s="17">
        <v>0</v>
      </c>
      <c r="AW344" s="17">
        <v>0</v>
      </c>
      <c r="AX344" s="4">
        <v>71.111111111111114</v>
      </c>
      <c r="AY344" s="4">
        <v>53.846153846153854</v>
      </c>
      <c r="BD344" s="159" t="e">
        <v>#N/A</v>
      </c>
      <c r="BE344" s="159" t="e">
        <v>#N/A</v>
      </c>
      <c r="BF344" s="159" t="e">
        <v>#N/A</v>
      </c>
      <c r="BG344" s="159" t="e">
        <v>#N/A</v>
      </c>
      <c r="BH344" s="14" t="e">
        <v>#N/A</v>
      </c>
      <c r="BI344" s="159" t="e">
        <v>#N/A</v>
      </c>
      <c r="BJ344" s="159" t="e">
        <v>#N/A</v>
      </c>
      <c r="BK344" s="14" t="e">
        <v>#N/A</v>
      </c>
      <c r="BL344" s="14" t="e">
        <v>#N/A</v>
      </c>
      <c r="BM344" s="14" t="e">
        <v>#N/A</v>
      </c>
      <c r="BN344" s="14" t="e">
        <v>#N/A</v>
      </c>
      <c r="BO344" s="14" t="e">
        <v>#N/A</v>
      </c>
      <c r="BP344" s="182" t="e">
        <v>#N/A</v>
      </c>
      <c r="BQ344" s="183" t="e">
        <v>#N/A</v>
      </c>
    </row>
    <row r="345" spans="2:69" x14ac:dyDescent="0.35">
      <c r="B345" s="1">
        <v>0</v>
      </c>
      <c r="C345">
        <v>0</v>
      </c>
      <c r="D345" s="113">
        <v>0</v>
      </c>
      <c r="E345" s="113">
        <v>0</v>
      </c>
      <c r="F345" s="113">
        <v>0</v>
      </c>
      <c r="G345" s="113">
        <v>0</v>
      </c>
      <c r="H345">
        <v>0</v>
      </c>
      <c r="I345" s="175">
        <v>0</v>
      </c>
      <c r="J345" s="113">
        <v>0</v>
      </c>
      <c r="K345">
        <v>0</v>
      </c>
      <c r="L345">
        <v>0</v>
      </c>
      <c r="M345">
        <v>0</v>
      </c>
      <c r="N345">
        <v>0</v>
      </c>
      <c r="O345" s="1">
        <v>0</v>
      </c>
      <c r="P345" s="138">
        <v>0</v>
      </c>
      <c r="Q345" s="1">
        <v>0</v>
      </c>
      <c r="R345" s="95">
        <f>CHOOSE($D$4,D345,E345,F345,G345,H345,I345,J345,K345,L345,M345,N345,O345,P345,101-B345)+0.000001*ROWS($A$20:A345)</f>
        <v>3.2600000000000001E-4</v>
      </c>
      <c r="S345" s="4">
        <f t="shared" si="37"/>
        <v>287</v>
      </c>
      <c r="T345" s="4"/>
      <c r="U345" s="14">
        <f>ROWS($U$20:U345)</f>
        <v>326</v>
      </c>
      <c r="V345" s="4">
        <v>0</v>
      </c>
      <c r="W345" s="4">
        <v>0</v>
      </c>
      <c r="X345" s="94">
        <v>0</v>
      </c>
      <c r="Y345" s="94">
        <v>0</v>
      </c>
      <c r="Z345" s="94">
        <v>0</v>
      </c>
      <c r="AA345" s="94">
        <v>0</v>
      </c>
      <c r="AB345" s="4">
        <v>0</v>
      </c>
      <c r="AC345" s="94">
        <v>0</v>
      </c>
      <c r="AD345" s="94">
        <v>0</v>
      </c>
      <c r="AE345" s="4">
        <v>0</v>
      </c>
      <c r="AF345" s="4">
        <v>0</v>
      </c>
      <c r="AG345" s="4">
        <v>0</v>
      </c>
      <c r="AH345" s="4">
        <v>0</v>
      </c>
      <c r="AI345" s="4">
        <v>0</v>
      </c>
      <c r="AJ345" s="139">
        <v>0</v>
      </c>
      <c r="AK345" s="94">
        <v>0</v>
      </c>
      <c r="AL345" s="162">
        <v>0</v>
      </c>
      <c r="AM345" s="162">
        <v>0</v>
      </c>
      <c r="AN345" s="162">
        <v>0</v>
      </c>
      <c r="AO345" s="162">
        <v>0</v>
      </c>
      <c r="AP345" s="17">
        <v>0</v>
      </c>
      <c r="AQ345" s="162">
        <v>0</v>
      </c>
      <c r="AR345" s="162">
        <v>0</v>
      </c>
      <c r="AS345" s="17" t="str">
        <v/>
      </c>
      <c r="AT345" s="17">
        <v>0</v>
      </c>
      <c r="AU345" s="17">
        <v>0</v>
      </c>
      <c r="AV345" s="17">
        <v>0</v>
      </c>
      <c r="AW345" s="17">
        <v>0</v>
      </c>
      <c r="AX345" s="4">
        <v>71.111111111111114</v>
      </c>
      <c r="AY345" s="4">
        <v>53.846153846153854</v>
      </c>
      <c r="BD345" s="159" t="e">
        <v>#N/A</v>
      </c>
      <c r="BE345" s="159" t="e">
        <v>#N/A</v>
      </c>
      <c r="BF345" s="159" t="e">
        <v>#N/A</v>
      </c>
      <c r="BG345" s="159" t="e">
        <v>#N/A</v>
      </c>
      <c r="BH345" s="14" t="e">
        <v>#N/A</v>
      </c>
      <c r="BI345" s="159" t="e">
        <v>#N/A</v>
      </c>
      <c r="BJ345" s="159" t="e">
        <v>#N/A</v>
      </c>
      <c r="BK345" s="14" t="e">
        <v>#N/A</v>
      </c>
      <c r="BL345" s="14" t="e">
        <v>#N/A</v>
      </c>
      <c r="BM345" s="14" t="e">
        <v>#N/A</v>
      </c>
      <c r="BN345" s="14" t="e">
        <v>#N/A</v>
      </c>
      <c r="BO345" s="14" t="e">
        <v>#N/A</v>
      </c>
      <c r="BP345" s="182" t="e">
        <v>#N/A</v>
      </c>
      <c r="BQ345" s="183" t="e">
        <v>#N/A</v>
      </c>
    </row>
    <row r="346" spans="2:69" x14ac:dyDescent="0.35">
      <c r="B346" s="1">
        <v>0</v>
      </c>
      <c r="C346">
        <v>0</v>
      </c>
      <c r="D346" s="113">
        <v>0</v>
      </c>
      <c r="E346" s="113">
        <v>0</v>
      </c>
      <c r="F346" s="113">
        <v>0</v>
      </c>
      <c r="G346" s="113">
        <v>0</v>
      </c>
      <c r="H346">
        <v>0</v>
      </c>
      <c r="I346" s="175">
        <v>0</v>
      </c>
      <c r="J346" s="113">
        <v>0</v>
      </c>
      <c r="K346">
        <v>0</v>
      </c>
      <c r="L346">
        <v>0</v>
      </c>
      <c r="M346">
        <v>0</v>
      </c>
      <c r="N346">
        <v>0</v>
      </c>
      <c r="O346" s="1">
        <v>0</v>
      </c>
      <c r="P346" s="138">
        <v>0</v>
      </c>
      <c r="Q346" s="1">
        <v>0</v>
      </c>
      <c r="R346" s="95">
        <f>CHOOSE($D$4,D346,E346,F346,G346,H346,I346,J346,K346,L346,M346,N346,O346,P346,101-B346)+0.000001*ROWS($A$20:A346)</f>
        <v>3.2699999999999998E-4</v>
      </c>
      <c r="S346" s="4">
        <f t="shared" si="37"/>
        <v>286</v>
      </c>
      <c r="T346" s="4"/>
      <c r="U346" s="14">
        <f>ROWS($U$20:U346)</f>
        <v>327</v>
      </c>
      <c r="V346" s="4">
        <v>0</v>
      </c>
      <c r="W346" s="4">
        <v>0</v>
      </c>
      <c r="X346" s="94">
        <v>0</v>
      </c>
      <c r="Y346" s="94">
        <v>0</v>
      </c>
      <c r="Z346" s="94">
        <v>0</v>
      </c>
      <c r="AA346" s="94">
        <v>0</v>
      </c>
      <c r="AB346" s="4">
        <v>0</v>
      </c>
      <c r="AC346" s="94">
        <v>0</v>
      </c>
      <c r="AD346" s="94">
        <v>0</v>
      </c>
      <c r="AE346" s="4">
        <v>0</v>
      </c>
      <c r="AF346" s="4">
        <v>0</v>
      </c>
      <c r="AG346" s="4">
        <v>0</v>
      </c>
      <c r="AH346" s="4">
        <v>0</v>
      </c>
      <c r="AI346" s="4">
        <v>0</v>
      </c>
      <c r="AJ346" s="139">
        <v>0</v>
      </c>
      <c r="AK346" s="94">
        <v>0</v>
      </c>
      <c r="AL346" s="162">
        <v>0</v>
      </c>
      <c r="AM346" s="162">
        <v>0</v>
      </c>
      <c r="AN346" s="162">
        <v>0</v>
      </c>
      <c r="AO346" s="162">
        <v>0</v>
      </c>
      <c r="AP346" s="17">
        <v>0</v>
      </c>
      <c r="AQ346" s="162">
        <v>0</v>
      </c>
      <c r="AR346" s="162">
        <v>0</v>
      </c>
      <c r="AS346" s="17" t="str">
        <v/>
      </c>
      <c r="AT346" s="17">
        <v>0</v>
      </c>
      <c r="AU346" s="17">
        <v>0</v>
      </c>
      <c r="AV346" s="17">
        <v>0</v>
      </c>
      <c r="AW346" s="17">
        <v>0</v>
      </c>
      <c r="AX346" s="4">
        <v>71.111111111111114</v>
      </c>
      <c r="AY346" s="4">
        <v>53.846153846153854</v>
      </c>
      <c r="BD346" s="159" t="e">
        <v>#N/A</v>
      </c>
      <c r="BE346" s="159" t="e">
        <v>#N/A</v>
      </c>
      <c r="BF346" s="159" t="e">
        <v>#N/A</v>
      </c>
      <c r="BG346" s="159" t="e">
        <v>#N/A</v>
      </c>
      <c r="BH346" s="14" t="e">
        <v>#N/A</v>
      </c>
      <c r="BI346" s="159" t="e">
        <v>#N/A</v>
      </c>
      <c r="BJ346" s="159" t="e">
        <v>#N/A</v>
      </c>
      <c r="BK346" s="14" t="e">
        <v>#N/A</v>
      </c>
      <c r="BL346" s="14" t="e">
        <v>#N/A</v>
      </c>
      <c r="BM346" s="14" t="e">
        <v>#N/A</v>
      </c>
      <c r="BN346" s="14" t="e">
        <v>#N/A</v>
      </c>
      <c r="BO346" s="14" t="e">
        <v>#N/A</v>
      </c>
      <c r="BP346" s="182" t="e">
        <v>#N/A</v>
      </c>
      <c r="BQ346" s="183" t="e">
        <v>#N/A</v>
      </c>
    </row>
    <row r="347" spans="2:69" x14ac:dyDescent="0.35">
      <c r="B347" s="1">
        <v>0</v>
      </c>
      <c r="C347">
        <v>0</v>
      </c>
      <c r="D347" s="113">
        <v>0</v>
      </c>
      <c r="E347" s="113">
        <v>0</v>
      </c>
      <c r="F347" s="113">
        <v>0</v>
      </c>
      <c r="G347" s="113">
        <v>0</v>
      </c>
      <c r="H347">
        <v>0</v>
      </c>
      <c r="I347" s="175">
        <v>0</v>
      </c>
      <c r="J347" s="113">
        <v>0</v>
      </c>
      <c r="K347">
        <v>0</v>
      </c>
      <c r="L347">
        <v>0</v>
      </c>
      <c r="M347">
        <v>0</v>
      </c>
      <c r="N347">
        <v>0</v>
      </c>
      <c r="O347" s="1">
        <v>0</v>
      </c>
      <c r="P347" s="138">
        <v>0</v>
      </c>
      <c r="Q347" s="1">
        <v>0</v>
      </c>
      <c r="R347" s="95">
        <f>CHOOSE($D$4,D347,E347,F347,G347,H347,I347,J347,K347,L347,M347,N347,O347,P347,101-B347)+0.000001*ROWS($A$20:A347)</f>
        <v>3.28E-4</v>
      </c>
      <c r="S347" s="4">
        <f t="shared" si="37"/>
        <v>285</v>
      </c>
      <c r="T347" s="4"/>
      <c r="U347" s="14">
        <f>ROWS($U$20:U347)</f>
        <v>328</v>
      </c>
      <c r="V347" s="4">
        <v>0</v>
      </c>
      <c r="W347" s="4">
        <v>0</v>
      </c>
      <c r="X347" s="94">
        <v>0</v>
      </c>
      <c r="Y347" s="94">
        <v>0</v>
      </c>
      <c r="Z347" s="94">
        <v>0</v>
      </c>
      <c r="AA347" s="94">
        <v>0</v>
      </c>
      <c r="AB347" s="4">
        <v>0</v>
      </c>
      <c r="AC347" s="94">
        <v>0</v>
      </c>
      <c r="AD347" s="94">
        <v>0</v>
      </c>
      <c r="AE347" s="4">
        <v>0</v>
      </c>
      <c r="AF347" s="4">
        <v>0</v>
      </c>
      <c r="AG347" s="4">
        <v>0</v>
      </c>
      <c r="AH347" s="4">
        <v>0</v>
      </c>
      <c r="AI347" s="4">
        <v>0</v>
      </c>
      <c r="AJ347" s="139">
        <v>0</v>
      </c>
      <c r="AK347" s="94">
        <v>0</v>
      </c>
      <c r="AL347" s="162">
        <v>0</v>
      </c>
      <c r="AM347" s="162">
        <v>0</v>
      </c>
      <c r="AN347" s="162">
        <v>0</v>
      </c>
      <c r="AO347" s="162">
        <v>0</v>
      </c>
      <c r="AP347" s="17">
        <v>0</v>
      </c>
      <c r="AQ347" s="162">
        <v>0</v>
      </c>
      <c r="AR347" s="162">
        <v>0</v>
      </c>
      <c r="AS347" s="17" t="str">
        <v/>
      </c>
      <c r="AT347" s="17">
        <v>0</v>
      </c>
      <c r="AU347" s="17">
        <v>0</v>
      </c>
      <c r="AV347" s="17">
        <v>0</v>
      </c>
      <c r="AW347" s="17">
        <v>0</v>
      </c>
      <c r="AX347" s="4">
        <v>71.111111111111114</v>
      </c>
      <c r="AY347" s="4">
        <v>53.846153846153854</v>
      </c>
      <c r="BD347" s="159" t="e">
        <v>#N/A</v>
      </c>
      <c r="BE347" s="159" t="e">
        <v>#N/A</v>
      </c>
      <c r="BF347" s="159" t="e">
        <v>#N/A</v>
      </c>
      <c r="BG347" s="159" t="e">
        <v>#N/A</v>
      </c>
      <c r="BH347" s="14" t="e">
        <v>#N/A</v>
      </c>
      <c r="BI347" s="159" t="e">
        <v>#N/A</v>
      </c>
      <c r="BJ347" s="159" t="e">
        <v>#N/A</v>
      </c>
      <c r="BK347" s="14" t="e">
        <v>#N/A</v>
      </c>
      <c r="BL347" s="14" t="e">
        <v>#N/A</v>
      </c>
      <c r="BM347" s="14" t="e">
        <v>#N/A</v>
      </c>
      <c r="BN347" s="14" t="e">
        <v>#N/A</v>
      </c>
      <c r="BO347" s="14" t="e">
        <v>#N/A</v>
      </c>
      <c r="BP347" s="182" t="e">
        <v>#N/A</v>
      </c>
      <c r="BQ347" s="183" t="e">
        <v>#N/A</v>
      </c>
    </row>
    <row r="348" spans="2:69" x14ac:dyDescent="0.35">
      <c r="B348" s="1">
        <v>0</v>
      </c>
      <c r="C348">
        <v>0</v>
      </c>
      <c r="D348" s="113">
        <v>0</v>
      </c>
      <c r="E348" s="113">
        <v>0</v>
      </c>
      <c r="F348" s="113">
        <v>0</v>
      </c>
      <c r="G348" s="113">
        <v>0</v>
      </c>
      <c r="H348">
        <v>0</v>
      </c>
      <c r="I348" s="175">
        <v>0</v>
      </c>
      <c r="J348" s="113">
        <v>0</v>
      </c>
      <c r="K348">
        <v>0</v>
      </c>
      <c r="L348">
        <v>0</v>
      </c>
      <c r="M348">
        <v>0</v>
      </c>
      <c r="N348">
        <v>0</v>
      </c>
      <c r="O348" s="1">
        <v>0</v>
      </c>
      <c r="P348" s="138">
        <v>0</v>
      </c>
      <c r="Q348" s="1">
        <v>0</v>
      </c>
      <c r="R348" s="95">
        <f>CHOOSE($D$4,D348,E348,F348,G348,H348,I348,J348,K348,L348,M348,N348,O348,P348,101-B348)+0.000001*ROWS($A$20:A348)</f>
        <v>3.2899999999999997E-4</v>
      </c>
      <c r="S348" s="4">
        <f t="shared" si="37"/>
        <v>284</v>
      </c>
      <c r="T348" s="4"/>
      <c r="U348" s="14">
        <f>ROWS($U$20:U348)</f>
        <v>329</v>
      </c>
      <c r="V348" s="4">
        <v>0</v>
      </c>
      <c r="W348" s="4">
        <v>0</v>
      </c>
      <c r="X348" s="94">
        <v>0</v>
      </c>
      <c r="Y348" s="94">
        <v>0</v>
      </c>
      <c r="Z348" s="94">
        <v>0</v>
      </c>
      <c r="AA348" s="94">
        <v>0</v>
      </c>
      <c r="AB348" s="4">
        <v>0</v>
      </c>
      <c r="AC348" s="94">
        <v>0</v>
      </c>
      <c r="AD348" s="94">
        <v>0</v>
      </c>
      <c r="AE348" s="4">
        <v>0</v>
      </c>
      <c r="AF348" s="4">
        <v>0</v>
      </c>
      <c r="AG348" s="4">
        <v>0</v>
      </c>
      <c r="AH348" s="4">
        <v>0</v>
      </c>
      <c r="AI348" s="4">
        <v>0</v>
      </c>
      <c r="AJ348" s="139">
        <v>0</v>
      </c>
      <c r="AK348" s="94">
        <v>0</v>
      </c>
      <c r="AL348" s="162">
        <v>0</v>
      </c>
      <c r="AM348" s="162">
        <v>0</v>
      </c>
      <c r="AN348" s="162">
        <v>0</v>
      </c>
      <c r="AO348" s="162">
        <v>0</v>
      </c>
      <c r="AP348" s="17">
        <v>0</v>
      </c>
      <c r="AQ348" s="162">
        <v>0</v>
      </c>
      <c r="AR348" s="162">
        <v>0</v>
      </c>
      <c r="AS348" s="17" t="str">
        <v/>
      </c>
      <c r="AT348" s="17">
        <v>0</v>
      </c>
      <c r="AU348" s="17">
        <v>0</v>
      </c>
      <c r="AV348" s="17">
        <v>0</v>
      </c>
      <c r="AW348" s="17">
        <v>0</v>
      </c>
      <c r="AX348" s="4">
        <v>71.111111111111114</v>
      </c>
      <c r="AY348" s="4">
        <v>53.846153846153854</v>
      </c>
      <c r="BD348" s="159" t="e">
        <v>#N/A</v>
      </c>
      <c r="BE348" s="159" t="e">
        <v>#N/A</v>
      </c>
      <c r="BF348" s="159" t="e">
        <v>#N/A</v>
      </c>
      <c r="BG348" s="159" t="e">
        <v>#N/A</v>
      </c>
      <c r="BH348" s="14" t="e">
        <v>#N/A</v>
      </c>
      <c r="BI348" s="159" t="e">
        <v>#N/A</v>
      </c>
      <c r="BJ348" s="159" t="e">
        <v>#N/A</v>
      </c>
      <c r="BK348" s="14" t="e">
        <v>#N/A</v>
      </c>
      <c r="BL348" s="14" t="e">
        <v>#N/A</v>
      </c>
      <c r="BM348" s="14" t="e">
        <v>#N/A</v>
      </c>
      <c r="BN348" s="14" t="e">
        <v>#N/A</v>
      </c>
      <c r="BO348" s="14" t="e">
        <v>#N/A</v>
      </c>
      <c r="BP348" s="182" t="e">
        <v>#N/A</v>
      </c>
      <c r="BQ348" s="183" t="e">
        <v>#N/A</v>
      </c>
    </row>
    <row r="349" spans="2:69" x14ac:dyDescent="0.35">
      <c r="B349" s="1">
        <v>0</v>
      </c>
      <c r="C349">
        <v>0</v>
      </c>
      <c r="D349" s="113">
        <v>0</v>
      </c>
      <c r="E349" s="113">
        <v>0</v>
      </c>
      <c r="F349" s="113">
        <v>0</v>
      </c>
      <c r="G349" s="113">
        <v>0</v>
      </c>
      <c r="H349">
        <v>0</v>
      </c>
      <c r="I349" s="175">
        <v>0</v>
      </c>
      <c r="J349" s="113">
        <v>0</v>
      </c>
      <c r="K349">
        <v>0</v>
      </c>
      <c r="L349">
        <v>0</v>
      </c>
      <c r="M349">
        <v>0</v>
      </c>
      <c r="N349">
        <v>0</v>
      </c>
      <c r="O349" s="1">
        <v>0</v>
      </c>
      <c r="P349" s="138">
        <v>0</v>
      </c>
      <c r="Q349" s="1">
        <v>0</v>
      </c>
      <c r="R349" s="95">
        <f>CHOOSE($D$4,D349,E349,F349,G349,H349,I349,J349,K349,L349,M349,N349,O349,P349,101-B349)+0.000001*ROWS($A$20:A349)</f>
        <v>3.3E-4</v>
      </c>
      <c r="S349" s="4">
        <f t="shared" si="37"/>
        <v>283</v>
      </c>
      <c r="T349" s="4"/>
      <c r="U349" s="14">
        <f>ROWS($U$20:U349)</f>
        <v>330</v>
      </c>
      <c r="V349" s="4">
        <v>0</v>
      </c>
      <c r="W349" s="4">
        <v>0</v>
      </c>
      <c r="X349" s="94">
        <v>0</v>
      </c>
      <c r="Y349" s="94">
        <v>0</v>
      </c>
      <c r="Z349" s="94">
        <v>0</v>
      </c>
      <c r="AA349" s="94">
        <v>0</v>
      </c>
      <c r="AB349" s="4">
        <v>0</v>
      </c>
      <c r="AC349" s="94">
        <v>0</v>
      </c>
      <c r="AD349" s="94">
        <v>0</v>
      </c>
      <c r="AE349" s="4">
        <v>0</v>
      </c>
      <c r="AF349" s="4">
        <v>0</v>
      </c>
      <c r="AG349" s="4">
        <v>0</v>
      </c>
      <c r="AH349" s="4">
        <v>0</v>
      </c>
      <c r="AI349" s="4">
        <v>0</v>
      </c>
      <c r="AJ349" s="139">
        <v>0</v>
      </c>
      <c r="AK349" s="94">
        <v>0</v>
      </c>
      <c r="AL349" s="162">
        <v>0</v>
      </c>
      <c r="AM349" s="162">
        <v>0</v>
      </c>
      <c r="AN349" s="162">
        <v>0</v>
      </c>
      <c r="AO349" s="162">
        <v>0</v>
      </c>
      <c r="AP349" s="17">
        <v>0</v>
      </c>
      <c r="AQ349" s="162">
        <v>0</v>
      </c>
      <c r="AR349" s="162">
        <v>0</v>
      </c>
      <c r="AS349" s="17" t="str">
        <v/>
      </c>
      <c r="AT349" s="17">
        <v>0</v>
      </c>
      <c r="AU349" s="17">
        <v>0</v>
      </c>
      <c r="AV349" s="17">
        <v>0</v>
      </c>
      <c r="AW349" s="17">
        <v>0</v>
      </c>
      <c r="AX349" s="4">
        <v>71.111111111111114</v>
      </c>
      <c r="AY349" s="4">
        <v>53.846153846153854</v>
      </c>
      <c r="BD349" s="159" t="e">
        <v>#N/A</v>
      </c>
      <c r="BE349" s="159" t="e">
        <v>#N/A</v>
      </c>
      <c r="BF349" s="159" t="e">
        <v>#N/A</v>
      </c>
      <c r="BG349" s="159" t="e">
        <v>#N/A</v>
      </c>
      <c r="BH349" s="14" t="e">
        <v>#N/A</v>
      </c>
      <c r="BI349" s="159" t="e">
        <v>#N/A</v>
      </c>
      <c r="BJ349" s="159" t="e">
        <v>#N/A</v>
      </c>
      <c r="BK349" s="14" t="e">
        <v>#N/A</v>
      </c>
      <c r="BL349" s="14" t="e">
        <v>#N/A</v>
      </c>
      <c r="BM349" s="14" t="e">
        <v>#N/A</v>
      </c>
      <c r="BN349" s="14" t="e">
        <v>#N/A</v>
      </c>
      <c r="BO349" s="14" t="e">
        <v>#N/A</v>
      </c>
      <c r="BP349" s="182" t="e">
        <v>#N/A</v>
      </c>
      <c r="BQ349" s="183" t="e">
        <v>#N/A</v>
      </c>
    </row>
    <row r="350" spans="2:69" x14ac:dyDescent="0.35">
      <c r="B350" s="1">
        <v>0</v>
      </c>
      <c r="C350">
        <v>0</v>
      </c>
      <c r="D350" s="113">
        <v>0</v>
      </c>
      <c r="E350" s="113">
        <v>0</v>
      </c>
      <c r="F350" s="113">
        <v>0</v>
      </c>
      <c r="G350" s="113">
        <v>0</v>
      </c>
      <c r="H350">
        <v>0</v>
      </c>
      <c r="I350" s="175">
        <v>0</v>
      </c>
      <c r="J350" s="113">
        <v>0</v>
      </c>
      <c r="K350">
        <v>0</v>
      </c>
      <c r="L350">
        <v>0</v>
      </c>
      <c r="M350">
        <v>0</v>
      </c>
      <c r="N350">
        <v>0</v>
      </c>
      <c r="O350" s="1">
        <v>0</v>
      </c>
      <c r="P350" s="138">
        <v>0</v>
      </c>
      <c r="Q350" s="1">
        <v>0</v>
      </c>
      <c r="R350" s="95">
        <f>CHOOSE($D$4,D350,E350,F350,G350,H350,I350,J350,K350,L350,M350,N350,O350,P350,101-B350)+0.000001*ROWS($A$20:A350)</f>
        <v>3.3099999999999997E-4</v>
      </c>
      <c r="S350" s="4">
        <f t="shared" si="37"/>
        <v>282</v>
      </c>
      <c r="T350" s="4"/>
      <c r="U350" s="14">
        <f>ROWS($U$20:U350)</f>
        <v>331</v>
      </c>
      <c r="V350" s="4">
        <v>0</v>
      </c>
      <c r="W350" s="4">
        <v>0</v>
      </c>
      <c r="X350" s="94">
        <v>0</v>
      </c>
      <c r="Y350" s="94">
        <v>0</v>
      </c>
      <c r="Z350" s="94">
        <v>0</v>
      </c>
      <c r="AA350" s="94">
        <v>0</v>
      </c>
      <c r="AB350" s="4">
        <v>0</v>
      </c>
      <c r="AC350" s="94">
        <v>0</v>
      </c>
      <c r="AD350" s="94">
        <v>0</v>
      </c>
      <c r="AE350" s="4">
        <v>0</v>
      </c>
      <c r="AF350" s="4">
        <v>0</v>
      </c>
      <c r="AG350" s="4">
        <v>0</v>
      </c>
      <c r="AH350" s="4">
        <v>0</v>
      </c>
      <c r="AI350" s="4">
        <v>0</v>
      </c>
      <c r="AJ350" s="139">
        <v>0</v>
      </c>
      <c r="AK350" s="94">
        <v>0</v>
      </c>
      <c r="AL350" s="162">
        <v>0</v>
      </c>
      <c r="AM350" s="162">
        <v>0</v>
      </c>
      <c r="AN350" s="162">
        <v>0</v>
      </c>
      <c r="AO350" s="162">
        <v>0</v>
      </c>
      <c r="AP350" s="17">
        <v>0</v>
      </c>
      <c r="AQ350" s="162">
        <v>0</v>
      </c>
      <c r="AR350" s="162">
        <v>0</v>
      </c>
      <c r="AS350" s="17" t="str">
        <v/>
      </c>
      <c r="AT350" s="17">
        <v>0</v>
      </c>
      <c r="AU350" s="17">
        <v>0</v>
      </c>
      <c r="AV350" s="17">
        <v>0</v>
      </c>
      <c r="AW350" s="17">
        <v>0</v>
      </c>
      <c r="AX350" s="4">
        <v>71.111111111111114</v>
      </c>
      <c r="AY350" s="4">
        <v>53.846153846153854</v>
      </c>
      <c r="BD350" s="159" t="e">
        <v>#N/A</v>
      </c>
      <c r="BE350" s="159" t="e">
        <v>#N/A</v>
      </c>
      <c r="BF350" s="159" t="e">
        <v>#N/A</v>
      </c>
      <c r="BG350" s="159" t="e">
        <v>#N/A</v>
      </c>
      <c r="BH350" s="14" t="e">
        <v>#N/A</v>
      </c>
      <c r="BI350" s="159" t="e">
        <v>#N/A</v>
      </c>
      <c r="BJ350" s="159" t="e">
        <v>#N/A</v>
      </c>
      <c r="BK350" s="14" t="e">
        <v>#N/A</v>
      </c>
      <c r="BL350" s="14" t="e">
        <v>#N/A</v>
      </c>
      <c r="BM350" s="14" t="e">
        <v>#N/A</v>
      </c>
      <c r="BN350" s="14" t="e">
        <v>#N/A</v>
      </c>
      <c r="BO350" s="14" t="e">
        <v>#N/A</v>
      </c>
      <c r="BP350" s="182" t="e">
        <v>#N/A</v>
      </c>
      <c r="BQ350" s="183" t="e">
        <v>#N/A</v>
      </c>
    </row>
    <row r="351" spans="2:69" x14ac:dyDescent="0.35">
      <c r="B351" s="1">
        <v>0</v>
      </c>
      <c r="C351">
        <v>0</v>
      </c>
      <c r="D351" s="113">
        <v>0</v>
      </c>
      <c r="E351" s="113">
        <v>0</v>
      </c>
      <c r="F351" s="113">
        <v>0</v>
      </c>
      <c r="G351" s="113">
        <v>0</v>
      </c>
      <c r="H351">
        <v>0</v>
      </c>
      <c r="I351" s="175">
        <v>0</v>
      </c>
      <c r="J351" s="113">
        <v>0</v>
      </c>
      <c r="K351">
        <v>0</v>
      </c>
      <c r="L351">
        <v>0</v>
      </c>
      <c r="M351">
        <v>0</v>
      </c>
      <c r="N351">
        <v>0</v>
      </c>
      <c r="O351" s="1">
        <v>0</v>
      </c>
      <c r="P351" s="138">
        <v>0</v>
      </c>
      <c r="Q351" s="1">
        <v>0</v>
      </c>
      <c r="R351" s="95">
        <f>CHOOSE($D$4,D351,E351,F351,G351,H351,I351,J351,K351,L351,M351,N351,O351,P351,101-B351)+0.000001*ROWS($A$20:A351)</f>
        <v>3.3199999999999999E-4</v>
      </c>
      <c r="S351" s="4">
        <f t="shared" si="37"/>
        <v>281</v>
      </c>
      <c r="T351" s="4"/>
      <c r="U351" s="14">
        <f>ROWS($U$20:U351)</f>
        <v>332</v>
      </c>
      <c r="V351" s="4">
        <v>0</v>
      </c>
      <c r="W351" s="4">
        <v>0</v>
      </c>
      <c r="X351" s="94">
        <v>0</v>
      </c>
      <c r="Y351" s="94">
        <v>0</v>
      </c>
      <c r="Z351" s="94">
        <v>0</v>
      </c>
      <c r="AA351" s="94">
        <v>0</v>
      </c>
      <c r="AB351" s="4">
        <v>0</v>
      </c>
      <c r="AC351" s="94">
        <v>0</v>
      </c>
      <c r="AD351" s="94">
        <v>0</v>
      </c>
      <c r="AE351" s="4">
        <v>0</v>
      </c>
      <c r="AF351" s="4">
        <v>0</v>
      </c>
      <c r="AG351" s="4">
        <v>0</v>
      </c>
      <c r="AH351" s="4">
        <v>0</v>
      </c>
      <c r="AI351" s="4">
        <v>0</v>
      </c>
      <c r="AJ351" s="139">
        <v>0</v>
      </c>
      <c r="AK351" s="94">
        <v>0</v>
      </c>
      <c r="AL351" s="162">
        <v>0</v>
      </c>
      <c r="AM351" s="162">
        <v>0</v>
      </c>
      <c r="AN351" s="162">
        <v>0</v>
      </c>
      <c r="AO351" s="162">
        <v>0</v>
      </c>
      <c r="AP351" s="17">
        <v>0</v>
      </c>
      <c r="AQ351" s="162">
        <v>0</v>
      </c>
      <c r="AR351" s="162">
        <v>0</v>
      </c>
      <c r="AS351" s="17" t="str">
        <v/>
      </c>
      <c r="AT351" s="17">
        <v>0</v>
      </c>
      <c r="AU351" s="17">
        <v>0</v>
      </c>
      <c r="AV351" s="17">
        <v>0</v>
      </c>
      <c r="AW351" s="17">
        <v>0</v>
      </c>
      <c r="AX351" s="4">
        <v>71.111111111111114</v>
      </c>
      <c r="AY351" s="4">
        <v>53.846153846153854</v>
      </c>
      <c r="BD351" s="159" t="e">
        <v>#N/A</v>
      </c>
      <c r="BE351" s="159" t="e">
        <v>#N/A</v>
      </c>
      <c r="BF351" s="159" t="e">
        <v>#N/A</v>
      </c>
      <c r="BG351" s="159" t="e">
        <v>#N/A</v>
      </c>
      <c r="BH351" s="14" t="e">
        <v>#N/A</v>
      </c>
      <c r="BI351" s="159" t="e">
        <v>#N/A</v>
      </c>
      <c r="BJ351" s="159" t="e">
        <v>#N/A</v>
      </c>
      <c r="BK351" s="14" t="e">
        <v>#N/A</v>
      </c>
      <c r="BL351" s="14" t="e">
        <v>#N/A</v>
      </c>
      <c r="BM351" s="14" t="e">
        <v>#N/A</v>
      </c>
      <c r="BN351" s="14" t="e">
        <v>#N/A</v>
      </c>
      <c r="BO351" s="14" t="e">
        <v>#N/A</v>
      </c>
      <c r="BP351" s="182" t="e">
        <v>#N/A</v>
      </c>
      <c r="BQ351" s="183" t="e">
        <v>#N/A</v>
      </c>
    </row>
    <row r="352" spans="2:69" x14ac:dyDescent="0.35">
      <c r="B352" s="1">
        <v>0</v>
      </c>
      <c r="C352">
        <v>0</v>
      </c>
      <c r="D352" s="113">
        <v>0</v>
      </c>
      <c r="E352" s="113">
        <v>0</v>
      </c>
      <c r="F352" s="113">
        <v>0</v>
      </c>
      <c r="G352" s="113">
        <v>0</v>
      </c>
      <c r="H352">
        <v>0</v>
      </c>
      <c r="I352" s="175">
        <v>0</v>
      </c>
      <c r="J352" s="113">
        <v>0</v>
      </c>
      <c r="K352">
        <v>0</v>
      </c>
      <c r="L352">
        <v>0</v>
      </c>
      <c r="M352">
        <v>0</v>
      </c>
      <c r="N352">
        <v>0</v>
      </c>
      <c r="O352" s="1">
        <v>0</v>
      </c>
      <c r="P352" s="138">
        <v>0</v>
      </c>
      <c r="Q352" s="1">
        <v>0</v>
      </c>
      <c r="R352" s="95">
        <f>CHOOSE($D$4,D352,E352,F352,G352,H352,I352,J352,K352,L352,M352,N352,O352,P352,101-B352)+0.000001*ROWS($A$20:A352)</f>
        <v>3.3299999999999996E-4</v>
      </c>
      <c r="S352" s="4">
        <f t="shared" si="37"/>
        <v>280</v>
      </c>
      <c r="T352" s="4"/>
      <c r="U352" s="14">
        <f>ROWS($U$20:U352)</f>
        <v>333</v>
      </c>
      <c r="V352" s="4">
        <v>0</v>
      </c>
      <c r="W352" s="4">
        <v>0</v>
      </c>
      <c r="X352" s="94">
        <v>0</v>
      </c>
      <c r="Y352" s="94">
        <v>0</v>
      </c>
      <c r="Z352" s="94">
        <v>0</v>
      </c>
      <c r="AA352" s="94">
        <v>0</v>
      </c>
      <c r="AB352" s="4">
        <v>0</v>
      </c>
      <c r="AC352" s="94">
        <v>0</v>
      </c>
      <c r="AD352" s="94">
        <v>0</v>
      </c>
      <c r="AE352" s="4">
        <v>0</v>
      </c>
      <c r="AF352" s="4">
        <v>0</v>
      </c>
      <c r="AG352" s="4">
        <v>0</v>
      </c>
      <c r="AH352" s="4">
        <v>0</v>
      </c>
      <c r="AI352" s="4">
        <v>0</v>
      </c>
      <c r="AJ352" s="139">
        <v>0</v>
      </c>
      <c r="AK352" s="94">
        <v>0</v>
      </c>
      <c r="AL352" s="162">
        <v>0</v>
      </c>
      <c r="AM352" s="162">
        <v>0</v>
      </c>
      <c r="AN352" s="162">
        <v>0</v>
      </c>
      <c r="AO352" s="162">
        <v>0</v>
      </c>
      <c r="AP352" s="17">
        <v>0</v>
      </c>
      <c r="AQ352" s="162">
        <v>0</v>
      </c>
      <c r="AR352" s="162">
        <v>0</v>
      </c>
      <c r="AS352" s="17" t="str">
        <v/>
      </c>
      <c r="AT352" s="17">
        <v>0</v>
      </c>
      <c r="AU352" s="17">
        <v>0</v>
      </c>
      <c r="AV352" s="17">
        <v>0</v>
      </c>
      <c r="AW352" s="17">
        <v>0</v>
      </c>
      <c r="AX352" s="4">
        <v>71.111111111111114</v>
      </c>
      <c r="AY352" s="4">
        <v>53.846153846153854</v>
      </c>
      <c r="BD352" s="159" t="e">
        <v>#N/A</v>
      </c>
      <c r="BE352" s="159" t="e">
        <v>#N/A</v>
      </c>
      <c r="BF352" s="159" t="e">
        <v>#N/A</v>
      </c>
      <c r="BG352" s="159" t="e">
        <v>#N/A</v>
      </c>
      <c r="BH352" s="14" t="e">
        <v>#N/A</v>
      </c>
      <c r="BI352" s="159" t="e">
        <v>#N/A</v>
      </c>
      <c r="BJ352" s="159" t="e">
        <v>#N/A</v>
      </c>
      <c r="BK352" s="14" t="e">
        <v>#N/A</v>
      </c>
      <c r="BL352" s="14" t="e">
        <v>#N/A</v>
      </c>
      <c r="BM352" s="14" t="e">
        <v>#N/A</v>
      </c>
      <c r="BN352" s="14" t="e">
        <v>#N/A</v>
      </c>
      <c r="BO352" s="14" t="e">
        <v>#N/A</v>
      </c>
      <c r="BP352" s="182" t="e">
        <v>#N/A</v>
      </c>
      <c r="BQ352" s="183" t="e">
        <v>#N/A</v>
      </c>
    </row>
    <row r="353" spans="2:69" x14ac:dyDescent="0.35">
      <c r="B353" s="1">
        <v>0</v>
      </c>
      <c r="C353">
        <v>0</v>
      </c>
      <c r="D353" s="113">
        <v>0</v>
      </c>
      <c r="E353" s="113">
        <v>0</v>
      </c>
      <c r="F353" s="113">
        <v>0</v>
      </c>
      <c r="G353" s="113">
        <v>0</v>
      </c>
      <c r="H353">
        <v>0</v>
      </c>
      <c r="I353" s="175">
        <v>0</v>
      </c>
      <c r="J353" s="113">
        <v>0</v>
      </c>
      <c r="K353">
        <v>0</v>
      </c>
      <c r="L353">
        <v>0</v>
      </c>
      <c r="M353">
        <v>0</v>
      </c>
      <c r="N353">
        <v>0</v>
      </c>
      <c r="O353" s="1">
        <v>0</v>
      </c>
      <c r="P353" s="138">
        <v>0</v>
      </c>
      <c r="Q353" s="1">
        <v>0</v>
      </c>
      <c r="R353" s="95">
        <f>CHOOSE($D$4,D353,E353,F353,G353,H353,I353,J353,K353,L353,M353,N353,O353,P353,101-B353)+0.000001*ROWS($A$20:A353)</f>
        <v>3.3399999999999999E-4</v>
      </c>
      <c r="S353" s="4">
        <f t="shared" si="37"/>
        <v>279</v>
      </c>
      <c r="T353" s="4"/>
      <c r="U353" s="14">
        <f>ROWS($U$20:U353)</f>
        <v>334</v>
      </c>
      <c r="V353" s="4">
        <v>0</v>
      </c>
      <c r="W353" s="4">
        <v>0</v>
      </c>
      <c r="X353" s="94">
        <v>0</v>
      </c>
      <c r="Y353" s="94">
        <v>0</v>
      </c>
      <c r="Z353" s="94">
        <v>0</v>
      </c>
      <c r="AA353" s="94">
        <v>0</v>
      </c>
      <c r="AB353" s="4">
        <v>0</v>
      </c>
      <c r="AC353" s="94">
        <v>0</v>
      </c>
      <c r="AD353" s="94">
        <v>0</v>
      </c>
      <c r="AE353" s="4">
        <v>0</v>
      </c>
      <c r="AF353" s="4">
        <v>0</v>
      </c>
      <c r="AG353" s="4">
        <v>0</v>
      </c>
      <c r="AH353" s="4">
        <v>0</v>
      </c>
      <c r="AI353" s="4">
        <v>0</v>
      </c>
      <c r="AJ353" s="139">
        <v>0</v>
      </c>
      <c r="AK353" s="94">
        <v>0</v>
      </c>
      <c r="AL353" s="162">
        <v>0</v>
      </c>
      <c r="AM353" s="162">
        <v>0</v>
      </c>
      <c r="AN353" s="162">
        <v>0</v>
      </c>
      <c r="AO353" s="162">
        <v>0</v>
      </c>
      <c r="AP353" s="17">
        <v>0</v>
      </c>
      <c r="AQ353" s="162">
        <v>0</v>
      </c>
      <c r="AR353" s="162">
        <v>0</v>
      </c>
      <c r="AS353" s="17" t="str">
        <v/>
      </c>
      <c r="AT353" s="17">
        <v>0</v>
      </c>
      <c r="AU353" s="17">
        <v>0</v>
      </c>
      <c r="AV353" s="17">
        <v>0</v>
      </c>
      <c r="AW353" s="17">
        <v>0</v>
      </c>
      <c r="AX353" s="4">
        <v>71.111111111111114</v>
      </c>
      <c r="AY353" s="4">
        <v>53.846153846153854</v>
      </c>
      <c r="BD353" s="159" t="e">
        <v>#N/A</v>
      </c>
      <c r="BE353" s="159" t="e">
        <v>#N/A</v>
      </c>
      <c r="BF353" s="159" t="e">
        <v>#N/A</v>
      </c>
      <c r="BG353" s="159" t="e">
        <v>#N/A</v>
      </c>
      <c r="BH353" s="14" t="e">
        <v>#N/A</v>
      </c>
      <c r="BI353" s="159" t="e">
        <v>#N/A</v>
      </c>
      <c r="BJ353" s="159" t="e">
        <v>#N/A</v>
      </c>
      <c r="BK353" s="14" t="e">
        <v>#N/A</v>
      </c>
      <c r="BL353" s="14" t="e">
        <v>#N/A</v>
      </c>
      <c r="BM353" s="14" t="e">
        <v>#N/A</v>
      </c>
      <c r="BN353" s="14" t="e">
        <v>#N/A</v>
      </c>
      <c r="BO353" s="14" t="e">
        <v>#N/A</v>
      </c>
      <c r="BP353" s="182" t="e">
        <v>#N/A</v>
      </c>
      <c r="BQ353" s="183" t="e">
        <v>#N/A</v>
      </c>
    </row>
    <row r="354" spans="2:69" x14ac:dyDescent="0.35">
      <c r="B354" s="1">
        <v>0</v>
      </c>
      <c r="C354">
        <v>0</v>
      </c>
      <c r="D354" s="113">
        <v>0</v>
      </c>
      <c r="E354" s="113">
        <v>0</v>
      </c>
      <c r="F354" s="113">
        <v>0</v>
      </c>
      <c r="G354" s="113">
        <v>0</v>
      </c>
      <c r="H354">
        <v>0</v>
      </c>
      <c r="I354" s="175">
        <v>0</v>
      </c>
      <c r="J354" s="113">
        <v>0</v>
      </c>
      <c r="K354">
        <v>0</v>
      </c>
      <c r="L354">
        <v>0</v>
      </c>
      <c r="M354">
        <v>0</v>
      </c>
      <c r="N354">
        <v>0</v>
      </c>
      <c r="O354" s="1">
        <v>0</v>
      </c>
      <c r="P354" s="138">
        <v>0</v>
      </c>
      <c r="Q354" s="1">
        <v>0</v>
      </c>
      <c r="R354" s="95">
        <f>CHOOSE($D$4,D354,E354,F354,G354,H354,I354,J354,K354,L354,M354,N354,O354,P354,101-B354)+0.000001*ROWS($A$20:A354)</f>
        <v>3.3500000000000001E-4</v>
      </c>
      <c r="S354" s="4">
        <f t="shared" si="37"/>
        <v>278</v>
      </c>
      <c r="T354" s="4"/>
      <c r="U354" s="14">
        <f>ROWS($U$20:U354)</f>
        <v>335</v>
      </c>
      <c r="V354" s="4">
        <v>0</v>
      </c>
      <c r="W354" s="4">
        <v>0</v>
      </c>
      <c r="X354" s="94">
        <v>0</v>
      </c>
      <c r="Y354" s="94">
        <v>0</v>
      </c>
      <c r="Z354" s="94">
        <v>0</v>
      </c>
      <c r="AA354" s="94">
        <v>0</v>
      </c>
      <c r="AB354" s="4">
        <v>0</v>
      </c>
      <c r="AC354" s="94">
        <v>0</v>
      </c>
      <c r="AD354" s="94">
        <v>0</v>
      </c>
      <c r="AE354" s="4">
        <v>0</v>
      </c>
      <c r="AF354" s="4">
        <v>0</v>
      </c>
      <c r="AG354" s="4">
        <v>0</v>
      </c>
      <c r="AH354" s="4">
        <v>0</v>
      </c>
      <c r="AI354" s="4">
        <v>0</v>
      </c>
      <c r="AJ354" s="139">
        <v>0</v>
      </c>
      <c r="AK354" s="94">
        <v>0</v>
      </c>
      <c r="AL354" s="162">
        <v>0</v>
      </c>
      <c r="AM354" s="162">
        <v>0</v>
      </c>
      <c r="AN354" s="162">
        <v>0</v>
      </c>
      <c r="AO354" s="162">
        <v>0</v>
      </c>
      <c r="AP354" s="17">
        <v>0</v>
      </c>
      <c r="AQ354" s="162">
        <v>0</v>
      </c>
      <c r="AR354" s="162">
        <v>0</v>
      </c>
      <c r="AS354" s="17" t="str">
        <v/>
      </c>
      <c r="AT354" s="17">
        <v>0</v>
      </c>
      <c r="AU354" s="17">
        <v>0</v>
      </c>
      <c r="AV354" s="17">
        <v>0</v>
      </c>
      <c r="AW354" s="17">
        <v>0</v>
      </c>
      <c r="AX354" s="4">
        <v>71.111111111111114</v>
      </c>
      <c r="AY354" s="4">
        <v>53.846153846153854</v>
      </c>
      <c r="BD354" s="159" t="e">
        <v>#N/A</v>
      </c>
      <c r="BE354" s="159" t="e">
        <v>#N/A</v>
      </c>
      <c r="BF354" s="159" t="e">
        <v>#N/A</v>
      </c>
      <c r="BG354" s="159" t="e">
        <v>#N/A</v>
      </c>
      <c r="BH354" s="14" t="e">
        <v>#N/A</v>
      </c>
      <c r="BI354" s="159" t="e">
        <v>#N/A</v>
      </c>
      <c r="BJ354" s="159" t="e">
        <v>#N/A</v>
      </c>
      <c r="BK354" s="14" t="e">
        <v>#N/A</v>
      </c>
      <c r="BL354" s="14" t="e">
        <v>#N/A</v>
      </c>
      <c r="BM354" s="14" t="e">
        <v>#N/A</v>
      </c>
      <c r="BN354" s="14" t="e">
        <v>#N/A</v>
      </c>
      <c r="BO354" s="14" t="e">
        <v>#N/A</v>
      </c>
      <c r="BP354" s="182" t="e">
        <v>#N/A</v>
      </c>
      <c r="BQ354" s="183" t="e">
        <v>#N/A</v>
      </c>
    </row>
    <row r="355" spans="2:69" x14ac:dyDescent="0.35">
      <c r="B355" s="1">
        <v>0</v>
      </c>
      <c r="C355">
        <v>0</v>
      </c>
      <c r="D355" s="113">
        <v>0</v>
      </c>
      <c r="E355" s="113">
        <v>0</v>
      </c>
      <c r="F355" s="113">
        <v>0</v>
      </c>
      <c r="G355" s="113">
        <v>0</v>
      </c>
      <c r="H355">
        <v>0</v>
      </c>
      <c r="I355" s="175">
        <v>0</v>
      </c>
      <c r="J355" s="113">
        <v>0</v>
      </c>
      <c r="K355">
        <v>0</v>
      </c>
      <c r="L355">
        <v>0</v>
      </c>
      <c r="M355">
        <v>0</v>
      </c>
      <c r="N355">
        <v>0</v>
      </c>
      <c r="O355" s="1">
        <v>0</v>
      </c>
      <c r="P355" s="138">
        <v>0</v>
      </c>
      <c r="Q355" s="1">
        <v>0</v>
      </c>
      <c r="R355" s="95">
        <f>CHOOSE($D$4,D355,E355,F355,G355,H355,I355,J355,K355,L355,M355,N355,O355,P355,101-B355)+0.000001*ROWS($A$20:A355)</f>
        <v>3.3599999999999998E-4</v>
      </c>
      <c r="S355" s="4">
        <f t="shared" si="37"/>
        <v>277</v>
      </c>
      <c r="T355" s="4"/>
      <c r="U355" s="14">
        <f>ROWS($U$20:U355)</f>
        <v>336</v>
      </c>
      <c r="V355" s="4">
        <v>0</v>
      </c>
      <c r="W355" s="4">
        <v>0</v>
      </c>
      <c r="X355" s="94">
        <v>0</v>
      </c>
      <c r="Y355" s="94">
        <v>0</v>
      </c>
      <c r="Z355" s="94">
        <v>0</v>
      </c>
      <c r="AA355" s="94">
        <v>0</v>
      </c>
      <c r="AB355" s="4">
        <v>0</v>
      </c>
      <c r="AC355" s="94">
        <v>0</v>
      </c>
      <c r="AD355" s="94">
        <v>0</v>
      </c>
      <c r="AE355" s="4">
        <v>0</v>
      </c>
      <c r="AF355" s="4">
        <v>0</v>
      </c>
      <c r="AG355" s="4">
        <v>0</v>
      </c>
      <c r="AH355" s="4">
        <v>0</v>
      </c>
      <c r="AI355" s="4">
        <v>0</v>
      </c>
      <c r="AJ355" s="139">
        <v>0</v>
      </c>
      <c r="AK355" s="94">
        <v>0</v>
      </c>
      <c r="AL355" s="162">
        <v>0</v>
      </c>
      <c r="AM355" s="162">
        <v>0</v>
      </c>
      <c r="AN355" s="162">
        <v>0</v>
      </c>
      <c r="AO355" s="162">
        <v>0</v>
      </c>
      <c r="AP355" s="17">
        <v>0</v>
      </c>
      <c r="AQ355" s="162">
        <v>0</v>
      </c>
      <c r="AR355" s="162">
        <v>0</v>
      </c>
      <c r="AS355" s="17" t="str">
        <v/>
      </c>
      <c r="AT355" s="17">
        <v>0</v>
      </c>
      <c r="AU355" s="17">
        <v>0</v>
      </c>
      <c r="AV355" s="17">
        <v>0</v>
      </c>
      <c r="AW355" s="17">
        <v>0</v>
      </c>
      <c r="AX355" s="4">
        <v>71.111111111111114</v>
      </c>
      <c r="AY355" s="4">
        <v>53.846153846153854</v>
      </c>
      <c r="BD355" s="159" t="e">
        <v>#N/A</v>
      </c>
      <c r="BE355" s="159" t="e">
        <v>#N/A</v>
      </c>
      <c r="BF355" s="159" t="e">
        <v>#N/A</v>
      </c>
      <c r="BG355" s="159" t="e">
        <v>#N/A</v>
      </c>
      <c r="BH355" s="14" t="e">
        <v>#N/A</v>
      </c>
      <c r="BI355" s="159" t="e">
        <v>#N/A</v>
      </c>
      <c r="BJ355" s="159" t="e">
        <v>#N/A</v>
      </c>
      <c r="BK355" s="14" t="e">
        <v>#N/A</v>
      </c>
      <c r="BL355" s="14" t="e">
        <v>#N/A</v>
      </c>
      <c r="BM355" s="14" t="e">
        <v>#N/A</v>
      </c>
      <c r="BN355" s="14" t="e">
        <v>#N/A</v>
      </c>
      <c r="BO355" s="14" t="e">
        <v>#N/A</v>
      </c>
      <c r="BP355" s="182" t="e">
        <v>#N/A</v>
      </c>
      <c r="BQ355" s="183" t="e">
        <v>#N/A</v>
      </c>
    </row>
    <row r="356" spans="2:69" x14ac:dyDescent="0.35">
      <c r="B356" s="1">
        <v>0</v>
      </c>
      <c r="C356">
        <v>0</v>
      </c>
      <c r="D356" s="113">
        <v>0</v>
      </c>
      <c r="E356" s="113">
        <v>0</v>
      </c>
      <c r="F356" s="113">
        <v>0</v>
      </c>
      <c r="G356" s="113">
        <v>0</v>
      </c>
      <c r="H356">
        <v>0</v>
      </c>
      <c r="I356" s="175">
        <v>0</v>
      </c>
      <c r="J356" s="113">
        <v>0</v>
      </c>
      <c r="K356">
        <v>0</v>
      </c>
      <c r="L356">
        <v>0</v>
      </c>
      <c r="M356">
        <v>0</v>
      </c>
      <c r="N356">
        <v>0</v>
      </c>
      <c r="O356" s="1">
        <v>0</v>
      </c>
      <c r="P356" s="138">
        <v>0</v>
      </c>
      <c r="Q356" s="1">
        <v>0</v>
      </c>
      <c r="R356" s="95">
        <f>CHOOSE($D$4,D356,E356,F356,G356,H356,I356,J356,K356,L356,M356,N356,O356,P356,101-B356)+0.000001*ROWS($A$20:A356)</f>
        <v>3.3700000000000001E-4</v>
      </c>
      <c r="S356" s="4">
        <f t="shared" si="37"/>
        <v>276</v>
      </c>
      <c r="T356" s="4"/>
      <c r="U356" s="14">
        <f>ROWS($U$20:U356)</f>
        <v>337</v>
      </c>
      <c r="V356" s="4">
        <v>0</v>
      </c>
      <c r="W356" s="4">
        <v>0</v>
      </c>
      <c r="X356" s="94">
        <v>0</v>
      </c>
      <c r="Y356" s="94">
        <v>0</v>
      </c>
      <c r="Z356" s="94">
        <v>0</v>
      </c>
      <c r="AA356" s="94">
        <v>0</v>
      </c>
      <c r="AB356" s="4">
        <v>0</v>
      </c>
      <c r="AC356" s="94">
        <v>0</v>
      </c>
      <c r="AD356" s="94">
        <v>0</v>
      </c>
      <c r="AE356" s="4">
        <v>0</v>
      </c>
      <c r="AF356" s="4">
        <v>0</v>
      </c>
      <c r="AG356" s="4">
        <v>0</v>
      </c>
      <c r="AH356" s="4">
        <v>0</v>
      </c>
      <c r="AI356" s="4">
        <v>0</v>
      </c>
      <c r="AJ356" s="139">
        <v>0</v>
      </c>
      <c r="AK356" s="94">
        <v>0</v>
      </c>
      <c r="AL356" s="162">
        <v>0</v>
      </c>
      <c r="AM356" s="162">
        <v>0</v>
      </c>
      <c r="AN356" s="162">
        <v>0</v>
      </c>
      <c r="AO356" s="162">
        <v>0</v>
      </c>
      <c r="AP356" s="17">
        <v>0</v>
      </c>
      <c r="AQ356" s="162">
        <v>0</v>
      </c>
      <c r="AR356" s="162">
        <v>0</v>
      </c>
      <c r="AS356" s="17" t="str">
        <v/>
      </c>
      <c r="AT356" s="17">
        <v>0</v>
      </c>
      <c r="AU356" s="17">
        <v>0</v>
      </c>
      <c r="AV356" s="17">
        <v>0</v>
      </c>
      <c r="AW356" s="17">
        <v>0</v>
      </c>
      <c r="AX356" s="4">
        <v>71.111111111111114</v>
      </c>
      <c r="AY356" s="4">
        <v>53.846153846153854</v>
      </c>
      <c r="BD356" s="159" t="e">
        <v>#N/A</v>
      </c>
      <c r="BE356" s="159" t="e">
        <v>#N/A</v>
      </c>
      <c r="BF356" s="159" t="e">
        <v>#N/A</v>
      </c>
      <c r="BG356" s="159" t="e">
        <v>#N/A</v>
      </c>
      <c r="BH356" s="14" t="e">
        <v>#N/A</v>
      </c>
      <c r="BI356" s="159" t="e">
        <v>#N/A</v>
      </c>
      <c r="BJ356" s="159" t="e">
        <v>#N/A</v>
      </c>
      <c r="BK356" s="14" t="e">
        <v>#N/A</v>
      </c>
      <c r="BL356" s="14" t="e">
        <v>#N/A</v>
      </c>
      <c r="BM356" s="14" t="e">
        <v>#N/A</v>
      </c>
      <c r="BN356" s="14" t="e">
        <v>#N/A</v>
      </c>
      <c r="BO356" s="14" t="e">
        <v>#N/A</v>
      </c>
      <c r="BP356" s="182" t="e">
        <v>#N/A</v>
      </c>
      <c r="BQ356" s="183" t="e">
        <v>#N/A</v>
      </c>
    </row>
    <row r="357" spans="2:69" x14ac:dyDescent="0.35">
      <c r="B357" s="1">
        <v>0</v>
      </c>
      <c r="C357">
        <v>0</v>
      </c>
      <c r="D357" s="113">
        <v>0</v>
      </c>
      <c r="E357" s="113">
        <v>0</v>
      </c>
      <c r="F357" s="113">
        <v>0</v>
      </c>
      <c r="G357" s="113">
        <v>0</v>
      </c>
      <c r="H357">
        <v>0</v>
      </c>
      <c r="I357" s="175">
        <v>0</v>
      </c>
      <c r="J357" s="113">
        <v>0</v>
      </c>
      <c r="K357">
        <v>0</v>
      </c>
      <c r="L357">
        <v>0</v>
      </c>
      <c r="M357">
        <v>0</v>
      </c>
      <c r="N357">
        <v>0</v>
      </c>
      <c r="O357" s="1">
        <v>0</v>
      </c>
      <c r="P357" s="138">
        <v>0</v>
      </c>
      <c r="Q357" s="1">
        <v>0</v>
      </c>
      <c r="R357" s="95">
        <f>CHOOSE($D$4,D357,E357,F357,G357,H357,I357,J357,K357,L357,M357,N357,O357,P357,101-B357)+0.000001*ROWS($A$20:A357)</f>
        <v>3.3799999999999998E-4</v>
      </c>
      <c r="S357" s="4">
        <f t="shared" si="37"/>
        <v>275</v>
      </c>
      <c r="T357" s="4"/>
      <c r="U357" s="14">
        <f>ROWS($U$20:U357)</f>
        <v>338</v>
      </c>
      <c r="V357" s="4">
        <v>0</v>
      </c>
      <c r="W357" s="4">
        <v>0</v>
      </c>
      <c r="X357" s="94">
        <v>0</v>
      </c>
      <c r="Y357" s="94">
        <v>0</v>
      </c>
      <c r="Z357" s="94">
        <v>0</v>
      </c>
      <c r="AA357" s="94">
        <v>0</v>
      </c>
      <c r="AB357" s="4">
        <v>0</v>
      </c>
      <c r="AC357" s="94">
        <v>0</v>
      </c>
      <c r="AD357" s="94">
        <v>0</v>
      </c>
      <c r="AE357" s="4">
        <v>0</v>
      </c>
      <c r="AF357" s="4">
        <v>0</v>
      </c>
      <c r="AG357" s="4">
        <v>0</v>
      </c>
      <c r="AH357" s="4">
        <v>0</v>
      </c>
      <c r="AI357" s="4">
        <v>0</v>
      </c>
      <c r="AJ357" s="139">
        <v>0</v>
      </c>
      <c r="AK357" s="94">
        <v>0</v>
      </c>
      <c r="AL357" s="162">
        <v>0</v>
      </c>
      <c r="AM357" s="162">
        <v>0</v>
      </c>
      <c r="AN357" s="162">
        <v>0</v>
      </c>
      <c r="AO357" s="162">
        <v>0</v>
      </c>
      <c r="AP357" s="17">
        <v>0</v>
      </c>
      <c r="AQ357" s="162">
        <v>0</v>
      </c>
      <c r="AR357" s="162">
        <v>0</v>
      </c>
      <c r="AS357" s="17" t="str">
        <v/>
      </c>
      <c r="AT357" s="17">
        <v>0</v>
      </c>
      <c r="AU357" s="17">
        <v>0</v>
      </c>
      <c r="AV357" s="17">
        <v>0</v>
      </c>
      <c r="AW357" s="17">
        <v>0</v>
      </c>
      <c r="AX357" s="4">
        <v>71.111111111111114</v>
      </c>
      <c r="AY357" s="4">
        <v>53.846153846153854</v>
      </c>
      <c r="BD357" s="159" t="e">
        <v>#N/A</v>
      </c>
      <c r="BE357" s="159" t="e">
        <v>#N/A</v>
      </c>
      <c r="BF357" s="159" t="e">
        <v>#N/A</v>
      </c>
      <c r="BG357" s="159" t="e">
        <v>#N/A</v>
      </c>
      <c r="BH357" s="14" t="e">
        <v>#N/A</v>
      </c>
      <c r="BI357" s="159" t="e">
        <v>#N/A</v>
      </c>
      <c r="BJ357" s="159" t="e">
        <v>#N/A</v>
      </c>
      <c r="BK357" s="14" t="e">
        <v>#N/A</v>
      </c>
      <c r="BL357" s="14" t="e">
        <v>#N/A</v>
      </c>
      <c r="BM357" s="14" t="e">
        <v>#N/A</v>
      </c>
      <c r="BN357" s="14" t="e">
        <v>#N/A</v>
      </c>
      <c r="BO357" s="14" t="e">
        <v>#N/A</v>
      </c>
      <c r="BP357" s="182" t="e">
        <v>#N/A</v>
      </c>
      <c r="BQ357" s="183" t="e">
        <v>#N/A</v>
      </c>
    </row>
    <row r="358" spans="2:69" x14ac:dyDescent="0.35">
      <c r="B358" s="1">
        <v>0</v>
      </c>
      <c r="C358">
        <v>0</v>
      </c>
      <c r="D358" s="113">
        <v>0</v>
      </c>
      <c r="E358" s="113">
        <v>0</v>
      </c>
      <c r="F358" s="113">
        <v>0</v>
      </c>
      <c r="G358" s="113">
        <v>0</v>
      </c>
      <c r="H358">
        <v>0</v>
      </c>
      <c r="I358" s="175">
        <v>0</v>
      </c>
      <c r="J358" s="113">
        <v>0</v>
      </c>
      <c r="K358">
        <v>0</v>
      </c>
      <c r="L358">
        <v>0</v>
      </c>
      <c r="M358">
        <v>0</v>
      </c>
      <c r="N358">
        <v>0</v>
      </c>
      <c r="O358" s="1">
        <v>0</v>
      </c>
      <c r="P358" s="138">
        <v>0</v>
      </c>
      <c r="Q358" s="1">
        <v>0</v>
      </c>
      <c r="R358" s="95">
        <f>CHOOSE($D$4,D358,E358,F358,G358,H358,I358,J358,K358,L358,M358,N358,O358,P358,101-B358)+0.000001*ROWS($A$20:A358)</f>
        <v>3.39E-4</v>
      </c>
      <c r="S358" s="4">
        <f t="shared" si="37"/>
        <v>274</v>
      </c>
      <c r="T358" s="4"/>
      <c r="U358" s="14">
        <f>ROWS($U$20:U358)</f>
        <v>339</v>
      </c>
      <c r="V358" s="4">
        <v>0</v>
      </c>
      <c r="W358" s="4">
        <v>0</v>
      </c>
      <c r="X358" s="94">
        <v>0</v>
      </c>
      <c r="Y358" s="94">
        <v>0</v>
      </c>
      <c r="Z358" s="94">
        <v>0</v>
      </c>
      <c r="AA358" s="94">
        <v>0</v>
      </c>
      <c r="AB358" s="4">
        <v>0</v>
      </c>
      <c r="AC358" s="94">
        <v>0</v>
      </c>
      <c r="AD358" s="94">
        <v>0</v>
      </c>
      <c r="AE358" s="4">
        <v>0</v>
      </c>
      <c r="AF358" s="4">
        <v>0</v>
      </c>
      <c r="AG358" s="4">
        <v>0</v>
      </c>
      <c r="AH358" s="4">
        <v>0</v>
      </c>
      <c r="AI358" s="4">
        <v>0</v>
      </c>
      <c r="AJ358" s="139">
        <v>0</v>
      </c>
      <c r="AK358" s="94">
        <v>0</v>
      </c>
      <c r="AL358" s="162">
        <v>0</v>
      </c>
      <c r="AM358" s="162">
        <v>0</v>
      </c>
      <c r="AN358" s="162">
        <v>0</v>
      </c>
      <c r="AO358" s="162">
        <v>0</v>
      </c>
      <c r="AP358" s="17">
        <v>0</v>
      </c>
      <c r="AQ358" s="162">
        <v>0</v>
      </c>
      <c r="AR358" s="162">
        <v>0</v>
      </c>
      <c r="AS358" s="17" t="str">
        <v/>
      </c>
      <c r="AT358" s="17">
        <v>0</v>
      </c>
      <c r="AU358" s="17">
        <v>0</v>
      </c>
      <c r="AV358" s="17">
        <v>0</v>
      </c>
      <c r="AW358" s="17">
        <v>0</v>
      </c>
      <c r="AX358" s="4">
        <v>71.111111111111114</v>
      </c>
      <c r="AY358" s="4">
        <v>53.846153846153854</v>
      </c>
      <c r="BD358" s="159" t="e">
        <v>#N/A</v>
      </c>
      <c r="BE358" s="159" t="e">
        <v>#N/A</v>
      </c>
      <c r="BF358" s="159" t="e">
        <v>#N/A</v>
      </c>
      <c r="BG358" s="159" t="e">
        <v>#N/A</v>
      </c>
      <c r="BH358" s="14" t="e">
        <v>#N/A</v>
      </c>
      <c r="BI358" s="159" t="e">
        <v>#N/A</v>
      </c>
      <c r="BJ358" s="159" t="e">
        <v>#N/A</v>
      </c>
      <c r="BK358" s="14" t="e">
        <v>#N/A</v>
      </c>
      <c r="BL358" s="14" t="e">
        <v>#N/A</v>
      </c>
      <c r="BM358" s="14" t="e">
        <v>#N/A</v>
      </c>
      <c r="BN358" s="14" t="e">
        <v>#N/A</v>
      </c>
      <c r="BO358" s="14" t="e">
        <v>#N/A</v>
      </c>
      <c r="BP358" s="182" t="e">
        <v>#N/A</v>
      </c>
      <c r="BQ358" s="183" t="e">
        <v>#N/A</v>
      </c>
    </row>
    <row r="359" spans="2:69" x14ac:dyDescent="0.35">
      <c r="B359" s="1">
        <v>0</v>
      </c>
      <c r="C359">
        <v>0</v>
      </c>
      <c r="D359" s="113">
        <v>0</v>
      </c>
      <c r="E359" s="113">
        <v>0</v>
      </c>
      <c r="F359" s="113">
        <v>0</v>
      </c>
      <c r="G359" s="113">
        <v>0</v>
      </c>
      <c r="H359">
        <v>0</v>
      </c>
      <c r="I359" s="175">
        <v>0</v>
      </c>
      <c r="J359" s="113">
        <v>0</v>
      </c>
      <c r="K359">
        <v>0</v>
      </c>
      <c r="L359">
        <v>0</v>
      </c>
      <c r="M359">
        <v>0</v>
      </c>
      <c r="N359">
        <v>0</v>
      </c>
      <c r="O359" s="1">
        <v>0</v>
      </c>
      <c r="P359" s="138">
        <v>0</v>
      </c>
      <c r="Q359" s="1">
        <v>0</v>
      </c>
      <c r="R359" s="95">
        <f>CHOOSE($D$4,D359,E359,F359,G359,H359,I359,J359,K359,L359,M359,N359,O359,P359,101-B359)+0.000001*ROWS($A$20:A359)</f>
        <v>3.3999999999999997E-4</v>
      </c>
      <c r="S359" s="4">
        <f t="shared" si="37"/>
        <v>273</v>
      </c>
      <c r="T359" s="4"/>
      <c r="U359" s="14">
        <f>ROWS($U$20:U359)</f>
        <v>340</v>
      </c>
      <c r="V359" s="4">
        <v>0</v>
      </c>
      <c r="W359" s="4">
        <v>0</v>
      </c>
      <c r="X359" s="94">
        <v>0</v>
      </c>
      <c r="Y359" s="94">
        <v>0</v>
      </c>
      <c r="Z359" s="94">
        <v>0</v>
      </c>
      <c r="AA359" s="94">
        <v>0</v>
      </c>
      <c r="AB359" s="4">
        <v>0</v>
      </c>
      <c r="AC359" s="94">
        <v>0</v>
      </c>
      <c r="AD359" s="94">
        <v>0</v>
      </c>
      <c r="AE359" s="4">
        <v>0</v>
      </c>
      <c r="AF359" s="4">
        <v>0</v>
      </c>
      <c r="AG359" s="4">
        <v>0</v>
      </c>
      <c r="AH359" s="4">
        <v>0</v>
      </c>
      <c r="AI359" s="4">
        <v>0</v>
      </c>
      <c r="AJ359" s="139">
        <v>0</v>
      </c>
      <c r="AK359" s="94">
        <v>0</v>
      </c>
      <c r="AL359" s="162">
        <v>0</v>
      </c>
      <c r="AM359" s="162">
        <v>0</v>
      </c>
      <c r="AN359" s="162">
        <v>0</v>
      </c>
      <c r="AO359" s="162">
        <v>0</v>
      </c>
      <c r="AP359" s="17">
        <v>0</v>
      </c>
      <c r="AQ359" s="162">
        <v>0</v>
      </c>
      <c r="AR359" s="162">
        <v>0</v>
      </c>
      <c r="AS359" s="17" t="str">
        <v/>
      </c>
      <c r="AT359" s="17">
        <v>0</v>
      </c>
      <c r="AU359" s="17">
        <v>0</v>
      </c>
      <c r="AV359" s="17">
        <v>0</v>
      </c>
      <c r="AW359" s="17">
        <v>0</v>
      </c>
      <c r="AX359" s="4">
        <v>71.111111111111114</v>
      </c>
      <c r="AY359" s="4">
        <v>53.846153846153854</v>
      </c>
      <c r="BD359" s="159" t="e">
        <v>#N/A</v>
      </c>
      <c r="BE359" s="159" t="e">
        <v>#N/A</v>
      </c>
      <c r="BF359" s="159" t="e">
        <v>#N/A</v>
      </c>
      <c r="BG359" s="159" t="e">
        <v>#N/A</v>
      </c>
      <c r="BH359" s="14" t="e">
        <v>#N/A</v>
      </c>
      <c r="BI359" s="159" t="e">
        <v>#N/A</v>
      </c>
      <c r="BJ359" s="159" t="e">
        <v>#N/A</v>
      </c>
      <c r="BK359" s="14" t="e">
        <v>#N/A</v>
      </c>
      <c r="BL359" s="14" t="e">
        <v>#N/A</v>
      </c>
      <c r="BM359" s="14" t="e">
        <v>#N/A</v>
      </c>
      <c r="BN359" s="14" t="e">
        <v>#N/A</v>
      </c>
      <c r="BO359" s="14" t="e">
        <v>#N/A</v>
      </c>
      <c r="BP359" s="182" t="e">
        <v>#N/A</v>
      </c>
      <c r="BQ359" s="183" t="e">
        <v>#N/A</v>
      </c>
    </row>
    <row r="360" spans="2:69" x14ac:dyDescent="0.35">
      <c r="B360" s="1">
        <v>0</v>
      </c>
      <c r="C360">
        <v>0</v>
      </c>
      <c r="D360" s="113">
        <v>0</v>
      </c>
      <c r="E360" s="113">
        <v>0</v>
      </c>
      <c r="F360" s="113">
        <v>0</v>
      </c>
      <c r="G360" s="113">
        <v>0</v>
      </c>
      <c r="H360">
        <v>0</v>
      </c>
      <c r="I360" s="175">
        <v>0</v>
      </c>
      <c r="J360" s="113">
        <v>0</v>
      </c>
      <c r="K360">
        <v>0</v>
      </c>
      <c r="L360">
        <v>0</v>
      </c>
      <c r="M360">
        <v>0</v>
      </c>
      <c r="N360">
        <v>0</v>
      </c>
      <c r="O360" s="1">
        <v>0</v>
      </c>
      <c r="P360" s="138">
        <v>0</v>
      </c>
      <c r="Q360" s="1">
        <v>0</v>
      </c>
      <c r="R360" s="95">
        <f>CHOOSE($D$4,D360,E360,F360,G360,H360,I360,J360,K360,L360,M360,N360,O360,P360,101-B360)+0.000001*ROWS($A$20:A360)</f>
        <v>3.4099999999999999E-4</v>
      </c>
      <c r="S360" s="4">
        <f t="shared" si="37"/>
        <v>272</v>
      </c>
      <c r="T360" s="4"/>
      <c r="U360" s="14">
        <f>ROWS($U$20:U360)</f>
        <v>341</v>
      </c>
      <c r="V360" s="4">
        <v>0</v>
      </c>
      <c r="W360" s="4">
        <v>0</v>
      </c>
      <c r="X360" s="94">
        <v>0</v>
      </c>
      <c r="Y360" s="94">
        <v>0</v>
      </c>
      <c r="Z360" s="94">
        <v>0</v>
      </c>
      <c r="AA360" s="94">
        <v>0</v>
      </c>
      <c r="AB360" s="4">
        <v>0</v>
      </c>
      <c r="AC360" s="94">
        <v>0</v>
      </c>
      <c r="AD360" s="94">
        <v>0</v>
      </c>
      <c r="AE360" s="4">
        <v>0</v>
      </c>
      <c r="AF360" s="4">
        <v>0</v>
      </c>
      <c r="AG360" s="4">
        <v>0</v>
      </c>
      <c r="AH360" s="4">
        <v>0</v>
      </c>
      <c r="AI360" s="4">
        <v>0</v>
      </c>
      <c r="AJ360" s="139">
        <v>0</v>
      </c>
      <c r="AK360" s="94">
        <v>0</v>
      </c>
      <c r="AL360" s="162">
        <v>0</v>
      </c>
      <c r="AM360" s="162">
        <v>0</v>
      </c>
      <c r="AN360" s="162">
        <v>0</v>
      </c>
      <c r="AO360" s="162">
        <v>0</v>
      </c>
      <c r="AP360" s="17">
        <v>0</v>
      </c>
      <c r="AQ360" s="162">
        <v>0</v>
      </c>
      <c r="AR360" s="162">
        <v>0</v>
      </c>
      <c r="AS360" s="17" t="str">
        <v/>
      </c>
      <c r="AT360" s="17">
        <v>0</v>
      </c>
      <c r="AU360" s="17">
        <v>0</v>
      </c>
      <c r="AV360" s="17">
        <v>0</v>
      </c>
      <c r="AW360" s="17">
        <v>0</v>
      </c>
      <c r="AX360" s="4">
        <v>71.111111111111114</v>
      </c>
      <c r="AY360" s="4">
        <v>53.846153846153854</v>
      </c>
      <c r="BD360" s="159" t="e">
        <v>#N/A</v>
      </c>
      <c r="BE360" s="159" t="e">
        <v>#N/A</v>
      </c>
      <c r="BF360" s="159" t="e">
        <v>#N/A</v>
      </c>
      <c r="BG360" s="159" t="e">
        <v>#N/A</v>
      </c>
      <c r="BH360" s="14" t="e">
        <v>#N/A</v>
      </c>
      <c r="BI360" s="159" t="e">
        <v>#N/A</v>
      </c>
      <c r="BJ360" s="159" t="e">
        <v>#N/A</v>
      </c>
      <c r="BK360" s="14" t="e">
        <v>#N/A</v>
      </c>
      <c r="BL360" s="14" t="e">
        <v>#N/A</v>
      </c>
      <c r="BM360" s="14" t="e">
        <v>#N/A</v>
      </c>
      <c r="BN360" s="14" t="e">
        <v>#N/A</v>
      </c>
      <c r="BO360" s="14" t="e">
        <v>#N/A</v>
      </c>
      <c r="BP360" s="182" t="e">
        <v>#N/A</v>
      </c>
      <c r="BQ360" s="183" t="e">
        <v>#N/A</v>
      </c>
    </row>
    <row r="361" spans="2:69" x14ac:dyDescent="0.35">
      <c r="B361" s="1">
        <v>0</v>
      </c>
      <c r="C361">
        <v>0</v>
      </c>
      <c r="D361" s="113">
        <v>0</v>
      </c>
      <c r="E361" s="113">
        <v>0</v>
      </c>
      <c r="F361" s="113">
        <v>0</v>
      </c>
      <c r="G361" s="113">
        <v>0</v>
      </c>
      <c r="H361">
        <v>0</v>
      </c>
      <c r="I361" s="175">
        <v>0</v>
      </c>
      <c r="J361" s="113">
        <v>0</v>
      </c>
      <c r="K361">
        <v>0</v>
      </c>
      <c r="L361">
        <v>0</v>
      </c>
      <c r="M361">
        <v>0</v>
      </c>
      <c r="N361">
        <v>0</v>
      </c>
      <c r="O361" s="1">
        <v>0</v>
      </c>
      <c r="P361" s="138">
        <v>0</v>
      </c>
      <c r="Q361" s="1">
        <v>0</v>
      </c>
      <c r="R361" s="95">
        <f>CHOOSE($D$4,D361,E361,F361,G361,H361,I361,J361,K361,L361,M361,N361,O361,P361,101-B361)+0.000001*ROWS($A$20:A361)</f>
        <v>3.4199999999999996E-4</v>
      </c>
      <c r="S361" s="4">
        <f t="shared" si="37"/>
        <v>271</v>
      </c>
      <c r="T361" s="4"/>
      <c r="U361" s="14">
        <f>ROWS($U$20:U361)</f>
        <v>342</v>
      </c>
      <c r="V361" s="4">
        <v>0</v>
      </c>
      <c r="W361" s="4">
        <v>0</v>
      </c>
      <c r="X361" s="94">
        <v>0</v>
      </c>
      <c r="Y361" s="94">
        <v>0</v>
      </c>
      <c r="Z361" s="94">
        <v>0</v>
      </c>
      <c r="AA361" s="94">
        <v>0</v>
      </c>
      <c r="AB361" s="4">
        <v>0</v>
      </c>
      <c r="AC361" s="94">
        <v>0</v>
      </c>
      <c r="AD361" s="94">
        <v>0</v>
      </c>
      <c r="AE361" s="4">
        <v>0</v>
      </c>
      <c r="AF361" s="4">
        <v>0</v>
      </c>
      <c r="AG361" s="4">
        <v>0</v>
      </c>
      <c r="AH361" s="4">
        <v>0</v>
      </c>
      <c r="AI361" s="4">
        <v>0</v>
      </c>
      <c r="AJ361" s="139">
        <v>0</v>
      </c>
      <c r="AK361" s="94">
        <v>0</v>
      </c>
      <c r="AL361" s="162">
        <v>0</v>
      </c>
      <c r="AM361" s="162">
        <v>0</v>
      </c>
      <c r="AN361" s="162">
        <v>0</v>
      </c>
      <c r="AO361" s="162">
        <v>0</v>
      </c>
      <c r="AP361" s="17">
        <v>0</v>
      </c>
      <c r="AQ361" s="162">
        <v>0</v>
      </c>
      <c r="AR361" s="162">
        <v>0</v>
      </c>
      <c r="AS361" s="17" t="str">
        <v/>
      </c>
      <c r="AT361" s="17">
        <v>0</v>
      </c>
      <c r="AU361" s="17">
        <v>0</v>
      </c>
      <c r="AV361" s="17">
        <v>0</v>
      </c>
      <c r="AW361" s="17">
        <v>0</v>
      </c>
      <c r="AX361" s="4">
        <v>71.111111111111114</v>
      </c>
      <c r="AY361" s="4">
        <v>53.846153846153854</v>
      </c>
      <c r="BD361" s="159" t="e">
        <v>#N/A</v>
      </c>
      <c r="BE361" s="159" t="e">
        <v>#N/A</v>
      </c>
      <c r="BF361" s="159" t="e">
        <v>#N/A</v>
      </c>
      <c r="BG361" s="159" t="e">
        <v>#N/A</v>
      </c>
      <c r="BH361" s="14" t="e">
        <v>#N/A</v>
      </c>
      <c r="BI361" s="159" t="e">
        <v>#N/A</v>
      </c>
      <c r="BJ361" s="159" t="e">
        <v>#N/A</v>
      </c>
      <c r="BK361" s="14" t="e">
        <v>#N/A</v>
      </c>
      <c r="BL361" s="14" t="e">
        <v>#N/A</v>
      </c>
      <c r="BM361" s="14" t="e">
        <v>#N/A</v>
      </c>
      <c r="BN361" s="14" t="e">
        <v>#N/A</v>
      </c>
      <c r="BO361" s="14" t="e">
        <v>#N/A</v>
      </c>
      <c r="BP361" s="182" t="e">
        <v>#N/A</v>
      </c>
      <c r="BQ361" s="183" t="e">
        <v>#N/A</v>
      </c>
    </row>
    <row r="362" spans="2:69" x14ac:dyDescent="0.35">
      <c r="B362" s="1">
        <v>0</v>
      </c>
      <c r="C362">
        <v>0</v>
      </c>
      <c r="D362" s="113">
        <v>0</v>
      </c>
      <c r="E362" s="113">
        <v>0</v>
      </c>
      <c r="F362" s="113">
        <v>0</v>
      </c>
      <c r="G362" s="113">
        <v>0</v>
      </c>
      <c r="H362">
        <v>0</v>
      </c>
      <c r="I362" s="175">
        <v>0</v>
      </c>
      <c r="J362" s="113">
        <v>0</v>
      </c>
      <c r="K362">
        <v>0</v>
      </c>
      <c r="L362">
        <v>0</v>
      </c>
      <c r="M362">
        <v>0</v>
      </c>
      <c r="N362">
        <v>0</v>
      </c>
      <c r="O362" s="1">
        <v>0</v>
      </c>
      <c r="P362" s="138">
        <v>0</v>
      </c>
      <c r="Q362" s="1">
        <v>0</v>
      </c>
      <c r="R362" s="95">
        <f>CHOOSE($D$4,D362,E362,F362,G362,H362,I362,J362,K362,L362,M362,N362,O362,P362,101-B362)+0.000001*ROWS($A$20:A362)</f>
        <v>3.4299999999999999E-4</v>
      </c>
      <c r="S362" s="4">
        <f t="shared" si="37"/>
        <v>270</v>
      </c>
      <c r="T362" s="4"/>
      <c r="U362" s="14">
        <f>ROWS($U$20:U362)</f>
        <v>343</v>
      </c>
      <c r="V362" s="4">
        <v>0</v>
      </c>
      <c r="W362" s="4">
        <v>0</v>
      </c>
      <c r="X362" s="94">
        <v>0</v>
      </c>
      <c r="Y362" s="94">
        <v>0</v>
      </c>
      <c r="Z362" s="94">
        <v>0</v>
      </c>
      <c r="AA362" s="94">
        <v>0</v>
      </c>
      <c r="AB362" s="4">
        <v>0</v>
      </c>
      <c r="AC362" s="94">
        <v>0</v>
      </c>
      <c r="AD362" s="94">
        <v>0</v>
      </c>
      <c r="AE362" s="4">
        <v>0</v>
      </c>
      <c r="AF362" s="4">
        <v>0</v>
      </c>
      <c r="AG362" s="4">
        <v>0</v>
      </c>
      <c r="AH362" s="4">
        <v>0</v>
      </c>
      <c r="AI362" s="4">
        <v>0</v>
      </c>
      <c r="AJ362" s="139">
        <v>0</v>
      </c>
      <c r="AK362" s="94">
        <v>0</v>
      </c>
      <c r="AL362" s="162">
        <v>0</v>
      </c>
      <c r="AM362" s="162">
        <v>0</v>
      </c>
      <c r="AN362" s="162">
        <v>0</v>
      </c>
      <c r="AO362" s="162">
        <v>0</v>
      </c>
      <c r="AP362" s="17">
        <v>0</v>
      </c>
      <c r="AQ362" s="162">
        <v>0</v>
      </c>
      <c r="AR362" s="162">
        <v>0</v>
      </c>
      <c r="AS362" s="17" t="str">
        <v/>
      </c>
      <c r="AT362" s="17">
        <v>0</v>
      </c>
      <c r="AU362" s="17">
        <v>0</v>
      </c>
      <c r="AV362" s="17">
        <v>0</v>
      </c>
      <c r="AW362" s="17">
        <v>0</v>
      </c>
      <c r="AX362" s="4">
        <v>71.111111111111114</v>
      </c>
      <c r="AY362" s="4">
        <v>53.846153846153854</v>
      </c>
      <c r="BD362" s="159" t="e">
        <v>#N/A</v>
      </c>
      <c r="BE362" s="159" t="e">
        <v>#N/A</v>
      </c>
      <c r="BF362" s="159" t="e">
        <v>#N/A</v>
      </c>
      <c r="BG362" s="159" t="e">
        <v>#N/A</v>
      </c>
      <c r="BH362" s="14" t="e">
        <v>#N/A</v>
      </c>
      <c r="BI362" s="159" t="e">
        <v>#N/A</v>
      </c>
      <c r="BJ362" s="159" t="e">
        <v>#N/A</v>
      </c>
      <c r="BK362" s="14" t="e">
        <v>#N/A</v>
      </c>
      <c r="BL362" s="14" t="e">
        <v>#N/A</v>
      </c>
      <c r="BM362" s="14" t="e">
        <v>#N/A</v>
      </c>
      <c r="BN362" s="14" t="e">
        <v>#N/A</v>
      </c>
      <c r="BO362" s="14" t="e">
        <v>#N/A</v>
      </c>
      <c r="BP362" s="182" t="e">
        <v>#N/A</v>
      </c>
      <c r="BQ362" s="183" t="e">
        <v>#N/A</v>
      </c>
    </row>
    <row r="363" spans="2:69" x14ac:dyDescent="0.35">
      <c r="B363" s="1">
        <v>0</v>
      </c>
      <c r="C363">
        <v>0</v>
      </c>
      <c r="D363" s="113">
        <v>0</v>
      </c>
      <c r="E363" s="113">
        <v>0</v>
      </c>
      <c r="F363" s="113">
        <v>0</v>
      </c>
      <c r="G363" s="113">
        <v>0</v>
      </c>
      <c r="H363">
        <v>0</v>
      </c>
      <c r="I363" s="175">
        <v>0</v>
      </c>
      <c r="J363" s="113">
        <v>0</v>
      </c>
      <c r="K363">
        <v>0</v>
      </c>
      <c r="L363">
        <v>0</v>
      </c>
      <c r="M363">
        <v>0</v>
      </c>
      <c r="N363">
        <v>0</v>
      </c>
      <c r="O363" s="1">
        <v>0</v>
      </c>
      <c r="P363" s="138">
        <v>0</v>
      </c>
      <c r="Q363" s="1">
        <v>0</v>
      </c>
      <c r="R363" s="95">
        <f>CHOOSE($D$4,D363,E363,F363,G363,H363,I363,J363,K363,L363,M363,N363,O363,P363,101-B363)+0.000001*ROWS($A$20:A363)</f>
        <v>3.4399999999999996E-4</v>
      </c>
      <c r="S363" s="4">
        <f t="shared" si="37"/>
        <v>269</v>
      </c>
      <c r="T363" s="4"/>
      <c r="U363" s="14">
        <f>ROWS($U$20:U363)</f>
        <v>344</v>
      </c>
      <c r="V363" s="4">
        <v>0</v>
      </c>
      <c r="W363" s="4">
        <v>0</v>
      </c>
      <c r="X363" s="94">
        <v>0</v>
      </c>
      <c r="Y363" s="94">
        <v>0</v>
      </c>
      <c r="Z363" s="94">
        <v>0</v>
      </c>
      <c r="AA363" s="94">
        <v>0</v>
      </c>
      <c r="AB363" s="4">
        <v>0</v>
      </c>
      <c r="AC363" s="94">
        <v>0</v>
      </c>
      <c r="AD363" s="94">
        <v>0</v>
      </c>
      <c r="AE363" s="4">
        <v>0</v>
      </c>
      <c r="AF363" s="4">
        <v>0</v>
      </c>
      <c r="AG363" s="4">
        <v>0</v>
      </c>
      <c r="AH363" s="4">
        <v>0</v>
      </c>
      <c r="AI363" s="4">
        <v>0</v>
      </c>
      <c r="AJ363" s="139">
        <v>0</v>
      </c>
      <c r="AK363" s="94">
        <v>0</v>
      </c>
      <c r="AL363" s="162">
        <v>0</v>
      </c>
      <c r="AM363" s="162">
        <v>0</v>
      </c>
      <c r="AN363" s="162">
        <v>0</v>
      </c>
      <c r="AO363" s="162">
        <v>0</v>
      </c>
      <c r="AP363" s="17">
        <v>0</v>
      </c>
      <c r="AQ363" s="162">
        <v>0</v>
      </c>
      <c r="AR363" s="162">
        <v>0</v>
      </c>
      <c r="AS363" s="17" t="str">
        <v/>
      </c>
      <c r="AT363" s="17">
        <v>0</v>
      </c>
      <c r="AU363" s="17">
        <v>0</v>
      </c>
      <c r="AV363" s="17">
        <v>0</v>
      </c>
      <c r="AW363" s="17">
        <v>0</v>
      </c>
      <c r="AX363" s="4">
        <v>71.111111111111114</v>
      </c>
      <c r="AY363" s="4">
        <v>53.846153846153854</v>
      </c>
      <c r="BD363" s="159" t="e">
        <v>#N/A</v>
      </c>
      <c r="BE363" s="159" t="e">
        <v>#N/A</v>
      </c>
      <c r="BF363" s="159" t="e">
        <v>#N/A</v>
      </c>
      <c r="BG363" s="159" t="e">
        <v>#N/A</v>
      </c>
      <c r="BH363" s="14" t="e">
        <v>#N/A</v>
      </c>
      <c r="BI363" s="159" t="e">
        <v>#N/A</v>
      </c>
      <c r="BJ363" s="159" t="e">
        <v>#N/A</v>
      </c>
      <c r="BK363" s="14" t="e">
        <v>#N/A</v>
      </c>
      <c r="BL363" s="14" t="e">
        <v>#N/A</v>
      </c>
      <c r="BM363" s="14" t="e">
        <v>#N/A</v>
      </c>
      <c r="BN363" s="14" t="e">
        <v>#N/A</v>
      </c>
      <c r="BO363" s="14" t="e">
        <v>#N/A</v>
      </c>
      <c r="BP363" s="182" t="e">
        <v>#N/A</v>
      </c>
      <c r="BQ363" s="183" t="e">
        <v>#N/A</v>
      </c>
    </row>
    <row r="364" spans="2:69" x14ac:dyDescent="0.35">
      <c r="B364" s="1">
        <v>0</v>
      </c>
      <c r="C364">
        <v>0</v>
      </c>
      <c r="D364" s="113">
        <v>0</v>
      </c>
      <c r="E364" s="113">
        <v>0</v>
      </c>
      <c r="F364" s="113">
        <v>0</v>
      </c>
      <c r="G364" s="113">
        <v>0</v>
      </c>
      <c r="H364">
        <v>0</v>
      </c>
      <c r="I364" s="175">
        <v>0</v>
      </c>
      <c r="J364" s="113">
        <v>0</v>
      </c>
      <c r="K364">
        <v>0</v>
      </c>
      <c r="L364">
        <v>0</v>
      </c>
      <c r="M364">
        <v>0</v>
      </c>
      <c r="N364">
        <v>0</v>
      </c>
      <c r="O364" s="1">
        <v>0</v>
      </c>
      <c r="P364" s="138">
        <v>0</v>
      </c>
      <c r="Q364" s="1">
        <v>0</v>
      </c>
      <c r="R364" s="95">
        <f>CHOOSE($D$4,D364,E364,F364,G364,H364,I364,J364,K364,L364,M364,N364,O364,P364,101-B364)+0.000001*ROWS($A$20:A364)</f>
        <v>3.4499999999999998E-4</v>
      </c>
      <c r="S364" s="4">
        <f t="shared" si="37"/>
        <v>268</v>
      </c>
      <c r="T364" s="4"/>
      <c r="U364" s="14">
        <f>ROWS($U$20:U364)</f>
        <v>345</v>
      </c>
      <c r="V364" s="4">
        <v>0</v>
      </c>
      <c r="W364" s="4">
        <v>0</v>
      </c>
      <c r="X364" s="94">
        <v>0</v>
      </c>
      <c r="Y364" s="94">
        <v>0</v>
      </c>
      <c r="Z364" s="94">
        <v>0</v>
      </c>
      <c r="AA364" s="94">
        <v>0</v>
      </c>
      <c r="AB364" s="4">
        <v>0</v>
      </c>
      <c r="AC364" s="94">
        <v>0</v>
      </c>
      <c r="AD364" s="94">
        <v>0</v>
      </c>
      <c r="AE364" s="4">
        <v>0</v>
      </c>
      <c r="AF364" s="4">
        <v>0</v>
      </c>
      <c r="AG364" s="4">
        <v>0</v>
      </c>
      <c r="AH364" s="4">
        <v>0</v>
      </c>
      <c r="AI364" s="4">
        <v>0</v>
      </c>
      <c r="AJ364" s="139">
        <v>0</v>
      </c>
      <c r="AK364" s="94">
        <v>0</v>
      </c>
      <c r="AL364" s="162">
        <v>0</v>
      </c>
      <c r="AM364" s="162">
        <v>0</v>
      </c>
      <c r="AN364" s="162">
        <v>0</v>
      </c>
      <c r="AO364" s="162">
        <v>0</v>
      </c>
      <c r="AP364" s="17">
        <v>0</v>
      </c>
      <c r="AQ364" s="162">
        <v>0</v>
      </c>
      <c r="AR364" s="162">
        <v>0</v>
      </c>
      <c r="AS364" s="17" t="str">
        <v/>
      </c>
      <c r="AT364" s="17">
        <v>0</v>
      </c>
      <c r="AU364" s="17">
        <v>0</v>
      </c>
      <c r="AV364" s="17">
        <v>0</v>
      </c>
      <c r="AW364" s="17">
        <v>0</v>
      </c>
      <c r="AX364" s="4">
        <v>71.111111111111114</v>
      </c>
      <c r="AY364" s="4">
        <v>53.846153846153854</v>
      </c>
      <c r="BD364" s="159" t="e">
        <v>#N/A</v>
      </c>
      <c r="BE364" s="159" t="e">
        <v>#N/A</v>
      </c>
      <c r="BF364" s="159" t="e">
        <v>#N/A</v>
      </c>
      <c r="BG364" s="159" t="e">
        <v>#N/A</v>
      </c>
      <c r="BH364" s="14" t="e">
        <v>#N/A</v>
      </c>
      <c r="BI364" s="159" t="e">
        <v>#N/A</v>
      </c>
      <c r="BJ364" s="159" t="e">
        <v>#N/A</v>
      </c>
      <c r="BK364" s="14" t="e">
        <v>#N/A</v>
      </c>
      <c r="BL364" s="14" t="e">
        <v>#N/A</v>
      </c>
      <c r="BM364" s="14" t="e">
        <v>#N/A</v>
      </c>
      <c r="BN364" s="14" t="e">
        <v>#N/A</v>
      </c>
      <c r="BO364" s="14" t="e">
        <v>#N/A</v>
      </c>
      <c r="BP364" s="182" t="e">
        <v>#N/A</v>
      </c>
      <c r="BQ364" s="183" t="e">
        <v>#N/A</v>
      </c>
    </row>
    <row r="365" spans="2:69" x14ac:dyDescent="0.35">
      <c r="B365" s="1">
        <v>0</v>
      </c>
      <c r="C365">
        <v>0</v>
      </c>
      <c r="D365" s="113">
        <v>0</v>
      </c>
      <c r="E365" s="113">
        <v>0</v>
      </c>
      <c r="F365" s="113">
        <v>0</v>
      </c>
      <c r="G365" s="113">
        <v>0</v>
      </c>
      <c r="H365">
        <v>0</v>
      </c>
      <c r="I365" s="175">
        <v>0</v>
      </c>
      <c r="J365" s="113">
        <v>0</v>
      </c>
      <c r="K365">
        <v>0</v>
      </c>
      <c r="L365">
        <v>0</v>
      </c>
      <c r="M365">
        <v>0</v>
      </c>
      <c r="N365">
        <v>0</v>
      </c>
      <c r="O365" s="1">
        <v>0</v>
      </c>
      <c r="P365" s="138">
        <v>0</v>
      </c>
      <c r="Q365" s="1">
        <v>0</v>
      </c>
      <c r="R365" s="95">
        <f>CHOOSE($D$4,D365,E365,F365,G365,H365,I365,J365,K365,L365,M365,N365,O365,P365,101-B365)+0.000001*ROWS($A$20:A365)</f>
        <v>3.4600000000000001E-4</v>
      </c>
      <c r="S365" s="4">
        <f t="shared" si="37"/>
        <v>267</v>
      </c>
      <c r="T365" s="4"/>
      <c r="U365" s="14">
        <f>ROWS($U$20:U365)</f>
        <v>346</v>
      </c>
      <c r="V365" s="4">
        <v>0</v>
      </c>
      <c r="W365" s="4">
        <v>0</v>
      </c>
      <c r="X365" s="94">
        <v>0</v>
      </c>
      <c r="Y365" s="94">
        <v>0</v>
      </c>
      <c r="Z365" s="94">
        <v>0</v>
      </c>
      <c r="AA365" s="94">
        <v>0</v>
      </c>
      <c r="AB365" s="4">
        <v>0</v>
      </c>
      <c r="AC365" s="94">
        <v>0</v>
      </c>
      <c r="AD365" s="94">
        <v>0</v>
      </c>
      <c r="AE365" s="4">
        <v>0</v>
      </c>
      <c r="AF365" s="4">
        <v>0</v>
      </c>
      <c r="AG365" s="4">
        <v>0</v>
      </c>
      <c r="AH365" s="4">
        <v>0</v>
      </c>
      <c r="AI365" s="4">
        <v>0</v>
      </c>
      <c r="AJ365" s="139">
        <v>0</v>
      </c>
      <c r="AK365" s="94">
        <v>0</v>
      </c>
      <c r="AL365" s="162">
        <v>0</v>
      </c>
      <c r="AM365" s="162">
        <v>0</v>
      </c>
      <c r="AN365" s="162">
        <v>0</v>
      </c>
      <c r="AO365" s="162">
        <v>0</v>
      </c>
      <c r="AP365" s="17">
        <v>0</v>
      </c>
      <c r="AQ365" s="162">
        <v>0</v>
      </c>
      <c r="AR365" s="162">
        <v>0</v>
      </c>
      <c r="AS365" s="17" t="str">
        <v/>
      </c>
      <c r="AT365" s="17">
        <v>0</v>
      </c>
      <c r="AU365" s="17">
        <v>0</v>
      </c>
      <c r="AV365" s="17">
        <v>0</v>
      </c>
      <c r="AW365" s="17">
        <v>0</v>
      </c>
      <c r="AX365" s="4">
        <v>71.111111111111114</v>
      </c>
      <c r="AY365" s="4">
        <v>53.846153846153854</v>
      </c>
      <c r="BD365" s="159" t="e">
        <v>#N/A</v>
      </c>
      <c r="BE365" s="159" t="e">
        <v>#N/A</v>
      </c>
      <c r="BF365" s="159" t="e">
        <v>#N/A</v>
      </c>
      <c r="BG365" s="159" t="e">
        <v>#N/A</v>
      </c>
      <c r="BH365" s="14" t="e">
        <v>#N/A</v>
      </c>
      <c r="BI365" s="159" t="e">
        <v>#N/A</v>
      </c>
      <c r="BJ365" s="159" t="e">
        <v>#N/A</v>
      </c>
      <c r="BK365" s="14" t="e">
        <v>#N/A</v>
      </c>
      <c r="BL365" s="14" t="e">
        <v>#N/A</v>
      </c>
      <c r="BM365" s="14" t="e">
        <v>#N/A</v>
      </c>
      <c r="BN365" s="14" t="e">
        <v>#N/A</v>
      </c>
      <c r="BO365" s="14" t="e">
        <v>#N/A</v>
      </c>
      <c r="BP365" s="182" t="e">
        <v>#N/A</v>
      </c>
      <c r="BQ365" s="183" t="e">
        <v>#N/A</v>
      </c>
    </row>
    <row r="366" spans="2:69" x14ac:dyDescent="0.35">
      <c r="B366" s="1">
        <v>0</v>
      </c>
      <c r="C366">
        <v>0</v>
      </c>
      <c r="D366" s="113">
        <v>0</v>
      </c>
      <c r="E366" s="113">
        <v>0</v>
      </c>
      <c r="F366" s="113">
        <v>0</v>
      </c>
      <c r="G366" s="113">
        <v>0</v>
      </c>
      <c r="H366">
        <v>0</v>
      </c>
      <c r="I366" s="175">
        <v>0</v>
      </c>
      <c r="J366" s="113">
        <v>0</v>
      </c>
      <c r="K366">
        <v>0</v>
      </c>
      <c r="L366">
        <v>0</v>
      </c>
      <c r="M366">
        <v>0</v>
      </c>
      <c r="N366">
        <v>0</v>
      </c>
      <c r="O366" s="1">
        <v>0</v>
      </c>
      <c r="P366" s="138">
        <v>0</v>
      </c>
      <c r="Q366" s="1">
        <v>0</v>
      </c>
      <c r="R366" s="95">
        <f>CHOOSE($D$4,D366,E366,F366,G366,H366,I366,J366,K366,L366,M366,N366,O366,P366,101-B366)+0.000001*ROWS($A$20:A366)</f>
        <v>3.4699999999999998E-4</v>
      </c>
      <c r="S366" s="4">
        <f t="shared" si="37"/>
        <v>266</v>
      </c>
      <c r="T366" s="4"/>
      <c r="U366" s="14">
        <f>ROWS($U$20:U366)</f>
        <v>347</v>
      </c>
      <c r="V366" s="4">
        <v>0</v>
      </c>
      <c r="W366" s="4">
        <v>0</v>
      </c>
      <c r="X366" s="94">
        <v>0</v>
      </c>
      <c r="Y366" s="94">
        <v>0</v>
      </c>
      <c r="Z366" s="94">
        <v>0</v>
      </c>
      <c r="AA366" s="94">
        <v>0</v>
      </c>
      <c r="AB366" s="4">
        <v>0</v>
      </c>
      <c r="AC366" s="94">
        <v>0</v>
      </c>
      <c r="AD366" s="94">
        <v>0</v>
      </c>
      <c r="AE366" s="4">
        <v>0</v>
      </c>
      <c r="AF366" s="4">
        <v>0</v>
      </c>
      <c r="AG366" s="4">
        <v>0</v>
      </c>
      <c r="AH366" s="4">
        <v>0</v>
      </c>
      <c r="AI366" s="4">
        <v>0</v>
      </c>
      <c r="AJ366" s="139">
        <v>0</v>
      </c>
      <c r="AK366" s="94">
        <v>0</v>
      </c>
      <c r="AL366" s="162">
        <v>0</v>
      </c>
      <c r="AM366" s="162">
        <v>0</v>
      </c>
      <c r="AN366" s="162">
        <v>0</v>
      </c>
      <c r="AO366" s="162">
        <v>0</v>
      </c>
      <c r="AP366" s="17">
        <v>0</v>
      </c>
      <c r="AQ366" s="162">
        <v>0</v>
      </c>
      <c r="AR366" s="162">
        <v>0</v>
      </c>
      <c r="AS366" s="17" t="str">
        <v/>
      </c>
      <c r="AT366" s="17">
        <v>0</v>
      </c>
      <c r="AU366" s="17">
        <v>0</v>
      </c>
      <c r="AV366" s="17">
        <v>0</v>
      </c>
      <c r="AW366" s="17">
        <v>0</v>
      </c>
      <c r="AX366" s="4">
        <v>71.111111111111114</v>
      </c>
      <c r="AY366" s="4">
        <v>53.846153846153854</v>
      </c>
      <c r="BD366" s="159" t="e">
        <v>#N/A</v>
      </c>
      <c r="BE366" s="159" t="e">
        <v>#N/A</v>
      </c>
      <c r="BF366" s="159" t="e">
        <v>#N/A</v>
      </c>
      <c r="BG366" s="159" t="e">
        <v>#N/A</v>
      </c>
      <c r="BH366" s="14" t="e">
        <v>#N/A</v>
      </c>
      <c r="BI366" s="159" t="e">
        <v>#N/A</v>
      </c>
      <c r="BJ366" s="159" t="e">
        <v>#N/A</v>
      </c>
      <c r="BK366" s="14" t="e">
        <v>#N/A</v>
      </c>
      <c r="BL366" s="14" t="e">
        <v>#N/A</v>
      </c>
      <c r="BM366" s="14" t="e">
        <v>#N/A</v>
      </c>
      <c r="BN366" s="14" t="e">
        <v>#N/A</v>
      </c>
      <c r="BO366" s="14" t="e">
        <v>#N/A</v>
      </c>
      <c r="BP366" s="182" t="e">
        <v>#N/A</v>
      </c>
      <c r="BQ366" s="183" t="e">
        <v>#N/A</v>
      </c>
    </row>
    <row r="367" spans="2:69" x14ac:dyDescent="0.35">
      <c r="B367" s="1">
        <v>0</v>
      </c>
      <c r="C367">
        <v>0</v>
      </c>
      <c r="D367" s="113">
        <v>0</v>
      </c>
      <c r="E367" s="113">
        <v>0</v>
      </c>
      <c r="F367" s="113">
        <v>0</v>
      </c>
      <c r="G367" s="113">
        <v>0</v>
      </c>
      <c r="H367">
        <v>0</v>
      </c>
      <c r="I367" s="175">
        <v>0</v>
      </c>
      <c r="J367" s="113">
        <v>0</v>
      </c>
      <c r="K367">
        <v>0</v>
      </c>
      <c r="L367">
        <v>0</v>
      </c>
      <c r="M367">
        <v>0</v>
      </c>
      <c r="N367">
        <v>0</v>
      </c>
      <c r="O367" s="1">
        <v>0</v>
      </c>
      <c r="P367" s="138">
        <v>0</v>
      </c>
      <c r="Q367" s="1">
        <v>0</v>
      </c>
      <c r="R367" s="95">
        <f>CHOOSE($D$4,D367,E367,F367,G367,H367,I367,J367,K367,L367,M367,N367,O367,P367,101-B367)+0.000001*ROWS($A$20:A367)</f>
        <v>3.48E-4</v>
      </c>
      <c r="S367" s="4">
        <f t="shared" si="37"/>
        <v>265</v>
      </c>
      <c r="T367" s="4"/>
      <c r="U367" s="14">
        <f>ROWS($U$20:U367)</f>
        <v>348</v>
      </c>
      <c r="V367" s="4">
        <v>0</v>
      </c>
      <c r="W367" s="4">
        <v>0</v>
      </c>
      <c r="X367" s="94">
        <v>0</v>
      </c>
      <c r="Y367" s="94">
        <v>0</v>
      </c>
      <c r="Z367" s="94">
        <v>0</v>
      </c>
      <c r="AA367" s="94">
        <v>0</v>
      </c>
      <c r="AB367" s="4">
        <v>0</v>
      </c>
      <c r="AC367" s="94">
        <v>0</v>
      </c>
      <c r="AD367" s="94">
        <v>0</v>
      </c>
      <c r="AE367" s="4">
        <v>0</v>
      </c>
      <c r="AF367" s="4">
        <v>0</v>
      </c>
      <c r="AG367" s="4">
        <v>0</v>
      </c>
      <c r="AH367" s="4">
        <v>0</v>
      </c>
      <c r="AI367" s="4">
        <v>0</v>
      </c>
      <c r="AJ367" s="139">
        <v>0</v>
      </c>
      <c r="AK367" s="94">
        <v>0</v>
      </c>
      <c r="AL367" s="162">
        <v>0</v>
      </c>
      <c r="AM367" s="162">
        <v>0</v>
      </c>
      <c r="AN367" s="162">
        <v>0</v>
      </c>
      <c r="AO367" s="162">
        <v>0</v>
      </c>
      <c r="AP367" s="17">
        <v>0</v>
      </c>
      <c r="AQ367" s="162">
        <v>0</v>
      </c>
      <c r="AR367" s="162">
        <v>0</v>
      </c>
      <c r="AS367" s="17" t="str">
        <v/>
      </c>
      <c r="AT367" s="17">
        <v>0</v>
      </c>
      <c r="AU367" s="17">
        <v>0</v>
      </c>
      <c r="AV367" s="17">
        <v>0</v>
      </c>
      <c r="AW367" s="17">
        <v>0</v>
      </c>
      <c r="AX367" s="4">
        <v>71.111111111111114</v>
      </c>
      <c r="AY367" s="4">
        <v>53.846153846153854</v>
      </c>
      <c r="BD367" s="159" t="e">
        <v>#N/A</v>
      </c>
      <c r="BE367" s="159" t="e">
        <v>#N/A</v>
      </c>
      <c r="BF367" s="159" t="e">
        <v>#N/A</v>
      </c>
      <c r="BG367" s="159" t="e">
        <v>#N/A</v>
      </c>
      <c r="BH367" s="14" t="e">
        <v>#N/A</v>
      </c>
      <c r="BI367" s="159" t="e">
        <v>#N/A</v>
      </c>
      <c r="BJ367" s="159" t="e">
        <v>#N/A</v>
      </c>
      <c r="BK367" s="14" t="e">
        <v>#N/A</v>
      </c>
      <c r="BL367" s="14" t="e">
        <v>#N/A</v>
      </c>
      <c r="BM367" s="14" t="e">
        <v>#N/A</v>
      </c>
      <c r="BN367" s="14" t="e">
        <v>#N/A</v>
      </c>
      <c r="BO367" s="14" t="e">
        <v>#N/A</v>
      </c>
      <c r="BP367" s="182" t="e">
        <v>#N/A</v>
      </c>
      <c r="BQ367" s="183" t="e">
        <v>#N/A</v>
      </c>
    </row>
    <row r="368" spans="2:69" x14ac:dyDescent="0.35">
      <c r="B368" s="1">
        <v>0</v>
      </c>
      <c r="C368">
        <v>0</v>
      </c>
      <c r="D368" s="113">
        <v>0</v>
      </c>
      <c r="E368" s="113">
        <v>0</v>
      </c>
      <c r="F368" s="113">
        <v>0</v>
      </c>
      <c r="G368" s="113">
        <v>0</v>
      </c>
      <c r="H368">
        <v>0</v>
      </c>
      <c r="I368" s="175">
        <v>0</v>
      </c>
      <c r="J368" s="113">
        <v>0</v>
      </c>
      <c r="K368">
        <v>0</v>
      </c>
      <c r="L368">
        <v>0</v>
      </c>
      <c r="M368">
        <v>0</v>
      </c>
      <c r="N368">
        <v>0</v>
      </c>
      <c r="O368" s="1">
        <v>0</v>
      </c>
      <c r="P368" s="138">
        <v>0</v>
      </c>
      <c r="Q368" s="1">
        <v>0</v>
      </c>
      <c r="R368" s="95">
        <f>CHOOSE($D$4,D368,E368,F368,G368,H368,I368,J368,K368,L368,M368,N368,O368,P368,101-B368)+0.000001*ROWS($A$20:A368)</f>
        <v>3.4899999999999997E-4</v>
      </c>
      <c r="S368" s="4">
        <f t="shared" si="37"/>
        <v>264</v>
      </c>
      <c r="T368" s="4"/>
      <c r="U368" s="14">
        <f>ROWS($U$20:U368)</f>
        <v>349</v>
      </c>
      <c r="V368" s="4">
        <v>0</v>
      </c>
      <c r="W368" s="4">
        <v>0</v>
      </c>
      <c r="X368" s="94">
        <v>0</v>
      </c>
      <c r="Y368" s="94">
        <v>0</v>
      </c>
      <c r="Z368" s="94">
        <v>0</v>
      </c>
      <c r="AA368" s="94">
        <v>0</v>
      </c>
      <c r="AB368" s="4">
        <v>0</v>
      </c>
      <c r="AC368" s="94">
        <v>0</v>
      </c>
      <c r="AD368" s="94">
        <v>0</v>
      </c>
      <c r="AE368" s="4">
        <v>0</v>
      </c>
      <c r="AF368" s="4">
        <v>0</v>
      </c>
      <c r="AG368" s="4">
        <v>0</v>
      </c>
      <c r="AH368" s="4">
        <v>0</v>
      </c>
      <c r="AI368" s="4">
        <v>0</v>
      </c>
      <c r="AJ368" s="139">
        <v>0</v>
      </c>
      <c r="AK368" s="94">
        <v>0</v>
      </c>
      <c r="AL368" s="162">
        <v>0</v>
      </c>
      <c r="AM368" s="162">
        <v>0</v>
      </c>
      <c r="AN368" s="162">
        <v>0</v>
      </c>
      <c r="AO368" s="162">
        <v>0</v>
      </c>
      <c r="AP368" s="17">
        <v>0</v>
      </c>
      <c r="AQ368" s="162">
        <v>0</v>
      </c>
      <c r="AR368" s="162">
        <v>0</v>
      </c>
      <c r="AS368" s="17" t="str">
        <v/>
      </c>
      <c r="AT368" s="17">
        <v>0</v>
      </c>
      <c r="AU368" s="17">
        <v>0</v>
      </c>
      <c r="AV368" s="17">
        <v>0</v>
      </c>
      <c r="AW368" s="17">
        <v>0</v>
      </c>
      <c r="AX368" s="4">
        <v>71.111111111111114</v>
      </c>
      <c r="AY368" s="4">
        <v>53.846153846153854</v>
      </c>
      <c r="BD368" s="159" t="e">
        <v>#N/A</v>
      </c>
      <c r="BE368" s="159" t="e">
        <v>#N/A</v>
      </c>
      <c r="BF368" s="159" t="e">
        <v>#N/A</v>
      </c>
      <c r="BG368" s="159" t="e">
        <v>#N/A</v>
      </c>
      <c r="BH368" s="14" t="e">
        <v>#N/A</v>
      </c>
      <c r="BI368" s="159" t="e">
        <v>#N/A</v>
      </c>
      <c r="BJ368" s="159" t="e">
        <v>#N/A</v>
      </c>
      <c r="BK368" s="14" t="e">
        <v>#N/A</v>
      </c>
      <c r="BL368" s="14" t="e">
        <v>#N/A</v>
      </c>
      <c r="BM368" s="14" t="e">
        <v>#N/A</v>
      </c>
      <c r="BN368" s="14" t="e">
        <v>#N/A</v>
      </c>
      <c r="BO368" s="14" t="e">
        <v>#N/A</v>
      </c>
      <c r="BP368" s="182" t="e">
        <v>#N/A</v>
      </c>
      <c r="BQ368" s="183" t="e">
        <v>#N/A</v>
      </c>
    </row>
    <row r="369" spans="2:69" x14ac:dyDescent="0.35">
      <c r="B369" s="1">
        <v>0</v>
      </c>
      <c r="C369">
        <v>0</v>
      </c>
      <c r="D369" s="113">
        <v>0</v>
      </c>
      <c r="E369" s="113">
        <v>0</v>
      </c>
      <c r="F369" s="113">
        <v>0</v>
      </c>
      <c r="G369" s="113">
        <v>0</v>
      </c>
      <c r="H369">
        <v>0</v>
      </c>
      <c r="I369" s="175">
        <v>0</v>
      </c>
      <c r="J369" s="113">
        <v>0</v>
      </c>
      <c r="K369">
        <v>0</v>
      </c>
      <c r="L369">
        <v>0</v>
      </c>
      <c r="M369">
        <v>0</v>
      </c>
      <c r="N369">
        <v>0</v>
      </c>
      <c r="O369" s="1">
        <v>0</v>
      </c>
      <c r="P369" s="138">
        <v>0</v>
      </c>
      <c r="Q369" s="1">
        <v>0</v>
      </c>
      <c r="R369" s="95">
        <f>CHOOSE($D$4,D369,E369,F369,G369,H369,I369,J369,K369,L369,M369,N369,O369,P369,101-B369)+0.000001*ROWS($A$20:A369)</f>
        <v>3.5E-4</v>
      </c>
      <c r="S369" s="4">
        <f t="shared" si="37"/>
        <v>263</v>
      </c>
      <c r="T369" s="4"/>
      <c r="U369" s="14">
        <f>ROWS($U$20:U369)</f>
        <v>350</v>
      </c>
      <c r="V369" s="4">
        <v>0</v>
      </c>
      <c r="W369" s="4">
        <v>0</v>
      </c>
      <c r="X369" s="94">
        <v>0</v>
      </c>
      <c r="Y369" s="94">
        <v>0</v>
      </c>
      <c r="Z369" s="94">
        <v>0</v>
      </c>
      <c r="AA369" s="94">
        <v>0</v>
      </c>
      <c r="AB369" s="4">
        <v>0</v>
      </c>
      <c r="AC369" s="94">
        <v>0</v>
      </c>
      <c r="AD369" s="94">
        <v>0</v>
      </c>
      <c r="AE369" s="4">
        <v>0</v>
      </c>
      <c r="AF369" s="4">
        <v>0</v>
      </c>
      <c r="AG369" s="4">
        <v>0</v>
      </c>
      <c r="AH369" s="4">
        <v>0</v>
      </c>
      <c r="AI369" s="4">
        <v>0</v>
      </c>
      <c r="AJ369" s="139">
        <v>0</v>
      </c>
      <c r="AK369" s="94">
        <v>0</v>
      </c>
      <c r="AL369" s="162">
        <v>0</v>
      </c>
      <c r="AM369" s="162">
        <v>0</v>
      </c>
      <c r="AN369" s="162">
        <v>0</v>
      </c>
      <c r="AO369" s="162">
        <v>0</v>
      </c>
      <c r="AP369" s="17">
        <v>0</v>
      </c>
      <c r="AQ369" s="162">
        <v>0</v>
      </c>
      <c r="AR369" s="162">
        <v>0</v>
      </c>
      <c r="AS369" s="17" t="str">
        <v/>
      </c>
      <c r="AT369" s="17">
        <v>0</v>
      </c>
      <c r="AU369" s="17">
        <v>0</v>
      </c>
      <c r="AV369" s="17">
        <v>0</v>
      </c>
      <c r="AW369" s="17">
        <v>0</v>
      </c>
      <c r="AX369" s="4">
        <v>71.111111111111114</v>
      </c>
      <c r="AY369" s="4">
        <v>53.846153846153854</v>
      </c>
      <c r="BD369" s="159" t="e">
        <v>#N/A</v>
      </c>
      <c r="BE369" s="159" t="e">
        <v>#N/A</v>
      </c>
      <c r="BF369" s="159" t="e">
        <v>#N/A</v>
      </c>
      <c r="BG369" s="159" t="e">
        <v>#N/A</v>
      </c>
      <c r="BH369" s="14" t="e">
        <v>#N/A</v>
      </c>
      <c r="BI369" s="159" t="e">
        <v>#N/A</v>
      </c>
      <c r="BJ369" s="159" t="e">
        <v>#N/A</v>
      </c>
      <c r="BK369" s="14" t="e">
        <v>#N/A</v>
      </c>
      <c r="BL369" s="14" t="e">
        <v>#N/A</v>
      </c>
      <c r="BM369" s="14" t="e">
        <v>#N/A</v>
      </c>
      <c r="BN369" s="14" t="e">
        <v>#N/A</v>
      </c>
      <c r="BO369" s="14" t="e">
        <v>#N/A</v>
      </c>
      <c r="BP369" s="182" t="e">
        <v>#N/A</v>
      </c>
      <c r="BQ369" s="183" t="e">
        <v>#N/A</v>
      </c>
    </row>
    <row r="370" spans="2:69" x14ac:dyDescent="0.35">
      <c r="B370" s="1">
        <v>0</v>
      </c>
      <c r="C370">
        <v>0</v>
      </c>
      <c r="D370" s="113">
        <v>0</v>
      </c>
      <c r="E370" s="113">
        <v>0</v>
      </c>
      <c r="F370" s="113">
        <v>0</v>
      </c>
      <c r="G370" s="113">
        <v>0</v>
      </c>
      <c r="H370">
        <v>0</v>
      </c>
      <c r="I370" s="175">
        <v>0</v>
      </c>
      <c r="J370" s="113">
        <v>0</v>
      </c>
      <c r="K370">
        <v>0</v>
      </c>
      <c r="L370">
        <v>0</v>
      </c>
      <c r="M370">
        <v>0</v>
      </c>
      <c r="N370">
        <v>0</v>
      </c>
      <c r="O370" s="1">
        <v>0</v>
      </c>
      <c r="P370" s="138">
        <v>0</v>
      </c>
      <c r="Q370" s="1">
        <v>0</v>
      </c>
      <c r="R370" s="95">
        <f>CHOOSE($D$4,D370,E370,F370,G370,H370,I370,J370,K370,L370,M370,N370,O370,P370,101-B370)+0.000001*ROWS($A$20:A370)</f>
        <v>3.5099999999999997E-4</v>
      </c>
      <c r="S370" s="4">
        <f t="shared" si="37"/>
        <v>262</v>
      </c>
      <c r="T370" s="4"/>
      <c r="U370" s="14">
        <f>ROWS($U$20:U370)</f>
        <v>351</v>
      </c>
      <c r="V370" s="4">
        <v>0</v>
      </c>
      <c r="W370" s="4">
        <v>0</v>
      </c>
      <c r="X370" s="94">
        <v>0</v>
      </c>
      <c r="Y370" s="94">
        <v>0</v>
      </c>
      <c r="Z370" s="94">
        <v>0</v>
      </c>
      <c r="AA370" s="94">
        <v>0</v>
      </c>
      <c r="AB370" s="4">
        <v>0</v>
      </c>
      <c r="AC370" s="94">
        <v>0</v>
      </c>
      <c r="AD370" s="94">
        <v>0</v>
      </c>
      <c r="AE370" s="4">
        <v>0</v>
      </c>
      <c r="AF370" s="4">
        <v>0</v>
      </c>
      <c r="AG370" s="4">
        <v>0</v>
      </c>
      <c r="AH370" s="4">
        <v>0</v>
      </c>
      <c r="AI370" s="4">
        <v>0</v>
      </c>
      <c r="AJ370" s="139">
        <v>0</v>
      </c>
      <c r="AK370" s="94">
        <v>0</v>
      </c>
      <c r="AL370" s="162">
        <v>0</v>
      </c>
      <c r="AM370" s="162">
        <v>0</v>
      </c>
      <c r="AN370" s="162">
        <v>0</v>
      </c>
      <c r="AO370" s="162">
        <v>0</v>
      </c>
      <c r="AP370" s="17">
        <v>0</v>
      </c>
      <c r="AQ370" s="162">
        <v>0</v>
      </c>
      <c r="AR370" s="162">
        <v>0</v>
      </c>
      <c r="AS370" s="17" t="str">
        <v/>
      </c>
      <c r="AT370" s="17">
        <v>0</v>
      </c>
      <c r="AU370" s="17">
        <v>0</v>
      </c>
      <c r="AV370" s="17">
        <v>0</v>
      </c>
      <c r="AW370" s="17">
        <v>0</v>
      </c>
      <c r="AX370" s="4">
        <v>71.111111111111114</v>
      </c>
      <c r="AY370" s="4">
        <v>53.846153846153854</v>
      </c>
      <c r="BD370" s="159" t="e">
        <v>#N/A</v>
      </c>
      <c r="BE370" s="159" t="e">
        <v>#N/A</v>
      </c>
      <c r="BF370" s="159" t="e">
        <v>#N/A</v>
      </c>
      <c r="BG370" s="159" t="e">
        <v>#N/A</v>
      </c>
      <c r="BH370" s="14" t="e">
        <v>#N/A</v>
      </c>
      <c r="BI370" s="159" t="e">
        <v>#N/A</v>
      </c>
      <c r="BJ370" s="159" t="e">
        <v>#N/A</v>
      </c>
      <c r="BK370" s="14" t="e">
        <v>#N/A</v>
      </c>
      <c r="BL370" s="14" t="e">
        <v>#N/A</v>
      </c>
      <c r="BM370" s="14" t="e">
        <v>#N/A</v>
      </c>
      <c r="BN370" s="14" t="e">
        <v>#N/A</v>
      </c>
      <c r="BO370" s="14" t="e">
        <v>#N/A</v>
      </c>
      <c r="BP370" s="182" t="e">
        <v>#N/A</v>
      </c>
      <c r="BQ370" s="183" t="e">
        <v>#N/A</v>
      </c>
    </row>
    <row r="371" spans="2:69" x14ac:dyDescent="0.35">
      <c r="B371" s="1">
        <v>0</v>
      </c>
      <c r="C371">
        <v>0</v>
      </c>
      <c r="D371" s="113">
        <v>0</v>
      </c>
      <c r="E371" s="113">
        <v>0</v>
      </c>
      <c r="F371" s="113">
        <v>0</v>
      </c>
      <c r="G371" s="113">
        <v>0</v>
      </c>
      <c r="H371">
        <v>0</v>
      </c>
      <c r="I371" s="175">
        <v>0</v>
      </c>
      <c r="J371" s="113">
        <v>0</v>
      </c>
      <c r="K371">
        <v>0</v>
      </c>
      <c r="L371">
        <v>0</v>
      </c>
      <c r="M371">
        <v>0</v>
      </c>
      <c r="N371">
        <v>0</v>
      </c>
      <c r="O371" s="1">
        <v>0</v>
      </c>
      <c r="P371" s="138">
        <v>0</v>
      </c>
      <c r="Q371" s="1">
        <v>0</v>
      </c>
      <c r="R371" s="95">
        <f>CHOOSE($D$4,D371,E371,F371,G371,H371,I371,J371,K371,L371,M371,N371,O371,P371,101-B371)+0.000001*ROWS($A$20:A371)</f>
        <v>3.5199999999999999E-4</v>
      </c>
      <c r="S371" s="4">
        <f t="shared" si="37"/>
        <v>261</v>
      </c>
      <c r="T371" s="4"/>
      <c r="U371" s="14">
        <f>ROWS($U$20:U371)</f>
        <v>352</v>
      </c>
      <c r="V371" s="4">
        <v>0</v>
      </c>
      <c r="W371" s="4">
        <v>0</v>
      </c>
      <c r="X371" s="94">
        <v>0</v>
      </c>
      <c r="Y371" s="94">
        <v>0</v>
      </c>
      <c r="Z371" s="94">
        <v>0</v>
      </c>
      <c r="AA371" s="94">
        <v>0</v>
      </c>
      <c r="AB371" s="4">
        <v>0</v>
      </c>
      <c r="AC371" s="94">
        <v>0</v>
      </c>
      <c r="AD371" s="94">
        <v>0</v>
      </c>
      <c r="AE371" s="4">
        <v>0</v>
      </c>
      <c r="AF371" s="4">
        <v>0</v>
      </c>
      <c r="AG371" s="4">
        <v>0</v>
      </c>
      <c r="AH371" s="4">
        <v>0</v>
      </c>
      <c r="AI371" s="4">
        <v>0</v>
      </c>
      <c r="AJ371" s="139">
        <v>0</v>
      </c>
      <c r="AK371" s="94">
        <v>0</v>
      </c>
      <c r="AL371" s="162">
        <v>0</v>
      </c>
      <c r="AM371" s="162">
        <v>0</v>
      </c>
      <c r="AN371" s="162">
        <v>0</v>
      </c>
      <c r="AO371" s="162">
        <v>0</v>
      </c>
      <c r="AP371" s="17">
        <v>0</v>
      </c>
      <c r="AQ371" s="162">
        <v>0</v>
      </c>
      <c r="AR371" s="162">
        <v>0</v>
      </c>
      <c r="AS371" s="17" t="str">
        <v/>
      </c>
      <c r="AT371" s="17">
        <v>0</v>
      </c>
      <c r="AU371" s="17">
        <v>0</v>
      </c>
      <c r="AV371" s="17">
        <v>0</v>
      </c>
      <c r="AW371" s="17">
        <v>0</v>
      </c>
      <c r="AX371" s="4">
        <v>71.111111111111114</v>
      </c>
      <c r="AY371" s="4">
        <v>53.846153846153854</v>
      </c>
      <c r="BD371" s="159" t="e">
        <v>#N/A</v>
      </c>
      <c r="BE371" s="159" t="e">
        <v>#N/A</v>
      </c>
      <c r="BF371" s="159" t="e">
        <v>#N/A</v>
      </c>
      <c r="BG371" s="159" t="e">
        <v>#N/A</v>
      </c>
      <c r="BH371" s="14" t="e">
        <v>#N/A</v>
      </c>
      <c r="BI371" s="159" t="e">
        <v>#N/A</v>
      </c>
      <c r="BJ371" s="159" t="e">
        <v>#N/A</v>
      </c>
      <c r="BK371" s="14" t="e">
        <v>#N/A</v>
      </c>
      <c r="BL371" s="14" t="e">
        <v>#N/A</v>
      </c>
      <c r="BM371" s="14" t="e">
        <v>#N/A</v>
      </c>
      <c r="BN371" s="14" t="e">
        <v>#N/A</v>
      </c>
      <c r="BO371" s="14" t="e">
        <v>#N/A</v>
      </c>
      <c r="BP371" s="182" t="e">
        <v>#N/A</v>
      </c>
      <c r="BQ371" s="183" t="e">
        <v>#N/A</v>
      </c>
    </row>
    <row r="372" spans="2:69" x14ac:dyDescent="0.35">
      <c r="B372" s="1">
        <v>0</v>
      </c>
      <c r="C372">
        <v>0</v>
      </c>
      <c r="D372" s="113">
        <v>0</v>
      </c>
      <c r="E372" s="113">
        <v>0</v>
      </c>
      <c r="F372" s="113">
        <v>0</v>
      </c>
      <c r="G372" s="113">
        <v>0</v>
      </c>
      <c r="H372">
        <v>0</v>
      </c>
      <c r="I372" s="175">
        <v>0</v>
      </c>
      <c r="J372" s="113">
        <v>0</v>
      </c>
      <c r="K372">
        <v>0</v>
      </c>
      <c r="L372">
        <v>0</v>
      </c>
      <c r="M372">
        <v>0</v>
      </c>
      <c r="N372">
        <v>0</v>
      </c>
      <c r="O372" s="1">
        <v>0</v>
      </c>
      <c r="P372" s="138">
        <v>0</v>
      </c>
      <c r="Q372" s="1">
        <v>0</v>
      </c>
      <c r="R372" s="95">
        <f>CHOOSE($D$4,D372,E372,F372,G372,H372,I372,J372,K372,L372,M372,N372,O372,P372,101-B372)+0.000001*ROWS($A$20:A372)</f>
        <v>3.5299999999999996E-4</v>
      </c>
      <c r="S372" s="4">
        <f t="shared" si="37"/>
        <v>260</v>
      </c>
      <c r="T372" s="4"/>
      <c r="U372" s="14">
        <f>ROWS($U$20:U372)</f>
        <v>353</v>
      </c>
      <c r="V372" s="4">
        <v>0</v>
      </c>
      <c r="W372" s="4">
        <v>0</v>
      </c>
      <c r="X372" s="94">
        <v>0</v>
      </c>
      <c r="Y372" s="94">
        <v>0</v>
      </c>
      <c r="Z372" s="94">
        <v>0</v>
      </c>
      <c r="AA372" s="94">
        <v>0</v>
      </c>
      <c r="AB372" s="4">
        <v>0</v>
      </c>
      <c r="AC372" s="94">
        <v>0</v>
      </c>
      <c r="AD372" s="94">
        <v>0</v>
      </c>
      <c r="AE372" s="4">
        <v>0</v>
      </c>
      <c r="AF372" s="4">
        <v>0</v>
      </c>
      <c r="AG372" s="4">
        <v>0</v>
      </c>
      <c r="AH372" s="4">
        <v>0</v>
      </c>
      <c r="AI372" s="4">
        <v>0</v>
      </c>
      <c r="AJ372" s="139">
        <v>0</v>
      </c>
      <c r="AK372" s="94">
        <v>0</v>
      </c>
      <c r="AL372" s="162">
        <v>0</v>
      </c>
      <c r="AM372" s="162">
        <v>0</v>
      </c>
      <c r="AN372" s="162">
        <v>0</v>
      </c>
      <c r="AO372" s="162">
        <v>0</v>
      </c>
      <c r="AP372" s="17">
        <v>0</v>
      </c>
      <c r="AQ372" s="162">
        <v>0</v>
      </c>
      <c r="AR372" s="162">
        <v>0</v>
      </c>
      <c r="AS372" s="17" t="str">
        <v/>
      </c>
      <c r="AT372" s="17">
        <v>0</v>
      </c>
      <c r="AU372" s="17">
        <v>0</v>
      </c>
      <c r="AV372" s="17">
        <v>0</v>
      </c>
      <c r="AW372" s="17">
        <v>0</v>
      </c>
      <c r="AX372" s="4">
        <v>71.111111111111114</v>
      </c>
      <c r="AY372" s="4">
        <v>53.846153846153854</v>
      </c>
      <c r="BD372" s="159" t="e">
        <v>#N/A</v>
      </c>
      <c r="BE372" s="159" t="e">
        <v>#N/A</v>
      </c>
      <c r="BF372" s="159" t="e">
        <v>#N/A</v>
      </c>
      <c r="BG372" s="159" t="e">
        <v>#N/A</v>
      </c>
      <c r="BH372" s="14" t="e">
        <v>#N/A</v>
      </c>
      <c r="BI372" s="159" t="e">
        <v>#N/A</v>
      </c>
      <c r="BJ372" s="159" t="e">
        <v>#N/A</v>
      </c>
      <c r="BK372" s="14" t="e">
        <v>#N/A</v>
      </c>
      <c r="BL372" s="14" t="e">
        <v>#N/A</v>
      </c>
      <c r="BM372" s="14" t="e">
        <v>#N/A</v>
      </c>
      <c r="BN372" s="14" t="e">
        <v>#N/A</v>
      </c>
      <c r="BO372" s="14" t="e">
        <v>#N/A</v>
      </c>
      <c r="BP372" s="182" t="e">
        <v>#N/A</v>
      </c>
      <c r="BQ372" s="183" t="e">
        <v>#N/A</v>
      </c>
    </row>
    <row r="373" spans="2:69" x14ac:dyDescent="0.35">
      <c r="B373" s="1">
        <v>0</v>
      </c>
      <c r="C373">
        <v>0</v>
      </c>
      <c r="D373" s="113">
        <v>0</v>
      </c>
      <c r="E373" s="113">
        <v>0</v>
      </c>
      <c r="F373" s="113">
        <v>0</v>
      </c>
      <c r="G373" s="113">
        <v>0</v>
      </c>
      <c r="H373">
        <v>0</v>
      </c>
      <c r="I373" s="175">
        <v>0</v>
      </c>
      <c r="J373" s="113">
        <v>0</v>
      </c>
      <c r="K373">
        <v>0</v>
      </c>
      <c r="L373">
        <v>0</v>
      </c>
      <c r="M373">
        <v>0</v>
      </c>
      <c r="N373">
        <v>0</v>
      </c>
      <c r="O373" s="1">
        <v>0</v>
      </c>
      <c r="P373" s="138">
        <v>0</v>
      </c>
      <c r="Q373" s="1">
        <v>0</v>
      </c>
      <c r="R373" s="95">
        <f>CHOOSE($D$4,D373,E373,F373,G373,H373,I373,J373,K373,L373,M373,N373,O373,P373,101-B373)+0.000001*ROWS($A$20:A373)</f>
        <v>3.5399999999999999E-4</v>
      </c>
      <c r="S373" s="4">
        <f t="shared" si="37"/>
        <v>259</v>
      </c>
      <c r="T373" s="4"/>
      <c r="U373" s="14">
        <f>ROWS($U$20:U373)</f>
        <v>354</v>
      </c>
      <c r="V373" s="4">
        <v>0</v>
      </c>
      <c r="W373" s="4">
        <v>0</v>
      </c>
      <c r="X373" s="94">
        <v>0</v>
      </c>
      <c r="Y373" s="94">
        <v>0</v>
      </c>
      <c r="Z373" s="94">
        <v>0</v>
      </c>
      <c r="AA373" s="94">
        <v>0</v>
      </c>
      <c r="AB373" s="4">
        <v>0</v>
      </c>
      <c r="AC373" s="94">
        <v>0</v>
      </c>
      <c r="AD373" s="94">
        <v>0</v>
      </c>
      <c r="AE373" s="4">
        <v>0</v>
      </c>
      <c r="AF373" s="4">
        <v>0</v>
      </c>
      <c r="AG373" s="4">
        <v>0</v>
      </c>
      <c r="AH373" s="4">
        <v>0</v>
      </c>
      <c r="AI373" s="4">
        <v>0</v>
      </c>
      <c r="AJ373" s="139">
        <v>0</v>
      </c>
      <c r="AK373" s="94">
        <v>0</v>
      </c>
      <c r="AL373" s="162">
        <v>0</v>
      </c>
      <c r="AM373" s="162">
        <v>0</v>
      </c>
      <c r="AN373" s="162">
        <v>0</v>
      </c>
      <c r="AO373" s="162">
        <v>0</v>
      </c>
      <c r="AP373" s="17">
        <v>0</v>
      </c>
      <c r="AQ373" s="162">
        <v>0</v>
      </c>
      <c r="AR373" s="162">
        <v>0</v>
      </c>
      <c r="AS373" s="17" t="str">
        <v/>
      </c>
      <c r="AT373" s="17">
        <v>0</v>
      </c>
      <c r="AU373" s="17">
        <v>0</v>
      </c>
      <c r="AV373" s="17">
        <v>0</v>
      </c>
      <c r="AW373" s="17">
        <v>0</v>
      </c>
      <c r="AX373" s="4">
        <v>71.111111111111114</v>
      </c>
      <c r="AY373" s="4">
        <v>53.846153846153854</v>
      </c>
      <c r="BD373" s="159" t="e">
        <v>#N/A</v>
      </c>
      <c r="BE373" s="159" t="e">
        <v>#N/A</v>
      </c>
      <c r="BF373" s="159" t="e">
        <v>#N/A</v>
      </c>
      <c r="BG373" s="159" t="e">
        <v>#N/A</v>
      </c>
      <c r="BH373" s="14" t="e">
        <v>#N/A</v>
      </c>
      <c r="BI373" s="159" t="e">
        <v>#N/A</v>
      </c>
      <c r="BJ373" s="159" t="e">
        <v>#N/A</v>
      </c>
      <c r="BK373" s="14" t="e">
        <v>#N/A</v>
      </c>
      <c r="BL373" s="14" t="e">
        <v>#N/A</v>
      </c>
      <c r="BM373" s="14" t="e">
        <v>#N/A</v>
      </c>
      <c r="BN373" s="14" t="e">
        <v>#N/A</v>
      </c>
      <c r="BO373" s="14" t="e">
        <v>#N/A</v>
      </c>
      <c r="BP373" s="182" t="e">
        <v>#N/A</v>
      </c>
      <c r="BQ373" s="183" t="e">
        <v>#N/A</v>
      </c>
    </row>
    <row r="374" spans="2:69" x14ac:dyDescent="0.35">
      <c r="B374" s="1">
        <v>0</v>
      </c>
      <c r="C374">
        <v>0</v>
      </c>
      <c r="D374" s="113">
        <v>0</v>
      </c>
      <c r="E374" s="113">
        <v>0</v>
      </c>
      <c r="F374" s="113">
        <v>0</v>
      </c>
      <c r="G374" s="113">
        <v>0</v>
      </c>
      <c r="H374">
        <v>0</v>
      </c>
      <c r="I374" s="113">
        <v>0</v>
      </c>
      <c r="J374" s="113">
        <v>0</v>
      </c>
      <c r="K374">
        <v>0</v>
      </c>
      <c r="L374">
        <v>0</v>
      </c>
      <c r="M374">
        <v>0</v>
      </c>
      <c r="N374">
        <v>0</v>
      </c>
      <c r="O374" s="1">
        <v>0</v>
      </c>
      <c r="P374" s="138">
        <v>0</v>
      </c>
      <c r="Q374" s="1">
        <v>0</v>
      </c>
      <c r="R374" s="95">
        <f>CHOOSE($D$4,D374,E374,F374,G374,H374,I374,J374,K374,L374,M374,N374,O374,P374,101-B374)+0.000001*ROWS($A$20:A374)</f>
        <v>3.5500000000000001E-4</v>
      </c>
      <c r="S374" s="4">
        <f t="shared" si="37"/>
        <v>258</v>
      </c>
      <c r="T374" s="4"/>
      <c r="U374" s="14">
        <f>ROWS($U$20:U374)</f>
        <v>355</v>
      </c>
      <c r="V374" s="4">
        <v>0</v>
      </c>
      <c r="W374" s="4">
        <v>0</v>
      </c>
      <c r="X374" s="94">
        <v>0</v>
      </c>
      <c r="Y374" s="94">
        <v>0</v>
      </c>
      <c r="Z374" s="94">
        <v>0</v>
      </c>
      <c r="AA374" s="94">
        <v>0</v>
      </c>
      <c r="AB374" s="4">
        <v>0</v>
      </c>
      <c r="AC374" s="94">
        <v>0</v>
      </c>
      <c r="AD374" s="94">
        <v>0</v>
      </c>
      <c r="AE374" s="4">
        <v>0</v>
      </c>
      <c r="AF374" s="4">
        <v>0</v>
      </c>
      <c r="AG374" s="4">
        <v>0</v>
      </c>
      <c r="AH374" s="4">
        <v>0</v>
      </c>
      <c r="AI374" s="4">
        <v>0</v>
      </c>
      <c r="AJ374" s="139">
        <v>0</v>
      </c>
      <c r="AK374" s="94">
        <v>0</v>
      </c>
      <c r="AL374" s="162">
        <v>0</v>
      </c>
      <c r="AM374" s="162">
        <v>0</v>
      </c>
      <c r="AN374" s="162">
        <v>0</v>
      </c>
      <c r="AO374" s="162">
        <v>0</v>
      </c>
      <c r="AP374" s="17">
        <v>0</v>
      </c>
      <c r="AQ374" s="162">
        <v>0</v>
      </c>
      <c r="AR374" s="162">
        <v>0</v>
      </c>
      <c r="AS374" s="17" t="str">
        <v/>
      </c>
      <c r="AT374" s="17">
        <v>0</v>
      </c>
      <c r="AU374" s="17">
        <v>0</v>
      </c>
      <c r="AV374" s="17">
        <v>0</v>
      </c>
      <c r="AW374" s="17">
        <v>0</v>
      </c>
      <c r="AX374" s="4">
        <v>71.111111111111114</v>
      </c>
      <c r="AY374" s="4">
        <v>53.846153846153854</v>
      </c>
      <c r="BD374" s="159" t="e">
        <v>#N/A</v>
      </c>
      <c r="BE374" s="159" t="e">
        <v>#N/A</v>
      </c>
      <c r="BF374" s="159" t="e">
        <v>#N/A</v>
      </c>
      <c r="BG374" s="159" t="e">
        <v>#N/A</v>
      </c>
      <c r="BH374" s="14" t="e">
        <v>#N/A</v>
      </c>
      <c r="BI374" s="159" t="e">
        <v>#N/A</v>
      </c>
      <c r="BJ374" s="159" t="e">
        <v>#N/A</v>
      </c>
      <c r="BK374" s="14" t="e">
        <v>#N/A</v>
      </c>
      <c r="BL374" s="14" t="e">
        <v>#N/A</v>
      </c>
      <c r="BM374" s="14" t="e">
        <v>#N/A</v>
      </c>
      <c r="BN374" s="14" t="e">
        <v>#N/A</v>
      </c>
      <c r="BO374" s="14" t="e">
        <v>#N/A</v>
      </c>
      <c r="BP374" s="182" t="e">
        <v>#N/A</v>
      </c>
      <c r="BQ374" s="183" t="e">
        <v>#N/A</v>
      </c>
    </row>
    <row r="375" spans="2:69" x14ac:dyDescent="0.35">
      <c r="B375" s="1">
        <v>0</v>
      </c>
      <c r="C375">
        <v>0</v>
      </c>
      <c r="D375" s="113">
        <v>0</v>
      </c>
      <c r="E375" s="113">
        <v>0</v>
      </c>
      <c r="F375" s="113">
        <v>0</v>
      </c>
      <c r="G375" s="113">
        <v>0</v>
      </c>
      <c r="H375">
        <v>0</v>
      </c>
      <c r="I375" s="113">
        <v>0</v>
      </c>
      <c r="J375" s="113">
        <v>0</v>
      </c>
      <c r="K375">
        <v>0</v>
      </c>
      <c r="L375">
        <v>0</v>
      </c>
      <c r="M375">
        <v>0</v>
      </c>
      <c r="N375">
        <v>0</v>
      </c>
      <c r="O375" s="1">
        <v>0</v>
      </c>
      <c r="P375" s="138">
        <v>0</v>
      </c>
      <c r="Q375" s="1">
        <v>0</v>
      </c>
      <c r="R375" s="95">
        <f>CHOOSE($D$4,D375,E375,F375,G375,H375,I375,J375,K375,L375,M375,N375,O375,P375,101-B375)+0.000001*ROWS($A$20:A375)</f>
        <v>3.5599999999999998E-4</v>
      </c>
      <c r="S375" s="4">
        <f t="shared" si="37"/>
        <v>257</v>
      </c>
      <c r="T375" s="4"/>
      <c r="U375" s="14">
        <f>ROWS($U$20:U375)</f>
        <v>356</v>
      </c>
      <c r="V375" s="4">
        <v>0</v>
      </c>
      <c r="W375" s="4">
        <v>0</v>
      </c>
      <c r="X375" s="94">
        <v>0</v>
      </c>
      <c r="Y375" s="94">
        <v>0</v>
      </c>
      <c r="Z375" s="94">
        <v>0</v>
      </c>
      <c r="AA375" s="94">
        <v>0</v>
      </c>
      <c r="AB375" s="4">
        <v>0</v>
      </c>
      <c r="AC375" s="94">
        <v>0</v>
      </c>
      <c r="AD375" s="94">
        <v>0</v>
      </c>
      <c r="AE375" s="4">
        <v>0</v>
      </c>
      <c r="AF375" s="4">
        <v>0</v>
      </c>
      <c r="AG375" s="4">
        <v>0</v>
      </c>
      <c r="AH375" s="4">
        <v>0</v>
      </c>
      <c r="AI375" s="4">
        <v>0</v>
      </c>
      <c r="AJ375" s="139">
        <v>0</v>
      </c>
      <c r="AK375" s="94">
        <v>0</v>
      </c>
      <c r="AL375" s="162">
        <v>0</v>
      </c>
      <c r="AM375" s="162">
        <v>0</v>
      </c>
      <c r="AN375" s="162">
        <v>0</v>
      </c>
      <c r="AO375" s="162">
        <v>0</v>
      </c>
      <c r="AP375" s="17">
        <v>0</v>
      </c>
      <c r="AQ375" s="162">
        <v>0</v>
      </c>
      <c r="AR375" s="162">
        <v>0</v>
      </c>
      <c r="AS375" s="17" t="str">
        <v/>
      </c>
      <c r="AT375" s="17">
        <v>0</v>
      </c>
      <c r="AU375" s="17">
        <v>0</v>
      </c>
      <c r="AV375" s="17">
        <v>0</v>
      </c>
      <c r="AW375" s="17">
        <v>0</v>
      </c>
      <c r="AX375" s="4">
        <v>71.111111111111114</v>
      </c>
      <c r="AY375" s="4">
        <v>53.846153846153854</v>
      </c>
      <c r="BD375" s="159" t="e">
        <v>#N/A</v>
      </c>
      <c r="BE375" s="159" t="e">
        <v>#N/A</v>
      </c>
      <c r="BF375" s="159" t="e">
        <v>#N/A</v>
      </c>
      <c r="BG375" s="159" t="e">
        <v>#N/A</v>
      </c>
      <c r="BH375" s="14" t="e">
        <v>#N/A</v>
      </c>
      <c r="BI375" s="159" t="e">
        <v>#N/A</v>
      </c>
      <c r="BJ375" s="159" t="e">
        <v>#N/A</v>
      </c>
      <c r="BK375" s="14" t="e">
        <v>#N/A</v>
      </c>
      <c r="BL375" s="14" t="e">
        <v>#N/A</v>
      </c>
      <c r="BM375" s="14" t="e">
        <v>#N/A</v>
      </c>
      <c r="BN375" s="14" t="e">
        <v>#N/A</v>
      </c>
      <c r="BO375" s="14" t="e">
        <v>#N/A</v>
      </c>
      <c r="BP375" s="182" t="e">
        <v>#N/A</v>
      </c>
      <c r="BQ375" s="183" t="e">
        <v>#N/A</v>
      </c>
    </row>
    <row r="376" spans="2:69" x14ac:dyDescent="0.35">
      <c r="B376" s="1">
        <v>0</v>
      </c>
      <c r="C376">
        <v>0</v>
      </c>
      <c r="D376" s="113">
        <v>0</v>
      </c>
      <c r="E376" s="113">
        <v>0</v>
      </c>
      <c r="F376" s="113">
        <v>0</v>
      </c>
      <c r="G376" s="113">
        <v>0</v>
      </c>
      <c r="H376">
        <v>0</v>
      </c>
      <c r="I376" s="113">
        <v>0</v>
      </c>
      <c r="J376" s="113">
        <v>0</v>
      </c>
      <c r="K376">
        <v>0</v>
      </c>
      <c r="L376">
        <v>0</v>
      </c>
      <c r="M376">
        <v>0</v>
      </c>
      <c r="N376">
        <v>0</v>
      </c>
      <c r="O376" s="1">
        <v>0</v>
      </c>
      <c r="P376" s="138">
        <v>0</v>
      </c>
      <c r="Q376" s="1">
        <v>0</v>
      </c>
      <c r="R376" s="95">
        <f>CHOOSE($D$4,D376,E376,F376,G376,H376,I376,J376,K376,L376,M376,N376,O376,P376,101-B376)+0.000001*ROWS($A$20:A376)</f>
        <v>3.57E-4</v>
      </c>
      <c r="S376" s="4">
        <f t="shared" si="37"/>
        <v>256</v>
      </c>
      <c r="T376" s="4"/>
      <c r="U376" s="14">
        <f>ROWS($U$20:U376)</f>
        <v>357</v>
      </c>
      <c r="V376" s="4">
        <v>0</v>
      </c>
      <c r="W376" s="4">
        <v>0</v>
      </c>
      <c r="X376" s="94">
        <v>0</v>
      </c>
      <c r="Y376" s="94">
        <v>0</v>
      </c>
      <c r="Z376" s="94">
        <v>0</v>
      </c>
      <c r="AA376" s="94">
        <v>0</v>
      </c>
      <c r="AB376" s="4">
        <v>0</v>
      </c>
      <c r="AC376" s="94">
        <v>0</v>
      </c>
      <c r="AD376" s="94">
        <v>0</v>
      </c>
      <c r="AE376" s="4">
        <v>0</v>
      </c>
      <c r="AF376" s="4">
        <v>0</v>
      </c>
      <c r="AG376" s="4">
        <v>0</v>
      </c>
      <c r="AH376" s="4">
        <v>0</v>
      </c>
      <c r="AI376" s="4">
        <v>0</v>
      </c>
      <c r="AJ376" s="139">
        <v>0</v>
      </c>
      <c r="AK376" s="94">
        <v>0</v>
      </c>
      <c r="AL376" s="162">
        <v>0</v>
      </c>
      <c r="AM376" s="162">
        <v>0</v>
      </c>
      <c r="AN376" s="162">
        <v>0</v>
      </c>
      <c r="AO376" s="162">
        <v>0</v>
      </c>
      <c r="AP376" s="17">
        <v>0</v>
      </c>
      <c r="AQ376" s="162">
        <v>0</v>
      </c>
      <c r="AR376" s="162">
        <v>0</v>
      </c>
      <c r="AS376" s="17" t="str">
        <v/>
      </c>
      <c r="AT376" s="17">
        <v>0</v>
      </c>
      <c r="AU376" s="17">
        <v>0</v>
      </c>
      <c r="AV376" s="17">
        <v>0</v>
      </c>
      <c r="AW376" s="17">
        <v>0</v>
      </c>
      <c r="AX376" s="4">
        <v>71.111111111111114</v>
      </c>
      <c r="AY376" s="4">
        <v>53.846153846153854</v>
      </c>
      <c r="BD376" s="159" t="e">
        <v>#N/A</v>
      </c>
      <c r="BE376" s="159" t="e">
        <v>#N/A</v>
      </c>
      <c r="BF376" s="159" t="e">
        <v>#N/A</v>
      </c>
      <c r="BG376" s="159" t="e">
        <v>#N/A</v>
      </c>
      <c r="BH376" s="14" t="e">
        <v>#N/A</v>
      </c>
      <c r="BI376" s="159" t="e">
        <v>#N/A</v>
      </c>
      <c r="BJ376" s="159" t="e">
        <v>#N/A</v>
      </c>
      <c r="BK376" s="14" t="e">
        <v>#N/A</v>
      </c>
      <c r="BL376" s="14" t="e">
        <v>#N/A</v>
      </c>
      <c r="BM376" s="14" t="e">
        <v>#N/A</v>
      </c>
      <c r="BN376" s="14" t="e">
        <v>#N/A</v>
      </c>
      <c r="BO376" s="14" t="e">
        <v>#N/A</v>
      </c>
      <c r="BP376" s="182" t="e">
        <v>#N/A</v>
      </c>
      <c r="BQ376" s="183" t="e">
        <v>#N/A</v>
      </c>
    </row>
    <row r="377" spans="2:69" x14ac:dyDescent="0.35">
      <c r="B377" s="1">
        <v>0</v>
      </c>
      <c r="C377">
        <v>0</v>
      </c>
      <c r="D377" s="113">
        <v>0</v>
      </c>
      <c r="E377" s="113">
        <v>0</v>
      </c>
      <c r="F377" s="113">
        <v>0</v>
      </c>
      <c r="G377" s="113">
        <v>0</v>
      </c>
      <c r="H377">
        <v>0</v>
      </c>
      <c r="I377" s="113">
        <v>0</v>
      </c>
      <c r="J377" s="113">
        <v>0</v>
      </c>
      <c r="K377">
        <v>0</v>
      </c>
      <c r="L377">
        <v>0</v>
      </c>
      <c r="M377">
        <v>0</v>
      </c>
      <c r="N377">
        <v>0</v>
      </c>
      <c r="O377" s="1">
        <v>0</v>
      </c>
      <c r="P377" s="138">
        <v>0</v>
      </c>
      <c r="Q377" s="1">
        <v>0</v>
      </c>
      <c r="R377" s="95">
        <f>CHOOSE($D$4,D377,E377,F377,G377,H377,I377,J377,K377,L377,M377,N377,O377,P377,101-B377)+0.000001*ROWS($A$20:A377)</f>
        <v>3.5799999999999997E-4</v>
      </c>
      <c r="S377" s="4">
        <f t="shared" si="37"/>
        <v>255</v>
      </c>
      <c r="T377" s="4"/>
      <c r="U377" s="14">
        <f>ROWS($U$20:U377)</f>
        <v>358</v>
      </c>
      <c r="V377" s="4">
        <v>0</v>
      </c>
      <c r="W377" s="4">
        <v>0</v>
      </c>
      <c r="X377" s="94">
        <v>0</v>
      </c>
      <c r="Y377" s="94">
        <v>0</v>
      </c>
      <c r="Z377" s="94">
        <v>0</v>
      </c>
      <c r="AA377" s="94">
        <v>0</v>
      </c>
      <c r="AB377" s="4">
        <v>0</v>
      </c>
      <c r="AC377" s="94">
        <v>0</v>
      </c>
      <c r="AD377" s="94">
        <v>0</v>
      </c>
      <c r="AE377" s="4">
        <v>0</v>
      </c>
      <c r="AF377" s="4">
        <v>0</v>
      </c>
      <c r="AG377" s="4">
        <v>0</v>
      </c>
      <c r="AH377" s="4">
        <v>0</v>
      </c>
      <c r="AI377" s="4">
        <v>0</v>
      </c>
      <c r="AJ377" s="139">
        <v>0</v>
      </c>
      <c r="AK377" s="94">
        <v>0</v>
      </c>
      <c r="AL377" s="162">
        <v>0</v>
      </c>
      <c r="AM377" s="162">
        <v>0</v>
      </c>
      <c r="AN377" s="162">
        <v>0</v>
      </c>
      <c r="AO377" s="162">
        <v>0</v>
      </c>
      <c r="AP377" s="17">
        <v>0</v>
      </c>
      <c r="AQ377" s="162">
        <v>0</v>
      </c>
      <c r="AR377" s="162">
        <v>0</v>
      </c>
      <c r="AS377" s="17" t="str">
        <v/>
      </c>
      <c r="AT377" s="17">
        <v>0</v>
      </c>
      <c r="AU377" s="17">
        <v>0</v>
      </c>
      <c r="AV377" s="17">
        <v>0</v>
      </c>
      <c r="AW377" s="17">
        <v>0</v>
      </c>
      <c r="AX377" s="4">
        <v>71.111111111111114</v>
      </c>
      <c r="AY377" s="4">
        <v>53.846153846153854</v>
      </c>
      <c r="BD377" s="159" t="e">
        <v>#N/A</v>
      </c>
      <c r="BE377" s="159" t="e">
        <v>#N/A</v>
      </c>
      <c r="BF377" s="159" t="e">
        <v>#N/A</v>
      </c>
      <c r="BG377" s="159" t="e">
        <v>#N/A</v>
      </c>
      <c r="BH377" s="14" t="e">
        <v>#N/A</v>
      </c>
      <c r="BI377" s="159" t="e">
        <v>#N/A</v>
      </c>
      <c r="BJ377" s="159" t="e">
        <v>#N/A</v>
      </c>
      <c r="BK377" s="14" t="e">
        <v>#N/A</v>
      </c>
      <c r="BL377" s="14" t="e">
        <v>#N/A</v>
      </c>
      <c r="BM377" s="14" t="e">
        <v>#N/A</v>
      </c>
      <c r="BN377" s="14" t="e">
        <v>#N/A</v>
      </c>
      <c r="BO377" s="14" t="e">
        <v>#N/A</v>
      </c>
      <c r="BP377" s="182" t="e">
        <v>#N/A</v>
      </c>
      <c r="BQ377" s="183" t="e">
        <v>#N/A</v>
      </c>
    </row>
    <row r="378" spans="2:69" x14ac:dyDescent="0.35">
      <c r="B378" s="1">
        <v>0</v>
      </c>
      <c r="C378">
        <v>0</v>
      </c>
      <c r="D378" s="113">
        <v>0</v>
      </c>
      <c r="E378" s="113">
        <v>0</v>
      </c>
      <c r="F378" s="113">
        <v>0</v>
      </c>
      <c r="G378" s="113">
        <v>0</v>
      </c>
      <c r="H378">
        <v>0</v>
      </c>
      <c r="I378" s="113">
        <v>0</v>
      </c>
      <c r="J378" s="113">
        <v>0</v>
      </c>
      <c r="K378">
        <v>0</v>
      </c>
      <c r="L378">
        <v>0</v>
      </c>
      <c r="M378">
        <v>0</v>
      </c>
      <c r="N378">
        <v>0</v>
      </c>
      <c r="O378" s="1">
        <v>0</v>
      </c>
      <c r="P378" s="138">
        <v>0</v>
      </c>
      <c r="Q378" s="1">
        <v>0</v>
      </c>
      <c r="R378" s="95">
        <f>CHOOSE($D$4,D378,E378,F378,G378,H378,I378,J378,K378,L378,M378,N378,O378,P378,101-B378)+0.000001*ROWS($A$20:A378)</f>
        <v>3.59E-4</v>
      </c>
      <c r="S378" s="4">
        <f t="shared" si="37"/>
        <v>254</v>
      </c>
      <c r="T378" s="4"/>
      <c r="U378" s="14">
        <f>ROWS($U$20:U378)</f>
        <v>359</v>
      </c>
      <c r="V378" s="4">
        <v>0</v>
      </c>
      <c r="W378" s="4">
        <v>0</v>
      </c>
      <c r="X378" s="94">
        <v>0</v>
      </c>
      <c r="Y378" s="94">
        <v>0</v>
      </c>
      <c r="Z378" s="94">
        <v>0</v>
      </c>
      <c r="AA378" s="94">
        <v>0</v>
      </c>
      <c r="AB378" s="4">
        <v>0</v>
      </c>
      <c r="AC378" s="94">
        <v>0</v>
      </c>
      <c r="AD378" s="94">
        <v>0</v>
      </c>
      <c r="AE378" s="4">
        <v>0</v>
      </c>
      <c r="AF378" s="4">
        <v>0</v>
      </c>
      <c r="AG378" s="4">
        <v>0</v>
      </c>
      <c r="AH378" s="4">
        <v>0</v>
      </c>
      <c r="AI378" s="4">
        <v>0</v>
      </c>
      <c r="AJ378" s="139">
        <v>0</v>
      </c>
      <c r="AK378" s="94">
        <v>0</v>
      </c>
      <c r="AL378" s="162">
        <v>0</v>
      </c>
      <c r="AM378" s="162">
        <v>0</v>
      </c>
      <c r="AN378" s="162">
        <v>0</v>
      </c>
      <c r="AO378" s="162">
        <v>0</v>
      </c>
      <c r="AP378" s="17">
        <v>0</v>
      </c>
      <c r="AQ378" s="162">
        <v>0</v>
      </c>
      <c r="AR378" s="162">
        <v>0</v>
      </c>
      <c r="AS378" s="17" t="str">
        <v/>
      </c>
      <c r="AT378" s="17">
        <v>0</v>
      </c>
      <c r="AU378" s="17">
        <v>0</v>
      </c>
      <c r="AV378" s="17">
        <v>0</v>
      </c>
      <c r="AW378" s="17">
        <v>0</v>
      </c>
      <c r="AX378" s="4">
        <v>71.111111111111114</v>
      </c>
      <c r="AY378" s="4">
        <v>53.846153846153854</v>
      </c>
      <c r="BD378" s="159" t="e">
        <v>#N/A</v>
      </c>
      <c r="BE378" s="159" t="e">
        <v>#N/A</v>
      </c>
      <c r="BF378" s="159" t="e">
        <v>#N/A</v>
      </c>
      <c r="BG378" s="159" t="e">
        <v>#N/A</v>
      </c>
      <c r="BH378" s="14" t="e">
        <v>#N/A</v>
      </c>
      <c r="BI378" s="159" t="e">
        <v>#N/A</v>
      </c>
      <c r="BJ378" s="159" t="e">
        <v>#N/A</v>
      </c>
      <c r="BK378" s="14" t="e">
        <v>#N/A</v>
      </c>
      <c r="BL378" s="14" t="e">
        <v>#N/A</v>
      </c>
      <c r="BM378" s="14" t="e">
        <v>#N/A</v>
      </c>
      <c r="BN378" s="14" t="e">
        <v>#N/A</v>
      </c>
      <c r="BO378" s="14" t="e">
        <v>#N/A</v>
      </c>
      <c r="BP378" s="182" t="e">
        <v>#N/A</v>
      </c>
      <c r="BQ378" s="183" t="e">
        <v>#N/A</v>
      </c>
    </row>
    <row r="379" spans="2:69" x14ac:dyDescent="0.35">
      <c r="B379" s="11">
        <v>0</v>
      </c>
      <c r="C379" s="4">
        <v>0</v>
      </c>
      <c r="D379" s="94">
        <v>0</v>
      </c>
      <c r="E379" s="94">
        <v>0</v>
      </c>
      <c r="F379" s="94">
        <v>0</v>
      </c>
      <c r="G379" s="94">
        <v>0</v>
      </c>
      <c r="H379" s="4">
        <v>0</v>
      </c>
      <c r="I379" s="161">
        <v>0</v>
      </c>
      <c r="J379" s="95">
        <v>0</v>
      </c>
      <c r="K379" s="4">
        <v>0</v>
      </c>
      <c r="L379" s="11">
        <v>0</v>
      </c>
      <c r="M379" s="4">
        <v>0</v>
      </c>
      <c r="N379" s="11">
        <v>0</v>
      </c>
      <c r="O379" s="11">
        <v>0</v>
      </c>
      <c r="P379" s="137">
        <v>0</v>
      </c>
      <c r="Q379" s="11">
        <v>0</v>
      </c>
      <c r="R379" s="95">
        <f>CHOOSE($D$4,D379,E379,F379,G379,H379,I379,J379,K379,L379,M379,N379,O379,P379,101-B379)+0.000001*ROWS($A$20:A379)</f>
        <v>3.5999999999999997E-4</v>
      </c>
      <c r="S379" s="4">
        <f t="shared" si="37"/>
        <v>253</v>
      </c>
      <c r="T379" s="14"/>
      <c r="U379" s="14">
        <f>ROWS($U$20:U379)</f>
        <v>360</v>
      </c>
      <c r="V379" s="4">
        <v>0</v>
      </c>
      <c r="W379" s="4">
        <v>0</v>
      </c>
      <c r="X379" s="94">
        <v>0</v>
      </c>
      <c r="Y379" s="94">
        <v>0</v>
      </c>
      <c r="Z379" s="94">
        <v>0</v>
      </c>
      <c r="AA379" s="94">
        <v>0</v>
      </c>
      <c r="AB379" s="4">
        <v>0</v>
      </c>
      <c r="AC379" s="94">
        <v>0</v>
      </c>
      <c r="AD379" s="94">
        <v>0</v>
      </c>
      <c r="AE379" s="4">
        <v>0</v>
      </c>
      <c r="AF379" s="4">
        <v>0</v>
      </c>
      <c r="AG379" s="4">
        <v>0</v>
      </c>
      <c r="AH379" s="4">
        <v>0</v>
      </c>
      <c r="AI379" s="4">
        <v>0</v>
      </c>
      <c r="AJ379" s="139">
        <v>0</v>
      </c>
      <c r="AK379" s="94">
        <v>0</v>
      </c>
      <c r="AL379" s="162">
        <v>0</v>
      </c>
      <c r="AM379" s="162">
        <v>0</v>
      </c>
      <c r="AN379" s="162">
        <v>0</v>
      </c>
      <c r="AO379" s="162">
        <v>0</v>
      </c>
      <c r="AP379" s="17">
        <v>0</v>
      </c>
      <c r="AQ379" s="162">
        <v>0</v>
      </c>
      <c r="AR379" s="162">
        <v>0</v>
      </c>
      <c r="AS379" s="17" t="str">
        <v/>
      </c>
      <c r="AT379" s="17">
        <v>0</v>
      </c>
      <c r="AU379" s="17">
        <v>0</v>
      </c>
      <c r="AV379" s="17">
        <v>0</v>
      </c>
      <c r="AW379" s="17">
        <v>0</v>
      </c>
      <c r="AX379" s="4">
        <v>71.111111111111114</v>
      </c>
      <c r="AY379" s="4">
        <v>53.846153846153854</v>
      </c>
      <c r="BD379" s="159" t="e">
        <v>#N/A</v>
      </c>
      <c r="BE379" s="159" t="e">
        <v>#N/A</v>
      </c>
      <c r="BF379" s="159" t="e">
        <v>#N/A</v>
      </c>
      <c r="BG379" s="159" t="e">
        <v>#N/A</v>
      </c>
      <c r="BH379" s="14" t="e">
        <v>#N/A</v>
      </c>
      <c r="BI379" s="159" t="e">
        <v>#N/A</v>
      </c>
      <c r="BJ379" s="159" t="e">
        <v>#N/A</v>
      </c>
      <c r="BK379" s="14" t="e">
        <v>#N/A</v>
      </c>
      <c r="BL379" s="14" t="e">
        <v>#N/A</v>
      </c>
      <c r="BM379" s="14" t="e">
        <v>#N/A</v>
      </c>
      <c r="BN379" s="14" t="e">
        <v>#N/A</v>
      </c>
      <c r="BO379" s="14" t="e">
        <v>#N/A</v>
      </c>
      <c r="BP379" s="182" t="e">
        <v>#N/A</v>
      </c>
      <c r="BQ379" s="183" t="e">
        <v>#N/A</v>
      </c>
    </row>
    <row r="380" spans="2:69" x14ac:dyDescent="0.35">
      <c r="AP380" s="113"/>
      <c r="AQ380" s="113"/>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K125"/>
  <sheetViews>
    <sheetView showGridLines="0" topLeftCell="A119" zoomScaleNormal="100" workbookViewId="0">
      <selection activeCell="A125" sqref="A125:XFD125"/>
    </sheetView>
  </sheetViews>
  <sheetFormatPr baseColWidth="10" defaultColWidth="9.1796875" defaultRowHeight="12.5" x14ac:dyDescent="0.25"/>
  <cols>
    <col min="1" max="1" width="11.54296875" style="43" customWidth="1"/>
    <col min="2" max="2" width="12.7265625" style="43" customWidth="1"/>
    <col min="3" max="3" width="11.26953125" style="43" customWidth="1"/>
    <col min="4" max="4" width="15.7265625" style="43" customWidth="1"/>
    <col min="5" max="6" width="10.7265625" style="43" customWidth="1"/>
    <col min="7" max="7" width="8.7265625" style="43" customWidth="1"/>
    <col min="8" max="8" width="10.7265625" style="43" customWidth="1"/>
    <col min="9" max="9" width="8.7265625" style="43" customWidth="1"/>
    <col min="10" max="10" width="5.7265625" style="43" customWidth="1"/>
    <col min="11" max="13" width="13.453125" style="43" customWidth="1"/>
    <col min="14" max="256" width="9.1796875" style="43"/>
    <col min="257" max="257" width="11.54296875" style="43" customWidth="1"/>
    <col min="258" max="258" width="12.7265625" style="43" customWidth="1"/>
    <col min="259" max="259" width="11.26953125" style="43" customWidth="1"/>
    <col min="260" max="262" width="10.7265625" style="43" customWidth="1"/>
    <col min="263" max="263" width="8.7265625" style="43" customWidth="1"/>
    <col min="264" max="264" width="10.7265625" style="43" customWidth="1"/>
    <col min="265" max="265" width="8.7265625" style="43" customWidth="1"/>
    <col min="266" max="266" width="5.7265625" style="43" customWidth="1"/>
    <col min="267" max="269" width="13.453125" style="43" customWidth="1"/>
    <col min="270" max="512" width="9.1796875" style="43"/>
    <col min="513" max="513" width="11.54296875" style="43" customWidth="1"/>
    <col min="514" max="514" width="12.7265625" style="43" customWidth="1"/>
    <col min="515" max="515" width="11.26953125" style="43" customWidth="1"/>
    <col min="516" max="518" width="10.7265625" style="43" customWidth="1"/>
    <col min="519" max="519" width="8.7265625" style="43" customWidth="1"/>
    <col min="520" max="520" width="10.7265625" style="43" customWidth="1"/>
    <col min="521" max="521" width="8.7265625" style="43" customWidth="1"/>
    <col min="522" max="522" width="5.7265625" style="43" customWidth="1"/>
    <col min="523" max="525" width="13.453125" style="43" customWidth="1"/>
    <col min="526" max="768" width="9.1796875" style="43"/>
    <col min="769" max="769" width="11.54296875" style="43" customWidth="1"/>
    <col min="770" max="770" width="12.7265625" style="43" customWidth="1"/>
    <col min="771" max="771" width="11.26953125" style="43" customWidth="1"/>
    <col min="772" max="774" width="10.7265625" style="43" customWidth="1"/>
    <col min="775" max="775" width="8.7265625" style="43" customWidth="1"/>
    <col min="776" max="776" width="10.7265625" style="43" customWidth="1"/>
    <col min="777" max="777" width="8.7265625" style="43" customWidth="1"/>
    <col min="778" max="778" width="5.7265625" style="43" customWidth="1"/>
    <col min="779" max="781" width="13.453125" style="43" customWidth="1"/>
    <col min="782" max="1024" width="9.1796875" style="43"/>
    <col min="1025" max="1025" width="11.54296875" style="43" customWidth="1"/>
    <col min="1026" max="1026" width="12.7265625" style="43" customWidth="1"/>
    <col min="1027" max="1027" width="11.26953125" style="43" customWidth="1"/>
    <col min="1028" max="1030" width="10.7265625" style="43" customWidth="1"/>
    <col min="1031" max="1031" width="8.7265625" style="43" customWidth="1"/>
    <col min="1032" max="1032" width="10.7265625" style="43" customWidth="1"/>
    <col min="1033" max="1033" width="8.7265625" style="43" customWidth="1"/>
    <col min="1034" max="1034" width="5.7265625" style="43" customWidth="1"/>
    <col min="1035" max="1037" width="13.453125" style="43" customWidth="1"/>
    <col min="1038" max="1280" width="9.1796875" style="43"/>
    <col min="1281" max="1281" width="11.54296875" style="43" customWidth="1"/>
    <col min="1282" max="1282" width="12.7265625" style="43" customWidth="1"/>
    <col min="1283" max="1283" width="11.26953125" style="43" customWidth="1"/>
    <col min="1284" max="1286" width="10.7265625" style="43" customWidth="1"/>
    <col min="1287" max="1287" width="8.7265625" style="43" customWidth="1"/>
    <col min="1288" max="1288" width="10.7265625" style="43" customWidth="1"/>
    <col min="1289" max="1289" width="8.7265625" style="43" customWidth="1"/>
    <col min="1290" max="1290" width="5.7265625" style="43" customWidth="1"/>
    <col min="1291" max="1293" width="13.453125" style="43" customWidth="1"/>
    <col min="1294" max="1536" width="9.1796875" style="43"/>
    <col min="1537" max="1537" width="11.54296875" style="43" customWidth="1"/>
    <col min="1538" max="1538" width="12.7265625" style="43" customWidth="1"/>
    <col min="1539" max="1539" width="11.26953125" style="43" customWidth="1"/>
    <col min="1540" max="1542" width="10.7265625" style="43" customWidth="1"/>
    <col min="1543" max="1543" width="8.7265625" style="43" customWidth="1"/>
    <col min="1544" max="1544" width="10.7265625" style="43" customWidth="1"/>
    <col min="1545" max="1545" width="8.7265625" style="43" customWidth="1"/>
    <col min="1546" max="1546" width="5.7265625" style="43" customWidth="1"/>
    <col min="1547" max="1549" width="13.453125" style="43" customWidth="1"/>
    <col min="1550" max="1792" width="9.1796875" style="43"/>
    <col min="1793" max="1793" width="11.54296875" style="43" customWidth="1"/>
    <col min="1794" max="1794" width="12.7265625" style="43" customWidth="1"/>
    <col min="1795" max="1795" width="11.26953125" style="43" customWidth="1"/>
    <col min="1796" max="1798" width="10.7265625" style="43" customWidth="1"/>
    <col min="1799" max="1799" width="8.7265625" style="43" customWidth="1"/>
    <col min="1800" max="1800" width="10.7265625" style="43" customWidth="1"/>
    <col min="1801" max="1801" width="8.7265625" style="43" customWidth="1"/>
    <col min="1802" max="1802" width="5.7265625" style="43" customWidth="1"/>
    <col min="1803" max="1805" width="13.453125" style="43" customWidth="1"/>
    <col min="1806" max="2048" width="9.1796875" style="43"/>
    <col min="2049" max="2049" width="11.54296875" style="43" customWidth="1"/>
    <col min="2050" max="2050" width="12.7265625" style="43" customWidth="1"/>
    <col min="2051" max="2051" width="11.26953125" style="43" customWidth="1"/>
    <col min="2052" max="2054" width="10.7265625" style="43" customWidth="1"/>
    <col min="2055" max="2055" width="8.7265625" style="43" customWidth="1"/>
    <col min="2056" max="2056" width="10.7265625" style="43" customWidth="1"/>
    <col min="2057" max="2057" width="8.7265625" style="43" customWidth="1"/>
    <col min="2058" max="2058" width="5.7265625" style="43" customWidth="1"/>
    <col min="2059" max="2061" width="13.453125" style="43" customWidth="1"/>
    <col min="2062" max="2304" width="9.1796875" style="43"/>
    <col min="2305" max="2305" width="11.54296875" style="43" customWidth="1"/>
    <col min="2306" max="2306" width="12.7265625" style="43" customWidth="1"/>
    <col min="2307" max="2307" width="11.26953125" style="43" customWidth="1"/>
    <col min="2308" max="2310" width="10.7265625" style="43" customWidth="1"/>
    <col min="2311" max="2311" width="8.7265625" style="43" customWidth="1"/>
    <col min="2312" max="2312" width="10.7265625" style="43" customWidth="1"/>
    <col min="2313" max="2313" width="8.7265625" style="43" customWidth="1"/>
    <col min="2314" max="2314" width="5.7265625" style="43" customWidth="1"/>
    <col min="2315" max="2317" width="13.453125" style="43" customWidth="1"/>
    <col min="2318" max="2560" width="9.1796875" style="43"/>
    <col min="2561" max="2561" width="11.54296875" style="43" customWidth="1"/>
    <col min="2562" max="2562" width="12.7265625" style="43" customWidth="1"/>
    <col min="2563" max="2563" width="11.26953125" style="43" customWidth="1"/>
    <col min="2564" max="2566" width="10.7265625" style="43" customWidth="1"/>
    <col min="2567" max="2567" width="8.7265625" style="43" customWidth="1"/>
    <col min="2568" max="2568" width="10.7265625" style="43" customWidth="1"/>
    <col min="2569" max="2569" width="8.7265625" style="43" customWidth="1"/>
    <col min="2570" max="2570" width="5.7265625" style="43" customWidth="1"/>
    <col min="2571" max="2573" width="13.453125" style="43" customWidth="1"/>
    <col min="2574" max="2816" width="9.1796875" style="43"/>
    <col min="2817" max="2817" width="11.54296875" style="43" customWidth="1"/>
    <col min="2818" max="2818" width="12.7265625" style="43" customWidth="1"/>
    <col min="2819" max="2819" width="11.26953125" style="43" customWidth="1"/>
    <col min="2820" max="2822" width="10.7265625" style="43" customWidth="1"/>
    <col min="2823" max="2823" width="8.7265625" style="43" customWidth="1"/>
    <col min="2824" max="2824" width="10.7265625" style="43" customWidth="1"/>
    <col min="2825" max="2825" width="8.7265625" style="43" customWidth="1"/>
    <col min="2826" max="2826" width="5.7265625" style="43" customWidth="1"/>
    <col min="2827" max="2829" width="13.453125" style="43" customWidth="1"/>
    <col min="2830" max="3072" width="9.1796875" style="43"/>
    <col min="3073" max="3073" width="11.54296875" style="43" customWidth="1"/>
    <col min="3074" max="3074" width="12.7265625" style="43" customWidth="1"/>
    <col min="3075" max="3075" width="11.26953125" style="43" customWidth="1"/>
    <col min="3076" max="3078" width="10.7265625" style="43" customWidth="1"/>
    <col min="3079" max="3079" width="8.7265625" style="43" customWidth="1"/>
    <col min="3080" max="3080" width="10.7265625" style="43" customWidth="1"/>
    <col min="3081" max="3081" width="8.7265625" style="43" customWidth="1"/>
    <col min="3082" max="3082" width="5.7265625" style="43" customWidth="1"/>
    <col min="3083" max="3085" width="13.453125" style="43" customWidth="1"/>
    <col min="3086" max="3328" width="9.1796875" style="43"/>
    <col min="3329" max="3329" width="11.54296875" style="43" customWidth="1"/>
    <col min="3330" max="3330" width="12.7265625" style="43" customWidth="1"/>
    <col min="3331" max="3331" width="11.26953125" style="43" customWidth="1"/>
    <col min="3332" max="3334" width="10.7265625" style="43" customWidth="1"/>
    <col min="3335" max="3335" width="8.7265625" style="43" customWidth="1"/>
    <col min="3336" max="3336" width="10.7265625" style="43" customWidth="1"/>
    <col min="3337" max="3337" width="8.7265625" style="43" customWidth="1"/>
    <col min="3338" max="3338" width="5.7265625" style="43" customWidth="1"/>
    <col min="3339" max="3341" width="13.453125" style="43" customWidth="1"/>
    <col min="3342" max="3584" width="9.1796875" style="43"/>
    <col min="3585" max="3585" width="11.54296875" style="43" customWidth="1"/>
    <col min="3586" max="3586" width="12.7265625" style="43" customWidth="1"/>
    <col min="3587" max="3587" width="11.26953125" style="43" customWidth="1"/>
    <col min="3588" max="3590" width="10.7265625" style="43" customWidth="1"/>
    <col min="3591" max="3591" width="8.7265625" style="43" customWidth="1"/>
    <col min="3592" max="3592" width="10.7265625" style="43" customWidth="1"/>
    <col min="3593" max="3593" width="8.7265625" style="43" customWidth="1"/>
    <col min="3594" max="3594" width="5.7265625" style="43" customWidth="1"/>
    <col min="3595" max="3597" width="13.453125" style="43" customWidth="1"/>
    <col min="3598" max="3840" width="9.1796875" style="43"/>
    <col min="3841" max="3841" width="11.54296875" style="43" customWidth="1"/>
    <col min="3842" max="3842" width="12.7265625" style="43" customWidth="1"/>
    <col min="3843" max="3843" width="11.26953125" style="43" customWidth="1"/>
    <col min="3844" max="3846" width="10.7265625" style="43" customWidth="1"/>
    <col min="3847" max="3847" width="8.7265625" style="43" customWidth="1"/>
    <col min="3848" max="3848" width="10.7265625" style="43" customWidth="1"/>
    <col min="3849" max="3849" width="8.7265625" style="43" customWidth="1"/>
    <col min="3850" max="3850" width="5.7265625" style="43" customWidth="1"/>
    <col min="3851" max="3853" width="13.453125" style="43" customWidth="1"/>
    <col min="3854" max="4096" width="9.1796875" style="43"/>
    <col min="4097" max="4097" width="11.54296875" style="43" customWidth="1"/>
    <col min="4098" max="4098" width="12.7265625" style="43" customWidth="1"/>
    <col min="4099" max="4099" width="11.26953125" style="43" customWidth="1"/>
    <col min="4100" max="4102" width="10.7265625" style="43" customWidth="1"/>
    <col min="4103" max="4103" width="8.7265625" style="43" customWidth="1"/>
    <col min="4104" max="4104" width="10.7265625" style="43" customWidth="1"/>
    <col min="4105" max="4105" width="8.7265625" style="43" customWidth="1"/>
    <col min="4106" max="4106" width="5.7265625" style="43" customWidth="1"/>
    <col min="4107" max="4109" width="13.453125" style="43" customWidth="1"/>
    <col min="4110" max="4352" width="9.1796875" style="43"/>
    <col min="4353" max="4353" width="11.54296875" style="43" customWidth="1"/>
    <col min="4354" max="4354" width="12.7265625" style="43" customWidth="1"/>
    <col min="4355" max="4355" width="11.26953125" style="43" customWidth="1"/>
    <col min="4356" max="4358" width="10.7265625" style="43" customWidth="1"/>
    <col min="4359" max="4359" width="8.7265625" style="43" customWidth="1"/>
    <col min="4360" max="4360" width="10.7265625" style="43" customWidth="1"/>
    <col min="4361" max="4361" width="8.7265625" style="43" customWidth="1"/>
    <col min="4362" max="4362" width="5.7265625" style="43" customWidth="1"/>
    <col min="4363" max="4365" width="13.453125" style="43" customWidth="1"/>
    <col min="4366" max="4608" width="9.1796875" style="43"/>
    <col min="4609" max="4609" width="11.54296875" style="43" customWidth="1"/>
    <col min="4610" max="4610" width="12.7265625" style="43" customWidth="1"/>
    <col min="4611" max="4611" width="11.26953125" style="43" customWidth="1"/>
    <col min="4612" max="4614" width="10.7265625" style="43" customWidth="1"/>
    <col min="4615" max="4615" width="8.7265625" style="43" customWidth="1"/>
    <col min="4616" max="4616" width="10.7265625" style="43" customWidth="1"/>
    <col min="4617" max="4617" width="8.7265625" style="43" customWidth="1"/>
    <col min="4618" max="4618" width="5.7265625" style="43" customWidth="1"/>
    <col min="4619" max="4621" width="13.453125" style="43" customWidth="1"/>
    <col min="4622" max="4864" width="9.1796875" style="43"/>
    <col min="4865" max="4865" width="11.54296875" style="43" customWidth="1"/>
    <col min="4866" max="4866" width="12.7265625" style="43" customWidth="1"/>
    <col min="4867" max="4867" width="11.26953125" style="43" customWidth="1"/>
    <col min="4868" max="4870" width="10.7265625" style="43" customWidth="1"/>
    <col min="4871" max="4871" width="8.7265625" style="43" customWidth="1"/>
    <col min="4872" max="4872" width="10.7265625" style="43" customWidth="1"/>
    <col min="4873" max="4873" width="8.7265625" style="43" customWidth="1"/>
    <col min="4874" max="4874" width="5.7265625" style="43" customWidth="1"/>
    <col min="4875" max="4877" width="13.453125" style="43" customWidth="1"/>
    <col min="4878" max="5120" width="9.1796875" style="43"/>
    <col min="5121" max="5121" width="11.54296875" style="43" customWidth="1"/>
    <col min="5122" max="5122" width="12.7265625" style="43" customWidth="1"/>
    <col min="5123" max="5123" width="11.26953125" style="43" customWidth="1"/>
    <col min="5124" max="5126" width="10.7265625" style="43" customWidth="1"/>
    <col min="5127" max="5127" width="8.7265625" style="43" customWidth="1"/>
    <col min="5128" max="5128" width="10.7265625" style="43" customWidth="1"/>
    <col min="5129" max="5129" width="8.7265625" style="43" customWidth="1"/>
    <col min="5130" max="5130" width="5.7265625" style="43" customWidth="1"/>
    <col min="5131" max="5133" width="13.453125" style="43" customWidth="1"/>
    <col min="5134" max="5376" width="9.1796875" style="43"/>
    <col min="5377" max="5377" width="11.54296875" style="43" customWidth="1"/>
    <col min="5378" max="5378" width="12.7265625" style="43" customWidth="1"/>
    <col min="5379" max="5379" width="11.26953125" style="43" customWidth="1"/>
    <col min="5380" max="5382" width="10.7265625" style="43" customWidth="1"/>
    <col min="5383" max="5383" width="8.7265625" style="43" customWidth="1"/>
    <col min="5384" max="5384" width="10.7265625" style="43" customWidth="1"/>
    <col min="5385" max="5385" width="8.7265625" style="43" customWidth="1"/>
    <col min="5386" max="5386" width="5.7265625" style="43" customWidth="1"/>
    <col min="5387" max="5389" width="13.453125" style="43" customWidth="1"/>
    <col min="5390" max="5632" width="9.1796875" style="43"/>
    <col min="5633" max="5633" width="11.54296875" style="43" customWidth="1"/>
    <col min="5634" max="5634" width="12.7265625" style="43" customWidth="1"/>
    <col min="5635" max="5635" width="11.26953125" style="43" customWidth="1"/>
    <col min="5636" max="5638" width="10.7265625" style="43" customWidth="1"/>
    <col min="5639" max="5639" width="8.7265625" style="43" customWidth="1"/>
    <col min="5640" max="5640" width="10.7265625" style="43" customWidth="1"/>
    <col min="5641" max="5641" width="8.7265625" style="43" customWidth="1"/>
    <col min="5642" max="5642" width="5.7265625" style="43" customWidth="1"/>
    <col min="5643" max="5645" width="13.453125" style="43" customWidth="1"/>
    <col min="5646" max="5888" width="9.1796875" style="43"/>
    <col min="5889" max="5889" width="11.54296875" style="43" customWidth="1"/>
    <col min="5890" max="5890" width="12.7265625" style="43" customWidth="1"/>
    <col min="5891" max="5891" width="11.26953125" style="43" customWidth="1"/>
    <col min="5892" max="5894" width="10.7265625" style="43" customWidth="1"/>
    <col min="5895" max="5895" width="8.7265625" style="43" customWidth="1"/>
    <col min="5896" max="5896" width="10.7265625" style="43" customWidth="1"/>
    <col min="5897" max="5897" width="8.7265625" style="43" customWidth="1"/>
    <col min="5898" max="5898" width="5.7265625" style="43" customWidth="1"/>
    <col min="5899" max="5901" width="13.453125" style="43" customWidth="1"/>
    <col min="5902" max="6144" width="9.1796875" style="43"/>
    <col min="6145" max="6145" width="11.54296875" style="43" customWidth="1"/>
    <col min="6146" max="6146" width="12.7265625" style="43" customWidth="1"/>
    <col min="6147" max="6147" width="11.26953125" style="43" customWidth="1"/>
    <col min="6148" max="6150" width="10.7265625" style="43" customWidth="1"/>
    <col min="6151" max="6151" width="8.7265625" style="43" customWidth="1"/>
    <col min="6152" max="6152" width="10.7265625" style="43" customWidth="1"/>
    <col min="6153" max="6153" width="8.7265625" style="43" customWidth="1"/>
    <col min="6154" max="6154" width="5.7265625" style="43" customWidth="1"/>
    <col min="6155" max="6157" width="13.453125" style="43" customWidth="1"/>
    <col min="6158" max="6400" width="9.1796875" style="43"/>
    <col min="6401" max="6401" width="11.54296875" style="43" customWidth="1"/>
    <col min="6402" max="6402" width="12.7265625" style="43" customWidth="1"/>
    <col min="6403" max="6403" width="11.26953125" style="43" customWidth="1"/>
    <col min="6404" max="6406" width="10.7265625" style="43" customWidth="1"/>
    <col min="6407" max="6407" width="8.7265625" style="43" customWidth="1"/>
    <col min="6408" max="6408" width="10.7265625" style="43" customWidth="1"/>
    <col min="6409" max="6409" width="8.7265625" style="43" customWidth="1"/>
    <col min="6410" max="6410" width="5.7265625" style="43" customWidth="1"/>
    <col min="6411" max="6413" width="13.453125" style="43" customWidth="1"/>
    <col min="6414" max="6656" width="9.1796875" style="43"/>
    <col min="6657" max="6657" width="11.54296875" style="43" customWidth="1"/>
    <col min="6658" max="6658" width="12.7265625" style="43" customWidth="1"/>
    <col min="6659" max="6659" width="11.26953125" style="43" customWidth="1"/>
    <col min="6660" max="6662" width="10.7265625" style="43" customWidth="1"/>
    <col min="6663" max="6663" width="8.7265625" style="43" customWidth="1"/>
    <col min="6664" max="6664" width="10.7265625" style="43" customWidth="1"/>
    <col min="6665" max="6665" width="8.7265625" style="43" customWidth="1"/>
    <col min="6666" max="6666" width="5.7265625" style="43" customWidth="1"/>
    <col min="6667" max="6669" width="13.453125" style="43" customWidth="1"/>
    <col min="6670" max="6912" width="9.1796875" style="43"/>
    <col min="6913" max="6913" width="11.54296875" style="43" customWidth="1"/>
    <col min="6914" max="6914" width="12.7265625" style="43" customWidth="1"/>
    <col min="6915" max="6915" width="11.26953125" style="43" customWidth="1"/>
    <col min="6916" max="6918" width="10.7265625" style="43" customWidth="1"/>
    <col min="6919" max="6919" width="8.7265625" style="43" customWidth="1"/>
    <col min="6920" max="6920" width="10.7265625" style="43" customWidth="1"/>
    <col min="6921" max="6921" width="8.7265625" style="43" customWidth="1"/>
    <col min="6922" max="6922" width="5.7265625" style="43" customWidth="1"/>
    <col min="6923" max="6925" width="13.453125" style="43" customWidth="1"/>
    <col min="6926" max="7168" width="9.1796875" style="43"/>
    <col min="7169" max="7169" width="11.54296875" style="43" customWidth="1"/>
    <col min="7170" max="7170" width="12.7265625" style="43" customWidth="1"/>
    <col min="7171" max="7171" width="11.26953125" style="43" customWidth="1"/>
    <col min="7172" max="7174" width="10.7265625" style="43" customWidth="1"/>
    <col min="7175" max="7175" width="8.7265625" style="43" customWidth="1"/>
    <col min="7176" max="7176" width="10.7265625" style="43" customWidth="1"/>
    <col min="7177" max="7177" width="8.7265625" style="43" customWidth="1"/>
    <col min="7178" max="7178" width="5.7265625" style="43" customWidth="1"/>
    <col min="7179" max="7181" width="13.453125" style="43" customWidth="1"/>
    <col min="7182" max="7424" width="9.1796875" style="43"/>
    <col min="7425" max="7425" width="11.54296875" style="43" customWidth="1"/>
    <col min="7426" max="7426" width="12.7265625" style="43" customWidth="1"/>
    <col min="7427" max="7427" width="11.26953125" style="43" customWidth="1"/>
    <col min="7428" max="7430" width="10.7265625" style="43" customWidth="1"/>
    <col min="7431" max="7431" width="8.7265625" style="43" customWidth="1"/>
    <col min="7432" max="7432" width="10.7265625" style="43" customWidth="1"/>
    <col min="7433" max="7433" width="8.7265625" style="43" customWidth="1"/>
    <col min="7434" max="7434" width="5.7265625" style="43" customWidth="1"/>
    <col min="7435" max="7437" width="13.453125" style="43" customWidth="1"/>
    <col min="7438" max="7680" width="9.1796875" style="43"/>
    <col min="7681" max="7681" width="11.54296875" style="43" customWidth="1"/>
    <col min="7682" max="7682" width="12.7265625" style="43" customWidth="1"/>
    <col min="7683" max="7683" width="11.26953125" style="43" customWidth="1"/>
    <col min="7684" max="7686" width="10.7265625" style="43" customWidth="1"/>
    <col min="7687" max="7687" width="8.7265625" style="43" customWidth="1"/>
    <col min="7688" max="7688" width="10.7265625" style="43" customWidth="1"/>
    <col min="7689" max="7689" width="8.7265625" style="43" customWidth="1"/>
    <col min="7690" max="7690" width="5.7265625" style="43" customWidth="1"/>
    <col min="7691" max="7693" width="13.453125" style="43" customWidth="1"/>
    <col min="7694" max="7936" width="9.1796875" style="43"/>
    <col min="7937" max="7937" width="11.54296875" style="43" customWidth="1"/>
    <col min="7938" max="7938" width="12.7265625" style="43" customWidth="1"/>
    <col min="7939" max="7939" width="11.26953125" style="43" customWidth="1"/>
    <col min="7940" max="7942" width="10.7265625" style="43" customWidth="1"/>
    <col min="7943" max="7943" width="8.7265625" style="43" customWidth="1"/>
    <col min="7944" max="7944" width="10.7265625" style="43" customWidth="1"/>
    <col min="7945" max="7945" width="8.7265625" style="43" customWidth="1"/>
    <col min="7946" max="7946" width="5.7265625" style="43" customWidth="1"/>
    <col min="7947" max="7949" width="13.453125" style="43" customWidth="1"/>
    <col min="7950" max="8192" width="9.1796875" style="43"/>
    <col min="8193" max="8193" width="11.54296875" style="43" customWidth="1"/>
    <col min="8194" max="8194" width="12.7265625" style="43" customWidth="1"/>
    <col min="8195" max="8195" width="11.26953125" style="43" customWidth="1"/>
    <col min="8196" max="8198" width="10.7265625" style="43" customWidth="1"/>
    <col min="8199" max="8199" width="8.7265625" style="43" customWidth="1"/>
    <col min="8200" max="8200" width="10.7265625" style="43" customWidth="1"/>
    <col min="8201" max="8201" width="8.7265625" style="43" customWidth="1"/>
    <col min="8202" max="8202" width="5.7265625" style="43" customWidth="1"/>
    <col min="8203" max="8205" width="13.453125" style="43" customWidth="1"/>
    <col min="8206" max="8448" width="9.1796875" style="43"/>
    <col min="8449" max="8449" width="11.54296875" style="43" customWidth="1"/>
    <col min="8450" max="8450" width="12.7265625" style="43" customWidth="1"/>
    <col min="8451" max="8451" width="11.26953125" style="43" customWidth="1"/>
    <col min="8452" max="8454" width="10.7265625" style="43" customWidth="1"/>
    <col min="8455" max="8455" width="8.7265625" style="43" customWidth="1"/>
    <col min="8456" max="8456" width="10.7265625" style="43" customWidth="1"/>
    <col min="8457" max="8457" width="8.7265625" style="43" customWidth="1"/>
    <col min="8458" max="8458" width="5.7265625" style="43" customWidth="1"/>
    <col min="8459" max="8461" width="13.453125" style="43" customWidth="1"/>
    <col min="8462" max="8704" width="9.1796875" style="43"/>
    <col min="8705" max="8705" width="11.54296875" style="43" customWidth="1"/>
    <col min="8706" max="8706" width="12.7265625" style="43" customWidth="1"/>
    <col min="8707" max="8707" width="11.26953125" style="43" customWidth="1"/>
    <col min="8708" max="8710" width="10.7265625" style="43" customWidth="1"/>
    <col min="8711" max="8711" width="8.7265625" style="43" customWidth="1"/>
    <col min="8712" max="8712" width="10.7265625" style="43" customWidth="1"/>
    <col min="8713" max="8713" width="8.7265625" style="43" customWidth="1"/>
    <col min="8714" max="8714" width="5.7265625" style="43" customWidth="1"/>
    <col min="8715" max="8717" width="13.453125" style="43" customWidth="1"/>
    <col min="8718" max="8960" width="9.1796875" style="43"/>
    <col min="8961" max="8961" width="11.54296875" style="43" customWidth="1"/>
    <col min="8962" max="8962" width="12.7265625" style="43" customWidth="1"/>
    <col min="8963" max="8963" width="11.26953125" style="43" customWidth="1"/>
    <col min="8964" max="8966" width="10.7265625" style="43" customWidth="1"/>
    <col min="8967" max="8967" width="8.7265625" style="43" customWidth="1"/>
    <col min="8968" max="8968" width="10.7265625" style="43" customWidth="1"/>
    <col min="8969" max="8969" width="8.7265625" style="43" customWidth="1"/>
    <col min="8970" max="8970" width="5.7265625" style="43" customWidth="1"/>
    <col min="8971" max="8973" width="13.453125" style="43" customWidth="1"/>
    <col min="8974" max="9216" width="9.1796875" style="43"/>
    <col min="9217" max="9217" width="11.54296875" style="43" customWidth="1"/>
    <col min="9218" max="9218" width="12.7265625" style="43" customWidth="1"/>
    <col min="9219" max="9219" width="11.26953125" style="43" customWidth="1"/>
    <col min="9220" max="9222" width="10.7265625" style="43" customWidth="1"/>
    <col min="9223" max="9223" width="8.7265625" style="43" customWidth="1"/>
    <col min="9224" max="9224" width="10.7265625" style="43" customWidth="1"/>
    <col min="9225" max="9225" width="8.7265625" style="43" customWidth="1"/>
    <col min="9226" max="9226" width="5.7265625" style="43" customWidth="1"/>
    <col min="9227" max="9229" width="13.453125" style="43" customWidth="1"/>
    <col min="9230" max="9472" width="9.1796875" style="43"/>
    <col min="9473" max="9473" width="11.54296875" style="43" customWidth="1"/>
    <col min="9474" max="9474" width="12.7265625" style="43" customWidth="1"/>
    <col min="9475" max="9475" width="11.26953125" style="43" customWidth="1"/>
    <col min="9476" max="9478" width="10.7265625" style="43" customWidth="1"/>
    <col min="9479" max="9479" width="8.7265625" style="43" customWidth="1"/>
    <col min="9480" max="9480" width="10.7265625" style="43" customWidth="1"/>
    <col min="9481" max="9481" width="8.7265625" style="43" customWidth="1"/>
    <col min="9482" max="9482" width="5.7265625" style="43" customWidth="1"/>
    <col min="9483" max="9485" width="13.453125" style="43" customWidth="1"/>
    <col min="9486" max="9728" width="9.1796875" style="43"/>
    <col min="9729" max="9729" width="11.54296875" style="43" customWidth="1"/>
    <col min="9730" max="9730" width="12.7265625" style="43" customWidth="1"/>
    <col min="9731" max="9731" width="11.26953125" style="43" customWidth="1"/>
    <col min="9732" max="9734" width="10.7265625" style="43" customWidth="1"/>
    <col min="9735" max="9735" width="8.7265625" style="43" customWidth="1"/>
    <col min="9736" max="9736" width="10.7265625" style="43" customWidth="1"/>
    <col min="9737" max="9737" width="8.7265625" style="43" customWidth="1"/>
    <col min="9738" max="9738" width="5.7265625" style="43" customWidth="1"/>
    <col min="9739" max="9741" width="13.453125" style="43" customWidth="1"/>
    <col min="9742" max="9984" width="9.1796875" style="43"/>
    <col min="9985" max="9985" width="11.54296875" style="43" customWidth="1"/>
    <col min="9986" max="9986" width="12.7265625" style="43" customWidth="1"/>
    <col min="9987" max="9987" width="11.26953125" style="43" customWidth="1"/>
    <col min="9988" max="9990" width="10.7265625" style="43" customWidth="1"/>
    <col min="9991" max="9991" width="8.7265625" style="43" customWidth="1"/>
    <col min="9992" max="9992" width="10.7265625" style="43" customWidth="1"/>
    <col min="9993" max="9993" width="8.7265625" style="43" customWidth="1"/>
    <col min="9994" max="9994" width="5.7265625" style="43" customWidth="1"/>
    <col min="9995" max="9997" width="13.453125" style="43" customWidth="1"/>
    <col min="9998" max="10240" width="9.1796875" style="43"/>
    <col min="10241" max="10241" width="11.54296875" style="43" customWidth="1"/>
    <col min="10242" max="10242" width="12.7265625" style="43" customWidth="1"/>
    <col min="10243" max="10243" width="11.26953125" style="43" customWidth="1"/>
    <col min="10244" max="10246" width="10.7265625" style="43" customWidth="1"/>
    <col min="10247" max="10247" width="8.7265625" style="43" customWidth="1"/>
    <col min="10248" max="10248" width="10.7265625" style="43" customWidth="1"/>
    <col min="10249" max="10249" width="8.7265625" style="43" customWidth="1"/>
    <col min="10250" max="10250" width="5.7265625" style="43" customWidth="1"/>
    <col min="10251" max="10253" width="13.453125" style="43" customWidth="1"/>
    <col min="10254" max="10496" width="9.1796875" style="43"/>
    <col min="10497" max="10497" width="11.54296875" style="43" customWidth="1"/>
    <col min="10498" max="10498" width="12.7265625" style="43" customWidth="1"/>
    <col min="10499" max="10499" width="11.26953125" style="43" customWidth="1"/>
    <col min="10500" max="10502" width="10.7265625" style="43" customWidth="1"/>
    <col min="10503" max="10503" width="8.7265625" style="43" customWidth="1"/>
    <col min="10504" max="10504" width="10.7265625" style="43" customWidth="1"/>
    <col min="10505" max="10505" width="8.7265625" style="43" customWidth="1"/>
    <col min="10506" max="10506" width="5.7265625" style="43" customWidth="1"/>
    <col min="10507" max="10509" width="13.453125" style="43" customWidth="1"/>
    <col min="10510" max="10752" width="9.1796875" style="43"/>
    <col min="10753" max="10753" width="11.54296875" style="43" customWidth="1"/>
    <col min="10754" max="10754" width="12.7265625" style="43" customWidth="1"/>
    <col min="10755" max="10755" width="11.26953125" style="43" customWidth="1"/>
    <col min="10756" max="10758" width="10.7265625" style="43" customWidth="1"/>
    <col min="10759" max="10759" width="8.7265625" style="43" customWidth="1"/>
    <col min="10760" max="10760" width="10.7265625" style="43" customWidth="1"/>
    <col min="10761" max="10761" width="8.7265625" style="43" customWidth="1"/>
    <col min="10762" max="10762" width="5.7265625" style="43" customWidth="1"/>
    <col min="10763" max="10765" width="13.453125" style="43" customWidth="1"/>
    <col min="10766" max="11008" width="9.1796875" style="43"/>
    <col min="11009" max="11009" width="11.54296875" style="43" customWidth="1"/>
    <col min="11010" max="11010" width="12.7265625" style="43" customWidth="1"/>
    <col min="11011" max="11011" width="11.26953125" style="43" customWidth="1"/>
    <col min="11012" max="11014" width="10.7265625" style="43" customWidth="1"/>
    <col min="11015" max="11015" width="8.7265625" style="43" customWidth="1"/>
    <col min="11016" max="11016" width="10.7265625" style="43" customWidth="1"/>
    <col min="11017" max="11017" width="8.7265625" style="43" customWidth="1"/>
    <col min="11018" max="11018" width="5.7265625" style="43" customWidth="1"/>
    <col min="11019" max="11021" width="13.453125" style="43" customWidth="1"/>
    <col min="11022" max="11264" width="9.1796875" style="43"/>
    <col min="11265" max="11265" width="11.54296875" style="43" customWidth="1"/>
    <col min="11266" max="11266" width="12.7265625" style="43" customWidth="1"/>
    <col min="11267" max="11267" width="11.26953125" style="43" customWidth="1"/>
    <col min="11268" max="11270" width="10.7265625" style="43" customWidth="1"/>
    <col min="11271" max="11271" width="8.7265625" style="43" customWidth="1"/>
    <col min="11272" max="11272" width="10.7265625" style="43" customWidth="1"/>
    <col min="11273" max="11273" width="8.7265625" style="43" customWidth="1"/>
    <col min="11274" max="11274" width="5.7265625" style="43" customWidth="1"/>
    <col min="11275" max="11277" width="13.453125" style="43" customWidth="1"/>
    <col min="11278" max="11520" width="9.1796875" style="43"/>
    <col min="11521" max="11521" width="11.54296875" style="43" customWidth="1"/>
    <col min="11522" max="11522" width="12.7265625" style="43" customWidth="1"/>
    <col min="11523" max="11523" width="11.26953125" style="43" customWidth="1"/>
    <col min="11524" max="11526" width="10.7265625" style="43" customWidth="1"/>
    <col min="11527" max="11527" width="8.7265625" style="43" customWidth="1"/>
    <col min="11528" max="11528" width="10.7265625" style="43" customWidth="1"/>
    <col min="11529" max="11529" width="8.7265625" style="43" customWidth="1"/>
    <col min="11530" max="11530" width="5.7265625" style="43" customWidth="1"/>
    <col min="11531" max="11533" width="13.453125" style="43" customWidth="1"/>
    <col min="11534" max="11776" width="9.1796875" style="43"/>
    <col min="11777" max="11777" width="11.54296875" style="43" customWidth="1"/>
    <col min="11778" max="11778" width="12.7265625" style="43" customWidth="1"/>
    <col min="11779" max="11779" width="11.26953125" style="43" customWidth="1"/>
    <col min="11780" max="11782" width="10.7265625" style="43" customWidth="1"/>
    <col min="11783" max="11783" width="8.7265625" style="43" customWidth="1"/>
    <col min="11784" max="11784" width="10.7265625" style="43" customWidth="1"/>
    <col min="11785" max="11785" width="8.7265625" style="43" customWidth="1"/>
    <col min="11786" max="11786" width="5.7265625" style="43" customWidth="1"/>
    <col min="11787" max="11789" width="13.453125" style="43" customWidth="1"/>
    <col min="11790" max="12032" width="9.1796875" style="43"/>
    <col min="12033" max="12033" width="11.54296875" style="43" customWidth="1"/>
    <col min="12034" max="12034" width="12.7265625" style="43" customWidth="1"/>
    <col min="12035" max="12035" width="11.26953125" style="43" customWidth="1"/>
    <col min="12036" max="12038" width="10.7265625" style="43" customWidth="1"/>
    <col min="12039" max="12039" width="8.7265625" style="43" customWidth="1"/>
    <col min="12040" max="12040" width="10.7265625" style="43" customWidth="1"/>
    <col min="12041" max="12041" width="8.7265625" style="43" customWidth="1"/>
    <col min="12042" max="12042" width="5.7265625" style="43" customWidth="1"/>
    <col min="12043" max="12045" width="13.453125" style="43" customWidth="1"/>
    <col min="12046" max="12288" width="9.1796875" style="43"/>
    <col min="12289" max="12289" width="11.54296875" style="43" customWidth="1"/>
    <col min="12290" max="12290" width="12.7265625" style="43" customWidth="1"/>
    <col min="12291" max="12291" width="11.26953125" style="43" customWidth="1"/>
    <col min="12292" max="12294" width="10.7265625" style="43" customWidth="1"/>
    <col min="12295" max="12295" width="8.7265625" style="43" customWidth="1"/>
    <col min="12296" max="12296" width="10.7265625" style="43" customWidth="1"/>
    <col min="12297" max="12297" width="8.7265625" style="43" customWidth="1"/>
    <col min="12298" max="12298" width="5.7265625" style="43" customWidth="1"/>
    <col min="12299" max="12301" width="13.453125" style="43" customWidth="1"/>
    <col min="12302" max="12544" width="9.1796875" style="43"/>
    <col min="12545" max="12545" width="11.54296875" style="43" customWidth="1"/>
    <col min="12546" max="12546" width="12.7265625" style="43" customWidth="1"/>
    <col min="12547" max="12547" width="11.26953125" style="43" customWidth="1"/>
    <col min="12548" max="12550" width="10.7265625" style="43" customWidth="1"/>
    <col min="12551" max="12551" width="8.7265625" style="43" customWidth="1"/>
    <col min="12552" max="12552" width="10.7265625" style="43" customWidth="1"/>
    <col min="12553" max="12553" width="8.7265625" style="43" customWidth="1"/>
    <col min="12554" max="12554" width="5.7265625" style="43" customWidth="1"/>
    <col min="12555" max="12557" width="13.453125" style="43" customWidth="1"/>
    <col min="12558" max="12800" width="9.1796875" style="43"/>
    <col min="12801" max="12801" width="11.54296875" style="43" customWidth="1"/>
    <col min="12802" max="12802" width="12.7265625" style="43" customWidth="1"/>
    <col min="12803" max="12803" width="11.26953125" style="43" customWidth="1"/>
    <col min="12804" max="12806" width="10.7265625" style="43" customWidth="1"/>
    <col min="12807" max="12807" width="8.7265625" style="43" customWidth="1"/>
    <col min="12808" max="12808" width="10.7265625" style="43" customWidth="1"/>
    <col min="12809" max="12809" width="8.7265625" style="43" customWidth="1"/>
    <col min="12810" max="12810" width="5.7265625" style="43" customWidth="1"/>
    <col min="12811" max="12813" width="13.453125" style="43" customWidth="1"/>
    <col min="12814" max="13056" width="9.1796875" style="43"/>
    <col min="13057" max="13057" width="11.54296875" style="43" customWidth="1"/>
    <col min="13058" max="13058" width="12.7265625" style="43" customWidth="1"/>
    <col min="13059" max="13059" width="11.26953125" style="43" customWidth="1"/>
    <col min="13060" max="13062" width="10.7265625" style="43" customWidth="1"/>
    <col min="13063" max="13063" width="8.7265625" style="43" customWidth="1"/>
    <col min="13064" max="13064" width="10.7265625" style="43" customWidth="1"/>
    <col min="13065" max="13065" width="8.7265625" style="43" customWidth="1"/>
    <col min="13066" max="13066" width="5.7265625" style="43" customWidth="1"/>
    <col min="13067" max="13069" width="13.453125" style="43" customWidth="1"/>
    <col min="13070" max="13312" width="9.1796875" style="43"/>
    <col min="13313" max="13313" width="11.54296875" style="43" customWidth="1"/>
    <col min="13314" max="13314" width="12.7265625" style="43" customWidth="1"/>
    <col min="13315" max="13315" width="11.26953125" style="43" customWidth="1"/>
    <col min="13316" max="13318" width="10.7265625" style="43" customWidth="1"/>
    <col min="13319" max="13319" width="8.7265625" style="43" customWidth="1"/>
    <col min="13320" max="13320" width="10.7265625" style="43" customWidth="1"/>
    <col min="13321" max="13321" width="8.7265625" style="43" customWidth="1"/>
    <col min="13322" max="13322" width="5.7265625" style="43" customWidth="1"/>
    <col min="13323" max="13325" width="13.453125" style="43" customWidth="1"/>
    <col min="13326" max="13568" width="9.1796875" style="43"/>
    <col min="13569" max="13569" width="11.54296875" style="43" customWidth="1"/>
    <col min="13570" max="13570" width="12.7265625" style="43" customWidth="1"/>
    <col min="13571" max="13571" width="11.26953125" style="43" customWidth="1"/>
    <col min="13572" max="13574" width="10.7265625" style="43" customWidth="1"/>
    <col min="13575" max="13575" width="8.7265625" style="43" customWidth="1"/>
    <col min="13576" max="13576" width="10.7265625" style="43" customWidth="1"/>
    <col min="13577" max="13577" width="8.7265625" style="43" customWidth="1"/>
    <col min="13578" max="13578" width="5.7265625" style="43" customWidth="1"/>
    <col min="13579" max="13581" width="13.453125" style="43" customWidth="1"/>
    <col min="13582" max="13824" width="9.1796875" style="43"/>
    <col min="13825" max="13825" width="11.54296875" style="43" customWidth="1"/>
    <col min="13826" max="13826" width="12.7265625" style="43" customWidth="1"/>
    <col min="13827" max="13827" width="11.26953125" style="43" customWidth="1"/>
    <col min="13828" max="13830" width="10.7265625" style="43" customWidth="1"/>
    <col min="13831" max="13831" width="8.7265625" style="43" customWidth="1"/>
    <col min="13832" max="13832" width="10.7265625" style="43" customWidth="1"/>
    <col min="13833" max="13833" width="8.7265625" style="43" customWidth="1"/>
    <col min="13834" max="13834" width="5.7265625" style="43" customWidth="1"/>
    <col min="13835" max="13837" width="13.453125" style="43" customWidth="1"/>
    <col min="13838" max="14080" width="9.1796875" style="43"/>
    <col min="14081" max="14081" width="11.54296875" style="43" customWidth="1"/>
    <col min="14082" max="14082" width="12.7265625" style="43" customWidth="1"/>
    <col min="14083" max="14083" width="11.26953125" style="43" customWidth="1"/>
    <col min="14084" max="14086" width="10.7265625" style="43" customWidth="1"/>
    <col min="14087" max="14087" width="8.7265625" style="43" customWidth="1"/>
    <col min="14088" max="14088" width="10.7265625" style="43" customWidth="1"/>
    <col min="14089" max="14089" width="8.7265625" style="43" customWidth="1"/>
    <col min="14090" max="14090" width="5.7265625" style="43" customWidth="1"/>
    <col min="14091" max="14093" width="13.453125" style="43" customWidth="1"/>
    <col min="14094" max="14336" width="9.1796875" style="43"/>
    <col min="14337" max="14337" width="11.54296875" style="43" customWidth="1"/>
    <col min="14338" max="14338" width="12.7265625" style="43" customWidth="1"/>
    <col min="14339" max="14339" width="11.26953125" style="43" customWidth="1"/>
    <col min="14340" max="14342" width="10.7265625" style="43" customWidth="1"/>
    <col min="14343" max="14343" width="8.7265625" style="43" customWidth="1"/>
    <col min="14344" max="14344" width="10.7265625" style="43" customWidth="1"/>
    <col min="14345" max="14345" width="8.7265625" style="43" customWidth="1"/>
    <col min="14346" max="14346" width="5.7265625" style="43" customWidth="1"/>
    <col min="14347" max="14349" width="13.453125" style="43" customWidth="1"/>
    <col min="14350" max="14592" width="9.1796875" style="43"/>
    <col min="14593" max="14593" width="11.54296875" style="43" customWidth="1"/>
    <col min="14594" max="14594" width="12.7265625" style="43" customWidth="1"/>
    <col min="14595" max="14595" width="11.26953125" style="43" customWidth="1"/>
    <col min="14596" max="14598" width="10.7265625" style="43" customWidth="1"/>
    <col min="14599" max="14599" width="8.7265625" style="43" customWidth="1"/>
    <col min="14600" max="14600" width="10.7265625" style="43" customWidth="1"/>
    <col min="14601" max="14601" width="8.7265625" style="43" customWidth="1"/>
    <col min="14602" max="14602" width="5.7265625" style="43" customWidth="1"/>
    <col min="14603" max="14605" width="13.453125" style="43" customWidth="1"/>
    <col min="14606" max="14848" width="9.1796875" style="43"/>
    <col min="14849" max="14849" width="11.54296875" style="43" customWidth="1"/>
    <col min="14850" max="14850" width="12.7265625" style="43" customWidth="1"/>
    <col min="14851" max="14851" width="11.26953125" style="43" customWidth="1"/>
    <col min="14852" max="14854" width="10.7265625" style="43" customWidth="1"/>
    <col min="14855" max="14855" width="8.7265625" style="43" customWidth="1"/>
    <col min="14856" max="14856" width="10.7265625" style="43" customWidth="1"/>
    <col min="14857" max="14857" width="8.7265625" style="43" customWidth="1"/>
    <col min="14858" max="14858" width="5.7265625" style="43" customWidth="1"/>
    <col min="14859" max="14861" width="13.453125" style="43" customWidth="1"/>
    <col min="14862" max="15104" width="9.1796875" style="43"/>
    <col min="15105" max="15105" width="11.54296875" style="43" customWidth="1"/>
    <col min="15106" max="15106" width="12.7265625" style="43" customWidth="1"/>
    <col min="15107" max="15107" width="11.26953125" style="43" customWidth="1"/>
    <col min="15108" max="15110" width="10.7265625" style="43" customWidth="1"/>
    <col min="15111" max="15111" width="8.7265625" style="43" customWidth="1"/>
    <col min="15112" max="15112" width="10.7265625" style="43" customWidth="1"/>
    <col min="15113" max="15113" width="8.7265625" style="43" customWidth="1"/>
    <col min="15114" max="15114" width="5.7265625" style="43" customWidth="1"/>
    <col min="15115" max="15117" width="13.453125" style="43" customWidth="1"/>
    <col min="15118" max="15360" width="9.1796875" style="43"/>
    <col min="15361" max="15361" width="11.54296875" style="43" customWidth="1"/>
    <col min="15362" max="15362" width="12.7265625" style="43" customWidth="1"/>
    <col min="15363" max="15363" width="11.26953125" style="43" customWidth="1"/>
    <col min="15364" max="15366" width="10.7265625" style="43" customWidth="1"/>
    <col min="15367" max="15367" width="8.7265625" style="43" customWidth="1"/>
    <col min="15368" max="15368" width="10.7265625" style="43" customWidth="1"/>
    <col min="15369" max="15369" width="8.7265625" style="43" customWidth="1"/>
    <col min="15370" max="15370" width="5.7265625" style="43" customWidth="1"/>
    <col min="15371" max="15373" width="13.453125" style="43" customWidth="1"/>
    <col min="15374" max="15616" width="9.1796875" style="43"/>
    <col min="15617" max="15617" width="11.54296875" style="43" customWidth="1"/>
    <col min="15618" max="15618" width="12.7265625" style="43" customWidth="1"/>
    <col min="15619" max="15619" width="11.26953125" style="43" customWidth="1"/>
    <col min="15620" max="15622" width="10.7265625" style="43" customWidth="1"/>
    <col min="15623" max="15623" width="8.7265625" style="43" customWidth="1"/>
    <col min="15624" max="15624" width="10.7265625" style="43" customWidth="1"/>
    <col min="15625" max="15625" width="8.7265625" style="43" customWidth="1"/>
    <col min="15626" max="15626" width="5.7265625" style="43" customWidth="1"/>
    <col min="15627" max="15629" width="13.453125" style="43" customWidth="1"/>
    <col min="15630" max="15872" width="9.1796875" style="43"/>
    <col min="15873" max="15873" width="11.54296875" style="43" customWidth="1"/>
    <col min="15874" max="15874" width="12.7265625" style="43" customWidth="1"/>
    <col min="15875" max="15875" width="11.26953125" style="43" customWidth="1"/>
    <col min="15876" max="15878" width="10.7265625" style="43" customWidth="1"/>
    <col min="15879" max="15879" width="8.7265625" style="43" customWidth="1"/>
    <col min="15880" max="15880" width="10.7265625" style="43" customWidth="1"/>
    <col min="15881" max="15881" width="8.7265625" style="43" customWidth="1"/>
    <col min="15882" max="15882" width="5.7265625" style="43" customWidth="1"/>
    <col min="15883" max="15885" width="13.453125" style="43" customWidth="1"/>
    <col min="15886" max="16128" width="9.1796875" style="43"/>
    <col min="16129" max="16129" width="11.54296875" style="43" customWidth="1"/>
    <col min="16130" max="16130" width="12.7265625" style="43" customWidth="1"/>
    <col min="16131" max="16131" width="11.26953125" style="43" customWidth="1"/>
    <col min="16132" max="16134" width="10.7265625" style="43" customWidth="1"/>
    <col min="16135" max="16135" width="8.7265625" style="43" customWidth="1"/>
    <col min="16136" max="16136" width="10.7265625" style="43" customWidth="1"/>
    <col min="16137" max="16137" width="8.7265625" style="43" customWidth="1"/>
    <col min="16138" max="16138" width="5.7265625" style="43" customWidth="1"/>
    <col min="16139" max="16141" width="13.453125" style="43" customWidth="1"/>
    <col min="16142" max="16384" width="9.1796875" style="43"/>
  </cols>
  <sheetData>
    <row r="1" spans="1:11" ht="23" x14ac:dyDescent="0.5">
      <c r="A1" s="73" t="s">
        <v>24</v>
      </c>
      <c r="B1" s="41"/>
      <c r="C1" s="41"/>
      <c r="D1" s="42"/>
      <c r="E1" s="42"/>
      <c r="F1" s="42"/>
      <c r="H1" s="42"/>
    </row>
    <row r="2" spans="1:11" x14ac:dyDescent="0.25">
      <c r="A2" s="44" t="s">
        <v>90</v>
      </c>
      <c r="B2" s="218" t="s">
        <v>98</v>
      </c>
      <c r="C2" s="218"/>
      <c r="D2" s="218"/>
      <c r="E2" s="45"/>
      <c r="F2" s="45"/>
      <c r="K2" s="45"/>
    </row>
    <row r="3" spans="1:11" ht="13" x14ac:dyDescent="0.3">
      <c r="A3" s="217" t="s">
        <v>91</v>
      </c>
      <c r="B3" s="217"/>
      <c r="C3" s="46"/>
      <c r="D3" s="47"/>
      <c r="F3" s="48"/>
      <c r="K3" s="49"/>
    </row>
    <row r="4" spans="1:11" ht="13" x14ac:dyDescent="0.3">
      <c r="B4" s="50"/>
      <c r="C4" s="50"/>
      <c r="D4" s="47"/>
      <c r="F4" s="48"/>
      <c r="G4" s="48"/>
    </row>
    <row r="5" spans="1:11" ht="13" x14ac:dyDescent="0.3">
      <c r="A5" s="99"/>
      <c r="B5" s="100"/>
      <c r="C5" s="101"/>
      <c r="E5" s="101"/>
    </row>
    <row r="6" spans="1:11" ht="13" hidden="1" x14ac:dyDescent="0.3">
      <c r="A6" s="96"/>
      <c r="B6" s="97" t="s">
        <v>97</v>
      </c>
      <c r="C6" s="98">
        <v>1</v>
      </c>
    </row>
    <row r="7" spans="1:11" ht="13" hidden="1" x14ac:dyDescent="0.3">
      <c r="B7" s="51" t="s">
        <v>25</v>
      </c>
      <c r="C7" s="52">
        <v>3</v>
      </c>
    </row>
    <row r="8" spans="1:11" x14ac:dyDescent="0.25">
      <c r="E8" s="184"/>
    </row>
    <row r="39" spans="1:9" hidden="1" x14ac:dyDescent="0.25">
      <c r="F39" s="41"/>
    </row>
    <row r="40" spans="1:9" ht="15.5" hidden="1" x14ac:dyDescent="0.35">
      <c r="A40" s="74" t="s">
        <v>26</v>
      </c>
      <c r="B40" s="74"/>
      <c r="C40" s="74"/>
      <c r="D40" s="74"/>
      <c r="F40" s="74" t="s">
        <v>27</v>
      </c>
      <c r="G40" s="74"/>
      <c r="H40" s="74"/>
      <c r="I40" s="74"/>
    </row>
    <row r="41" spans="1:9" hidden="1" x14ac:dyDescent="0.25">
      <c r="B41" s="53" t="s">
        <v>28</v>
      </c>
      <c r="C41" s="54">
        <f>AVERAGE(C58:C124)</f>
        <v>4.576061326748164E-2</v>
      </c>
      <c r="G41" s="55" t="s">
        <v>29</v>
      </c>
      <c r="H41" s="52">
        <v>40</v>
      </c>
    </row>
    <row r="42" spans="1:9" hidden="1" x14ac:dyDescent="0.25">
      <c r="B42" s="55" t="s">
        <v>30</v>
      </c>
      <c r="C42" s="54">
        <f>AVERAGE(B58:B124)</f>
        <v>0.97155998804696597</v>
      </c>
      <c r="G42" s="55" t="s">
        <v>31</v>
      </c>
      <c r="H42" s="52">
        <v>30</v>
      </c>
    </row>
    <row r="43" spans="1:9" ht="15.5" hidden="1" x14ac:dyDescent="0.4">
      <c r="B43" s="55" t="s">
        <v>32</v>
      </c>
      <c r="C43" s="54">
        <f>C41/INDEX(d2values,0,C6-1)</f>
        <v>4.0567919563370254E-2</v>
      </c>
      <c r="G43" s="55" t="s">
        <v>33</v>
      </c>
      <c r="H43" s="56">
        <f>IF(OR(H41="",H42="")," - ",(H41-H42)/(6*C43))</f>
        <v>41.083365491868598</v>
      </c>
    </row>
    <row r="44" spans="1:9" ht="15.5" hidden="1" x14ac:dyDescent="0.4">
      <c r="B44" s="57" t="s">
        <v>34</v>
      </c>
      <c r="C44" s="54">
        <f>C43/SQRT(C6)</f>
        <v>4.0567919563370254E-2</v>
      </c>
      <c r="G44" s="55" t="s">
        <v>35</v>
      </c>
      <c r="H44" s="56">
        <f>IF(H41=""," - ",(H41-C42)/(3*C43))</f>
        <v>320.68393311770706</v>
      </c>
    </row>
    <row r="45" spans="1:9" hidden="1" x14ac:dyDescent="0.25">
      <c r="G45" s="55" t="s">
        <v>36</v>
      </c>
      <c r="H45" s="56">
        <f>IF(H42=""," - ",(C42-H42)/(3*C43))</f>
        <v>-238.51720213396979</v>
      </c>
    </row>
    <row r="46" spans="1:9" ht="15.5" hidden="1" x14ac:dyDescent="0.4">
      <c r="G46" s="55" t="s">
        <v>37</v>
      </c>
      <c r="H46" s="56">
        <f>IF(AND(H41="",H42="")," - ",MIN(H45,H44))</f>
        <v>-238.51720213396979</v>
      </c>
    </row>
    <row r="47" spans="1:9" hidden="1" x14ac:dyDescent="0.25">
      <c r="G47" s="55" t="s">
        <v>38</v>
      </c>
      <c r="H47" s="58">
        <f>IF(H41="",IF(H42=""," - ",1-NORMSDIST((H42-C42)/C43)),IF(H42="",NORMSDIST((H41-C42)/C43),NORMSDIST((H41-C42)/C43)-NORMSDIST((H42-C42)/C43)))</f>
        <v>0</v>
      </c>
    </row>
    <row r="48" spans="1:9" hidden="1" x14ac:dyDescent="0.25"/>
    <row r="49" spans="1:9" ht="15.5" hidden="1" x14ac:dyDescent="0.35">
      <c r="A49" s="75" t="s">
        <v>39</v>
      </c>
      <c r="B49" s="76"/>
      <c r="C49" s="76"/>
      <c r="D49" s="76"/>
      <c r="F49" s="75" t="s">
        <v>40</v>
      </c>
      <c r="G49" s="76"/>
      <c r="H49" s="76"/>
      <c r="I49" s="76"/>
    </row>
    <row r="50" spans="1:9" ht="15.5" hidden="1" x14ac:dyDescent="0.4">
      <c r="A50" s="41"/>
      <c r="B50" s="53" t="s">
        <v>41</v>
      </c>
      <c r="C50" s="59">
        <f>C42</f>
        <v>0.97155998804696597</v>
      </c>
      <c r="D50" s="41"/>
      <c r="G50" s="53" t="s">
        <v>42</v>
      </c>
      <c r="H50" s="54">
        <f>C41</f>
        <v>4.576061326748164E-2</v>
      </c>
    </row>
    <row r="51" spans="1:9" ht="15.5" hidden="1" x14ac:dyDescent="0.4">
      <c r="A51" s="41"/>
      <c r="B51" s="53" t="s">
        <v>43</v>
      </c>
      <c r="C51" s="60">
        <f>C50+C7*C44</f>
        <v>1.0932637467370767</v>
      </c>
      <c r="D51" s="41" t="s">
        <v>44</v>
      </c>
      <c r="G51" s="53" t="s">
        <v>45</v>
      </c>
      <c r="H51" s="54">
        <f>C41*(1+C7*INDEX(d3values,1,C6-1)/INDEX(d2values,1,C6-1))</f>
        <v>0.14957391943014611</v>
      </c>
    </row>
    <row r="52" spans="1:9" ht="15.5" hidden="1" x14ac:dyDescent="0.4">
      <c r="A52" s="41"/>
      <c r="B52" s="53" t="s">
        <v>46</v>
      </c>
      <c r="C52" s="60">
        <f>C50-C7*C44</f>
        <v>0.84985622935685523</v>
      </c>
      <c r="D52" s="41" t="s">
        <v>47</v>
      </c>
      <c r="G52" s="53" t="s">
        <v>48</v>
      </c>
      <c r="H52" s="54">
        <f>C41*MAX(0,(1-C7*INDEX(d3values,1,C6-1)/INDEX(d2values,1,C6-1)))</f>
        <v>0</v>
      </c>
    </row>
    <row r="53" spans="1:9" hidden="1" x14ac:dyDescent="0.25">
      <c r="A53" s="41"/>
      <c r="B53" s="61" t="s">
        <v>49</v>
      </c>
      <c r="C53" s="62">
        <f>2*(1-NORMSDIST(C7))</f>
        <v>2.6997960632602069E-3</v>
      </c>
      <c r="D53" s="41"/>
      <c r="F53" s="41"/>
      <c r="H53" s="53"/>
    </row>
    <row r="54" spans="1:9" hidden="1" x14ac:dyDescent="0.25">
      <c r="A54" s="41"/>
      <c r="B54" s="63" t="s">
        <v>50</v>
      </c>
      <c r="C54" s="64">
        <f>1/C53</f>
        <v>370.39834734495639</v>
      </c>
      <c r="D54" s="65" t="s">
        <v>51</v>
      </c>
      <c r="F54" s="41"/>
      <c r="H54" s="53"/>
    </row>
    <row r="55" spans="1:9" hidden="1" x14ac:dyDescent="0.25"/>
    <row r="56" spans="1:9" ht="15.5" x14ac:dyDescent="0.35">
      <c r="A56" s="66" t="s">
        <v>52</v>
      </c>
      <c r="D56" s="66" t="s">
        <v>53</v>
      </c>
      <c r="G56" s="66" t="s">
        <v>54</v>
      </c>
      <c r="H56" s="50"/>
    </row>
    <row r="57" spans="1:9" ht="13" x14ac:dyDescent="0.3">
      <c r="A57" s="77" t="s">
        <v>55</v>
      </c>
      <c r="B57" s="77" t="s">
        <v>56</v>
      </c>
      <c r="C57" s="77" t="s">
        <v>57</v>
      </c>
      <c r="D57" s="78" t="s">
        <v>58</v>
      </c>
      <c r="E57" s="78" t="s">
        <v>59</v>
      </c>
      <c r="F57" s="78" t="s">
        <v>60</v>
      </c>
      <c r="G57" s="78" t="s">
        <v>58</v>
      </c>
      <c r="H57" s="78" t="s">
        <v>59</v>
      </c>
      <c r="I57" s="78" t="s">
        <v>60</v>
      </c>
    </row>
    <row r="58" spans="1:9" ht="14.5" x14ac:dyDescent="0.35">
      <c r="A58" s="119">
        <v>41645</v>
      </c>
      <c r="B58" s="117">
        <v>1</v>
      </c>
      <c r="C58" s="112"/>
      <c r="D58" s="67">
        <f t="shared" ref="D58:D121" si="0">$C$50</f>
        <v>0.97155998804696597</v>
      </c>
      <c r="E58" s="67">
        <f t="shared" ref="E58:E121" si="1">$C$51</f>
        <v>1.0932637467370767</v>
      </c>
      <c r="F58" s="67">
        <f t="shared" ref="F58:F121" si="2">$C$52</f>
        <v>0.84985622935685523</v>
      </c>
      <c r="G58" s="67">
        <f>$H$50</f>
        <v>4.576061326748164E-2</v>
      </c>
      <c r="H58" s="67">
        <f>$H$51</f>
        <v>0.14957391943014611</v>
      </c>
      <c r="I58" s="67">
        <f>$H$52</f>
        <v>0</v>
      </c>
    </row>
    <row r="59" spans="1:9" ht="14.5" x14ac:dyDescent="0.35">
      <c r="A59" s="120">
        <v>41641</v>
      </c>
      <c r="B59" s="118">
        <v>0.99133226324237556</v>
      </c>
      <c r="C59" s="112">
        <f>ABS(B59-B58)</f>
        <v>8.6677367576244446E-3</v>
      </c>
      <c r="D59" s="67">
        <f t="shared" si="0"/>
        <v>0.97155998804696597</v>
      </c>
      <c r="E59" s="67">
        <f t="shared" si="1"/>
        <v>1.0932637467370767</v>
      </c>
      <c r="F59" s="67">
        <f t="shared" si="2"/>
        <v>0.84985622935685523</v>
      </c>
      <c r="G59" s="67">
        <f t="shared" ref="G59:G124" si="3">$H$50</f>
        <v>4.576061326748164E-2</v>
      </c>
      <c r="H59" s="67">
        <f t="shared" ref="H59:H124" si="4">$H$51</f>
        <v>0.14957391943014611</v>
      </c>
      <c r="I59" s="67">
        <f t="shared" ref="I59:I124" si="5">$H$52</f>
        <v>0</v>
      </c>
    </row>
    <row r="60" spans="1:9" ht="14.5" x14ac:dyDescent="0.35">
      <c r="A60" s="120">
        <v>41641</v>
      </c>
      <c r="B60" s="118">
        <v>0.99133226324237556</v>
      </c>
      <c r="C60" s="112">
        <f t="shared" ref="C60:C92" si="6">ABS(B60-B59)</f>
        <v>0</v>
      </c>
      <c r="D60" s="67">
        <f t="shared" si="0"/>
        <v>0.97155998804696597</v>
      </c>
      <c r="E60" s="67">
        <f t="shared" si="1"/>
        <v>1.0932637467370767</v>
      </c>
      <c r="F60" s="67">
        <f t="shared" si="2"/>
        <v>0.84985622935685523</v>
      </c>
      <c r="G60" s="67">
        <f t="shared" si="3"/>
        <v>4.576061326748164E-2</v>
      </c>
      <c r="H60" s="67">
        <f t="shared" si="4"/>
        <v>0.14957391943014611</v>
      </c>
      <c r="I60" s="67">
        <f t="shared" si="5"/>
        <v>0</v>
      </c>
    </row>
    <row r="61" spans="1:9" ht="14.5" x14ac:dyDescent="0.35">
      <c r="A61" s="120">
        <v>41641</v>
      </c>
      <c r="B61" s="118">
        <v>0.99133226324237556</v>
      </c>
      <c r="C61" s="112">
        <f t="shared" si="6"/>
        <v>0</v>
      </c>
      <c r="D61" s="67">
        <f t="shared" si="0"/>
        <v>0.97155998804696597</v>
      </c>
      <c r="E61" s="67">
        <f t="shared" si="1"/>
        <v>1.0932637467370767</v>
      </c>
      <c r="F61" s="67">
        <f t="shared" si="2"/>
        <v>0.84985622935685523</v>
      </c>
      <c r="G61" s="67">
        <f t="shared" si="3"/>
        <v>4.576061326748164E-2</v>
      </c>
      <c r="H61" s="67">
        <f t="shared" si="4"/>
        <v>0.14957391943014611</v>
      </c>
      <c r="I61" s="67">
        <f t="shared" si="5"/>
        <v>0</v>
      </c>
    </row>
    <row r="62" spans="1:9" ht="14.5" x14ac:dyDescent="0.35">
      <c r="A62" s="120">
        <v>41641</v>
      </c>
      <c r="B62" s="118">
        <v>0.99133226324237556</v>
      </c>
      <c r="C62" s="112">
        <f t="shared" si="6"/>
        <v>0</v>
      </c>
      <c r="D62" s="67">
        <f t="shared" si="0"/>
        <v>0.97155998804696597</v>
      </c>
      <c r="E62" s="67">
        <f t="shared" si="1"/>
        <v>1.0932637467370767</v>
      </c>
      <c r="F62" s="67">
        <f t="shared" si="2"/>
        <v>0.84985622935685523</v>
      </c>
      <c r="G62" s="67">
        <f t="shared" si="3"/>
        <v>4.576061326748164E-2</v>
      </c>
      <c r="H62" s="67">
        <f t="shared" si="4"/>
        <v>0.14957391943014611</v>
      </c>
      <c r="I62" s="67">
        <f t="shared" si="5"/>
        <v>0</v>
      </c>
    </row>
    <row r="63" spans="1:9" ht="14.5" x14ac:dyDescent="0.35">
      <c r="A63" s="119">
        <v>41645</v>
      </c>
      <c r="B63" s="117">
        <v>1</v>
      </c>
      <c r="C63" s="112">
        <f t="shared" si="6"/>
        <v>8.6677367576244446E-3</v>
      </c>
      <c r="D63" s="67">
        <f t="shared" si="0"/>
        <v>0.97155998804696597</v>
      </c>
      <c r="E63" s="67">
        <f t="shared" si="1"/>
        <v>1.0932637467370767</v>
      </c>
      <c r="F63" s="67">
        <f t="shared" si="2"/>
        <v>0.84985622935685523</v>
      </c>
      <c r="G63" s="67">
        <f t="shared" si="3"/>
        <v>4.576061326748164E-2</v>
      </c>
      <c r="H63" s="67">
        <f t="shared" si="4"/>
        <v>0.14957391943014611</v>
      </c>
      <c r="I63" s="67">
        <f t="shared" si="5"/>
        <v>0</v>
      </c>
    </row>
    <row r="64" spans="1:9" ht="14.5" x14ac:dyDescent="0.35">
      <c r="A64" s="119">
        <v>41646</v>
      </c>
      <c r="B64" s="117">
        <v>0.98587047939444916</v>
      </c>
      <c r="C64" s="112">
        <f t="shared" si="6"/>
        <v>1.4129520605550838E-2</v>
      </c>
      <c r="D64" s="67">
        <f t="shared" si="0"/>
        <v>0.97155998804696597</v>
      </c>
      <c r="E64" s="67">
        <f t="shared" si="1"/>
        <v>1.0932637467370767</v>
      </c>
      <c r="F64" s="67">
        <f t="shared" si="2"/>
        <v>0.84985622935685523</v>
      </c>
      <c r="G64" s="67">
        <f t="shared" si="3"/>
        <v>4.576061326748164E-2</v>
      </c>
      <c r="H64" s="67">
        <f t="shared" si="4"/>
        <v>0.14957391943014611</v>
      </c>
      <c r="I64" s="67">
        <f t="shared" si="5"/>
        <v>0</v>
      </c>
    </row>
    <row r="65" spans="1:9" ht="14.5" x14ac:dyDescent="0.35">
      <c r="A65" s="119">
        <v>41646</v>
      </c>
      <c r="B65" s="117">
        <v>0.99044368600682597</v>
      </c>
      <c r="C65" s="112">
        <f t="shared" si="6"/>
        <v>4.5732066123768123E-3</v>
      </c>
      <c r="D65" s="67">
        <f t="shared" si="0"/>
        <v>0.97155998804696597</v>
      </c>
      <c r="E65" s="67">
        <f t="shared" si="1"/>
        <v>1.0932637467370767</v>
      </c>
      <c r="F65" s="67">
        <f t="shared" si="2"/>
        <v>0.84985622935685523</v>
      </c>
      <c r="G65" s="67">
        <f t="shared" si="3"/>
        <v>4.576061326748164E-2</v>
      </c>
      <c r="H65" s="67">
        <f t="shared" si="4"/>
        <v>0.14957391943014611</v>
      </c>
      <c r="I65" s="67">
        <f t="shared" si="5"/>
        <v>0</v>
      </c>
    </row>
    <row r="66" spans="1:9" ht="14.5" x14ac:dyDescent="0.35">
      <c r="A66" s="119">
        <v>41647</v>
      </c>
      <c r="B66" s="117">
        <v>0.98678996036988109</v>
      </c>
      <c r="C66" s="112">
        <f t="shared" si="6"/>
        <v>3.6537256369448823E-3</v>
      </c>
      <c r="D66" s="67">
        <f t="shared" si="0"/>
        <v>0.97155998804696597</v>
      </c>
      <c r="E66" s="67">
        <f t="shared" si="1"/>
        <v>1.0932637467370767</v>
      </c>
      <c r="F66" s="67">
        <f t="shared" si="2"/>
        <v>0.84985622935685523</v>
      </c>
      <c r="G66" s="67">
        <f t="shared" si="3"/>
        <v>4.576061326748164E-2</v>
      </c>
      <c r="H66" s="67">
        <f t="shared" si="4"/>
        <v>0.14957391943014611</v>
      </c>
      <c r="I66" s="67">
        <f t="shared" si="5"/>
        <v>0</v>
      </c>
    </row>
    <row r="67" spans="1:9" ht="14.5" x14ac:dyDescent="0.35">
      <c r="A67" s="119">
        <v>41647</v>
      </c>
      <c r="B67" s="117">
        <v>0.94687779338526368</v>
      </c>
      <c r="C67" s="112">
        <f t="shared" si="6"/>
        <v>3.9912166984617414E-2</v>
      </c>
      <c r="D67" s="67">
        <f t="shared" si="0"/>
        <v>0.97155998804696597</v>
      </c>
      <c r="E67" s="67">
        <f t="shared" si="1"/>
        <v>1.0932637467370767</v>
      </c>
      <c r="F67" s="67">
        <f t="shared" si="2"/>
        <v>0.84985622935685523</v>
      </c>
      <c r="G67" s="67">
        <f t="shared" si="3"/>
        <v>4.576061326748164E-2</v>
      </c>
      <c r="H67" s="67">
        <f t="shared" si="4"/>
        <v>0.14957391943014611</v>
      </c>
      <c r="I67" s="67">
        <f t="shared" si="5"/>
        <v>0</v>
      </c>
    </row>
    <row r="68" spans="1:9" ht="14.5" x14ac:dyDescent="0.35">
      <c r="A68" s="119">
        <v>41648</v>
      </c>
      <c r="B68" s="117">
        <v>0.99287683823529416</v>
      </c>
      <c r="C68" s="112">
        <f t="shared" si="6"/>
        <v>4.5999044850030479E-2</v>
      </c>
      <c r="D68" s="67">
        <f t="shared" si="0"/>
        <v>0.97155998804696597</v>
      </c>
      <c r="E68" s="67">
        <f t="shared" si="1"/>
        <v>1.0932637467370767</v>
      </c>
      <c r="F68" s="67">
        <f t="shared" si="2"/>
        <v>0.84985622935685523</v>
      </c>
      <c r="G68" s="67">
        <f t="shared" si="3"/>
        <v>4.576061326748164E-2</v>
      </c>
      <c r="H68" s="67">
        <f t="shared" si="4"/>
        <v>0.14957391943014611</v>
      </c>
      <c r="I68" s="67">
        <f t="shared" si="5"/>
        <v>0</v>
      </c>
    </row>
    <row r="69" spans="1:9" ht="14.5" x14ac:dyDescent="0.35">
      <c r="A69" s="119">
        <v>41649</v>
      </c>
      <c r="B69" s="117">
        <v>0.99204946996466437</v>
      </c>
      <c r="C69" s="112">
        <f t="shared" si="6"/>
        <v>8.2736827062979135E-4</v>
      </c>
      <c r="D69" s="67">
        <f t="shared" si="0"/>
        <v>0.97155998804696597</v>
      </c>
      <c r="E69" s="67">
        <f t="shared" si="1"/>
        <v>1.0932637467370767</v>
      </c>
      <c r="F69" s="67">
        <f t="shared" si="2"/>
        <v>0.84985622935685523</v>
      </c>
      <c r="G69" s="67">
        <f t="shared" si="3"/>
        <v>4.576061326748164E-2</v>
      </c>
      <c r="H69" s="67">
        <f t="shared" si="4"/>
        <v>0.14957391943014611</v>
      </c>
      <c r="I69" s="67">
        <f t="shared" si="5"/>
        <v>0</v>
      </c>
    </row>
    <row r="70" spans="1:9" ht="14.5" x14ac:dyDescent="0.35">
      <c r="A70" s="119">
        <v>41649</v>
      </c>
      <c r="B70" s="117">
        <v>0.95757953836556453</v>
      </c>
      <c r="C70" s="112">
        <f t="shared" si="6"/>
        <v>3.4469931599099835E-2</v>
      </c>
      <c r="D70" s="67">
        <f t="shared" si="0"/>
        <v>0.97155998804696597</v>
      </c>
      <c r="E70" s="67">
        <f t="shared" si="1"/>
        <v>1.0932637467370767</v>
      </c>
      <c r="F70" s="67">
        <f t="shared" si="2"/>
        <v>0.84985622935685523</v>
      </c>
      <c r="G70" s="67">
        <f t="shared" si="3"/>
        <v>4.576061326748164E-2</v>
      </c>
      <c r="H70" s="67">
        <f t="shared" si="4"/>
        <v>0.14957391943014611</v>
      </c>
      <c r="I70" s="67">
        <f t="shared" si="5"/>
        <v>0</v>
      </c>
    </row>
    <row r="71" spans="1:9" ht="14.5" x14ac:dyDescent="0.35">
      <c r="A71" s="119">
        <v>41650</v>
      </c>
      <c r="B71" s="117">
        <v>0.96007354872603101</v>
      </c>
      <c r="C71" s="112">
        <f t="shared" si="6"/>
        <v>2.4940103604664809E-3</v>
      </c>
      <c r="D71" s="67">
        <f t="shared" si="0"/>
        <v>0.97155998804696597</v>
      </c>
      <c r="E71" s="67">
        <f t="shared" si="1"/>
        <v>1.0932637467370767</v>
      </c>
      <c r="F71" s="67">
        <f t="shared" si="2"/>
        <v>0.84985622935685523</v>
      </c>
      <c r="G71" s="67">
        <f t="shared" si="3"/>
        <v>4.576061326748164E-2</v>
      </c>
      <c r="H71" s="67">
        <f t="shared" si="4"/>
        <v>0.14957391943014611</v>
      </c>
      <c r="I71" s="67">
        <f t="shared" si="5"/>
        <v>0</v>
      </c>
    </row>
    <row r="72" spans="1:9" ht="14.5" x14ac:dyDescent="0.35">
      <c r="A72" s="119">
        <v>41650</v>
      </c>
      <c r="B72" s="117">
        <v>0.99211690059603919</v>
      </c>
      <c r="C72" s="112">
        <f t="shared" si="6"/>
        <v>3.2043351870008174E-2</v>
      </c>
      <c r="D72" s="67">
        <f t="shared" si="0"/>
        <v>0.97155998804696597</v>
      </c>
      <c r="E72" s="67">
        <f t="shared" si="1"/>
        <v>1.0932637467370767</v>
      </c>
      <c r="F72" s="67">
        <f t="shared" si="2"/>
        <v>0.84985622935685523</v>
      </c>
      <c r="G72" s="67">
        <f t="shared" si="3"/>
        <v>4.576061326748164E-2</v>
      </c>
      <c r="H72" s="67">
        <f t="shared" si="4"/>
        <v>0.14957391943014611</v>
      </c>
      <c r="I72" s="67">
        <f t="shared" si="5"/>
        <v>0</v>
      </c>
    </row>
    <row r="73" spans="1:9" ht="14.5" x14ac:dyDescent="0.35">
      <c r="A73" s="119">
        <v>41650</v>
      </c>
      <c r="B73" s="117">
        <v>1</v>
      </c>
      <c r="C73" s="112">
        <f t="shared" si="6"/>
        <v>7.8830994039608138E-3</v>
      </c>
      <c r="D73" s="67">
        <f t="shared" si="0"/>
        <v>0.97155998804696597</v>
      </c>
      <c r="E73" s="67">
        <f t="shared" si="1"/>
        <v>1.0932637467370767</v>
      </c>
      <c r="F73" s="67">
        <f t="shared" si="2"/>
        <v>0.84985622935685523</v>
      </c>
      <c r="G73" s="67">
        <f t="shared" si="3"/>
        <v>4.576061326748164E-2</v>
      </c>
      <c r="H73" s="67">
        <f t="shared" si="4"/>
        <v>0.14957391943014611</v>
      </c>
      <c r="I73" s="67">
        <f t="shared" si="5"/>
        <v>0</v>
      </c>
    </row>
    <row r="74" spans="1:9" ht="14.5" x14ac:dyDescent="0.35">
      <c r="A74" s="119">
        <v>41652</v>
      </c>
      <c r="B74" s="117">
        <v>0.98864158801417101</v>
      </c>
      <c r="C74" s="112">
        <f t="shared" si="6"/>
        <v>1.1358411985828987E-2</v>
      </c>
      <c r="D74" s="67">
        <f t="shared" si="0"/>
        <v>0.97155998804696597</v>
      </c>
      <c r="E74" s="67">
        <f t="shared" si="1"/>
        <v>1.0932637467370767</v>
      </c>
      <c r="F74" s="67">
        <f t="shared" si="2"/>
        <v>0.84985622935685523</v>
      </c>
      <c r="G74" s="67">
        <f t="shared" si="3"/>
        <v>4.576061326748164E-2</v>
      </c>
      <c r="H74" s="67">
        <f t="shared" si="4"/>
        <v>0.14957391943014611</v>
      </c>
      <c r="I74" s="67">
        <f t="shared" si="5"/>
        <v>0</v>
      </c>
    </row>
    <row r="75" spans="1:9" ht="14.5" x14ac:dyDescent="0.35">
      <c r="A75" s="119">
        <v>41652</v>
      </c>
      <c r="B75" s="117">
        <v>1</v>
      </c>
      <c r="C75" s="112">
        <f t="shared" si="6"/>
        <v>1.1358411985828987E-2</v>
      </c>
      <c r="D75" s="67">
        <f t="shared" si="0"/>
        <v>0.97155998804696597</v>
      </c>
      <c r="E75" s="67">
        <f t="shared" si="1"/>
        <v>1.0932637467370767</v>
      </c>
      <c r="F75" s="67">
        <f t="shared" si="2"/>
        <v>0.84985622935685523</v>
      </c>
      <c r="G75" s="67">
        <f t="shared" si="3"/>
        <v>4.576061326748164E-2</v>
      </c>
      <c r="H75" s="67">
        <f t="shared" si="4"/>
        <v>0.14957391943014611</v>
      </c>
      <c r="I75" s="67">
        <f t="shared" si="5"/>
        <v>0</v>
      </c>
    </row>
    <row r="76" spans="1:9" ht="14.5" x14ac:dyDescent="0.35">
      <c r="A76" s="119">
        <v>41652</v>
      </c>
      <c r="B76" s="117">
        <v>1</v>
      </c>
      <c r="C76" s="112">
        <f t="shared" si="6"/>
        <v>0</v>
      </c>
      <c r="D76" s="67">
        <f t="shared" si="0"/>
        <v>0.97155998804696597</v>
      </c>
      <c r="E76" s="67">
        <f t="shared" si="1"/>
        <v>1.0932637467370767</v>
      </c>
      <c r="F76" s="67">
        <f t="shared" si="2"/>
        <v>0.84985622935685523</v>
      </c>
      <c r="G76" s="67">
        <f t="shared" si="3"/>
        <v>4.576061326748164E-2</v>
      </c>
      <c r="H76" s="67">
        <f t="shared" si="4"/>
        <v>0.14957391943014611</v>
      </c>
      <c r="I76" s="67">
        <f t="shared" si="5"/>
        <v>0</v>
      </c>
    </row>
    <row r="77" spans="1:9" ht="14.5" x14ac:dyDescent="0.35">
      <c r="A77" s="119">
        <v>41652</v>
      </c>
      <c r="B77" s="117">
        <v>0.98113207547169812</v>
      </c>
      <c r="C77" s="112">
        <f t="shared" si="6"/>
        <v>1.8867924528301883E-2</v>
      </c>
      <c r="D77" s="67">
        <f t="shared" si="0"/>
        <v>0.97155998804696597</v>
      </c>
      <c r="E77" s="67">
        <f t="shared" si="1"/>
        <v>1.0932637467370767</v>
      </c>
      <c r="F77" s="67">
        <f t="shared" si="2"/>
        <v>0.84985622935685523</v>
      </c>
      <c r="G77" s="67">
        <f t="shared" si="3"/>
        <v>4.576061326748164E-2</v>
      </c>
      <c r="H77" s="67">
        <f t="shared" si="4"/>
        <v>0.14957391943014611</v>
      </c>
      <c r="I77" s="67">
        <f t="shared" si="5"/>
        <v>0</v>
      </c>
    </row>
    <row r="78" spans="1:9" ht="14.5" x14ac:dyDescent="0.35">
      <c r="A78" s="119">
        <v>41652</v>
      </c>
      <c r="B78" s="117">
        <v>1</v>
      </c>
      <c r="C78" s="112">
        <f t="shared" si="6"/>
        <v>1.8867924528301883E-2</v>
      </c>
      <c r="D78" s="67">
        <f t="shared" si="0"/>
        <v>0.97155998804696597</v>
      </c>
      <c r="E78" s="67">
        <f t="shared" si="1"/>
        <v>1.0932637467370767</v>
      </c>
      <c r="F78" s="67">
        <f t="shared" si="2"/>
        <v>0.84985622935685523</v>
      </c>
      <c r="G78" s="67">
        <f t="shared" si="3"/>
        <v>4.576061326748164E-2</v>
      </c>
      <c r="H78" s="67">
        <f t="shared" si="4"/>
        <v>0.14957391943014611</v>
      </c>
      <c r="I78" s="67">
        <f t="shared" si="5"/>
        <v>0</v>
      </c>
    </row>
    <row r="79" spans="1:9" ht="14.5" x14ac:dyDescent="0.35">
      <c r="A79" s="119">
        <v>41653</v>
      </c>
      <c r="B79" s="117">
        <v>0.96728156879327665</v>
      </c>
      <c r="C79" s="112">
        <f t="shared" si="6"/>
        <v>3.2718431206723353E-2</v>
      </c>
      <c r="D79" s="67">
        <f t="shared" si="0"/>
        <v>0.97155998804696597</v>
      </c>
      <c r="E79" s="67">
        <f t="shared" si="1"/>
        <v>1.0932637467370767</v>
      </c>
      <c r="F79" s="67">
        <f t="shared" si="2"/>
        <v>0.84985622935685523</v>
      </c>
      <c r="G79" s="67">
        <f t="shared" si="3"/>
        <v>4.576061326748164E-2</v>
      </c>
      <c r="H79" s="67">
        <f t="shared" si="4"/>
        <v>0.14957391943014611</v>
      </c>
      <c r="I79" s="67">
        <f t="shared" si="5"/>
        <v>0</v>
      </c>
    </row>
    <row r="80" spans="1:9" ht="14.5" x14ac:dyDescent="0.35">
      <c r="A80" s="119">
        <v>41654</v>
      </c>
      <c r="B80" s="117">
        <v>0.9674389480275517</v>
      </c>
      <c r="C80" s="112">
        <f t="shared" si="6"/>
        <v>1.5737923427505685E-4</v>
      </c>
      <c r="D80" s="67">
        <f t="shared" si="0"/>
        <v>0.97155998804696597</v>
      </c>
      <c r="E80" s="67">
        <f t="shared" si="1"/>
        <v>1.0932637467370767</v>
      </c>
      <c r="F80" s="67">
        <f t="shared" si="2"/>
        <v>0.84985622935685523</v>
      </c>
      <c r="G80" s="67">
        <f t="shared" si="3"/>
        <v>4.576061326748164E-2</v>
      </c>
      <c r="H80" s="67">
        <f t="shared" si="4"/>
        <v>0.14957391943014611</v>
      </c>
      <c r="I80" s="67">
        <f t="shared" si="5"/>
        <v>0</v>
      </c>
    </row>
    <row r="81" spans="1:9" ht="14.5" x14ac:dyDescent="0.35">
      <c r="A81" s="119">
        <v>41654</v>
      </c>
      <c r="B81" s="117">
        <v>0.96692933729492314</v>
      </c>
      <c r="C81" s="112">
        <f t="shared" si="6"/>
        <v>5.096107326285626E-4</v>
      </c>
      <c r="D81" s="67">
        <f t="shared" si="0"/>
        <v>0.97155998804696597</v>
      </c>
      <c r="E81" s="67">
        <f t="shared" si="1"/>
        <v>1.0932637467370767</v>
      </c>
      <c r="F81" s="67">
        <f t="shared" si="2"/>
        <v>0.84985622935685523</v>
      </c>
      <c r="G81" s="67">
        <f t="shared" si="3"/>
        <v>4.576061326748164E-2</v>
      </c>
      <c r="H81" s="67">
        <f t="shared" si="4"/>
        <v>0.14957391943014611</v>
      </c>
      <c r="I81" s="67">
        <f t="shared" si="5"/>
        <v>0</v>
      </c>
    </row>
    <row r="82" spans="1:9" ht="14.5" x14ac:dyDescent="0.35">
      <c r="A82" s="119">
        <v>41655</v>
      </c>
      <c r="B82" s="117">
        <v>0.98745098039215684</v>
      </c>
      <c r="C82" s="112">
        <f t="shared" si="6"/>
        <v>2.0521643097233699E-2</v>
      </c>
      <c r="D82" s="67">
        <f t="shared" si="0"/>
        <v>0.97155998804696597</v>
      </c>
      <c r="E82" s="67">
        <f t="shared" si="1"/>
        <v>1.0932637467370767</v>
      </c>
      <c r="F82" s="67">
        <f t="shared" si="2"/>
        <v>0.84985622935685523</v>
      </c>
      <c r="G82" s="67">
        <f t="shared" si="3"/>
        <v>4.576061326748164E-2</v>
      </c>
      <c r="H82" s="67">
        <f t="shared" si="4"/>
        <v>0.14957391943014611</v>
      </c>
      <c r="I82" s="67">
        <f t="shared" si="5"/>
        <v>0</v>
      </c>
    </row>
    <row r="83" spans="1:9" ht="14.5" x14ac:dyDescent="0.35">
      <c r="A83" s="119">
        <v>41655</v>
      </c>
      <c r="B83" s="117">
        <v>0.97590361445783136</v>
      </c>
      <c r="C83" s="112">
        <f t="shared" si="6"/>
        <v>1.1547365934325482E-2</v>
      </c>
      <c r="D83" s="67">
        <f t="shared" si="0"/>
        <v>0.97155998804696597</v>
      </c>
      <c r="E83" s="67">
        <f t="shared" si="1"/>
        <v>1.0932637467370767</v>
      </c>
      <c r="F83" s="67">
        <f t="shared" si="2"/>
        <v>0.84985622935685523</v>
      </c>
      <c r="G83" s="67">
        <f t="shared" si="3"/>
        <v>4.576061326748164E-2</v>
      </c>
      <c r="H83" s="67">
        <f t="shared" si="4"/>
        <v>0.14957391943014611</v>
      </c>
      <c r="I83" s="67">
        <f t="shared" si="5"/>
        <v>0</v>
      </c>
    </row>
    <row r="84" spans="1:9" ht="14.5" x14ac:dyDescent="0.35">
      <c r="A84" s="119">
        <v>41655</v>
      </c>
      <c r="B84" s="117">
        <v>0.97784149166445145</v>
      </c>
      <c r="C84" s="112">
        <f t="shared" si="6"/>
        <v>1.9378772066200867E-3</v>
      </c>
      <c r="D84" s="67">
        <f t="shared" si="0"/>
        <v>0.97155998804696597</v>
      </c>
      <c r="E84" s="67">
        <f t="shared" si="1"/>
        <v>1.0932637467370767</v>
      </c>
      <c r="F84" s="67">
        <f t="shared" si="2"/>
        <v>0.84985622935685523</v>
      </c>
      <c r="G84" s="67">
        <f t="shared" si="3"/>
        <v>4.576061326748164E-2</v>
      </c>
      <c r="H84" s="67">
        <f t="shared" si="4"/>
        <v>0.14957391943014611</v>
      </c>
      <c r="I84" s="67">
        <f t="shared" si="5"/>
        <v>0</v>
      </c>
    </row>
    <row r="85" spans="1:9" ht="14.5" x14ac:dyDescent="0.35">
      <c r="A85" s="119">
        <v>41656</v>
      </c>
      <c r="B85" s="117">
        <v>0.97784107091996586</v>
      </c>
      <c r="C85" s="112">
        <f t="shared" si="6"/>
        <v>4.2074448558526711E-7</v>
      </c>
      <c r="D85" s="67">
        <f t="shared" si="0"/>
        <v>0.97155998804696597</v>
      </c>
      <c r="E85" s="67">
        <f t="shared" si="1"/>
        <v>1.0932637467370767</v>
      </c>
      <c r="F85" s="67">
        <f t="shared" si="2"/>
        <v>0.84985622935685523</v>
      </c>
      <c r="G85" s="67">
        <f t="shared" si="3"/>
        <v>4.576061326748164E-2</v>
      </c>
      <c r="H85" s="67">
        <f t="shared" si="4"/>
        <v>0.14957391943014611</v>
      </c>
      <c r="I85" s="67">
        <f t="shared" si="5"/>
        <v>0</v>
      </c>
    </row>
    <row r="86" spans="1:9" ht="14.5" x14ac:dyDescent="0.35">
      <c r="A86" s="119">
        <v>41657</v>
      </c>
      <c r="B86" s="117">
        <v>0.98374473208910296</v>
      </c>
      <c r="C86" s="112">
        <f t="shared" si="6"/>
        <v>5.9036611691370977E-3</v>
      </c>
      <c r="D86" s="67">
        <f t="shared" si="0"/>
        <v>0.97155998804696597</v>
      </c>
      <c r="E86" s="67">
        <f t="shared" si="1"/>
        <v>1.0932637467370767</v>
      </c>
      <c r="F86" s="67">
        <f t="shared" si="2"/>
        <v>0.84985622935685523</v>
      </c>
      <c r="G86" s="67">
        <f t="shared" si="3"/>
        <v>4.576061326748164E-2</v>
      </c>
      <c r="H86" s="67">
        <f t="shared" si="4"/>
        <v>0.14957391943014611</v>
      </c>
      <c r="I86" s="67">
        <f t="shared" si="5"/>
        <v>0</v>
      </c>
    </row>
    <row r="87" spans="1:9" ht="14.5" x14ac:dyDescent="0.35">
      <c r="A87" s="119">
        <v>41657</v>
      </c>
      <c r="B87" s="117">
        <v>0.95210022107590275</v>
      </c>
      <c r="C87" s="112">
        <f t="shared" si="6"/>
        <v>3.1644511013200205E-2</v>
      </c>
      <c r="D87" s="67">
        <f t="shared" si="0"/>
        <v>0.97155998804696597</v>
      </c>
      <c r="E87" s="67">
        <f t="shared" si="1"/>
        <v>1.0932637467370767</v>
      </c>
      <c r="F87" s="67">
        <f t="shared" si="2"/>
        <v>0.84985622935685523</v>
      </c>
      <c r="G87" s="67">
        <f t="shared" si="3"/>
        <v>4.576061326748164E-2</v>
      </c>
      <c r="H87" s="67">
        <f t="shared" si="4"/>
        <v>0.14957391943014611</v>
      </c>
      <c r="I87" s="67">
        <f t="shared" si="5"/>
        <v>0</v>
      </c>
    </row>
    <row r="88" spans="1:9" ht="14.5" x14ac:dyDescent="0.35">
      <c r="A88" s="119">
        <v>41659</v>
      </c>
      <c r="B88" s="117">
        <v>0.99414077557628555</v>
      </c>
      <c r="C88" s="112">
        <f t="shared" si="6"/>
        <v>4.2040554500382799E-2</v>
      </c>
      <c r="D88" s="67">
        <f t="shared" si="0"/>
        <v>0.97155998804696597</v>
      </c>
      <c r="E88" s="67">
        <f t="shared" si="1"/>
        <v>1.0932637467370767</v>
      </c>
      <c r="F88" s="67">
        <f t="shared" si="2"/>
        <v>0.84985622935685523</v>
      </c>
      <c r="G88" s="67">
        <f t="shared" si="3"/>
        <v>4.576061326748164E-2</v>
      </c>
      <c r="H88" s="67">
        <f t="shared" si="4"/>
        <v>0.14957391943014611</v>
      </c>
      <c r="I88" s="67">
        <f t="shared" si="5"/>
        <v>0</v>
      </c>
    </row>
    <row r="89" spans="1:9" ht="14.5" x14ac:dyDescent="0.35">
      <c r="A89" s="119">
        <v>41659</v>
      </c>
      <c r="B89" s="117">
        <v>0.8545454545454545</v>
      </c>
      <c r="C89" s="112">
        <f t="shared" si="6"/>
        <v>0.13959532103083105</v>
      </c>
      <c r="D89" s="67">
        <f t="shared" si="0"/>
        <v>0.97155998804696597</v>
      </c>
      <c r="E89" s="67">
        <f t="shared" si="1"/>
        <v>1.0932637467370767</v>
      </c>
      <c r="F89" s="67">
        <f t="shared" si="2"/>
        <v>0.84985622935685523</v>
      </c>
      <c r="G89" s="67">
        <f t="shared" si="3"/>
        <v>4.576061326748164E-2</v>
      </c>
      <c r="H89" s="67">
        <f t="shared" si="4"/>
        <v>0.14957391943014611</v>
      </c>
      <c r="I89" s="67">
        <f t="shared" si="5"/>
        <v>0</v>
      </c>
    </row>
    <row r="90" spans="1:9" ht="14.5" x14ac:dyDescent="0.35">
      <c r="A90" s="119">
        <v>41659</v>
      </c>
      <c r="B90" s="117">
        <v>0.96274738067520371</v>
      </c>
      <c r="C90" s="112">
        <f t="shared" si="6"/>
        <v>0.10820192612974922</v>
      </c>
      <c r="D90" s="67">
        <f t="shared" si="0"/>
        <v>0.97155998804696597</v>
      </c>
      <c r="E90" s="67">
        <f t="shared" si="1"/>
        <v>1.0932637467370767</v>
      </c>
      <c r="F90" s="67">
        <f t="shared" si="2"/>
        <v>0.84985622935685523</v>
      </c>
      <c r="G90" s="67">
        <f t="shared" si="3"/>
        <v>4.576061326748164E-2</v>
      </c>
      <c r="H90" s="67">
        <f t="shared" si="4"/>
        <v>0.14957391943014611</v>
      </c>
      <c r="I90" s="67">
        <f t="shared" si="5"/>
        <v>0</v>
      </c>
    </row>
    <row r="91" spans="1:9" ht="14.5" x14ac:dyDescent="0.35">
      <c r="A91" s="119">
        <v>41660</v>
      </c>
      <c r="B91" s="117">
        <v>0.99482237882928237</v>
      </c>
      <c r="C91" s="112">
        <f t="shared" si="6"/>
        <v>3.207499815407866E-2</v>
      </c>
      <c r="D91" s="67">
        <f t="shared" si="0"/>
        <v>0.97155998804696597</v>
      </c>
      <c r="E91" s="67">
        <f t="shared" si="1"/>
        <v>1.0932637467370767</v>
      </c>
      <c r="F91" s="67">
        <f t="shared" si="2"/>
        <v>0.84985622935685523</v>
      </c>
      <c r="G91" s="67">
        <f t="shared" si="3"/>
        <v>4.576061326748164E-2</v>
      </c>
      <c r="H91" s="67">
        <f t="shared" si="4"/>
        <v>0.14957391943014611</v>
      </c>
      <c r="I91" s="67">
        <f t="shared" si="5"/>
        <v>0</v>
      </c>
    </row>
    <row r="92" spans="1:9" ht="14.5" x14ac:dyDescent="0.35">
      <c r="A92" s="119">
        <v>41660</v>
      </c>
      <c r="B92" s="117">
        <v>0.81558371528713935</v>
      </c>
      <c r="C92" s="112">
        <f t="shared" si="6"/>
        <v>0.17923866354214302</v>
      </c>
      <c r="D92" s="67">
        <f t="shared" si="0"/>
        <v>0.97155998804696597</v>
      </c>
      <c r="E92" s="67">
        <f t="shared" si="1"/>
        <v>1.0932637467370767</v>
      </c>
      <c r="F92" s="67">
        <f t="shared" si="2"/>
        <v>0.84985622935685523</v>
      </c>
      <c r="G92" s="67">
        <f t="shared" si="3"/>
        <v>4.576061326748164E-2</v>
      </c>
      <c r="H92" s="67">
        <f t="shared" si="4"/>
        <v>0.14957391943014611</v>
      </c>
      <c r="I92" s="67">
        <f t="shared" si="5"/>
        <v>0</v>
      </c>
    </row>
    <row r="93" spans="1:9" ht="14.5" x14ac:dyDescent="0.35">
      <c r="A93" s="119">
        <v>41661</v>
      </c>
      <c r="B93" s="117">
        <v>0.95836506727595838</v>
      </c>
      <c r="C93" s="112">
        <f t="shared" ref="C93:C124" si="7">ABS(B93-B92)</f>
        <v>0.14278135198881903</v>
      </c>
      <c r="D93" s="67">
        <f t="shared" si="0"/>
        <v>0.97155998804696597</v>
      </c>
      <c r="E93" s="67">
        <f t="shared" si="1"/>
        <v>1.0932637467370767</v>
      </c>
      <c r="F93" s="67">
        <f t="shared" si="2"/>
        <v>0.84985622935685523</v>
      </c>
      <c r="G93" s="67">
        <f t="shared" si="3"/>
        <v>4.576061326748164E-2</v>
      </c>
      <c r="H93" s="67">
        <f t="shared" si="4"/>
        <v>0.14957391943014611</v>
      </c>
      <c r="I93" s="67">
        <f t="shared" si="5"/>
        <v>0</v>
      </c>
    </row>
    <row r="94" spans="1:9" ht="14.5" x14ac:dyDescent="0.35">
      <c r="A94" s="119">
        <v>41661</v>
      </c>
      <c r="B94" s="117">
        <v>0.85553398058252428</v>
      </c>
      <c r="C94" s="112">
        <f t="shared" si="7"/>
        <v>0.1028310866934341</v>
      </c>
      <c r="D94" s="67">
        <f t="shared" si="0"/>
        <v>0.97155998804696597</v>
      </c>
      <c r="E94" s="67">
        <f t="shared" si="1"/>
        <v>1.0932637467370767</v>
      </c>
      <c r="F94" s="67">
        <f t="shared" si="2"/>
        <v>0.84985622935685523</v>
      </c>
      <c r="G94" s="67">
        <f t="shared" si="3"/>
        <v>4.576061326748164E-2</v>
      </c>
      <c r="H94" s="67">
        <f t="shared" si="4"/>
        <v>0.14957391943014611</v>
      </c>
      <c r="I94" s="67">
        <f t="shared" si="5"/>
        <v>0</v>
      </c>
    </row>
    <row r="95" spans="1:9" ht="14.5" x14ac:dyDescent="0.35">
      <c r="A95" s="119">
        <v>41661</v>
      </c>
      <c r="B95" s="117">
        <v>0.98152399693888703</v>
      </c>
      <c r="C95" s="112">
        <f t="shared" si="7"/>
        <v>0.12599001635636276</v>
      </c>
      <c r="D95" s="67">
        <f t="shared" si="0"/>
        <v>0.97155998804696597</v>
      </c>
      <c r="E95" s="67">
        <f t="shared" si="1"/>
        <v>1.0932637467370767</v>
      </c>
      <c r="F95" s="67">
        <f t="shared" si="2"/>
        <v>0.84985622935685523</v>
      </c>
      <c r="G95" s="67">
        <f t="shared" si="3"/>
        <v>4.576061326748164E-2</v>
      </c>
      <c r="H95" s="67">
        <f t="shared" si="4"/>
        <v>0.14957391943014611</v>
      </c>
      <c r="I95" s="67">
        <f t="shared" si="5"/>
        <v>0</v>
      </c>
    </row>
    <row r="96" spans="1:9" ht="14.5" x14ac:dyDescent="0.35">
      <c r="A96" s="119">
        <v>41662</v>
      </c>
      <c r="B96" s="117">
        <v>0.98663336258691692</v>
      </c>
      <c r="C96" s="112">
        <f t="shared" si="7"/>
        <v>5.1093656480298844E-3</v>
      </c>
      <c r="D96" s="67">
        <f t="shared" si="0"/>
        <v>0.97155998804696597</v>
      </c>
      <c r="E96" s="67">
        <f t="shared" si="1"/>
        <v>1.0932637467370767</v>
      </c>
      <c r="F96" s="67">
        <f t="shared" si="2"/>
        <v>0.84985622935685523</v>
      </c>
      <c r="G96" s="67">
        <f t="shared" si="3"/>
        <v>4.576061326748164E-2</v>
      </c>
      <c r="H96" s="67">
        <f t="shared" si="4"/>
        <v>0.14957391943014611</v>
      </c>
      <c r="I96" s="67">
        <f t="shared" si="5"/>
        <v>0</v>
      </c>
    </row>
    <row r="97" spans="1:9" ht="14.5" x14ac:dyDescent="0.35">
      <c r="A97" s="119">
        <v>41297</v>
      </c>
      <c r="B97" s="117">
        <v>0.9707446808510638</v>
      </c>
      <c r="C97" s="112">
        <f t="shared" si="7"/>
        <v>1.5888681735853116E-2</v>
      </c>
      <c r="D97" s="67">
        <f t="shared" si="0"/>
        <v>0.97155998804696597</v>
      </c>
      <c r="E97" s="67">
        <f t="shared" si="1"/>
        <v>1.0932637467370767</v>
      </c>
      <c r="F97" s="67">
        <f t="shared" si="2"/>
        <v>0.84985622935685523</v>
      </c>
      <c r="G97" s="67">
        <f t="shared" si="3"/>
        <v>4.576061326748164E-2</v>
      </c>
      <c r="H97" s="67">
        <f t="shared" si="4"/>
        <v>0.14957391943014611</v>
      </c>
      <c r="I97" s="67">
        <f t="shared" si="5"/>
        <v>0</v>
      </c>
    </row>
    <row r="98" spans="1:9" ht="14.5" x14ac:dyDescent="0.35">
      <c r="A98" s="119">
        <v>41663</v>
      </c>
      <c r="B98" s="117">
        <v>0.98486159169550169</v>
      </c>
      <c r="C98" s="112">
        <f t="shared" si="7"/>
        <v>1.4116910844437891E-2</v>
      </c>
      <c r="D98" s="67">
        <f t="shared" si="0"/>
        <v>0.97155998804696597</v>
      </c>
      <c r="E98" s="67">
        <f t="shared" si="1"/>
        <v>1.0932637467370767</v>
      </c>
      <c r="F98" s="67">
        <f t="shared" si="2"/>
        <v>0.84985622935685523</v>
      </c>
      <c r="G98" s="67">
        <f t="shared" si="3"/>
        <v>4.576061326748164E-2</v>
      </c>
      <c r="H98" s="67">
        <f t="shared" si="4"/>
        <v>0.14957391943014611</v>
      </c>
      <c r="I98" s="67">
        <f t="shared" si="5"/>
        <v>0</v>
      </c>
    </row>
    <row r="99" spans="1:9" ht="14.5" x14ac:dyDescent="0.35">
      <c r="A99" s="119">
        <v>41664</v>
      </c>
      <c r="B99" s="117">
        <v>1</v>
      </c>
      <c r="C99" s="112">
        <f t="shared" si="7"/>
        <v>1.5138408304498308E-2</v>
      </c>
      <c r="D99" s="67">
        <f t="shared" si="0"/>
        <v>0.97155998804696597</v>
      </c>
      <c r="E99" s="67">
        <f t="shared" si="1"/>
        <v>1.0932637467370767</v>
      </c>
      <c r="F99" s="67">
        <f t="shared" si="2"/>
        <v>0.84985622935685523</v>
      </c>
      <c r="G99" s="67">
        <f t="shared" si="3"/>
        <v>4.576061326748164E-2</v>
      </c>
      <c r="H99" s="67">
        <f t="shared" si="4"/>
        <v>0.14957391943014611</v>
      </c>
      <c r="I99" s="67">
        <f t="shared" si="5"/>
        <v>0</v>
      </c>
    </row>
    <row r="100" spans="1:9" ht="14.5" x14ac:dyDescent="0.35">
      <c r="A100" s="119">
        <v>41666</v>
      </c>
      <c r="B100" s="117">
        <v>1</v>
      </c>
      <c r="C100" s="112">
        <f t="shared" si="7"/>
        <v>0</v>
      </c>
      <c r="D100" s="67">
        <f t="shared" si="0"/>
        <v>0.97155998804696597</v>
      </c>
      <c r="E100" s="67">
        <f t="shared" si="1"/>
        <v>1.0932637467370767</v>
      </c>
      <c r="F100" s="67">
        <f t="shared" si="2"/>
        <v>0.84985622935685523</v>
      </c>
      <c r="G100" s="67">
        <f t="shared" si="3"/>
        <v>4.576061326748164E-2</v>
      </c>
      <c r="H100" s="67">
        <f t="shared" si="4"/>
        <v>0.14957391943014611</v>
      </c>
      <c r="I100" s="67">
        <f t="shared" si="5"/>
        <v>0</v>
      </c>
    </row>
    <row r="101" spans="1:9" ht="14.5" x14ac:dyDescent="0.35">
      <c r="A101" s="119">
        <v>41666</v>
      </c>
      <c r="B101" s="117">
        <v>0.9701678060907396</v>
      </c>
      <c r="C101" s="112">
        <f t="shared" si="7"/>
        <v>2.9832193909260396E-2</v>
      </c>
      <c r="D101" s="67">
        <f t="shared" si="0"/>
        <v>0.97155998804696597</v>
      </c>
      <c r="E101" s="67">
        <f t="shared" si="1"/>
        <v>1.0932637467370767</v>
      </c>
      <c r="F101" s="67">
        <f t="shared" si="2"/>
        <v>0.84985622935685523</v>
      </c>
      <c r="G101" s="67">
        <f t="shared" si="3"/>
        <v>4.576061326748164E-2</v>
      </c>
      <c r="H101" s="67">
        <f t="shared" si="4"/>
        <v>0.14957391943014611</v>
      </c>
      <c r="I101" s="67">
        <f t="shared" si="5"/>
        <v>0</v>
      </c>
    </row>
    <row r="102" spans="1:9" ht="14.5" x14ac:dyDescent="0.35">
      <c r="A102" s="119">
        <v>41666</v>
      </c>
      <c r="B102" s="117">
        <v>0.97652429083795245</v>
      </c>
      <c r="C102" s="112">
        <f t="shared" si="7"/>
        <v>6.3564847472128427E-3</v>
      </c>
      <c r="D102" s="67">
        <f t="shared" si="0"/>
        <v>0.97155998804696597</v>
      </c>
      <c r="E102" s="67">
        <f t="shared" si="1"/>
        <v>1.0932637467370767</v>
      </c>
      <c r="F102" s="67">
        <f t="shared" si="2"/>
        <v>0.84985622935685523</v>
      </c>
      <c r="G102" s="67">
        <f t="shared" si="3"/>
        <v>4.576061326748164E-2</v>
      </c>
      <c r="H102" s="67">
        <f t="shared" si="4"/>
        <v>0.14957391943014611</v>
      </c>
      <c r="I102" s="67">
        <f t="shared" si="5"/>
        <v>0</v>
      </c>
    </row>
    <row r="103" spans="1:9" ht="14.5" x14ac:dyDescent="0.35">
      <c r="A103" s="119">
        <v>41698</v>
      </c>
      <c r="B103" s="117">
        <v>1</v>
      </c>
      <c r="C103" s="112">
        <f t="shared" si="7"/>
        <v>2.3475709162047553E-2</v>
      </c>
      <c r="D103" s="67">
        <f t="shared" si="0"/>
        <v>0.97155998804696597</v>
      </c>
      <c r="E103" s="67">
        <f t="shared" si="1"/>
        <v>1.0932637467370767</v>
      </c>
      <c r="F103" s="67">
        <f t="shared" si="2"/>
        <v>0.84985622935685523</v>
      </c>
      <c r="G103" s="67">
        <f t="shared" si="3"/>
        <v>4.576061326748164E-2</v>
      </c>
      <c r="H103" s="67">
        <f t="shared" si="4"/>
        <v>0.14957391943014611</v>
      </c>
      <c r="I103" s="67">
        <f t="shared" si="5"/>
        <v>0</v>
      </c>
    </row>
    <row r="104" spans="1:9" ht="14.5" x14ac:dyDescent="0.35">
      <c r="A104" s="119">
        <v>41667</v>
      </c>
      <c r="B104" s="117">
        <v>0.96511971622819981</v>
      </c>
      <c r="C104" s="112">
        <f t="shared" si="7"/>
        <v>3.4880283771800191E-2</v>
      </c>
      <c r="D104" s="67">
        <f t="shared" si="0"/>
        <v>0.97155998804696597</v>
      </c>
      <c r="E104" s="67">
        <f t="shared" si="1"/>
        <v>1.0932637467370767</v>
      </c>
      <c r="F104" s="67">
        <f t="shared" si="2"/>
        <v>0.84985622935685523</v>
      </c>
      <c r="G104" s="67">
        <f t="shared" si="3"/>
        <v>4.576061326748164E-2</v>
      </c>
      <c r="H104" s="67">
        <f t="shared" si="4"/>
        <v>0.14957391943014611</v>
      </c>
      <c r="I104" s="67">
        <f t="shared" si="5"/>
        <v>0</v>
      </c>
    </row>
    <row r="105" spans="1:9" ht="14.5" x14ac:dyDescent="0.35">
      <c r="A105" s="119">
        <v>41667</v>
      </c>
      <c r="B105" s="117">
        <v>0.99152377240841783</v>
      </c>
      <c r="C105" s="112">
        <f t="shared" si="7"/>
        <v>2.6404056180218016E-2</v>
      </c>
      <c r="D105" s="67">
        <f t="shared" si="0"/>
        <v>0.97155998804696597</v>
      </c>
      <c r="E105" s="67">
        <f t="shared" si="1"/>
        <v>1.0932637467370767</v>
      </c>
      <c r="F105" s="67">
        <f t="shared" si="2"/>
        <v>0.84985622935685523</v>
      </c>
      <c r="G105" s="67">
        <f t="shared" si="3"/>
        <v>4.576061326748164E-2</v>
      </c>
      <c r="H105" s="67">
        <f t="shared" si="4"/>
        <v>0.14957391943014611</v>
      </c>
      <c r="I105" s="67">
        <f t="shared" si="5"/>
        <v>0</v>
      </c>
    </row>
    <row r="106" spans="1:9" ht="14.5" x14ac:dyDescent="0.35">
      <c r="A106" s="119">
        <v>41668</v>
      </c>
      <c r="B106" s="117">
        <v>0.9859413338049029</v>
      </c>
      <c r="C106" s="112">
        <f t="shared" si="7"/>
        <v>5.5824386035149276E-3</v>
      </c>
      <c r="D106" s="67">
        <f t="shared" si="0"/>
        <v>0.97155998804696597</v>
      </c>
      <c r="E106" s="67">
        <f t="shared" si="1"/>
        <v>1.0932637467370767</v>
      </c>
      <c r="F106" s="67">
        <f t="shared" si="2"/>
        <v>0.84985622935685523</v>
      </c>
      <c r="G106" s="67">
        <f t="shared" si="3"/>
        <v>4.576061326748164E-2</v>
      </c>
      <c r="H106" s="67">
        <f t="shared" si="4"/>
        <v>0.14957391943014611</v>
      </c>
      <c r="I106" s="67">
        <f t="shared" si="5"/>
        <v>0</v>
      </c>
    </row>
    <row r="107" spans="1:9" ht="14.5" x14ac:dyDescent="0.35">
      <c r="A107" s="119">
        <v>41668</v>
      </c>
      <c r="B107" s="117">
        <v>0.86933490288404947</v>
      </c>
      <c r="C107" s="112">
        <f t="shared" si="7"/>
        <v>0.11660643092085343</v>
      </c>
      <c r="D107" s="67">
        <f t="shared" si="0"/>
        <v>0.97155998804696597</v>
      </c>
      <c r="E107" s="67">
        <f t="shared" si="1"/>
        <v>1.0932637467370767</v>
      </c>
      <c r="F107" s="67">
        <f t="shared" si="2"/>
        <v>0.84985622935685523</v>
      </c>
      <c r="G107" s="67">
        <f t="shared" si="3"/>
        <v>4.576061326748164E-2</v>
      </c>
      <c r="H107" s="67">
        <f t="shared" si="4"/>
        <v>0.14957391943014611</v>
      </c>
      <c r="I107" s="67">
        <f t="shared" si="5"/>
        <v>0</v>
      </c>
    </row>
    <row r="108" spans="1:9" ht="14.5" x14ac:dyDescent="0.35">
      <c r="A108" s="119">
        <v>41668</v>
      </c>
      <c r="B108" s="117">
        <v>0.95780983403133235</v>
      </c>
      <c r="C108" s="112">
        <f t="shared" si="7"/>
        <v>8.8474931147282887E-2</v>
      </c>
      <c r="D108" s="67">
        <f t="shared" si="0"/>
        <v>0.97155998804696597</v>
      </c>
      <c r="E108" s="67">
        <f t="shared" si="1"/>
        <v>1.0932637467370767</v>
      </c>
      <c r="F108" s="67">
        <f t="shared" si="2"/>
        <v>0.84985622935685523</v>
      </c>
      <c r="G108" s="67">
        <f t="shared" si="3"/>
        <v>4.576061326748164E-2</v>
      </c>
      <c r="H108" s="67">
        <f t="shared" si="4"/>
        <v>0.14957391943014611</v>
      </c>
      <c r="I108" s="67">
        <f t="shared" si="5"/>
        <v>0</v>
      </c>
    </row>
    <row r="109" spans="1:9" ht="14.5" x14ac:dyDescent="0.35">
      <c r="A109" s="119">
        <v>41669</v>
      </c>
      <c r="B109" s="117">
        <v>0.9932216155149689</v>
      </c>
      <c r="C109" s="112">
        <f t="shared" si="7"/>
        <v>3.5411781483636551E-2</v>
      </c>
      <c r="D109" s="67">
        <f t="shared" si="0"/>
        <v>0.97155998804696597</v>
      </c>
      <c r="E109" s="67">
        <f t="shared" si="1"/>
        <v>1.0932637467370767</v>
      </c>
      <c r="F109" s="67">
        <f t="shared" si="2"/>
        <v>0.84985622935685523</v>
      </c>
      <c r="G109" s="67">
        <f t="shared" si="3"/>
        <v>4.576061326748164E-2</v>
      </c>
      <c r="H109" s="67">
        <f t="shared" si="4"/>
        <v>0.14957391943014611</v>
      </c>
      <c r="I109" s="67">
        <f t="shared" si="5"/>
        <v>0</v>
      </c>
    </row>
    <row r="110" spans="1:9" ht="14.5" x14ac:dyDescent="0.35">
      <c r="A110" s="119">
        <v>41673</v>
      </c>
      <c r="B110" s="117">
        <v>1</v>
      </c>
      <c r="C110" s="112">
        <f t="shared" si="7"/>
        <v>6.778384485031097E-3</v>
      </c>
      <c r="D110" s="67">
        <f t="shared" si="0"/>
        <v>0.97155998804696597</v>
      </c>
      <c r="E110" s="67">
        <f t="shared" si="1"/>
        <v>1.0932637467370767</v>
      </c>
      <c r="F110" s="67">
        <f t="shared" si="2"/>
        <v>0.84985622935685523</v>
      </c>
      <c r="G110" s="67">
        <f t="shared" si="3"/>
        <v>4.576061326748164E-2</v>
      </c>
      <c r="H110" s="67">
        <f t="shared" si="4"/>
        <v>0.14957391943014611</v>
      </c>
      <c r="I110" s="67">
        <f t="shared" si="5"/>
        <v>0</v>
      </c>
    </row>
    <row r="111" spans="1:9" ht="14.5" x14ac:dyDescent="0.35">
      <c r="A111" s="119">
        <v>41673</v>
      </c>
      <c r="B111" s="117">
        <v>1</v>
      </c>
      <c r="C111" s="112">
        <f t="shared" si="7"/>
        <v>0</v>
      </c>
      <c r="D111" s="67">
        <f t="shared" si="0"/>
        <v>0.97155998804696597</v>
      </c>
      <c r="E111" s="67">
        <f t="shared" si="1"/>
        <v>1.0932637467370767</v>
      </c>
      <c r="F111" s="67">
        <f t="shared" si="2"/>
        <v>0.84985622935685523</v>
      </c>
      <c r="G111" s="67">
        <f t="shared" si="3"/>
        <v>4.576061326748164E-2</v>
      </c>
      <c r="H111" s="67">
        <f t="shared" si="4"/>
        <v>0.14957391943014611</v>
      </c>
      <c r="I111" s="67">
        <f t="shared" si="5"/>
        <v>0</v>
      </c>
    </row>
    <row r="112" spans="1:9" ht="14.5" x14ac:dyDescent="0.35">
      <c r="A112" s="119">
        <v>41673</v>
      </c>
      <c r="B112" s="117">
        <v>0.99113016483110361</v>
      </c>
      <c r="C112" s="112">
        <f t="shared" si="7"/>
        <v>8.8698351688963895E-3</v>
      </c>
      <c r="D112" s="67">
        <f t="shared" si="0"/>
        <v>0.97155998804696597</v>
      </c>
      <c r="E112" s="67">
        <f t="shared" si="1"/>
        <v>1.0932637467370767</v>
      </c>
      <c r="F112" s="67">
        <f t="shared" si="2"/>
        <v>0.84985622935685523</v>
      </c>
      <c r="G112" s="67">
        <f t="shared" si="3"/>
        <v>4.576061326748164E-2</v>
      </c>
      <c r="H112" s="67">
        <f t="shared" si="4"/>
        <v>0.14957391943014611</v>
      </c>
      <c r="I112" s="67">
        <f t="shared" si="5"/>
        <v>0</v>
      </c>
    </row>
    <row r="113" spans="1:9" ht="14.5" x14ac:dyDescent="0.35">
      <c r="A113" s="119">
        <v>41673</v>
      </c>
      <c r="B113" s="117">
        <v>0.98548094373865702</v>
      </c>
      <c r="C113" s="112">
        <f t="shared" si="7"/>
        <v>5.649221092446588E-3</v>
      </c>
      <c r="D113" s="67">
        <f t="shared" si="0"/>
        <v>0.97155998804696597</v>
      </c>
      <c r="E113" s="67">
        <f t="shared" si="1"/>
        <v>1.0932637467370767</v>
      </c>
      <c r="F113" s="67">
        <f t="shared" si="2"/>
        <v>0.84985622935685523</v>
      </c>
      <c r="G113" s="67">
        <f t="shared" si="3"/>
        <v>4.576061326748164E-2</v>
      </c>
      <c r="H113" s="67">
        <f t="shared" si="4"/>
        <v>0.14957391943014611</v>
      </c>
      <c r="I113" s="67">
        <f t="shared" si="5"/>
        <v>0</v>
      </c>
    </row>
    <row r="114" spans="1:9" ht="14.5" x14ac:dyDescent="0.35">
      <c r="A114" s="119">
        <v>41674</v>
      </c>
      <c r="B114" s="117">
        <v>0.94333197112110068</v>
      </c>
      <c r="C114" s="112">
        <f t="shared" si="7"/>
        <v>4.2148972617556346E-2</v>
      </c>
      <c r="D114" s="67">
        <f t="shared" si="0"/>
        <v>0.97155998804696597</v>
      </c>
      <c r="E114" s="67">
        <f t="shared" si="1"/>
        <v>1.0932637467370767</v>
      </c>
      <c r="F114" s="67">
        <f t="shared" si="2"/>
        <v>0.84985622935685523</v>
      </c>
      <c r="G114" s="67">
        <f t="shared" si="3"/>
        <v>4.576061326748164E-2</v>
      </c>
      <c r="H114" s="67">
        <f t="shared" si="4"/>
        <v>0.14957391943014611</v>
      </c>
      <c r="I114" s="67">
        <f t="shared" si="5"/>
        <v>0</v>
      </c>
    </row>
    <row r="115" spans="1:9" ht="14.5" x14ac:dyDescent="0.35">
      <c r="A115" s="119">
        <v>41674</v>
      </c>
      <c r="B115" s="117">
        <v>0.83041656396351982</v>
      </c>
      <c r="C115" s="112">
        <f t="shared" si="7"/>
        <v>0.11291540715758086</v>
      </c>
      <c r="D115" s="67">
        <f t="shared" si="0"/>
        <v>0.97155998804696597</v>
      </c>
      <c r="E115" s="67">
        <f t="shared" si="1"/>
        <v>1.0932637467370767</v>
      </c>
      <c r="F115" s="67">
        <f t="shared" si="2"/>
        <v>0.84985622935685523</v>
      </c>
      <c r="G115" s="67">
        <f t="shared" si="3"/>
        <v>4.576061326748164E-2</v>
      </c>
      <c r="H115" s="67">
        <f t="shared" si="4"/>
        <v>0.14957391943014611</v>
      </c>
      <c r="I115" s="67">
        <f t="shared" si="5"/>
        <v>0</v>
      </c>
    </row>
    <row r="116" spans="1:9" ht="14.5" x14ac:dyDescent="0.35">
      <c r="A116" s="119">
        <v>41674</v>
      </c>
      <c r="B116" s="117">
        <v>0.96198367247471672</v>
      </c>
      <c r="C116" s="112">
        <f t="shared" si="7"/>
        <v>0.13156710851119691</v>
      </c>
      <c r="D116" s="67">
        <f t="shared" si="0"/>
        <v>0.97155998804696597</v>
      </c>
      <c r="E116" s="67">
        <f t="shared" si="1"/>
        <v>1.0932637467370767</v>
      </c>
      <c r="F116" s="67">
        <f t="shared" si="2"/>
        <v>0.84985622935685523</v>
      </c>
      <c r="G116" s="67">
        <f t="shared" si="3"/>
        <v>4.576061326748164E-2</v>
      </c>
      <c r="H116" s="67">
        <f t="shared" si="4"/>
        <v>0.14957391943014611</v>
      </c>
      <c r="I116" s="67">
        <f t="shared" si="5"/>
        <v>0</v>
      </c>
    </row>
    <row r="117" spans="1:9" ht="14.5" x14ac:dyDescent="0.35">
      <c r="A117" s="119">
        <v>41675</v>
      </c>
      <c r="B117" s="117">
        <v>0.96690531852717709</v>
      </c>
      <c r="C117" s="112">
        <f t="shared" si="7"/>
        <v>4.9216460524603711E-3</v>
      </c>
      <c r="D117" s="67">
        <f t="shared" si="0"/>
        <v>0.97155998804696597</v>
      </c>
      <c r="E117" s="67">
        <f t="shared" si="1"/>
        <v>1.0932637467370767</v>
      </c>
      <c r="F117" s="67">
        <f t="shared" si="2"/>
        <v>0.84985622935685523</v>
      </c>
      <c r="G117" s="67">
        <f t="shared" si="3"/>
        <v>4.576061326748164E-2</v>
      </c>
      <c r="H117" s="67">
        <f t="shared" si="4"/>
        <v>0.14957391943014611</v>
      </c>
      <c r="I117" s="67">
        <f t="shared" si="5"/>
        <v>0</v>
      </c>
    </row>
    <row r="118" spans="1:9" ht="14.5" x14ac:dyDescent="0.35">
      <c r="A118" s="119">
        <v>41675</v>
      </c>
      <c r="B118" s="117">
        <v>0.95614665708123647</v>
      </c>
      <c r="C118" s="112">
        <f t="shared" si="7"/>
        <v>1.075866144594062E-2</v>
      </c>
      <c r="D118" s="67">
        <f t="shared" si="0"/>
        <v>0.97155998804696597</v>
      </c>
      <c r="E118" s="67">
        <f t="shared" si="1"/>
        <v>1.0932637467370767</v>
      </c>
      <c r="F118" s="67">
        <f t="shared" si="2"/>
        <v>0.84985622935685523</v>
      </c>
      <c r="G118" s="67">
        <f t="shared" si="3"/>
        <v>4.576061326748164E-2</v>
      </c>
      <c r="H118" s="67">
        <f t="shared" si="4"/>
        <v>0.14957391943014611</v>
      </c>
      <c r="I118" s="67">
        <f t="shared" si="5"/>
        <v>0</v>
      </c>
    </row>
    <row r="119" spans="1:9" ht="14.5" x14ac:dyDescent="0.35">
      <c r="A119" s="119">
        <v>41676</v>
      </c>
      <c r="B119" s="117">
        <v>0.98341777982496548</v>
      </c>
      <c r="C119" s="112">
        <f t="shared" si="7"/>
        <v>2.7271122743729004E-2</v>
      </c>
      <c r="D119" s="67">
        <f t="shared" si="0"/>
        <v>0.97155998804696597</v>
      </c>
      <c r="E119" s="67">
        <f t="shared" si="1"/>
        <v>1.0932637467370767</v>
      </c>
      <c r="F119" s="67">
        <f t="shared" si="2"/>
        <v>0.84985622935685523</v>
      </c>
      <c r="G119" s="67">
        <f t="shared" si="3"/>
        <v>4.576061326748164E-2</v>
      </c>
      <c r="H119" s="67">
        <f t="shared" si="4"/>
        <v>0.14957391943014611</v>
      </c>
      <c r="I119" s="67">
        <f t="shared" si="5"/>
        <v>0</v>
      </c>
    </row>
    <row r="120" spans="1:9" ht="14.5" x14ac:dyDescent="0.35">
      <c r="A120" s="119">
        <v>41676</v>
      </c>
      <c r="B120" s="117">
        <v>0.9905301671568979</v>
      </c>
      <c r="C120" s="112">
        <f t="shared" si="7"/>
        <v>7.1123873319324238E-3</v>
      </c>
      <c r="D120" s="67">
        <f t="shared" si="0"/>
        <v>0.97155998804696597</v>
      </c>
      <c r="E120" s="67">
        <f t="shared" si="1"/>
        <v>1.0932637467370767</v>
      </c>
      <c r="F120" s="67">
        <f t="shared" si="2"/>
        <v>0.84985622935685523</v>
      </c>
      <c r="G120" s="67">
        <f t="shared" si="3"/>
        <v>4.576061326748164E-2</v>
      </c>
      <c r="H120" s="67">
        <f t="shared" si="4"/>
        <v>0.14957391943014611</v>
      </c>
      <c r="I120" s="67">
        <f t="shared" si="5"/>
        <v>0</v>
      </c>
    </row>
    <row r="121" spans="1:9" ht="14.5" x14ac:dyDescent="0.35">
      <c r="A121" s="119">
        <v>41676</v>
      </c>
      <c r="B121" s="117">
        <v>0.9834368530020704</v>
      </c>
      <c r="C121" s="112">
        <f t="shared" si="7"/>
        <v>7.0933141548275014E-3</v>
      </c>
      <c r="D121" s="67">
        <f t="shared" si="0"/>
        <v>0.97155998804696597</v>
      </c>
      <c r="E121" s="67">
        <f t="shared" si="1"/>
        <v>1.0932637467370767</v>
      </c>
      <c r="F121" s="67">
        <f t="shared" si="2"/>
        <v>0.84985622935685523</v>
      </c>
      <c r="G121" s="67">
        <f t="shared" si="3"/>
        <v>4.576061326748164E-2</v>
      </c>
      <c r="H121" s="67">
        <f t="shared" si="4"/>
        <v>0.14957391943014611</v>
      </c>
      <c r="I121" s="67">
        <f t="shared" si="5"/>
        <v>0</v>
      </c>
    </row>
    <row r="122" spans="1:9" ht="14.5" x14ac:dyDescent="0.35">
      <c r="A122" s="119">
        <v>41676</v>
      </c>
      <c r="B122" s="117">
        <v>0.97912740976953183</v>
      </c>
      <c r="C122" s="112">
        <f t="shared" si="7"/>
        <v>4.3094432325385679E-3</v>
      </c>
      <c r="D122" s="67">
        <f>$C$50</f>
        <v>0.97155998804696597</v>
      </c>
      <c r="E122" s="67">
        <f>$C$51</f>
        <v>1.0932637467370767</v>
      </c>
      <c r="F122" s="67">
        <f>$C$52</f>
        <v>0.84985622935685523</v>
      </c>
      <c r="G122" s="67">
        <f t="shared" si="3"/>
        <v>4.576061326748164E-2</v>
      </c>
      <c r="H122" s="67">
        <f t="shared" si="4"/>
        <v>0.14957391943014611</v>
      </c>
      <c r="I122" s="67">
        <f t="shared" si="5"/>
        <v>0</v>
      </c>
    </row>
    <row r="123" spans="1:9" ht="14.5" x14ac:dyDescent="0.35">
      <c r="A123" s="119">
        <v>41677</v>
      </c>
      <c r="B123" s="117">
        <v>0.98559315674945602</v>
      </c>
      <c r="C123" s="112">
        <f t="shared" si="7"/>
        <v>6.4657469799241918E-3</v>
      </c>
      <c r="D123" s="67">
        <f>$C$50</f>
        <v>0.97155998804696597</v>
      </c>
      <c r="E123" s="67">
        <f>$C$51</f>
        <v>1.0932637467370767</v>
      </c>
      <c r="F123" s="67">
        <f>$C$52</f>
        <v>0.84985622935685523</v>
      </c>
      <c r="G123" s="67">
        <f>$H$50</f>
        <v>4.576061326748164E-2</v>
      </c>
      <c r="H123" s="67">
        <f>$H$51</f>
        <v>0.14957391943014611</v>
      </c>
      <c r="I123" s="67">
        <f>$H$52</f>
        <v>0</v>
      </c>
    </row>
    <row r="124" spans="1:9" ht="13" x14ac:dyDescent="0.3">
      <c r="A124" s="68" t="s">
        <v>92</v>
      </c>
      <c r="B124" s="69"/>
      <c r="C124" s="112">
        <f t="shared" si="7"/>
        <v>0.98559315674945602</v>
      </c>
      <c r="D124" s="67">
        <f>$C$50</f>
        <v>0.97155998804696597</v>
      </c>
      <c r="E124" s="67">
        <f>$C$51</f>
        <v>1.0932637467370767</v>
      </c>
      <c r="F124" s="67">
        <f>$C$52</f>
        <v>0.84985622935685523</v>
      </c>
      <c r="G124" s="67">
        <f t="shared" si="3"/>
        <v>4.576061326748164E-2</v>
      </c>
      <c r="H124" s="67">
        <f t="shared" si="4"/>
        <v>0.14957391943014611</v>
      </c>
      <c r="I124" s="67">
        <f t="shared" si="5"/>
        <v>0</v>
      </c>
    </row>
    <row r="125" spans="1:9" x14ac:dyDescent="0.25">
      <c r="A125" s="70"/>
    </row>
  </sheetData>
  <mergeCells count="2">
    <mergeCell ref="A3:B3"/>
    <mergeCell ref="B2:D2"/>
  </mergeCells>
  <conditionalFormatting sqref="B58:B59 B79:B80 B75:B76 B96:B97 B115:B116 B100">
    <cfRule type="expression" dxfId="8" priority="11">
      <formula>#REF!=""</formula>
    </cfRule>
  </conditionalFormatting>
  <conditionalFormatting sqref="B58 B79 B75 B96 B115">
    <cfRule type="expression" dxfId="7" priority="10">
      <formula>#REF!=""</formula>
    </cfRule>
  </conditionalFormatting>
  <conditionalFormatting sqref="B59 B80 B76 B97 B116 B100">
    <cfRule type="expression" dxfId="6" priority="9">
      <formula>#REF!=""</formula>
    </cfRule>
  </conditionalFormatting>
  <printOptions horizontalCentered="1"/>
  <pageMargins left="0.5" right="0.5" top="0.5" bottom="0.5" header="0.25" footer="0.25"/>
  <pageSetup fitToHeight="0" orientation="portrait" r:id="rId1"/>
  <headerFooter alignWithMargins="0">
    <oddFooter>&amp;L&amp;8© 2009 Vertex42 LLC&amp;R&amp;8Control Chart Template by Vertex42.com</oddFooter>
  </headerFooter>
  <rowBreaks count="1" manualBreakCount="1">
    <brk id="55" max="8" man="1"/>
  </rowBreak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0:N279"/>
  <sheetViews>
    <sheetView showGridLines="0" topLeftCell="A251" workbookViewId="0">
      <selection activeCell="A280" sqref="A280"/>
    </sheetView>
  </sheetViews>
  <sheetFormatPr baseColWidth="10" defaultColWidth="11.453125" defaultRowHeight="12.5" x14ac:dyDescent="0.25"/>
  <cols>
    <col min="1" max="16384" width="11.453125" style="102"/>
  </cols>
  <sheetData>
    <row r="10" spans="14:14" x14ac:dyDescent="0.25">
      <c r="N10" s="102" t="s">
        <v>103</v>
      </c>
    </row>
    <row r="27" spans="1:13" s="43" customFormat="1" hidden="1" x14ac:dyDescent="0.25">
      <c r="A27" s="50" t="s">
        <v>61</v>
      </c>
      <c r="B27" s="103" t="s">
        <v>62</v>
      </c>
      <c r="C27" s="103" t="s">
        <v>63</v>
      </c>
      <c r="D27" s="103" t="s">
        <v>64</v>
      </c>
      <c r="E27" s="103" t="s">
        <v>65</v>
      </c>
      <c r="F27" s="103" t="s">
        <v>66</v>
      </c>
      <c r="G27" s="103" t="s">
        <v>67</v>
      </c>
      <c r="H27" s="103" t="s">
        <v>68</v>
      </c>
      <c r="I27" s="103" t="s">
        <v>69</v>
      </c>
      <c r="J27" s="103" t="s">
        <v>70</v>
      </c>
      <c r="K27" s="103" t="s">
        <v>71</v>
      </c>
      <c r="L27" s="103" t="s">
        <v>72</v>
      </c>
      <c r="M27" s="103" t="s">
        <v>73</v>
      </c>
    </row>
    <row r="28" spans="1:13" s="43" customFormat="1" hidden="1" x14ac:dyDescent="0.25">
      <c r="A28" s="50" t="s">
        <v>74</v>
      </c>
      <c r="B28" s="43">
        <f t="shared" ref="B28:M28" si="0">MIN(B$51:B$278)</f>
        <v>81.558371528713934</v>
      </c>
      <c r="C28" s="43">
        <f t="shared" si="0"/>
        <v>83.041656396351982</v>
      </c>
      <c r="D28" s="43">
        <f t="shared" si="0"/>
        <v>77</v>
      </c>
      <c r="E28" s="43">
        <f t="shared" si="0"/>
        <v>0</v>
      </c>
      <c r="F28" s="43">
        <f t="shared" si="0"/>
        <v>0</v>
      </c>
      <c r="G28" s="43">
        <f t="shared" si="0"/>
        <v>0</v>
      </c>
      <c r="H28" s="43">
        <f t="shared" si="0"/>
        <v>0</v>
      </c>
      <c r="I28" s="43">
        <f t="shared" si="0"/>
        <v>0</v>
      </c>
      <c r="J28" s="43">
        <f t="shared" si="0"/>
        <v>0</v>
      </c>
      <c r="K28" s="43">
        <f t="shared" si="0"/>
        <v>0</v>
      </c>
      <c r="L28" s="43">
        <f t="shared" si="0"/>
        <v>0</v>
      </c>
      <c r="M28" s="43">
        <f t="shared" si="0"/>
        <v>0</v>
      </c>
    </row>
    <row r="29" spans="1:13" s="43" customFormat="1" ht="15.5" hidden="1" x14ac:dyDescent="0.4">
      <c r="A29" s="50" t="s">
        <v>75</v>
      </c>
      <c r="B29" s="43">
        <f t="shared" ref="B29:M29" si="1">PERCENTILE(B$51:B$278,0.25)</f>
        <v>96.739960321898295</v>
      </c>
      <c r="C29" s="43">
        <f t="shared" si="1"/>
        <v>96.690531852717712</v>
      </c>
      <c r="D29" s="43">
        <f t="shared" si="1"/>
        <v>83</v>
      </c>
      <c r="E29" s="43" t="e">
        <f t="shared" si="1"/>
        <v>#NUM!</v>
      </c>
      <c r="F29" s="43" t="e">
        <f t="shared" si="1"/>
        <v>#NUM!</v>
      </c>
      <c r="G29" s="43" t="e">
        <f t="shared" si="1"/>
        <v>#NUM!</v>
      </c>
      <c r="H29" s="43" t="e">
        <f t="shared" si="1"/>
        <v>#NUM!</v>
      </c>
      <c r="I29" s="43" t="e">
        <f t="shared" si="1"/>
        <v>#NUM!</v>
      </c>
      <c r="J29" s="43" t="e">
        <f t="shared" si="1"/>
        <v>#NUM!</v>
      </c>
      <c r="K29" s="43" t="e">
        <f t="shared" si="1"/>
        <v>#NUM!</v>
      </c>
      <c r="L29" s="43" t="e">
        <f t="shared" si="1"/>
        <v>#NUM!</v>
      </c>
      <c r="M29" s="43" t="e">
        <f t="shared" si="1"/>
        <v>#NUM!</v>
      </c>
    </row>
    <row r="30" spans="1:13" s="43" customFormat="1" hidden="1" x14ac:dyDescent="0.25">
      <c r="A30" s="50" t="s">
        <v>76</v>
      </c>
      <c r="B30" s="43">
        <f t="shared" ref="B30:M30" si="2">MEDIAN(B$51:B$278)</f>
        <v>98.7120470381019</v>
      </c>
      <c r="C30" s="43">
        <f t="shared" si="2"/>
        <v>98.343685300207042</v>
      </c>
      <c r="D30" s="43">
        <f t="shared" si="2"/>
        <v>86</v>
      </c>
      <c r="E30" s="43" t="e">
        <f t="shared" si="2"/>
        <v>#NUM!</v>
      </c>
      <c r="F30" s="43" t="e">
        <f t="shared" si="2"/>
        <v>#NUM!</v>
      </c>
      <c r="G30" s="43" t="e">
        <f t="shared" si="2"/>
        <v>#NUM!</v>
      </c>
      <c r="H30" s="43" t="e">
        <f t="shared" si="2"/>
        <v>#NUM!</v>
      </c>
      <c r="I30" s="43" t="e">
        <f t="shared" si="2"/>
        <v>#NUM!</v>
      </c>
      <c r="J30" s="43" t="e">
        <f t="shared" si="2"/>
        <v>#NUM!</v>
      </c>
      <c r="K30" s="43" t="e">
        <f t="shared" si="2"/>
        <v>#NUM!</v>
      </c>
      <c r="L30" s="43" t="e">
        <f t="shared" si="2"/>
        <v>#NUM!</v>
      </c>
      <c r="M30" s="43" t="e">
        <f t="shared" si="2"/>
        <v>#NUM!</v>
      </c>
    </row>
    <row r="31" spans="1:13" s="43" customFormat="1" ht="15.5" hidden="1" x14ac:dyDescent="0.4">
      <c r="A31" s="50" t="s">
        <v>77</v>
      </c>
      <c r="B31" s="43">
        <f t="shared" ref="B31:M31" si="3">PERCENTILE(B$51:B$278,0.75)</f>
        <v>99.230688500585302</v>
      </c>
      <c r="C31" s="43">
        <f t="shared" si="3"/>
        <v>99.113016483110357</v>
      </c>
      <c r="D31" s="43">
        <f t="shared" si="3"/>
        <v>90</v>
      </c>
      <c r="E31" s="43" t="e">
        <f t="shared" si="3"/>
        <v>#NUM!</v>
      </c>
      <c r="F31" s="43" t="e">
        <f t="shared" si="3"/>
        <v>#NUM!</v>
      </c>
      <c r="G31" s="43" t="e">
        <f t="shared" si="3"/>
        <v>#NUM!</v>
      </c>
      <c r="H31" s="43" t="e">
        <f t="shared" si="3"/>
        <v>#NUM!</v>
      </c>
      <c r="I31" s="43" t="e">
        <f t="shared" si="3"/>
        <v>#NUM!</v>
      </c>
      <c r="J31" s="43" t="e">
        <f t="shared" si="3"/>
        <v>#NUM!</v>
      </c>
      <c r="K31" s="43" t="e">
        <f t="shared" si="3"/>
        <v>#NUM!</v>
      </c>
      <c r="L31" s="43" t="e">
        <f t="shared" si="3"/>
        <v>#NUM!</v>
      </c>
      <c r="M31" s="43" t="e">
        <f t="shared" si="3"/>
        <v>#NUM!</v>
      </c>
    </row>
    <row r="32" spans="1:13" s="43" customFormat="1" hidden="1" x14ac:dyDescent="0.25">
      <c r="A32" s="50" t="s">
        <v>11</v>
      </c>
      <c r="B32" s="43">
        <f t="shared" ref="B32:M32" si="4">MAX(B$51:B$278)</f>
        <v>100</v>
      </c>
      <c r="C32" s="43">
        <f t="shared" si="4"/>
        <v>100</v>
      </c>
      <c r="D32" s="43">
        <f t="shared" si="4"/>
        <v>94</v>
      </c>
      <c r="E32" s="43">
        <f t="shared" si="4"/>
        <v>0</v>
      </c>
      <c r="F32" s="43">
        <f t="shared" si="4"/>
        <v>0</v>
      </c>
      <c r="G32" s="43">
        <f t="shared" si="4"/>
        <v>0</v>
      </c>
      <c r="H32" s="43">
        <f t="shared" si="4"/>
        <v>0</v>
      </c>
      <c r="I32" s="43">
        <f t="shared" si="4"/>
        <v>0</v>
      </c>
      <c r="J32" s="43">
        <f t="shared" si="4"/>
        <v>0</v>
      </c>
      <c r="K32" s="43">
        <f t="shared" si="4"/>
        <v>0</v>
      </c>
      <c r="L32" s="43">
        <f t="shared" si="4"/>
        <v>0</v>
      </c>
      <c r="M32" s="43">
        <f t="shared" si="4"/>
        <v>0</v>
      </c>
    </row>
    <row r="33" spans="1:13" s="43" customFormat="1" hidden="1" x14ac:dyDescent="0.25">
      <c r="A33" s="50" t="s">
        <v>78</v>
      </c>
      <c r="B33" s="43">
        <f t="shared" ref="B33:M33" si="5">B31-B29</f>
        <v>2.4907281786870072</v>
      </c>
      <c r="C33" s="43">
        <f t="shared" si="5"/>
        <v>2.4224846303926455</v>
      </c>
      <c r="D33" s="43">
        <f t="shared" si="5"/>
        <v>7</v>
      </c>
      <c r="E33" s="43" t="e">
        <f t="shared" si="5"/>
        <v>#NUM!</v>
      </c>
      <c r="F33" s="43" t="e">
        <f t="shared" si="5"/>
        <v>#NUM!</v>
      </c>
      <c r="G33" s="43" t="e">
        <f t="shared" si="5"/>
        <v>#NUM!</v>
      </c>
      <c r="H33" s="43" t="e">
        <f t="shared" si="5"/>
        <v>#NUM!</v>
      </c>
      <c r="I33" s="43" t="e">
        <f t="shared" si="5"/>
        <v>#NUM!</v>
      </c>
      <c r="J33" s="43" t="e">
        <f t="shared" si="5"/>
        <v>#NUM!</v>
      </c>
      <c r="K33" s="43" t="e">
        <f t="shared" si="5"/>
        <v>#NUM!</v>
      </c>
      <c r="L33" s="43" t="e">
        <f t="shared" si="5"/>
        <v>#NUM!</v>
      </c>
      <c r="M33" s="43" t="e">
        <f t="shared" si="5"/>
        <v>#NUM!</v>
      </c>
    </row>
    <row r="34" spans="1:13" s="43" customFormat="1" hidden="1" x14ac:dyDescent="0.25">
      <c r="A34" s="50" t="s">
        <v>79</v>
      </c>
      <c r="B34" s="43">
        <f t="shared" ref="B34:M34" si="6">COUNTIF(B$51:B$278,"&gt;"&amp;B40)</f>
        <v>0</v>
      </c>
      <c r="C34" s="43">
        <f t="shared" si="6"/>
        <v>0</v>
      </c>
      <c r="D34" s="43">
        <f t="shared" si="6"/>
        <v>0</v>
      </c>
      <c r="E34" s="43">
        <f t="shared" si="6"/>
        <v>0</v>
      </c>
      <c r="F34" s="43">
        <f t="shared" si="6"/>
        <v>0</v>
      </c>
      <c r="G34" s="43">
        <f t="shared" si="6"/>
        <v>0</v>
      </c>
      <c r="H34" s="43">
        <f t="shared" si="6"/>
        <v>0</v>
      </c>
      <c r="I34" s="43">
        <f t="shared" si="6"/>
        <v>0</v>
      </c>
      <c r="J34" s="43">
        <f t="shared" si="6"/>
        <v>0</v>
      </c>
      <c r="K34" s="43">
        <f t="shared" si="6"/>
        <v>0</v>
      </c>
      <c r="L34" s="43">
        <f t="shared" si="6"/>
        <v>0</v>
      </c>
      <c r="M34" s="43">
        <f t="shared" si="6"/>
        <v>0</v>
      </c>
    </row>
    <row r="35" spans="1:13" s="43" customFormat="1" hidden="1" x14ac:dyDescent="0.25">
      <c r="A35" s="50" t="s">
        <v>80</v>
      </c>
      <c r="B35" s="43">
        <f t="shared" ref="B35:M35" si="7">COUNTIF(B$51:B$278,"&lt;"&amp;B41)</f>
        <v>0</v>
      </c>
      <c r="C35" s="43">
        <f t="shared" si="7"/>
        <v>0</v>
      </c>
      <c r="D35" s="43">
        <f t="shared" si="7"/>
        <v>0</v>
      </c>
      <c r="E35" s="43">
        <f t="shared" si="7"/>
        <v>0</v>
      </c>
      <c r="F35" s="43">
        <f t="shared" si="7"/>
        <v>0</v>
      </c>
      <c r="G35" s="43">
        <f t="shared" si="7"/>
        <v>0</v>
      </c>
      <c r="H35" s="43">
        <f t="shared" si="7"/>
        <v>0</v>
      </c>
      <c r="I35" s="43">
        <f t="shared" si="7"/>
        <v>0</v>
      </c>
      <c r="J35" s="43">
        <f t="shared" si="7"/>
        <v>0</v>
      </c>
      <c r="K35" s="43">
        <f t="shared" si="7"/>
        <v>0</v>
      </c>
      <c r="L35" s="43">
        <f t="shared" si="7"/>
        <v>0</v>
      </c>
      <c r="M35" s="43">
        <f t="shared" si="7"/>
        <v>0</v>
      </c>
    </row>
    <row r="36" spans="1:13" s="43" customFormat="1" ht="13" hidden="1" x14ac:dyDescent="0.3">
      <c r="A36" s="71" t="s">
        <v>81</v>
      </c>
      <c r="B36" s="69"/>
      <c r="C36" s="69"/>
      <c r="D36" s="69"/>
      <c r="E36" s="69"/>
      <c r="F36" s="69"/>
      <c r="G36" s="69"/>
      <c r="H36" s="69"/>
      <c r="I36" s="69"/>
      <c r="J36" s="69"/>
      <c r="K36" s="69"/>
      <c r="L36" s="69"/>
      <c r="M36" s="69"/>
    </row>
    <row r="37" spans="1:13" s="43" customFormat="1" hidden="1" x14ac:dyDescent="0.25">
      <c r="A37" s="50" t="s">
        <v>82</v>
      </c>
      <c r="B37" s="43">
        <f t="shared" ref="B37:M38" si="8">B30-B29</f>
        <v>1.9720867162036058</v>
      </c>
      <c r="C37" s="43">
        <f t="shared" si="8"/>
        <v>1.6531534474893306</v>
      </c>
      <c r="D37" s="43">
        <f t="shared" si="8"/>
        <v>3</v>
      </c>
      <c r="E37" s="43" t="e">
        <f t="shared" si="8"/>
        <v>#NUM!</v>
      </c>
      <c r="F37" s="43" t="e">
        <f t="shared" si="8"/>
        <v>#NUM!</v>
      </c>
      <c r="G37" s="43" t="e">
        <f t="shared" si="8"/>
        <v>#NUM!</v>
      </c>
      <c r="H37" s="43" t="e">
        <f t="shared" si="8"/>
        <v>#NUM!</v>
      </c>
      <c r="I37" s="43" t="e">
        <f t="shared" si="8"/>
        <v>#NUM!</v>
      </c>
      <c r="J37" s="43" t="e">
        <f t="shared" si="8"/>
        <v>#NUM!</v>
      </c>
      <c r="K37" s="43" t="e">
        <f t="shared" si="8"/>
        <v>#NUM!</v>
      </c>
      <c r="L37" s="43" t="e">
        <f t="shared" si="8"/>
        <v>#NUM!</v>
      </c>
      <c r="M37" s="43" t="e">
        <f t="shared" si="8"/>
        <v>#NUM!</v>
      </c>
    </row>
    <row r="38" spans="1:13" s="43" customFormat="1" hidden="1" x14ac:dyDescent="0.25">
      <c r="A38" s="50" t="s">
        <v>83</v>
      </c>
      <c r="B38" s="43">
        <f t="shared" si="8"/>
        <v>0.51864146248340148</v>
      </c>
      <c r="C38" s="43">
        <f t="shared" si="8"/>
        <v>0.76933118290331493</v>
      </c>
      <c r="D38" s="43">
        <f t="shared" si="8"/>
        <v>4</v>
      </c>
      <c r="E38" s="43" t="e">
        <f t="shared" si="8"/>
        <v>#NUM!</v>
      </c>
      <c r="F38" s="43" t="e">
        <f t="shared" si="8"/>
        <v>#NUM!</v>
      </c>
      <c r="G38" s="43" t="e">
        <f t="shared" si="8"/>
        <v>#NUM!</v>
      </c>
      <c r="H38" s="43" t="e">
        <f t="shared" si="8"/>
        <v>#NUM!</v>
      </c>
      <c r="I38" s="43" t="e">
        <f t="shared" si="8"/>
        <v>#NUM!</v>
      </c>
      <c r="J38" s="43" t="e">
        <f t="shared" si="8"/>
        <v>#NUM!</v>
      </c>
      <c r="K38" s="43" t="e">
        <f t="shared" si="8"/>
        <v>#NUM!</v>
      </c>
      <c r="L38" s="43" t="e">
        <f t="shared" si="8"/>
        <v>#NUM!</v>
      </c>
      <c r="M38" s="43" t="e">
        <f t="shared" si="8"/>
        <v>#NUM!</v>
      </c>
    </row>
    <row r="39" spans="1:13" s="43" customFormat="1" ht="13" hidden="1" x14ac:dyDescent="0.3">
      <c r="A39" s="71" t="s">
        <v>84</v>
      </c>
      <c r="B39" s="69"/>
      <c r="C39" s="69"/>
      <c r="D39" s="69"/>
      <c r="E39" s="69"/>
      <c r="F39" s="69"/>
      <c r="G39" s="69"/>
      <c r="H39" s="69"/>
      <c r="I39" s="69"/>
      <c r="J39" s="69"/>
      <c r="K39" s="69"/>
      <c r="L39" s="69"/>
      <c r="M39" s="69"/>
    </row>
    <row r="40" spans="1:13" s="43" customFormat="1" ht="15.5" hidden="1" x14ac:dyDescent="0.4">
      <c r="A40" s="50" t="s">
        <v>99</v>
      </c>
      <c r="B40" s="43">
        <f t="shared" ref="B40:M40" si="9">B31+(B32-B31)</f>
        <v>100</v>
      </c>
      <c r="C40" s="43">
        <f t="shared" si="9"/>
        <v>100</v>
      </c>
      <c r="D40" s="43">
        <f t="shared" si="9"/>
        <v>94</v>
      </c>
      <c r="E40" s="43" t="e">
        <f t="shared" si="9"/>
        <v>#NUM!</v>
      </c>
      <c r="F40" s="43" t="e">
        <f t="shared" si="9"/>
        <v>#NUM!</v>
      </c>
      <c r="G40" s="43" t="e">
        <f t="shared" si="9"/>
        <v>#NUM!</v>
      </c>
      <c r="H40" s="43" t="e">
        <f t="shared" si="9"/>
        <v>#NUM!</v>
      </c>
      <c r="I40" s="43" t="e">
        <f t="shared" si="9"/>
        <v>#NUM!</v>
      </c>
      <c r="J40" s="43" t="e">
        <f t="shared" si="9"/>
        <v>#NUM!</v>
      </c>
      <c r="K40" s="43" t="e">
        <f t="shared" si="9"/>
        <v>#NUM!</v>
      </c>
      <c r="L40" s="43" t="e">
        <f t="shared" si="9"/>
        <v>#NUM!</v>
      </c>
      <c r="M40" s="43" t="e">
        <f t="shared" si="9"/>
        <v>#NUM!</v>
      </c>
    </row>
    <row r="41" spans="1:13" s="43" customFormat="1" ht="15.5" hidden="1" x14ac:dyDescent="0.4">
      <c r="A41" s="50" t="s">
        <v>100</v>
      </c>
      <c r="B41" s="43">
        <f t="shared" ref="B41:M41" si="10">B29-(B29-B28)</f>
        <v>81.558371528713934</v>
      </c>
      <c r="C41" s="43">
        <f t="shared" si="10"/>
        <v>83.041656396351982</v>
      </c>
      <c r="D41" s="43">
        <f t="shared" si="10"/>
        <v>77</v>
      </c>
      <c r="E41" s="43" t="e">
        <f t="shared" si="10"/>
        <v>#NUM!</v>
      </c>
      <c r="F41" s="43" t="e">
        <f t="shared" si="10"/>
        <v>#NUM!</v>
      </c>
      <c r="G41" s="43" t="e">
        <f t="shared" si="10"/>
        <v>#NUM!</v>
      </c>
      <c r="H41" s="43" t="e">
        <f t="shared" si="10"/>
        <v>#NUM!</v>
      </c>
      <c r="I41" s="43" t="e">
        <f t="shared" si="10"/>
        <v>#NUM!</v>
      </c>
      <c r="J41" s="43" t="e">
        <f t="shared" si="10"/>
        <v>#NUM!</v>
      </c>
      <c r="K41" s="43" t="e">
        <f t="shared" si="10"/>
        <v>#NUM!</v>
      </c>
      <c r="L41" s="43" t="e">
        <f t="shared" si="10"/>
        <v>#NUM!</v>
      </c>
      <c r="M41" s="43" t="e">
        <f t="shared" si="10"/>
        <v>#NUM!</v>
      </c>
    </row>
    <row r="42" spans="1:13" s="43" customFormat="1" hidden="1" x14ac:dyDescent="0.25">
      <c r="A42" s="50" t="s">
        <v>85</v>
      </c>
      <c r="B42" s="43">
        <f t="shared" ref="B42:M42" si="11">MIN(B40,B32)</f>
        <v>100</v>
      </c>
      <c r="C42" s="43">
        <f t="shared" si="11"/>
        <v>100</v>
      </c>
      <c r="D42" s="43">
        <f t="shared" si="11"/>
        <v>94</v>
      </c>
      <c r="E42" s="43" t="e">
        <f t="shared" si="11"/>
        <v>#NUM!</v>
      </c>
      <c r="F42" s="43" t="e">
        <f t="shared" si="11"/>
        <v>#NUM!</v>
      </c>
      <c r="G42" s="43" t="e">
        <f t="shared" si="11"/>
        <v>#NUM!</v>
      </c>
      <c r="H42" s="43" t="e">
        <f t="shared" si="11"/>
        <v>#NUM!</v>
      </c>
      <c r="I42" s="43" t="e">
        <f t="shared" si="11"/>
        <v>#NUM!</v>
      </c>
      <c r="J42" s="43" t="e">
        <f t="shared" si="11"/>
        <v>#NUM!</v>
      </c>
      <c r="K42" s="43" t="e">
        <f t="shared" si="11"/>
        <v>#NUM!</v>
      </c>
      <c r="L42" s="43" t="e">
        <f t="shared" si="11"/>
        <v>#NUM!</v>
      </c>
      <c r="M42" s="43" t="e">
        <f t="shared" si="11"/>
        <v>#NUM!</v>
      </c>
    </row>
    <row r="43" spans="1:13" s="43" customFormat="1" hidden="1" x14ac:dyDescent="0.25">
      <c r="A43" s="50" t="s">
        <v>86</v>
      </c>
      <c r="B43" s="43">
        <f t="shared" ref="B43:M43" si="12">MAX(B28,B41)</f>
        <v>81.558371528713934</v>
      </c>
      <c r="C43" s="43">
        <f t="shared" si="12"/>
        <v>83.041656396351982</v>
      </c>
      <c r="D43" s="43">
        <f t="shared" si="12"/>
        <v>77</v>
      </c>
      <c r="E43" s="43" t="e">
        <f t="shared" si="12"/>
        <v>#NUM!</v>
      </c>
      <c r="F43" s="43" t="e">
        <f t="shared" si="12"/>
        <v>#NUM!</v>
      </c>
      <c r="G43" s="43" t="e">
        <f t="shared" si="12"/>
        <v>#NUM!</v>
      </c>
      <c r="H43" s="43" t="e">
        <f t="shared" si="12"/>
        <v>#NUM!</v>
      </c>
      <c r="I43" s="43" t="e">
        <f t="shared" si="12"/>
        <v>#NUM!</v>
      </c>
      <c r="J43" s="43" t="e">
        <f t="shared" si="12"/>
        <v>#NUM!</v>
      </c>
      <c r="K43" s="43" t="e">
        <f t="shared" si="12"/>
        <v>#NUM!</v>
      </c>
      <c r="L43" s="43" t="e">
        <f t="shared" si="12"/>
        <v>#NUM!</v>
      </c>
      <c r="M43" s="43" t="e">
        <f t="shared" si="12"/>
        <v>#NUM!</v>
      </c>
    </row>
    <row r="44" spans="1:13" s="43" customFormat="1" ht="15.5" hidden="1" x14ac:dyDescent="0.4">
      <c r="A44" s="50" t="s">
        <v>87</v>
      </c>
      <c r="B44" s="43">
        <f t="shared" ref="B44:M44" si="13">B42-B31</f>
        <v>0.76931149941469812</v>
      </c>
      <c r="C44" s="43">
        <f t="shared" si="13"/>
        <v>0.88698351688964294</v>
      </c>
      <c r="D44" s="43">
        <f t="shared" si="13"/>
        <v>4</v>
      </c>
      <c r="E44" s="43" t="e">
        <f t="shared" si="13"/>
        <v>#NUM!</v>
      </c>
      <c r="F44" s="43" t="e">
        <f t="shared" si="13"/>
        <v>#NUM!</v>
      </c>
      <c r="G44" s="43" t="e">
        <f t="shared" si="13"/>
        <v>#NUM!</v>
      </c>
      <c r="H44" s="43" t="e">
        <f t="shared" si="13"/>
        <v>#NUM!</v>
      </c>
      <c r="I44" s="43" t="e">
        <f t="shared" si="13"/>
        <v>#NUM!</v>
      </c>
      <c r="J44" s="43" t="e">
        <f t="shared" si="13"/>
        <v>#NUM!</v>
      </c>
      <c r="K44" s="43" t="e">
        <f t="shared" si="13"/>
        <v>#NUM!</v>
      </c>
      <c r="L44" s="43" t="e">
        <f t="shared" si="13"/>
        <v>#NUM!</v>
      </c>
      <c r="M44" s="43" t="e">
        <f t="shared" si="13"/>
        <v>#NUM!</v>
      </c>
    </row>
    <row r="45" spans="1:13" s="43" customFormat="1" ht="15.5" hidden="1" x14ac:dyDescent="0.4">
      <c r="A45" s="50" t="s">
        <v>88</v>
      </c>
      <c r="B45" s="43">
        <f t="shared" ref="B45:M45" si="14">B29-B43</f>
        <v>15.18158879318436</v>
      </c>
      <c r="C45" s="43">
        <f t="shared" si="14"/>
        <v>13.64887545636573</v>
      </c>
      <c r="D45" s="43">
        <f t="shared" si="14"/>
        <v>6</v>
      </c>
      <c r="E45" s="43" t="e">
        <f t="shared" si="14"/>
        <v>#NUM!</v>
      </c>
      <c r="F45" s="43" t="e">
        <f t="shared" si="14"/>
        <v>#NUM!</v>
      </c>
      <c r="G45" s="43" t="e">
        <f t="shared" si="14"/>
        <v>#NUM!</v>
      </c>
      <c r="H45" s="43" t="e">
        <f t="shared" si="14"/>
        <v>#NUM!</v>
      </c>
      <c r="I45" s="43" t="e">
        <f t="shared" si="14"/>
        <v>#NUM!</v>
      </c>
      <c r="J45" s="43" t="e">
        <f t="shared" si="14"/>
        <v>#NUM!</v>
      </c>
      <c r="K45" s="43" t="e">
        <f t="shared" si="14"/>
        <v>#NUM!</v>
      </c>
      <c r="L45" s="43" t="e">
        <f t="shared" si="14"/>
        <v>#NUM!</v>
      </c>
      <c r="M45" s="43" t="e">
        <f t="shared" si="14"/>
        <v>#NUM!</v>
      </c>
    </row>
    <row r="46" spans="1:13" s="43" customFormat="1" ht="13" hidden="1" x14ac:dyDescent="0.3">
      <c r="A46" s="71" t="s">
        <v>89</v>
      </c>
      <c r="B46" s="69"/>
      <c r="C46" s="69"/>
      <c r="D46" s="69"/>
      <c r="E46" s="69"/>
      <c r="F46" s="69"/>
      <c r="G46" s="69"/>
      <c r="H46" s="69"/>
      <c r="I46" s="69"/>
      <c r="J46" s="69"/>
      <c r="K46" s="69"/>
      <c r="L46" s="69"/>
      <c r="M46" s="69"/>
    </row>
    <row r="47" spans="1:13" s="43" customFormat="1" hidden="1" x14ac:dyDescent="0.25">
      <c r="A47" s="50" t="s">
        <v>102</v>
      </c>
      <c r="B47" s="43">
        <f t="shared" ref="B47:M47" si="15">AVERAGE(B51:B277)</f>
        <v>97.550196408280101</v>
      </c>
      <c r="C47" s="43">
        <f t="shared" si="15"/>
        <v>97.151461729082499</v>
      </c>
      <c r="D47" s="43">
        <f t="shared" si="15"/>
        <v>86.310344827586206</v>
      </c>
      <c r="E47" s="43" t="e">
        <f t="shared" si="15"/>
        <v>#DIV/0!</v>
      </c>
      <c r="F47" s="43" t="e">
        <f t="shared" si="15"/>
        <v>#DIV/0!</v>
      </c>
      <c r="G47" s="43" t="e">
        <f t="shared" si="15"/>
        <v>#DIV/0!</v>
      </c>
      <c r="H47" s="43" t="e">
        <f t="shared" si="15"/>
        <v>#DIV/0!</v>
      </c>
      <c r="I47" s="43" t="e">
        <f t="shared" si="15"/>
        <v>#DIV/0!</v>
      </c>
      <c r="J47" s="43" t="e">
        <f t="shared" si="15"/>
        <v>#DIV/0!</v>
      </c>
      <c r="K47" s="43" t="e">
        <f t="shared" si="15"/>
        <v>#DIV/0!</v>
      </c>
      <c r="L47" s="43" t="e">
        <f t="shared" si="15"/>
        <v>#DIV/0!</v>
      </c>
      <c r="M47" s="43" t="e">
        <f t="shared" si="15"/>
        <v>#DIV/0!</v>
      </c>
    </row>
    <row r="48" spans="1:13" s="43" customFormat="1" hidden="1" x14ac:dyDescent="0.25">
      <c r="A48" s="50" t="s">
        <v>74</v>
      </c>
      <c r="B48" s="43" t="e">
        <f>IF(B35&gt;0,B28,NA())</f>
        <v>#N/A</v>
      </c>
      <c r="C48" s="43" t="e">
        <f>IF(C35&gt;0,C28,NA())</f>
        <v>#N/A</v>
      </c>
      <c r="D48" s="43" t="e">
        <f>IF(D35&gt;0,D28,NA())</f>
        <v>#N/A</v>
      </c>
      <c r="E48" s="43" t="e">
        <f>IF(E35&gt;0,E28,NA())</f>
        <v>#N/A</v>
      </c>
      <c r="L48" s="43" t="e">
        <f>IF(L35&gt;0,L28,NA())</f>
        <v>#N/A</v>
      </c>
      <c r="M48" s="43" t="e">
        <f>IF(M35&gt;0,M28,NA())</f>
        <v>#N/A</v>
      </c>
    </row>
    <row r="49" spans="1:13" s="43" customFormat="1" hidden="1" x14ac:dyDescent="0.25">
      <c r="A49" s="50" t="s">
        <v>102</v>
      </c>
      <c r="B49" s="43">
        <f>AVERAGE(B51:B277)</f>
        <v>97.550196408280101</v>
      </c>
      <c r="C49" s="43">
        <f>AVERAGE(C51:C277)</f>
        <v>97.151461729082499</v>
      </c>
      <c r="D49" s="43">
        <f>AVERAGE(D51:D277)</f>
        <v>86.310344827586206</v>
      </c>
    </row>
    <row r="50" spans="1:13" s="43" customFormat="1" ht="15.5" x14ac:dyDescent="0.35">
      <c r="A50" s="72" t="s">
        <v>101</v>
      </c>
      <c r="B50" s="104" t="s">
        <v>62</v>
      </c>
      <c r="C50" s="104" t="s">
        <v>63</v>
      </c>
      <c r="D50" s="104" t="s">
        <v>64</v>
      </c>
      <c r="E50" s="104" t="str">
        <f>E27</f>
        <v>Apr</v>
      </c>
      <c r="F50" s="104" t="s">
        <v>66</v>
      </c>
      <c r="G50" s="104" t="s">
        <v>67</v>
      </c>
      <c r="H50" s="104" t="s">
        <v>68</v>
      </c>
      <c r="I50" s="104" t="s">
        <v>69</v>
      </c>
      <c r="J50" s="104" t="s">
        <v>70</v>
      </c>
      <c r="K50" s="104" t="s">
        <v>71</v>
      </c>
      <c r="L50" s="104" t="s">
        <v>72</v>
      </c>
      <c r="M50" s="104" t="s">
        <v>73</v>
      </c>
    </row>
    <row r="51" spans="1:13" s="43" customFormat="1" ht="14.5" x14ac:dyDescent="0.35">
      <c r="B51" s="121">
        <v>100</v>
      </c>
      <c r="C51" s="121">
        <v>100</v>
      </c>
      <c r="D51" s="106">
        <v>78</v>
      </c>
      <c r="E51" s="106"/>
      <c r="F51" s="106"/>
      <c r="G51" s="106"/>
      <c r="H51" s="106"/>
      <c r="I51" s="106"/>
      <c r="J51" s="106"/>
      <c r="K51" s="107"/>
      <c r="L51" s="107"/>
      <c r="M51" s="107"/>
    </row>
    <row r="52" spans="1:13" s="43" customFormat="1" ht="14.5" x14ac:dyDescent="0.35">
      <c r="B52" s="122">
        <v>99</v>
      </c>
      <c r="C52" s="121">
        <v>100</v>
      </c>
      <c r="D52" s="106">
        <v>90</v>
      </c>
      <c r="E52" s="108"/>
      <c r="F52" s="106"/>
      <c r="G52" s="106"/>
      <c r="H52" s="106"/>
      <c r="I52" s="106"/>
      <c r="J52" s="106"/>
      <c r="K52" s="107"/>
      <c r="L52" s="107"/>
      <c r="M52" s="107"/>
    </row>
    <row r="53" spans="1:13" s="43" customFormat="1" ht="14.5" x14ac:dyDescent="0.35">
      <c r="B53" s="122">
        <v>99.133226324237555</v>
      </c>
      <c r="C53" s="121">
        <v>99.113016483110357</v>
      </c>
      <c r="D53" s="106">
        <v>87</v>
      </c>
      <c r="E53" s="106"/>
      <c r="F53" s="106"/>
      <c r="G53" s="106"/>
      <c r="H53" s="108"/>
      <c r="I53" s="106"/>
      <c r="J53" s="108"/>
      <c r="K53" s="107"/>
      <c r="L53" s="107"/>
      <c r="M53" s="107"/>
    </row>
    <row r="54" spans="1:13" s="43" customFormat="1" ht="14.5" x14ac:dyDescent="0.35">
      <c r="B54" s="122">
        <v>99.133226324237555</v>
      </c>
      <c r="C54" s="121">
        <v>98.548094373865709</v>
      </c>
      <c r="D54" s="106">
        <v>77</v>
      </c>
      <c r="E54" s="108"/>
      <c r="F54" s="106"/>
      <c r="G54" s="106"/>
      <c r="H54" s="108"/>
      <c r="I54" s="106"/>
      <c r="J54" s="108"/>
      <c r="K54" s="107"/>
      <c r="L54" s="107"/>
      <c r="M54" s="107"/>
    </row>
    <row r="55" spans="1:13" s="43" customFormat="1" ht="14.5" x14ac:dyDescent="0.35">
      <c r="B55" s="122">
        <v>99.133226324237555</v>
      </c>
      <c r="C55" s="121">
        <v>94.333197112110071</v>
      </c>
      <c r="D55" s="106">
        <v>79</v>
      </c>
      <c r="E55" s="106"/>
      <c r="F55" s="108"/>
      <c r="G55" s="106"/>
      <c r="H55" s="108"/>
      <c r="I55" s="108"/>
      <c r="J55" s="108"/>
      <c r="K55" s="107"/>
      <c r="L55" s="107"/>
      <c r="M55" s="107"/>
    </row>
    <row r="56" spans="1:13" s="43" customFormat="1" ht="14.5" x14ac:dyDescent="0.35">
      <c r="B56" s="121">
        <v>100</v>
      </c>
      <c r="C56" s="121">
        <v>83.041656396351982</v>
      </c>
      <c r="D56" s="106">
        <v>84</v>
      </c>
      <c r="E56" s="108"/>
      <c r="F56" s="108"/>
      <c r="G56" s="106"/>
      <c r="H56" s="108"/>
      <c r="I56" s="108"/>
      <c r="J56" s="108"/>
      <c r="K56" s="107"/>
      <c r="L56" s="107"/>
      <c r="M56" s="107"/>
    </row>
    <row r="57" spans="1:13" s="43" customFormat="1" ht="14.5" x14ac:dyDescent="0.35">
      <c r="B57" s="121">
        <v>98.587047939444915</v>
      </c>
      <c r="C57" s="121">
        <v>96.198367247471666</v>
      </c>
      <c r="D57" s="106">
        <v>89</v>
      </c>
      <c r="E57" s="106"/>
      <c r="F57" s="108"/>
      <c r="G57" s="108"/>
      <c r="H57" s="108"/>
      <c r="I57" s="108"/>
      <c r="J57" s="108"/>
      <c r="K57" s="107"/>
      <c r="L57" s="107"/>
      <c r="M57" s="107"/>
    </row>
    <row r="58" spans="1:13" s="43" customFormat="1" ht="14.5" x14ac:dyDescent="0.35">
      <c r="B58" s="121">
        <v>99.044368600682603</v>
      </c>
      <c r="C58" s="121">
        <v>96.690531852717712</v>
      </c>
      <c r="D58" s="106">
        <v>84</v>
      </c>
      <c r="E58" s="106"/>
      <c r="F58" s="108"/>
      <c r="G58" s="108"/>
      <c r="H58" s="108"/>
      <c r="I58" s="108"/>
      <c r="J58" s="108"/>
      <c r="K58" s="107"/>
      <c r="L58" s="107"/>
      <c r="M58" s="107"/>
    </row>
    <row r="59" spans="1:13" s="43" customFormat="1" ht="14.5" x14ac:dyDescent="0.35">
      <c r="B59" s="121">
        <v>98.67899603698811</v>
      </c>
      <c r="C59" s="121">
        <v>95.614665708123653</v>
      </c>
      <c r="D59" s="106">
        <v>87</v>
      </c>
      <c r="E59" s="108"/>
      <c r="F59" s="108"/>
      <c r="G59" s="108"/>
      <c r="H59" s="108"/>
      <c r="I59" s="108"/>
      <c r="J59" s="108"/>
      <c r="K59" s="107"/>
      <c r="L59" s="107"/>
      <c r="M59" s="107"/>
    </row>
    <row r="60" spans="1:13" s="43" customFormat="1" ht="14.5" x14ac:dyDescent="0.35">
      <c r="B60" s="121">
        <v>94.687779338526369</v>
      </c>
      <c r="C60" s="121">
        <v>98.341777982496552</v>
      </c>
      <c r="D60" s="106">
        <v>94</v>
      </c>
      <c r="E60" s="106"/>
      <c r="F60" s="108"/>
      <c r="G60" s="108"/>
      <c r="H60" s="108"/>
      <c r="I60" s="108"/>
      <c r="J60" s="108"/>
      <c r="K60" s="107"/>
      <c r="L60" s="107"/>
      <c r="M60" s="107"/>
    </row>
    <row r="61" spans="1:13" s="43" customFormat="1" ht="14.5" x14ac:dyDescent="0.35">
      <c r="B61" s="121">
        <v>99.28768382352942</v>
      </c>
      <c r="C61" s="121">
        <v>99.053016715689793</v>
      </c>
      <c r="D61" s="106">
        <v>92</v>
      </c>
      <c r="E61" s="108"/>
      <c r="F61" s="108"/>
      <c r="G61" s="108"/>
      <c r="H61" s="108"/>
      <c r="I61" s="108"/>
      <c r="J61" s="108"/>
      <c r="K61" s="107"/>
      <c r="L61" s="107"/>
      <c r="M61" s="107"/>
    </row>
    <row r="62" spans="1:13" s="43" customFormat="1" ht="14.5" x14ac:dyDescent="0.35">
      <c r="B62" s="121">
        <v>99.204946996466433</v>
      </c>
      <c r="C62" s="121">
        <v>98.343685300207042</v>
      </c>
      <c r="D62" s="106">
        <v>94</v>
      </c>
      <c r="E62" s="106"/>
      <c r="F62" s="108"/>
      <c r="G62" s="108"/>
      <c r="H62" s="108"/>
      <c r="I62" s="108"/>
      <c r="J62" s="108"/>
      <c r="K62" s="107"/>
      <c r="L62" s="107"/>
      <c r="M62" s="107"/>
    </row>
    <row r="63" spans="1:13" s="43" customFormat="1" ht="14.5" x14ac:dyDescent="0.35">
      <c r="B63" s="121">
        <v>95.757953836556453</v>
      </c>
      <c r="C63" s="121">
        <v>97.912740976953188</v>
      </c>
      <c r="D63" s="106">
        <v>91</v>
      </c>
      <c r="E63" s="108"/>
      <c r="F63" s="108"/>
      <c r="G63" s="108"/>
      <c r="H63" s="108"/>
      <c r="I63" s="108"/>
      <c r="J63" s="108"/>
      <c r="K63" s="107"/>
      <c r="L63" s="107"/>
      <c r="M63" s="107"/>
    </row>
    <row r="64" spans="1:13" s="43" customFormat="1" ht="14.5" x14ac:dyDescent="0.35">
      <c r="B64" s="121">
        <v>96.007354872603102</v>
      </c>
      <c r="C64" s="121">
        <v>98.559315674945609</v>
      </c>
      <c r="D64" s="106">
        <v>77</v>
      </c>
      <c r="E64" s="106"/>
      <c r="F64" s="108"/>
      <c r="G64" s="108"/>
      <c r="H64" s="108"/>
      <c r="I64" s="108"/>
      <c r="J64" s="108"/>
      <c r="K64" s="107"/>
      <c r="L64" s="107"/>
      <c r="M64" s="107"/>
    </row>
    <row r="65" spans="2:13" s="43" customFormat="1" ht="14.5" x14ac:dyDescent="0.35">
      <c r="B65" s="121">
        <v>99.211690059603924</v>
      </c>
      <c r="C65" s="121">
        <v>99.263291450088005</v>
      </c>
      <c r="D65" s="106">
        <v>83</v>
      </c>
      <c r="E65" s="106"/>
      <c r="F65" s="108"/>
      <c r="G65" s="108"/>
      <c r="H65" s="108"/>
      <c r="I65" s="108"/>
      <c r="J65" s="108"/>
      <c r="K65" s="107"/>
      <c r="L65" s="107"/>
      <c r="M65" s="107"/>
    </row>
    <row r="66" spans="2:13" s="43" customFormat="1" ht="14.5" x14ac:dyDescent="0.35">
      <c r="B66" s="121">
        <v>100</v>
      </c>
      <c r="C66" s="121">
        <v>97.087378640776706</v>
      </c>
      <c r="D66" s="106">
        <v>84</v>
      </c>
      <c r="E66" s="108"/>
      <c r="F66" s="108"/>
      <c r="G66" s="108"/>
      <c r="H66" s="108"/>
      <c r="I66" s="108"/>
      <c r="J66" s="108"/>
      <c r="K66" s="107"/>
      <c r="L66" s="107"/>
      <c r="M66" s="107"/>
    </row>
    <row r="67" spans="2:13" s="43" customFormat="1" ht="14.5" x14ac:dyDescent="0.35">
      <c r="B67" s="121">
        <v>98.864158801417105</v>
      </c>
      <c r="C67" s="121">
        <v>99.474113479494065</v>
      </c>
      <c r="D67" s="106">
        <v>82</v>
      </c>
      <c r="E67" s="106"/>
      <c r="F67" s="108"/>
      <c r="G67" s="108"/>
      <c r="H67" s="108"/>
      <c r="I67" s="108"/>
      <c r="J67" s="108"/>
      <c r="K67" s="107"/>
      <c r="L67" s="107"/>
      <c r="M67" s="107"/>
    </row>
    <row r="68" spans="2:13" s="43" customFormat="1" ht="14.5" x14ac:dyDescent="0.35">
      <c r="B68" s="121">
        <v>100</v>
      </c>
      <c r="C68" s="122">
        <v>100</v>
      </c>
      <c r="D68" s="106">
        <v>86</v>
      </c>
      <c r="E68" s="108"/>
      <c r="F68" s="108"/>
      <c r="G68" s="108"/>
      <c r="H68" s="108"/>
      <c r="I68" s="108"/>
      <c r="J68" s="108"/>
      <c r="K68" s="107"/>
      <c r="L68" s="107"/>
      <c r="M68" s="107"/>
    </row>
    <row r="69" spans="2:13" s="43" customFormat="1" ht="14.5" x14ac:dyDescent="0.35">
      <c r="B69" s="121">
        <v>100</v>
      </c>
      <c r="C69" s="122">
        <v>100</v>
      </c>
      <c r="D69" s="106">
        <v>86</v>
      </c>
      <c r="E69" s="106"/>
      <c r="F69" s="108"/>
      <c r="G69" s="108"/>
      <c r="H69" s="108"/>
      <c r="I69" s="108"/>
      <c r="J69" s="108"/>
      <c r="K69" s="107"/>
      <c r="L69" s="107"/>
      <c r="M69" s="107"/>
    </row>
    <row r="70" spans="2:13" s="43" customFormat="1" ht="14.5" x14ac:dyDescent="0.35">
      <c r="B70" s="121">
        <v>98.113207547169807</v>
      </c>
      <c r="C70" s="122">
        <v>99.113016483110357</v>
      </c>
      <c r="D70" s="106">
        <v>89</v>
      </c>
      <c r="E70" s="108"/>
      <c r="F70" s="108"/>
      <c r="G70" s="108"/>
      <c r="H70" s="108"/>
      <c r="I70" s="108"/>
      <c r="J70" s="108"/>
      <c r="K70" s="107"/>
      <c r="L70" s="107"/>
      <c r="M70" s="107"/>
    </row>
    <row r="71" spans="2:13" s="43" customFormat="1" ht="14.5" x14ac:dyDescent="0.35">
      <c r="B71" s="121">
        <v>100</v>
      </c>
      <c r="C71" s="122">
        <v>98.548094373865709</v>
      </c>
      <c r="D71" s="106">
        <v>90</v>
      </c>
      <c r="E71" s="106"/>
      <c r="F71" s="108"/>
      <c r="G71" s="108"/>
      <c r="H71" s="108"/>
      <c r="I71" s="108"/>
      <c r="J71" s="108"/>
      <c r="K71" s="107"/>
      <c r="L71" s="107"/>
      <c r="M71" s="107"/>
    </row>
    <row r="72" spans="2:13" s="43" customFormat="1" ht="14.5" x14ac:dyDescent="0.35">
      <c r="B72" s="121">
        <v>96.72815687932767</v>
      </c>
      <c r="C72" s="122">
        <v>94.333197112110071</v>
      </c>
      <c r="D72" s="106">
        <v>83</v>
      </c>
      <c r="E72" s="108"/>
      <c r="F72" s="108"/>
      <c r="G72" s="108"/>
      <c r="H72" s="108"/>
      <c r="I72" s="108"/>
      <c r="J72" s="108"/>
      <c r="K72" s="107"/>
      <c r="L72" s="107"/>
      <c r="M72" s="107"/>
    </row>
    <row r="73" spans="2:13" s="43" customFormat="1" ht="14.5" x14ac:dyDescent="0.35">
      <c r="B73" s="121">
        <v>96.743894802755165</v>
      </c>
      <c r="C73" s="122">
        <v>83.041656396351982</v>
      </c>
      <c r="D73" s="106">
        <v>94</v>
      </c>
      <c r="E73" s="106"/>
      <c r="F73" s="108"/>
      <c r="G73" s="108"/>
      <c r="H73" s="108"/>
      <c r="I73" s="108"/>
      <c r="J73" s="108"/>
      <c r="K73" s="107"/>
      <c r="L73" s="107"/>
      <c r="M73" s="107"/>
    </row>
    <row r="74" spans="2:13" s="43" customFormat="1" ht="14.5" x14ac:dyDescent="0.35">
      <c r="B74" s="121">
        <v>96.69293372949231</v>
      </c>
      <c r="C74" s="122">
        <v>96.198367247471666</v>
      </c>
      <c r="D74" s="106">
        <v>92</v>
      </c>
      <c r="E74" s="108"/>
      <c r="F74" s="108"/>
      <c r="G74" s="108"/>
      <c r="H74" s="108"/>
      <c r="I74" s="108"/>
      <c r="J74" s="108"/>
      <c r="K74" s="107"/>
      <c r="L74" s="107"/>
      <c r="M74" s="107"/>
    </row>
    <row r="75" spans="2:13" s="43" customFormat="1" ht="14.5" x14ac:dyDescent="0.35">
      <c r="B75" s="121">
        <v>98.745098039215691</v>
      </c>
      <c r="C75" s="122">
        <v>96.690531852717712</v>
      </c>
      <c r="D75" s="106">
        <v>91</v>
      </c>
      <c r="E75" s="106"/>
      <c r="F75" s="108"/>
      <c r="G75" s="108"/>
      <c r="H75" s="108"/>
      <c r="I75" s="108"/>
      <c r="J75" s="108"/>
      <c r="K75" s="107"/>
      <c r="L75" s="107"/>
      <c r="M75" s="107"/>
    </row>
    <row r="76" spans="2:13" s="43" customFormat="1" ht="14.5" x14ac:dyDescent="0.35">
      <c r="B76" s="121">
        <v>97.590361445783131</v>
      </c>
      <c r="C76" s="122">
        <v>95.614665708123653</v>
      </c>
      <c r="D76" s="106">
        <v>89</v>
      </c>
      <c r="E76" s="108"/>
      <c r="F76" s="108"/>
      <c r="G76" s="108"/>
      <c r="H76" s="108"/>
      <c r="I76" s="108"/>
      <c r="J76" s="108"/>
      <c r="K76" s="107"/>
      <c r="L76" s="107"/>
      <c r="M76" s="107"/>
    </row>
    <row r="77" spans="2:13" s="43" customFormat="1" ht="14.5" x14ac:dyDescent="0.35">
      <c r="B77" s="121">
        <v>97.784149166445147</v>
      </c>
      <c r="C77" s="122">
        <v>98.341777982496552</v>
      </c>
      <c r="D77" s="106">
        <v>84</v>
      </c>
      <c r="E77" s="108"/>
      <c r="F77" s="108"/>
      <c r="G77" s="108"/>
      <c r="H77" s="108"/>
      <c r="I77" s="108"/>
      <c r="J77" s="108"/>
      <c r="K77" s="107"/>
      <c r="L77" s="107"/>
      <c r="M77" s="107"/>
    </row>
    <row r="78" spans="2:13" s="43" customFormat="1" ht="14.5" x14ac:dyDescent="0.35">
      <c r="B78" s="121">
        <v>97.784107091996589</v>
      </c>
      <c r="C78" s="122">
        <v>99.053016715689793</v>
      </c>
      <c r="D78" s="106">
        <v>82</v>
      </c>
      <c r="E78" s="108"/>
      <c r="F78" s="108"/>
      <c r="G78" s="108"/>
      <c r="H78" s="108"/>
      <c r="I78" s="108"/>
      <c r="J78" s="108"/>
      <c r="K78" s="107"/>
      <c r="L78" s="107"/>
      <c r="M78" s="107"/>
    </row>
    <row r="79" spans="2:13" s="43" customFormat="1" ht="14.5" x14ac:dyDescent="0.35">
      <c r="B79" s="121">
        <v>98.374473208910302</v>
      </c>
      <c r="C79" s="122">
        <v>98.343685300207042</v>
      </c>
      <c r="D79" s="106">
        <v>85</v>
      </c>
      <c r="E79" s="108"/>
      <c r="F79" s="108"/>
      <c r="G79" s="108"/>
      <c r="H79" s="108"/>
      <c r="I79" s="108"/>
      <c r="J79" s="108"/>
      <c r="K79" s="107"/>
      <c r="L79" s="107"/>
      <c r="M79" s="107"/>
    </row>
    <row r="80" spans="2:13" s="43" customFormat="1" ht="14.5" x14ac:dyDescent="0.35">
      <c r="B80" s="121">
        <v>95.210022107590277</v>
      </c>
      <c r="C80" s="122">
        <v>97.912740976953188</v>
      </c>
      <c r="D80" s="106"/>
      <c r="E80" s="108"/>
      <c r="F80" s="108"/>
      <c r="G80" s="108"/>
      <c r="H80" s="108"/>
      <c r="I80" s="108"/>
      <c r="J80" s="108"/>
      <c r="K80" s="107"/>
      <c r="L80" s="107"/>
      <c r="M80" s="107"/>
    </row>
    <row r="81" spans="2:13" s="43" customFormat="1" ht="14.5" x14ac:dyDescent="0.35">
      <c r="B81" s="121">
        <v>99.414077557628559</v>
      </c>
      <c r="C81" s="122">
        <v>98.559315674945609</v>
      </c>
      <c r="D81" s="106"/>
      <c r="E81" s="108"/>
      <c r="F81" s="108"/>
      <c r="G81" s="108"/>
      <c r="H81" s="108"/>
      <c r="I81" s="108"/>
      <c r="J81" s="108"/>
      <c r="K81" s="107"/>
      <c r="L81" s="107"/>
      <c r="M81" s="107"/>
    </row>
    <row r="82" spans="2:13" s="43" customFormat="1" ht="14.5" x14ac:dyDescent="0.35">
      <c r="B82" s="121">
        <v>85.454545454545453</v>
      </c>
      <c r="C82" s="122">
        <v>99.263291450088005</v>
      </c>
      <c r="D82" s="106"/>
      <c r="E82" s="108"/>
      <c r="F82" s="108"/>
      <c r="G82" s="108"/>
      <c r="H82" s="108"/>
      <c r="I82" s="108"/>
      <c r="J82" s="108"/>
      <c r="K82" s="107"/>
      <c r="L82" s="107"/>
      <c r="M82" s="107"/>
    </row>
    <row r="83" spans="2:13" s="43" customFormat="1" ht="14.5" x14ac:dyDescent="0.35">
      <c r="B83" s="121">
        <v>96.274738067520374</v>
      </c>
      <c r="C83" s="122">
        <v>97.087378640776706</v>
      </c>
      <c r="D83" s="106"/>
      <c r="E83" s="108"/>
      <c r="F83" s="108"/>
      <c r="G83" s="108"/>
      <c r="H83" s="108"/>
      <c r="I83" s="108"/>
      <c r="J83" s="108"/>
      <c r="K83" s="107"/>
      <c r="L83" s="107"/>
      <c r="M83" s="107"/>
    </row>
    <row r="84" spans="2:13" s="43" customFormat="1" ht="14.5" x14ac:dyDescent="0.35">
      <c r="B84" s="121">
        <v>99.482237882928231</v>
      </c>
      <c r="C84" s="122">
        <v>99.474113479494065</v>
      </c>
      <c r="D84" s="106"/>
      <c r="E84" s="108"/>
      <c r="F84" s="108"/>
      <c r="G84" s="108"/>
      <c r="H84" s="108"/>
      <c r="I84" s="108"/>
      <c r="J84" s="108"/>
      <c r="K84" s="107"/>
      <c r="L84" s="107"/>
      <c r="M84" s="107"/>
    </row>
    <row r="85" spans="2:13" s="43" customFormat="1" ht="14.5" x14ac:dyDescent="0.35">
      <c r="B85" s="121">
        <v>81.558371528713934</v>
      </c>
      <c r="C85" s="105"/>
      <c r="D85" s="108"/>
      <c r="E85" s="108"/>
      <c r="F85" s="108"/>
      <c r="G85" s="108"/>
      <c r="H85" s="108"/>
      <c r="I85" s="108"/>
      <c r="J85" s="108"/>
      <c r="K85" s="107"/>
      <c r="L85" s="107"/>
      <c r="M85" s="107"/>
    </row>
    <row r="86" spans="2:13" s="43" customFormat="1" ht="14.5" x14ac:dyDescent="0.35">
      <c r="B86" s="121">
        <v>95.836506727595832</v>
      </c>
      <c r="C86" s="105"/>
      <c r="D86" s="108"/>
      <c r="E86" s="108"/>
      <c r="F86" s="108"/>
      <c r="G86" s="108"/>
      <c r="H86" s="108"/>
      <c r="I86" s="108"/>
      <c r="J86" s="108"/>
      <c r="K86" s="107"/>
      <c r="L86" s="107"/>
      <c r="M86" s="107"/>
    </row>
    <row r="87" spans="2:13" s="43" customFormat="1" ht="14.5" x14ac:dyDescent="0.35">
      <c r="B87" s="121">
        <v>85.553398058252426</v>
      </c>
      <c r="C87" s="105"/>
      <c r="D87" s="108"/>
      <c r="E87" s="108"/>
      <c r="F87" s="108"/>
      <c r="G87" s="108"/>
      <c r="H87" s="108"/>
      <c r="I87" s="108"/>
      <c r="J87" s="108"/>
      <c r="K87" s="107"/>
      <c r="L87" s="107"/>
      <c r="M87" s="107"/>
    </row>
    <row r="88" spans="2:13" s="43" customFormat="1" ht="14.5" x14ac:dyDescent="0.35">
      <c r="B88" s="121">
        <v>98.152399693888697</v>
      </c>
      <c r="C88" s="105"/>
      <c r="D88" s="108"/>
      <c r="E88" s="108"/>
      <c r="F88" s="108"/>
      <c r="G88" s="108"/>
      <c r="H88" s="108"/>
      <c r="I88" s="108"/>
      <c r="J88" s="108"/>
      <c r="K88" s="107"/>
      <c r="L88" s="107"/>
      <c r="M88" s="107"/>
    </row>
    <row r="89" spans="2:13" s="43" customFormat="1" ht="14.5" x14ac:dyDescent="0.35">
      <c r="B89" s="121">
        <v>98.663336258691686</v>
      </c>
      <c r="C89" s="105"/>
      <c r="D89" s="108"/>
      <c r="E89" s="108"/>
      <c r="F89" s="108"/>
      <c r="G89" s="108"/>
      <c r="H89" s="108"/>
      <c r="I89" s="108"/>
      <c r="J89" s="108"/>
      <c r="K89" s="107"/>
      <c r="L89" s="107"/>
      <c r="M89" s="107"/>
    </row>
    <row r="90" spans="2:13" s="43" customFormat="1" ht="14.5" x14ac:dyDescent="0.35">
      <c r="B90" s="121">
        <v>97.074468085106375</v>
      </c>
      <c r="C90" s="105"/>
      <c r="D90" s="108"/>
      <c r="E90" s="108"/>
      <c r="F90" s="108"/>
      <c r="G90" s="108"/>
      <c r="H90" s="108"/>
      <c r="I90" s="108"/>
      <c r="J90" s="108"/>
      <c r="K90" s="107"/>
      <c r="L90" s="107"/>
      <c r="M90" s="107"/>
    </row>
    <row r="91" spans="2:13" s="43" customFormat="1" ht="14.5" x14ac:dyDescent="0.35">
      <c r="B91" s="121">
        <v>98.486159169550163</v>
      </c>
      <c r="C91" s="105"/>
      <c r="D91" s="108"/>
      <c r="E91" s="108"/>
      <c r="F91" s="108"/>
      <c r="G91" s="108"/>
      <c r="H91" s="108"/>
      <c r="I91" s="108"/>
      <c r="J91" s="108"/>
      <c r="K91" s="107"/>
      <c r="L91" s="107"/>
      <c r="M91" s="107"/>
    </row>
    <row r="92" spans="2:13" s="43" customFormat="1" ht="14.5" x14ac:dyDescent="0.35">
      <c r="B92" s="121">
        <v>100</v>
      </c>
      <c r="C92" s="105"/>
      <c r="D92" s="108"/>
      <c r="E92" s="108"/>
      <c r="F92" s="108"/>
      <c r="G92" s="108"/>
      <c r="H92" s="108"/>
      <c r="I92" s="108"/>
      <c r="J92" s="108"/>
      <c r="K92" s="107"/>
      <c r="L92" s="107"/>
      <c r="M92" s="107"/>
    </row>
    <row r="93" spans="2:13" s="43" customFormat="1" ht="14.5" x14ac:dyDescent="0.35">
      <c r="B93" s="121">
        <v>100</v>
      </c>
      <c r="C93" s="105"/>
      <c r="D93" s="108"/>
      <c r="E93" s="108"/>
      <c r="F93" s="108"/>
      <c r="G93" s="108"/>
      <c r="H93" s="108"/>
      <c r="I93" s="108"/>
      <c r="J93" s="108"/>
      <c r="K93" s="107"/>
      <c r="L93" s="107"/>
      <c r="M93" s="107"/>
    </row>
    <row r="94" spans="2:13" s="43" customFormat="1" ht="14.5" x14ac:dyDescent="0.35">
      <c r="B94" s="121">
        <v>97.016780609073962</v>
      </c>
      <c r="C94" s="105"/>
      <c r="D94" s="108"/>
      <c r="E94" s="108"/>
      <c r="F94" s="108"/>
      <c r="G94" s="108"/>
      <c r="H94" s="108"/>
      <c r="I94" s="108"/>
      <c r="J94" s="108"/>
      <c r="K94" s="107"/>
      <c r="L94" s="107"/>
      <c r="M94" s="107"/>
    </row>
    <row r="95" spans="2:13" s="43" customFormat="1" ht="14.5" x14ac:dyDescent="0.35">
      <c r="B95" s="121">
        <v>97.652429083795241</v>
      </c>
      <c r="C95" s="105"/>
      <c r="D95" s="108"/>
      <c r="E95" s="108"/>
      <c r="F95" s="108"/>
      <c r="G95" s="108"/>
      <c r="H95" s="108"/>
      <c r="I95" s="108"/>
      <c r="J95" s="108"/>
      <c r="K95" s="107"/>
      <c r="L95" s="107"/>
      <c r="M95" s="107"/>
    </row>
    <row r="96" spans="2:13" s="43" customFormat="1" ht="14.5" x14ac:dyDescent="0.35">
      <c r="B96" s="121">
        <v>100</v>
      </c>
      <c r="C96" s="105"/>
      <c r="D96" s="108"/>
      <c r="E96" s="108"/>
      <c r="F96" s="108"/>
      <c r="G96" s="108"/>
      <c r="H96" s="108"/>
      <c r="I96" s="108"/>
      <c r="J96" s="108"/>
      <c r="K96" s="107"/>
      <c r="L96" s="107"/>
      <c r="M96" s="107"/>
    </row>
    <row r="97" spans="2:13" s="43" customFormat="1" ht="14.5" x14ac:dyDescent="0.35">
      <c r="B97" s="121">
        <v>96.511971622819985</v>
      </c>
      <c r="C97" s="105"/>
      <c r="D97" s="108"/>
      <c r="E97" s="108"/>
      <c r="F97" s="108"/>
      <c r="G97" s="108"/>
      <c r="H97" s="108"/>
      <c r="I97" s="108"/>
      <c r="J97" s="108"/>
      <c r="K97" s="107"/>
      <c r="L97" s="107"/>
      <c r="M97" s="107"/>
    </row>
    <row r="98" spans="2:13" s="43" customFormat="1" ht="14.5" x14ac:dyDescent="0.35">
      <c r="B98" s="121">
        <v>99.152377240841787</v>
      </c>
      <c r="C98" s="105"/>
      <c r="D98" s="108"/>
      <c r="E98" s="108"/>
      <c r="F98" s="108"/>
      <c r="G98" s="108"/>
      <c r="H98" s="108"/>
      <c r="I98" s="108"/>
      <c r="J98" s="108"/>
      <c r="K98" s="107"/>
      <c r="L98" s="107"/>
      <c r="M98" s="107"/>
    </row>
    <row r="99" spans="2:13" s="43" customFormat="1" ht="14.5" x14ac:dyDescent="0.35">
      <c r="B99" s="121">
        <v>98.594133380490291</v>
      </c>
      <c r="C99" s="105"/>
      <c r="D99" s="108"/>
      <c r="E99" s="108"/>
      <c r="F99" s="108"/>
      <c r="G99" s="108"/>
      <c r="H99" s="108"/>
      <c r="I99" s="108"/>
      <c r="J99" s="108"/>
      <c r="K99" s="107"/>
      <c r="L99" s="107"/>
      <c r="M99" s="107"/>
    </row>
    <row r="100" spans="2:13" s="43" customFormat="1" ht="14.5" x14ac:dyDescent="0.35">
      <c r="B100" s="121">
        <v>86.93349028840494</v>
      </c>
      <c r="C100" s="105"/>
      <c r="D100" s="108"/>
      <c r="E100" s="108"/>
      <c r="F100" s="108"/>
      <c r="G100" s="108"/>
      <c r="H100" s="108"/>
      <c r="I100" s="108"/>
      <c r="J100" s="108"/>
      <c r="K100" s="107"/>
      <c r="L100" s="107"/>
      <c r="M100" s="107"/>
    </row>
    <row r="101" spans="2:13" s="43" customFormat="1" ht="14.5" x14ac:dyDescent="0.35">
      <c r="B101" s="121">
        <v>95.780983403133234</v>
      </c>
      <c r="C101" s="105"/>
      <c r="D101" s="108"/>
      <c r="E101" s="108"/>
      <c r="F101" s="108"/>
      <c r="G101" s="108"/>
      <c r="H101" s="108"/>
      <c r="I101" s="108"/>
      <c r="J101" s="108"/>
      <c r="K101" s="107"/>
      <c r="L101" s="107"/>
      <c r="M101" s="107"/>
    </row>
    <row r="102" spans="2:13" s="43" customFormat="1" ht="14.5" x14ac:dyDescent="0.35">
      <c r="B102" s="121">
        <v>99.32216155149689</v>
      </c>
      <c r="C102" s="105"/>
      <c r="D102" s="108"/>
      <c r="E102" s="108"/>
      <c r="F102" s="108"/>
      <c r="G102" s="108"/>
      <c r="H102" s="108"/>
      <c r="I102" s="108"/>
      <c r="J102" s="108"/>
      <c r="K102" s="107"/>
      <c r="L102" s="107"/>
      <c r="M102" s="107"/>
    </row>
    <row r="103" spans="2:13" s="43" customFormat="1" ht="14.5" x14ac:dyDescent="0.35">
      <c r="B103" s="122">
        <v>100</v>
      </c>
      <c r="C103" s="105"/>
      <c r="D103" s="108"/>
      <c r="E103" s="108"/>
      <c r="F103" s="108"/>
      <c r="G103" s="108"/>
      <c r="H103" s="108"/>
      <c r="I103" s="108"/>
      <c r="J103" s="108"/>
      <c r="K103" s="107"/>
      <c r="L103" s="107"/>
      <c r="M103" s="107"/>
    </row>
    <row r="104" spans="2:13" s="43" customFormat="1" ht="14.5" x14ac:dyDescent="0.35">
      <c r="B104" s="122">
        <v>99.133226324237555</v>
      </c>
      <c r="C104" s="105"/>
      <c r="D104" s="108"/>
      <c r="E104" s="108"/>
      <c r="F104" s="108"/>
      <c r="G104" s="108"/>
      <c r="H104" s="108"/>
      <c r="I104" s="108"/>
      <c r="J104" s="108"/>
      <c r="K104" s="107"/>
      <c r="L104" s="107"/>
      <c r="M104" s="107"/>
    </row>
    <row r="105" spans="2:13" s="43" customFormat="1" ht="14.5" x14ac:dyDescent="0.35">
      <c r="B105" s="122">
        <v>99.133226324237555</v>
      </c>
      <c r="C105" s="105"/>
      <c r="D105" s="108"/>
      <c r="E105" s="108"/>
      <c r="F105" s="108"/>
      <c r="G105" s="108"/>
      <c r="H105" s="108"/>
      <c r="I105" s="108"/>
      <c r="J105" s="108"/>
      <c r="K105" s="107"/>
      <c r="L105" s="107"/>
      <c r="M105" s="107"/>
    </row>
    <row r="106" spans="2:13" s="43" customFormat="1" ht="14.5" x14ac:dyDescent="0.35">
      <c r="B106" s="122">
        <v>99.133226324237555</v>
      </c>
      <c r="C106" s="105"/>
      <c r="D106" s="108"/>
      <c r="E106" s="108"/>
      <c r="F106" s="108"/>
      <c r="G106" s="108"/>
      <c r="H106" s="108"/>
      <c r="I106" s="108"/>
      <c r="J106" s="108"/>
      <c r="K106" s="107"/>
      <c r="L106" s="107"/>
      <c r="M106" s="107"/>
    </row>
    <row r="107" spans="2:13" s="43" customFormat="1" ht="14.5" x14ac:dyDescent="0.35">
      <c r="B107" s="122">
        <v>99.133226324237555</v>
      </c>
      <c r="C107" s="105"/>
      <c r="D107" s="108"/>
      <c r="E107" s="108"/>
      <c r="F107" s="108"/>
      <c r="G107" s="108"/>
      <c r="H107" s="108"/>
      <c r="I107" s="108"/>
      <c r="J107" s="108"/>
      <c r="K107" s="107"/>
      <c r="L107" s="107"/>
      <c r="M107" s="107"/>
    </row>
    <row r="108" spans="2:13" s="43" customFormat="1" ht="14.5" x14ac:dyDescent="0.35">
      <c r="B108" s="122">
        <v>100</v>
      </c>
      <c r="C108" s="105"/>
      <c r="D108" s="108"/>
      <c r="E108" s="108"/>
      <c r="F108" s="108"/>
      <c r="G108" s="108"/>
      <c r="H108" s="108"/>
      <c r="I108" s="108"/>
      <c r="J108" s="108"/>
      <c r="K108" s="107"/>
      <c r="L108" s="107"/>
      <c r="M108" s="107"/>
    </row>
    <row r="109" spans="2:13" s="43" customFormat="1" ht="14.5" x14ac:dyDescent="0.35">
      <c r="B109" s="122">
        <v>98.587047939444915</v>
      </c>
      <c r="C109" s="105"/>
      <c r="D109" s="108"/>
      <c r="E109" s="108"/>
      <c r="F109" s="108"/>
      <c r="G109" s="108"/>
      <c r="H109" s="108"/>
      <c r="I109" s="108"/>
      <c r="J109" s="108"/>
      <c r="K109" s="107"/>
      <c r="L109" s="107"/>
      <c r="M109" s="107"/>
    </row>
    <row r="110" spans="2:13" s="43" customFormat="1" ht="14.5" x14ac:dyDescent="0.35">
      <c r="B110" s="122">
        <v>99.044368600682603</v>
      </c>
      <c r="C110" s="105"/>
      <c r="D110" s="108"/>
      <c r="E110" s="108"/>
      <c r="F110" s="108"/>
      <c r="G110" s="108"/>
      <c r="H110" s="108"/>
      <c r="I110" s="108"/>
      <c r="J110" s="108"/>
      <c r="K110" s="107"/>
      <c r="L110" s="107"/>
      <c r="M110" s="107"/>
    </row>
    <row r="111" spans="2:13" s="43" customFormat="1" ht="14.5" x14ac:dyDescent="0.35">
      <c r="B111" s="122">
        <v>98.67899603698811</v>
      </c>
      <c r="C111" s="105"/>
      <c r="D111" s="108"/>
      <c r="E111" s="108"/>
      <c r="F111" s="108"/>
      <c r="G111" s="108"/>
      <c r="H111" s="108"/>
      <c r="I111" s="108"/>
      <c r="J111" s="108"/>
      <c r="K111" s="107"/>
      <c r="L111" s="107"/>
      <c r="M111" s="107"/>
    </row>
    <row r="112" spans="2:13" s="43" customFormat="1" ht="14.5" x14ac:dyDescent="0.35">
      <c r="B112" s="122">
        <v>94.687779338526369</v>
      </c>
      <c r="C112" s="105"/>
      <c r="D112" s="108"/>
      <c r="E112" s="108"/>
      <c r="F112" s="108"/>
      <c r="G112" s="108"/>
      <c r="H112" s="108"/>
      <c r="I112" s="108"/>
      <c r="J112" s="108"/>
      <c r="K112" s="107"/>
      <c r="L112" s="107"/>
      <c r="M112" s="107"/>
    </row>
    <row r="113" spans="2:13" s="43" customFormat="1" ht="14.5" x14ac:dyDescent="0.35">
      <c r="B113" s="122">
        <v>99.28768382352942</v>
      </c>
      <c r="C113" s="105"/>
      <c r="D113" s="108"/>
      <c r="E113" s="108"/>
      <c r="F113" s="108"/>
      <c r="G113" s="108"/>
      <c r="H113" s="108"/>
      <c r="I113" s="108"/>
      <c r="J113" s="108"/>
      <c r="K113" s="107"/>
      <c r="L113" s="107"/>
      <c r="M113" s="107"/>
    </row>
    <row r="114" spans="2:13" s="43" customFormat="1" ht="14.5" x14ac:dyDescent="0.35">
      <c r="B114" s="122">
        <v>99.204946996466433</v>
      </c>
      <c r="C114" s="105"/>
      <c r="D114" s="108"/>
      <c r="E114" s="108"/>
      <c r="F114" s="108"/>
      <c r="G114" s="108"/>
      <c r="H114" s="108"/>
      <c r="I114" s="108"/>
      <c r="J114" s="108"/>
      <c r="K114" s="107"/>
      <c r="L114" s="107"/>
      <c r="M114" s="107"/>
    </row>
    <row r="115" spans="2:13" s="43" customFormat="1" ht="14.5" x14ac:dyDescent="0.35">
      <c r="B115" s="122">
        <v>95.757953836556453</v>
      </c>
      <c r="C115" s="105"/>
      <c r="D115" s="108"/>
      <c r="E115" s="108"/>
      <c r="F115" s="108"/>
      <c r="G115" s="108"/>
      <c r="H115" s="108"/>
      <c r="I115" s="108"/>
      <c r="J115" s="108"/>
      <c r="K115" s="107"/>
      <c r="L115" s="107"/>
      <c r="M115" s="107"/>
    </row>
    <row r="116" spans="2:13" s="43" customFormat="1" ht="14.5" x14ac:dyDescent="0.35">
      <c r="B116" s="122">
        <v>96.007354872603102</v>
      </c>
      <c r="C116" s="105"/>
      <c r="D116" s="108"/>
      <c r="E116" s="108"/>
      <c r="F116" s="108"/>
      <c r="G116" s="108"/>
      <c r="H116" s="108"/>
      <c r="I116" s="108"/>
      <c r="J116" s="108"/>
      <c r="K116" s="107"/>
      <c r="L116" s="107"/>
      <c r="M116" s="107"/>
    </row>
    <row r="117" spans="2:13" s="43" customFormat="1" ht="14.5" x14ac:dyDescent="0.35">
      <c r="B117" s="122">
        <v>99.211690059603924</v>
      </c>
      <c r="C117" s="105"/>
      <c r="D117" s="108"/>
      <c r="E117" s="108"/>
      <c r="F117" s="108"/>
      <c r="G117" s="108"/>
      <c r="H117" s="108"/>
      <c r="I117" s="108"/>
      <c r="J117" s="108"/>
      <c r="K117" s="107"/>
      <c r="L117" s="107"/>
      <c r="M117" s="107"/>
    </row>
    <row r="118" spans="2:13" s="43" customFormat="1" ht="14.5" x14ac:dyDescent="0.35">
      <c r="B118" s="122">
        <v>100</v>
      </c>
      <c r="C118" s="105"/>
      <c r="D118" s="108"/>
      <c r="E118" s="108"/>
      <c r="F118" s="108"/>
      <c r="G118" s="108"/>
      <c r="H118" s="108"/>
      <c r="I118" s="108"/>
      <c r="J118" s="108"/>
      <c r="K118" s="107"/>
      <c r="L118" s="107"/>
      <c r="M118" s="107"/>
    </row>
    <row r="119" spans="2:13" s="43" customFormat="1" x14ac:dyDescent="0.25">
      <c r="B119" s="123"/>
      <c r="C119" s="108"/>
      <c r="D119" s="108"/>
      <c r="E119" s="108"/>
      <c r="F119" s="108"/>
      <c r="G119" s="108"/>
      <c r="H119" s="108"/>
      <c r="I119" s="108"/>
      <c r="J119" s="108"/>
      <c r="K119" s="107"/>
      <c r="L119" s="107"/>
      <c r="M119" s="107"/>
    </row>
    <row r="120" spans="2:13" s="43" customFormat="1" x14ac:dyDescent="0.25">
      <c r="B120" s="123"/>
      <c r="C120" s="108"/>
      <c r="D120" s="108"/>
      <c r="E120" s="108"/>
      <c r="F120" s="108"/>
      <c r="G120" s="108"/>
      <c r="H120" s="108"/>
      <c r="I120" s="108"/>
      <c r="J120" s="108"/>
      <c r="K120" s="107"/>
      <c r="L120" s="107"/>
      <c r="M120" s="107"/>
    </row>
    <row r="121" spans="2:13" s="43" customFormat="1" x14ac:dyDescent="0.25">
      <c r="B121" s="123"/>
      <c r="C121" s="108"/>
      <c r="D121" s="108"/>
      <c r="E121" s="108"/>
      <c r="F121" s="108"/>
      <c r="G121" s="108"/>
      <c r="H121" s="108"/>
      <c r="I121" s="108"/>
      <c r="J121" s="108"/>
      <c r="K121" s="107"/>
      <c r="L121" s="107"/>
      <c r="M121" s="107"/>
    </row>
    <row r="122" spans="2:13" s="43" customFormat="1" x14ac:dyDescent="0.25">
      <c r="B122" s="123"/>
      <c r="C122" s="108"/>
      <c r="D122" s="108"/>
      <c r="E122" s="108"/>
      <c r="F122" s="108"/>
      <c r="G122" s="108"/>
      <c r="H122" s="108"/>
      <c r="I122" s="108"/>
      <c r="J122" s="108"/>
      <c r="K122" s="107"/>
      <c r="L122" s="107"/>
      <c r="M122" s="107"/>
    </row>
    <row r="123" spans="2:13" s="43" customFormat="1" x14ac:dyDescent="0.25">
      <c r="B123" s="123"/>
      <c r="C123" s="108"/>
      <c r="D123" s="108"/>
      <c r="E123" s="108"/>
      <c r="F123" s="108"/>
      <c r="G123" s="108"/>
      <c r="H123" s="108"/>
      <c r="I123" s="108"/>
      <c r="J123" s="108"/>
      <c r="K123" s="107"/>
      <c r="L123" s="107"/>
      <c r="M123" s="107"/>
    </row>
    <row r="124" spans="2:13" s="43" customFormat="1" ht="14.5" x14ac:dyDescent="0.35">
      <c r="B124" s="116"/>
      <c r="C124" s="108"/>
      <c r="D124" s="108"/>
      <c r="E124" s="108"/>
      <c r="F124" s="108"/>
      <c r="G124" s="108"/>
      <c r="H124" s="108"/>
      <c r="I124" s="108"/>
      <c r="J124" s="108"/>
      <c r="K124" s="107"/>
      <c r="L124" s="107"/>
      <c r="M124" s="107"/>
    </row>
    <row r="125" spans="2:13" s="43" customFormat="1" ht="14.5" x14ac:dyDescent="0.35">
      <c r="B125" s="116"/>
      <c r="C125" s="108"/>
      <c r="D125" s="108"/>
      <c r="E125" s="108"/>
      <c r="F125" s="108"/>
      <c r="G125" s="108"/>
      <c r="H125" s="108"/>
      <c r="I125" s="108"/>
      <c r="J125" s="108"/>
      <c r="K125" s="107"/>
      <c r="L125" s="107"/>
      <c r="M125" s="107"/>
    </row>
    <row r="126" spans="2:13" s="43" customFormat="1" ht="14.5" x14ac:dyDescent="0.35">
      <c r="B126" s="116"/>
      <c r="C126" s="108"/>
      <c r="D126" s="108"/>
      <c r="E126" s="108"/>
      <c r="F126" s="108"/>
      <c r="G126" s="108"/>
      <c r="H126" s="108"/>
      <c r="I126" s="108"/>
      <c r="J126" s="108"/>
      <c r="K126" s="107"/>
      <c r="L126" s="107"/>
      <c r="M126" s="107"/>
    </row>
    <row r="127" spans="2:13" s="43" customFormat="1" ht="14.5" x14ac:dyDescent="0.35">
      <c r="B127" s="116"/>
      <c r="C127" s="108"/>
      <c r="D127" s="108"/>
      <c r="E127" s="108"/>
      <c r="F127" s="108"/>
      <c r="G127" s="108"/>
      <c r="H127" s="108"/>
      <c r="I127" s="108"/>
      <c r="J127" s="108"/>
      <c r="K127" s="107"/>
      <c r="L127" s="107"/>
      <c r="M127" s="107"/>
    </row>
    <row r="128" spans="2:13" s="43" customFormat="1" ht="14.5" x14ac:dyDescent="0.35">
      <c r="B128" s="116"/>
      <c r="C128" s="108"/>
      <c r="D128" s="108"/>
      <c r="E128" s="108"/>
      <c r="F128" s="108"/>
      <c r="G128" s="108"/>
      <c r="H128" s="108"/>
      <c r="I128" s="108"/>
      <c r="J128" s="108"/>
      <c r="K128" s="107"/>
      <c r="L128" s="107"/>
      <c r="M128" s="107"/>
    </row>
    <row r="129" spans="2:13" s="43" customFormat="1" ht="14.5" x14ac:dyDescent="0.35">
      <c r="B129" s="116"/>
      <c r="C129" s="108"/>
      <c r="D129" s="108"/>
      <c r="E129" s="108"/>
      <c r="F129" s="108"/>
      <c r="G129" s="108"/>
      <c r="H129" s="108"/>
      <c r="I129" s="108"/>
      <c r="J129" s="108"/>
      <c r="K129" s="107"/>
      <c r="L129" s="107"/>
      <c r="M129" s="107"/>
    </row>
    <row r="130" spans="2:13" s="43" customFormat="1" ht="14.5" x14ac:dyDescent="0.35">
      <c r="B130" s="116"/>
      <c r="C130" s="108"/>
      <c r="D130" s="108"/>
      <c r="E130" s="108"/>
      <c r="F130" s="108"/>
      <c r="G130" s="108"/>
      <c r="H130" s="108"/>
      <c r="I130" s="108"/>
      <c r="J130" s="108"/>
      <c r="K130" s="107"/>
      <c r="L130" s="107"/>
      <c r="M130" s="107"/>
    </row>
    <row r="131" spans="2:13" s="43" customFormat="1" ht="14.5" x14ac:dyDescent="0.35">
      <c r="B131" s="116"/>
      <c r="C131" s="108"/>
      <c r="D131" s="108"/>
      <c r="E131" s="108"/>
      <c r="F131" s="108"/>
      <c r="G131" s="108"/>
      <c r="H131" s="108"/>
      <c r="I131" s="108"/>
      <c r="J131" s="108"/>
      <c r="K131" s="107"/>
      <c r="L131" s="107"/>
      <c r="M131" s="107"/>
    </row>
    <row r="132" spans="2:13" s="43" customFormat="1" ht="14.5" x14ac:dyDescent="0.35">
      <c r="B132" s="116"/>
      <c r="C132" s="108"/>
      <c r="D132" s="108"/>
      <c r="E132" s="108"/>
      <c r="F132" s="108"/>
      <c r="G132" s="108"/>
      <c r="H132" s="108"/>
      <c r="I132" s="108"/>
      <c r="J132" s="108"/>
      <c r="K132" s="107"/>
      <c r="L132" s="107"/>
      <c r="M132" s="107"/>
    </row>
    <row r="133" spans="2:13" s="43" customFormat="1" ht="14.5" x14ac:dyDescent="0.35">
      <c r="B133" s="116"/>
      <c r="C133" s="108"/>
      <c r="D133" s="108"/>
      <c r="E133" s="108"/>
      <c r="F133" s="108"/>
      <c r="G133" s="108"/>
      <c r="H133" s="108"/>
      <c r="I133" s="108"/>
      <c r="J133" s="108"/>
      <c r="K133" s="107"/>
      <c r="L133" s="107"/>
      <c r="M133" s="107"/>
    </row>
    <row r="134" spans="2:13" s="43" customFormat="1" ht="14.5" x14ac:dyDescent="0.35">
      <c r="B134" s="116"/>
      <c r="C134" s="108"/>
      <c r="D134" s="108"/>
      <c r="E134" s="108"/>
      <c r="F134" s="108"/>
      <c r="G134" s="108"/>
      <c r="H134" s="108"/>
      <c r="I134" s="108"/>
      <c r="J134" s="108"/>
      <c r="K134" s="107"/>
      <c r="L134" s="107"/>
      <c r="M134" s="107"/>
    </row>
    <row r="135" spans="2:13" s="43" customFormat="1" ht="14.5" x14ac:dyDescent="0.35">
      <c r="B135" s="116"/>
      <c r="C135" s="108"/>
      <c r="D135" s="108"/>
      <c r="E135" s="108"/>
      <c r="F135" s="108"/>
      <c r="G135" s="108"/>
      <c r="H135" s="108"/>
      <c r="I135" s="108"/>
      <c r="J135" s="108"/>
      <c r="K135" s="107"/>
      <c r="L135" s="107"/>
      <c r="M135" s="107"/>
    </row>
    <row r="136" spans="2:13" s="43" customFormat="1" ht="14.5" x14ac:dyDescent="0.35">
      <c r="B136" s="118"/>
      <c r="C136" s="108"/>
      <c r="D136" s="108"/>
      <c r="E136" s="108"/>
      <c r="F136" s="108"/>
      <c r="G136" s="108"/>
      <c r="H136" s="108"/>
      <c r="I136" s="108"/>
      <c r="J136" s="108"/>
      <c r="K136" s="107"/>
      <c r="L136" s="107"/>
      <c r="M136" s="107"/>
    </row>
    <row r="137" spans="2:13" s="43" customFormat="1" ht="14.5" x14ac:dyDescent="0.35">
      <c r="B137" s="116"/>
      <c r="C137" s="108"/>
      <c r="D137" s="108"/>
      <c r="E137" s="108"/>
      <c r="F137" s="108"/>
      <c r="G137" s="108"/>
      <c r="H137" s="108"/>
      <c r="I137" s="108"/>
      <c r="J137" s="108"/>
      <c r="K137" s="107"/>
      <c r="L137" s="107"/>
      <c r="M137" s="107"/>
    </row>
    <row r="138" spans="2:13" s="43" customFormat="1" ht="14.5" x14ac:dyDescent="0.35">
      <c r="B138" s="116"/>
      <c r="C138" s="108"/>
      <c r="D138" s="108"/>
      <c r="E138" s="108"/>
      <c r="F138" s="108"/>
      <c r="G138" s="108"/>
      <c r="H138" s="108"/>
      <c r="I138" s="108"/>
      <c r="J138" s="108"/>
      <c r="K138" s="107"/>
      <c r="L138" s="107"/>
      <c r="M138" s="107"/>
    </row>
    <row r="139" spans="2:13" s="43" customFormat="1" ht="14.5" x14ac:dyDescent="0.35">
      <c r="B139" s="116"/>
      <c r="C139" s="108"/>
      <c r="D139" s="108"/>
      <c r="E139" s="108"/>
      <c r="F139" s="108"/>
      <c r="G139" s="108"/>
      <c r="H139" s="108"/>
      <c r="I139" s="108"/>
      <c r="J139" s="108"/>
      <c r="K139" s="107"/>
      <c r="L139" s="107"/>
      <c r="M139" s="107"/>
    </row>
    <row r="140" spans="2:13" s="43" customFormat="1" ht="14.5" x14ac:dyDescent="0.35">
      <c r="B140" s="116"/>
      <c r="C140" s="108"/>
      <c r="D140" s="108"/>
      <c r="E140" s="108"/>
      <c r="F140" s="108"/>
      <c r="G140" s="108"/>
      <c r="H140" s="108"/>
      <c r="I140" s="108"/>
      <c r="J140" s="108"/>
      <c r="K140" s="107"/>
      <c r="L140" s="107"/>
      <c r="M140" s="107"/>
    </row>
    <row r="141" spans="2:13" s="43" customFormat="1" ht="14.5" x14ac:dyDescent="0.35">
      <c r="B141" s="116"/>
      <c r="C141" s="108"/>
      <c r="D141" s="108"/>
      <c r="E141" s="108"/>
      <c r="F141" s="108"/>
      <c r="G141" s="108"/>
      <c r="H141" s="108"/>
      <c r="I141" s="108"/>
      <c r="J141" s="108"/>
      <c r="K141" s="107"/>
      <c r="L141" s="107"/>
      <c r="M141" s="107"/>
    </row>
    <row r="142" spans="2:13" s="43" customFormat="1" ht="14.5" x14ac:dyDescent="0.35">
      <c r="B142" s="116"/>
      <c r="C142" s="108"/>
      <c r="D142" s="108"/>
      <c r="E142" s="108"/>
      <c r="F142" s="108"/>
      <c r="G142" s="108"/>
      <c r="H142" s="108"/>
      <c r="I142" s="108"/>
      <c r="J142" s="108"/>
      <c r="K142" s="107"/>
      <c r="L142" s="107"/>
      <c r="M142" s="107"/>
    </row>
    <row r="143" spans="2:13" s="43" customFormat="1" ht="14.5" x14ac:dyDescent="0.35">
      <c r="B143" s="116"/>
      <c r="C143" s="108"/>
      <c r="D143" s="108"/>
      <c r="E143" s="108"/>
      <c r="F143" s="108"/>
      <c r="G143" s="108"/>
      <c r="H143" s="108"/>
      <c r="I143" s="108"/>
      <c r="J143" s="108"/>
      <c r="K143" s="107"/>
      <c r="L143" s="107"/>
      <c r="M143" s="107"/>
    </row>
    <row r="144" spans="2:13" s="43" customFormat="1" ht="14.5" x14ac:dyDescent="0.35">
      <c r="B144" s="116"/>
      <c r="C144" s="108"/>
      <c r="D144" s="108"/>
      <c r="E144" s="108"/>
      <c r="F144" s="108"/>
      <c r="G144" s="108"/>
      <c r="H144" s="108"/>
      <c r="I144" s="108"/>
      <c r="J144" s="108"/>
      <c r="K144" s="107"/>
      <c r="L144" s="107"/>
      <c r="M144" s="107"/>
    </row>
    <row r="145" spans="2:13" s="43" customFormat="1" ht="14.5" x14ac:dyDescent="0.35">
      <c r="B145" s="116"/>
      <c r="C145" s="108"/>
      <c r="D145" s="108"/>
      <c r="E145" s="108"/>
      <c r="F145" s="108"/>
      <c r="G145" s="108"/>
      <c r="H145" s="108"/>
      <c r="I145" s="108"/>
      <c r="J145" s="108"/>
      <c r="K145" s="107"/>
      <c r="L145" s="107"/>
      <c r="M145" s="107"/>
    </row>
    <row r="146" spans="2:13" s="43" customFormat="1" ht="14.5" x14ac:dyDescent="0.35">
      <c r="B146" s="116"/>
      <c r="C146" s="108"/>
      <c r="D146" s="108"/>
      <c r="E146" s="108"/>
      <c r="F146" s="108"/>
      <c r="G146" s="108"/>
      <c r="H146" s="108"/>
      <c r="I146" s="108"/>
      <c r="J146" s="108"/>
      <c r="K146" s="107"/>
      <c r="L146" s="107"/>
      <c r="M146" s="107"/>
    </row>
    <row r="147" spans="2:13" s="43" customFormat="1" ht="14.5" x14ac:dyDescent="0.35">
      <c r="B147" s="116"/>
      <c r="C147" s="108"/>
      <c r="D147" s="108"/>
      <c r="E147" s="108"/>
      <c r="F147" s="108"/>
      <c r="G147" s="108"/>
      <c r="H147" s="108"/>
      <c r="I147" s="108"/>
      <c r="J147" s="108"/>
      <c r="K147" s="107"/>
      <c r="L147" s="107"/>
      <c r="M147" s="107"/>
    </row>
    <row r="148" spans="2:13" s="43" customFormat="1" ht="14.5" x14ac:dyDescent="0.35">
      <c r="B148" s="116"/>
      <c r="C148" s="108"/>
      <c r="D148" s="108"/>
      <c r="E148" s="108"/>
      <c r="F148" s="108"/>
      <c r="G148" s="108"/>
      <c r="H148" s="108"/>
      <c r="I148" s="108"/>
      <c r="J148" s="108"/>
      <c r="K148" s="107"/>
      <c r="L148" s="107"/>
      <c r="M148" s="107"/>
    </row>
    <row r="149" spans="2:13" s="43" customFormat="1" ht="14.5" x14ac:dyDescent="0.35">
      <c r="B149" s="116"/>
      <c r="C149" s="108"/>
      <c r="D149" s="108"/>
      <c r="E149" s="108"/>
      <c r="F149" s="108"/>
      <c r="G149" s="108"/>
      <c r="H149" s="108"/>
      <c r="I149" s="108"/>
      <c r="J149" s="108"/>
      <c r="K149" s="107"/>
      <c r="L149" s="107"/>
      <c r="M149" s="107"/>
    </row>
    <row r="150" spans="2:13" s="43" customFormat="1" ht="14.5" x14ac:dyDescent="0.35">
      <c r="B150" s="116"/>
      <c r="C150" s="108"/>
      <c r="D150" s="108"/>
      <c r="E150" s="108"/>
      <c r="F150" s="108"/>
      <c r="G150" s="108"/>
      <c r="H150" s="108"/>
      <c r="I150" s="108"/>
      <c r="J150" s="108"/>
      <c r="K150" s="107"/>
      <c r="L150" s="107"/>
      <c r="M150" s="107"/>
    </row>
    <row r="151" spans="2:13" s="43" customFormat="1" ht="14.5" x14ac:dyDescent="0.35">
      <c r="B151" s="116"/>
      <c r="C151" s="108"/>
      <c r="D151" s="108"/>
      <c r="E151" s="108"/>
      <c r="F151" s="108"/>
      <c r="G151" s="108"/>
      <c r="H151" s="108"/>
      <c r="I151" s="108"/>
      <c r="J151" s="108"/>
      <c r="K151" s="107"/>
      <c r="L151" s="107"/>
      <c r="M151" s="107"/>
    </row>
    <row r="152" spans="2:13" s="43" customFormat="1" ht="14.5" x14ac:dyDescent="0.35">
      <c r="B152" s="116"/>
      <c r="C152" s="108"/>
      <c r="D152" s="108"/>
      <c r="E152" s="108"/>
      <c r="F152" s="108"/>
      <c r="G152" s="108"/>
      <c r="H152" s="108"/>
      <c r="I152" s="108"/>
      <c r="J152" s="108"/>
      <c r="K152" s="107"/>
      <c r="L152" s="107"/>
      <c r="M152" s="107"/>
    </row>
    <row r="153" spans="2:13" s="43" customFormat="1" ht="14.5" x14ac:dyDescent="0.35">
      <c r="B153" s="116"/>
      <c r="C153" s="108"/>
      <c r="D153" s="108"/>
      <c r="E153" s="108"/>
      <c r="F153" s="108"/>
      <c r="G153" s="108"/>
      <c r="H153" s="108"/>
      <c r="I153" s="108"/>
      <c r="J153" s="108"/>
      <c r="K153" s="107"/>
      <c r="L153" s="107"/>
      <c r="M153" s="107"/>
    </row>
    <row r="154" spans="2:13" s="43" customFormat="1" ht="14.5" x14ac:dyDescent="0.35">
      <c r="B154" s="116"/>
      <c r="C154" s="108"/>
      <c r="D154" s="108"/>
      <c r="E154" s="108"/>
      <c r="F154" s="108"/>
      <c r="G154" s="108"/>
      <c r="H154" s="108"/>
      <c r="I154" s="108"/>
      <c r="J154" s="108"/>
      <c r="K154" s="107"/>
      <c r="L154" s="107"/>
      <c r="M154" s="107"/>
    </row>
    <row r="155" spans="2:13" s="43" customFormat="1" ht="14.5" x14ac:dyDescent="0.35">
      <c r="B155" s="116"/>
      <c r="C155" s="108"/>
      <c r="D155" s="108"/>
      <c r="E155" s="108"/>
      <c r="F155" s="108"/>
      <c r="G155" s="108"/>
      <c r="H155" s="108"/>
      <c r="I155" s="108"/>
      <c r="J155" s="108"/>
      <c r="K155" s="107"/>
      <c r="L155" s="107"/>
      <c r="M155" s="107"/>
    </row>
    <row r="156" spans="2:13" s="43" customFormat="1" ht="14.5" x14ac:dyDescent="0.35">
      <c r="B156" s="116"/>
      <c r="C156" s="108"/>
      <c r="D156" s="108"/>
      <c r="E156" s="108"/>
      <c r="F156" s="108"/>
      <c r="G156" s="108"/>
      <c r="H156" s="108"/>
      <c r="I156" s="108"/>
      <c r="J156" s="108"/>
      <c r="K156" s="107"/>
      <c r="L156" s="107"/>
      <c r="M156" s="107"/>
    </row>
    <row r="157" spans="2:13" s="43" customFormat="1" ht="14.5" x14ac:dyDescent="0.35">
      <c r="B157" s="116"/>
      <c r="C157" s="108"/>
      <c r="D157" s="108"/>
      <c r="E157" s="108"/>
      <c r="F157" s="108"/>
      <c r="G157" s="108"/>
      <c r="H157" s="108"/>
      <c r="I157" s="108"/>
      <c r="J157" s="108"/>
      <c r="K157" s="107"/>
      <c r="L157" s="107"/>
      <c r="M157" s="107"/>
    </row>
    <row r="158" spans="2:13" s="43" customFormat="1" ht="14.5" x14ac:dyDescent="0.35">
      <c r="B158" s="116"/>
      <c r="C158" s="108"/>
      <c r="D158" s="108"/>
      <c r="E158" s="108"/>
      <c r="F158" s="108"/>
      <c r="G158" s="108"/>
      <c r="H158" s="108"/>
      <c r="I158" s="108"/>
      <c r="J158" s="108"/>
      <c r="K158" s="107"/>
      <c r="L158" s="107"/>
      <c r="M158" s="107"/>
    </row>
    <row r="159" spans="2:13" s="43" customFormat="1" ht="14.5" x14ac:dyDescent="0.35">
      <c r="B159" s="116"/>
      <c r="C159" s="108"/>
      <c r="D159" s="108"/>
      <c r="E159" s="108"/>
      <c r="F159" s="108"/>
      <c r="G159" s="108"/>
      <c r="H159" s="108"/>
      <c r="I159" s="108"/>
      <c r="J159" s="108"/>
      <c r="K159" s="107"/>
      <c r="L159" s="107"/>
      <c r="M159" s="107"/>
    </row>
    <row r="160" spans="2:13" s="43" customFormat="1" ht="14.5" x14ac:dyDescent="0.35">
      <c r="B160" s="116"/>
      <c r="C160" s="108"/>
      <c r="D160" s="108"/>
      <c r="E160" s="108"/>
      <c r="F160" s="108"/>
      <c r="G160" s="108"/>
      <c r="H160" s="108"/>
      <c r="I160" s="108"/>
      <c r="J160" s="108"/>
      <c r="K160" s="107"/>
      <c r="L160" s="107"/>
      <c r="M160" s="107"/>
    </row>
    <row r="161" spans="2:13" s="43" customFormat="1" ht="14.5" x14ac:dyDescent="0.35">
      <c r="B161" s="116"/>
      <c r="C161" s="108"/>
      <c r="D161" s="108"/>
      <c r="E161" s="108"/>
      <c r="F161" s="108"/>
      <c r="G161" s="108"/>
      <c r="H161" s="108"/>
      <c r="I161" s="108"/>
      <c r="J161" s="108"/>
      <c r="K161" s="107"/>
      <c r="L161" s="107"/>
      <c r="M161" s="107"/>
    </row>
    <row r="162" spans="2:13" s="43" customFormat="1" ht="14.5" x14ac:dyDescent="0.35">
      <c r="B162" s="116"/>
      <c r="C162" s="108"/>
      <c r="D162" s="108"/>
      <c r="E162" s="108"/>
      <c r="F162" s="108"/>
      <c r="G162" s="108"/>
      <c r="H162" s="108"/>
      <c r="I162" s="108"/>
      <c r="J162" s="108"/>
      <c r="K162" s="107"/>
      <c r="L162" s="107"/>
      <c r="M162" s="107"/>
    </row>
    <row r="163" spans="2:13" s="43" customFormat="1" ht="14.5" x14ac:dyDescent="0.35">
      <c r="B163" s="116"/>
      <c r="C163" s="108"/>
      <c r="D163" s="108"/>
      <c r="E163" s="108"/>
      <c r="F163" s="108"/>
      <c r="G163" s="108"/>
      <c r="H163" s="108"/>
      <c r="I163" s="108"/>
      <c r="J163" s="108"/>
      <c r="K163" s="107"/>
      <c r="L163" s="107"/>
      <c r="M163" s="107"/>
    </row>
    <row r="164" spans="2:13" s="43" customFormat="1" ht="14.5" x14ac:dyDescent="0.35">
      <c r="B164" s="116"/>
      <c r="C164" s="108"/>
      <c r="D164" s="108"/>
      <c r="E164" s="108"/>
      <c r="F164" s="108"/>
      <c r="G164" s="108"/>
      <c r="H164" s="108"/>
      <c r="I164" s="108"/>
      <c r="J164" s="108"/>
      <c r="K164" s="107"/>
      <c r="L164" s="107"/>
      <c r="M164" s="107"/>
    </row>
    <row r="165" spans="2:13" s="43" customFormat="1" ht="14.5" x14ac:dyDescent="0.35">
      <c r="B165" s="116"/>
      <c r="C165" s="108"/>
      <c r="D165" s="108"/>
      <c r="E165" s="108"/>
      <c r="F165" s="108"/>
      <c r="G165" s="108"/>
      <c r="H165" s="108"/>
      <c r="I165" s="108"/>
      <c r="J165" s="108"/>
      <c r="K165" s="107"/>
      <c r="L165" s="107"/>
      <c r="M165" s="107"/>
    </row>
    <row r="166" spans="2:13" s="43" customFormat="1" ht="14.5" x14ac:dyDescent="0.35">
      <c r="B166" s="116"/>
      <c r="C166" s="108"/>
      <c r="D166" s="108"/>
      <c r="E166" s="108"/>
      <c r="F166" s="108"/>
      <c r="G166" s="108"/>
      <c r="H166" s="108"/>
      <c r="I166" s="108"/>
      <c r="J166" s="108"/>
      <c r="K166" s="107"/>
      <c r="L166" s="107"/>
      <c r="M166" s="107"/>
    </row>
    <row r="167" spans="2:13" s="43" customFormat="1" ht="14.5" x14ac:dyDescent="0.35">
      <c r="B167" s="116"/>
      <c r="C167" s="108"/>
      <c r="D167" s="108"/>
      <c r="E167" s="108"/>
      <c r="F167" s="108"/>
      <c r="G167" s="108"/>
      <c r="H167" s="108"/>
      <c r="I167" s="108"/>
      <c r="J167" s="108"/>
      <c r="K167" s="107"/>
      <c r="L167" s="107"/>
      <c r="M167" s="107"/>
    </row>
    <row r="168" spans="2:13" s="43" customFormat="1" ht="14.5" x14ac:dyDescent="0.35">
      <c r="B168" s="116"/>
      <c r="C168" s="108"/>
      <c r="D168" s="108"/>
      <c r="E168" s="108"/>
      <c r="F168" s="108"/>
      <c r="G168" s="108"/>
      <c r="H168" s="108"/>
      <c r="I168" s="108"/>
      <c r="J168" s="108"/>
      <c r="K168" s="107"/>
      <c r="L168" s="107"/>
      <c r="M168" s="107"/>
    </row>
    <row r="169" spans="2:13" s="43" customFormat="1" ht="14.5" x14ac:dyDescent="0.35">
      <c r="B169" s="116"/>
      <c r="C169" s="108"/>
      <c r="D169" s="108"/>
      <c r="E169" s="108"/>
      <c r="F169" s="108"/>
      <c r="G169" s="108"/>
      <c r="H169" s="108"/>
      <c r="I169" s="108"/>
      <c r="J169" s="108"/>
      <c r="K169" s="107"/>
      <c r="L169" s="107"/>
      <c r="M169" s="107"/>
    </row>
    <row r="170" spans="2:13" s="43" customFormat="1" ht="14.5" x14ac:dyDescent="0.35">
      <c r="B170" s="116"/>
      <c r="C170" s="108"/>
      <c r="D170" s="108"/>
      <c r="E170" s="108"/>
      <c r="F170" s="108"/>
      <c r="G170" s="108"/>
      <c r="H170" s="108"/>
      <c r="I170" s="108"/>
      <c r="J170" s="108"/>
      <c r="K170" s="107"/>
      <c r="L170" s="107"/>
      <c r="M170" s="107"/>
    </row>
    <row r="171" spans="2:13" s="43" customFormat="1" ht="14.5" x14ac:dyDescent="0.35">
      <c r="B171" s="116"/>
      <c r="C171" s="108"/>
      <c r="D171" s="108"/>
      <c r="E171" s="108"/>
      <c r="F171" s="108"/>
      <c r="G171" s="108"/>
      <c r="H171" s="108"/>
      <c r="I171" s="108"/>
      <c r="J171" s="108"/>
      <c r="K171" s="107"/>
      <c r="L171" s="107"/>
      <c r="M171" s="107"/>
    </row>
    <row r="172" spans="2:13" s="43" customFormat="1" ht="14.5" x14ac:dyDescent="0.35">
      <c r="B172" s="116"/>
      <c r="C172" s="108"/>
      <c r="D172" s="108"/>
      <c r="E172" s="108"/>
      <c r="F172" s="108"/>
      <c r="G172" s="108"/>
      <c r="H172" s="108"/>
      <c r="I172" s="108"/>
      <c r="J172" s="108"/>
      <c r="K172" s="107"/>
      <c r="L172" s="107"/>
      <c r="M172" s="107"/>
    </row>
    <row r="173" spans="2:13" s="43" customFormat="1" ht="14.5" x14ac:dyDescent="0.35">
      <c r="B173" s="116"/>
      <c r="C173" s="108"/>
      <c r="D173" s="108"/>
      <c r="E173" s="108"/>
      <c r="F173" s="108"/>
      <c r="G173" s="108"/>
      <c r="H173" s="108"/>
      <c r="I173" s="108"/>
      <c r="J173" s="108"/>
      <c r="K173" s="107"/>
      <c r="L173" s="107"/>
      <c r="M173" s="107"/>
    </row>
    <row r="174" spans="2:13" s="43" customFormat="1" ht="14.5" x14ac:dyDescent="0.35">
      <c r="B174" s="116"/>
      <c r="C174" s="108"/>
      <c r="D174" s="108"/>
      <c r="E174" s="108"/>
      <c r="F174" s="108"/>
      <c r="G174" s="108"/>
      <c r="H174" s="108"/>
      <c r="I174" s="108"/>
      <c r="J174" s="108"/>
      <c r="K174" s="107"/>
      <c r="L174" s="107"/>
      <c r="M174" s="107"/>
    </row>
    <row r="175" spans="2:13" s="43" customFormat="1" ht="14.5" x14ac:dyDescent="0.35">
      <c r="B175" s="116"/>
      <c r="C175" s="108"/>
      <c r="D175" s="108"/>
      <c r="E175" s="108"/>
      <c r="F175" s="108"/>
      <c r="G175" s="108"/>
      <c r="H175" s="108"/>
      <c r="I175" s="108"/>
      <c r="J175" s="108"/>
      <c r="K175" s="107"/>
      <c r="L175" s="107"/>
      <c r="M175" s="107"/>
    </row>
    <row r="176" spans="2:13" s="43" customFormat="1" ht="14.5" x14ac:dyDescent="0.35">
      <c r="B176" s="116"/>
      <c r="C176" s="108"/>
      <c r="D176" s="108"/>
      <c r="E176" s="108"/>
      <c r="F176" s="108"/>
      <c r="G176" s="108"/>
      <c r="H176" s="108"/>
      <c r="I176" s="108"/>
      <c r="J176" s="108"/>
      <c r="K176" s="107"/>
      <c r="L176" s="107"/>
      <c r="M176" s="107"/>
    </row>
    <row r="177" spans="2:13" s="43" customFormat="1" ht="14.5" x14ac:dyDescent="0.35">
      <c r="B177" s="116"/>
      <c r="C177" s="108"/>
      <c r="D177" s="108"/>
      <c r="E177" s="108"/>
      <c r="F177" s="108"/>
      <c r="G177" s="108"/>
      <c r="H177" s="108"/>
      <c r="I177" s="108"/>
      <c r="J177" s="108"/>
      <c r="K177" s="107"/>
      <c r="L177" s="107"/>
      <c r="M177" s="107"/>
    </row>
    <row r="178" spans="2:13" s="43" customFormat="1" ht="14.5" x14ac:dyDescent="0.35">
      <c r="B178" s="116"/>
      <c r="C178" s="108"/>
      <c r="D178" s="108"/>
      <c r="E178" s="108"/>
      <c r="F178" s="108"/>
      <c r="G178" s="108"/>
      <c r="H178" s="108"/>
      <c r="I178" s="108"/>
      <c r="J178" s="108"/>
      <c r="K178" s="107"/>
      <c r="L178" s="107"/>
      <c r="M178" s="107"/>
    </row>
    <row r="179" spans="2:13" s="43" customFormat="1" ht="14.5" x14ac:dyDescent="0.35">
      <c r="B179" s="116"/>
      <c r="C179" s="108"/>
      <c r="D179" s="108"/>
      <c r="E179" s="108"/>
      <c r="F179" s="108"/>
      <c r="G179" s="108"/>
      <c r="H179" s="108"/>
      <c r="I179" s="108"/>
      <c r="J179" s="108"/>
      <c r="K179" s="107"/>
      <c r="L179" s="107"/>
      <c r="M179" s="107"/>
    </row>
    <row r="180" spans="2:13" s="43" customFormat="1" ht="14.5" x14ac:dyDescent="0.35">
      <c r="B180" s="116"/>
      <c r="C180" s="108"/>
      <c r="D180" s="108"/>
      <c r="E180" s="108"/>
      <c r="F180" s="108"/>
      <c r="G180" s="108"/>
      <c r="H180" s="108"/>
      <c r="I180" s="108"/>
      <c r="J180" s="108"/>
      <c r="K180" s="107"/>
      <c r="L180" s="107"/>
      <c r="M180" s="107"/>
    </row>
    <row r="181" spans="2:13" s="43" customFormat="1" ht="14.5" x14ac:dyDescent="0.35">
      <c r="B181" s="116"/>
      <c r="C181" s="108"/>
      <c r="D181" s="108"/>
      <c r="E181" s="108"/>
      <c r="F181" s="108"/>
      <c r="G181" s="108"/>
      <c r="H181" s="108"/>
      <c r="I181" s="108"/>
      <c r="J181" s="108"/>
      <c r="K181" s="107"/>
      <c r="L181" s="107"/>
      <c r="M181" s="107"/>
    </row>
    <row r="182" spans="2:13" s="43" customFormat="1" ht="14.5" x14ac:dyDescent="0.35">
      <c r="B182" s="116"/>
      <c r="C182" s="108"/>
      <c r="D182" s="108"/>
      <c r="E182" s="108"/>
      <c r="F182" s="108"/>
      <c r="G182" s="108"/>
      <c r="H182" s="108"/>
      <c r="I182" s="108"/>
      <c r="J182" s="108"/>
      <c r="K182" s="107"/>
      <c r="L182" s="107"/>
      <c r="M182" s="107"/>
    </row>
    <row r="183" spans="2:13" s="43" customFormat="1" ht="14.5" x14ac:dyDescent="0.35">
      <c r="B183" s="116"/>
      <c r="C183" s="108"/>
      <c r="D183" s="108"/>
      <c r="E183" s="108"/>
      <c r="F183" s="108"/>
      <c r="G183" s="108"/>
      <c r="H183" s="108"/>
      <c r="I183" s="108"/>
      <c r="J183" s="108"/>
      <c r="K183" s="107"/>
      <c r="L183" s="107"/>
      <c r="M183" s="107"/>
    </row>
    <row r="184" spans="2:13" s="43" customFormat="1" ht="14.5" x14ac:dyDescent="0.35">
      <c r="B184" s="116"/>
      <c r="C184" s="108"/>
      <c r="D184" s="108"/>
      <c r="E184" s="108"/>
      <c r="F184" s="108"/>
      <c r="G184" s="108"/>
      <c r="H184" s="108"/>
      <c r="I184" s="108"/>
      <c r="J184" s="108"/>
      <c r="K184" s="107"/>
      <c r="L184" s="107"/>
      <c r="M184" s="107"/>
    </row>
    <row r="185" spans="2:13" s="43" customFormat="1" ht="14.5" x14ac:dyDescent="0.35">
      <c r="B185" s="116"/>
      <c r="C185" s="108"/>
      <c r="D185" s="108"/>
      <c r="E185" s="108"/>
      <c r="F185" s="108"/>
      <c r="G185" s="108"/>
      <c r="H185" s="108"/>
      <c r="I185" s="108"/>
      <c r="J185" s="108"/>
      <c r="K185" s="107"/>
      <c r="L185" s="107"/>
      <c r="M185" s="107"/>
    </row>
    <row r="186" spans="2:13" s="43" customFormat="1" ht="14.5" x14ac:dyDescent="0.35">
      <c r="B186" s="116"/>
      <c r="C186" s="108"/>
      <c r="D186" s="108"/>
      <c r="E186" s="108"/>
      <c r="F186" s="108"/>
      <c r="G186" s="108"/>
      <c r="H186" s="108"/>
      <c r="I186" s="108"/>
      <c r="J186" s="108"/>
      <c r="K186" s="107"/>
      <c r="L186" s="107"/>
      <c r="M186" s="107"/>
    </row>
    <row r="187" spans="2:13" s="43" customFormat="1" ht="14.5" x14ac:dyDescent="0.35">
      <c r="B187" s="116"/>
      <c r="C187" s="109"/>
      <c r="D187" s="109"/>
      <c r="E187" s="109"/>
      <c r="F187" s="109"/>
      <c r="G187" s="109"/>
      <c r="H187" s="109"/>
      <c r="I187" s="109"/>
      <c r="J187" s="109"/>
      <c r="K187" s="110"/>
      <c r="L187" s="110"/>
      <c r="M187" s="110"/>
    </row>
    <row r="188" spans="2:13" s="43" customFormat="1" ht="14.5" x14ac:dyDescent="0.35">
      <c r="B188" s="116"/>
      <c r="C188" s="109"/>
      <c r="D188" s="109"/>
      <c r="E188" s="109"/>
      <c r="F188" s="109"/>
      <c r="G188" s="109"/>
      <c r="H188" s="109"/>
      <c r="I188" s="109"/>
      <c r="J188" s="109"/>
      <c r="K188" s="110"/>
      <c r="L188" s="110"/>
      <c r="M188" s="110"/>
    </row>
    <row r="189" spans="2:13" s="43" customFormat="1" ht="14.5" x14ac:dyDescent="0.35">
      <c r="B189" s="116"/>
      <c r="C189" s="109"/>
      <c r="D189" s="109"/>
      <c r="E189" s="109"/>
      <c r="F189" s="109"/>
      <c r="G189" s="109"/>
      <c r="H189" s="109"/>
      <c r="I189" s="109"/>
      <c r="J189" s="109"/>
      <c r="K189" s="110"/>
      <c r="L189" s="110"/>
      <c r="M189" s="110"/>
    </row>
    <row r="190" spans="2:13" s="43" customFormat="1" ht="14.5" x14ac:dyDescent="0.35">
      <c r="B190" s="116"/>
      <c r="C190" s="109"/>
      <c r="D190" s="109"/>
      <c r="E190" s="109"/>
      <c r="F190" s="109"/>
      <c r="G190" s="109"/>
      <c r="H190" s="109"/>
      <c r="I190" s="109"/>
      <c r="J190" s="109"/>
      <c r="K190" s="110"/>
      <c r="L190" s="110"/>
      <c r="M190" s="110"/>
    </row>
    <row r="191" spans="2:13" s="43" customFormat="1" ht="14.5" x14ac:dyDescent="0.35">
      <c r="B191" s="116"/>
      <c r="C191" s="109"/>
      <c r="D191" s="109"/>
      <c r="E191" s="109"/>
      <c r="F191" s="109"/>
      <c r="G191" s="109"/>
      <c r="H191" s="109"/>
      <c r="I191" s="109"/>
      <c r="J191" s="109"/>
      <c r="K191" s="110"/>
      <c r="L191" s="110"/>
      <c r="M191" s="110"/>
    </row>
    <row r="192" spans="2:13" s="43" customFormat="1" ht="14.5" x14ac:dyDescent="0.35">
      <c r="B192" s="116"/>
      <c r="C192" s="109"/>
      <c r="D192" s="109"/>
      <c r="E192" s="109"/>
      <c r="F192" s="109"/>
      <c r="G192" s="109"/>
      <c r="H192" s="109"/>
      <c r="I192" s="109"/>
      <c r="J192" s="109"/>
      <c r="K192" s="110"/>
      <c r="L192" s="110"/>
      <c r="M192" s="110"/>
    </row>
    <row r="193" spans="2:13" s="43" customFormat="1" ht="14.5" x14ac:dyDescent="0.35">
      <c r="B193" s="116"/>
      <c r="C193" s="109"/>
      <c r="D193" s="109"/>
      <c r="E193" s="109"/>
      <c r="F193" s="109"/>
      <c r="G193" s="109"/>
      <c r="H193" s="109"/>
      <c r="I193" s="109"/>
      <c r="J193" s="109"/>
      <c r="K193" s="110"/>
      <c r="L193" s="110"/>
      <c r="M193" s="110"/>
    </row>
    <row r="194" spans="2:13" s="43" customFormat="1" x14ac:dyDescent="0.25">
      <c r="B194" s="109"/>
      <c r="C194" s="109"/>
      <c r="D194" s="109"/>
      <c r="E194" s="109"/>
      <c r="F194" s="109"/>
      <c r="G194" s="109"/>
      <c r="H194" s="109"/>
      <c r="I194" s="109"/>
      <c r="J194" s="109"/>
      <c r="K194" s="110"/>
      <c r="L194" s="110"/>
      <c r="M194" s="110"/>
    </row>
    <row r="195" spans="2:13" s="43" customFormat="1" x14ac:dyDescent="0.25">
      <c r="B195" s="109"/>
      <c r="C195" s="109"/>
      <c r="D195" s="109"/>
      <c r="E195" s="109"/>
      <c r="F195" s="109"/>
      <c r="G195" s="109"/>
      <c r="H195" s="109"/>
      <c r="I195" s="109"/>
      <c r="J195" s="109"/>
      <c r="K195" s="110"/>
      <c r="L195" s="110"/>
      <c r="M195" s="110"/>
    </row>
    <row r="196" spans="2:13" s="43" customFormat="1" x14ac:dyDescent="0.25">
      <c r="B196" s="109"/>
      <c r="C196" s="109"/>
      <c r="D196" s="109"/>
      <c r="E196" s="109"/>
      <c r="F196" s="109"/>
      <c r="G196" s="109"/>
      <c r="H196" s="109"/>
      <c r="I196" s="109"/>
      <c r="J196" s="109"/>
      <c r="K196" s="110"/>
      <c r="L196" s="110"/>
      <c r="M196" s="110"/>
    </row>
    <row r="197" spans="2:13" s="43" customFormat="1" x14ac:dyDescent="0.25">
      <c r="B197" s="109"/>
      <c r="C197" s="109"/>
      <c r="D197" s="109"/>
      <c r="E197" s="109"/>
      <c r="F197" s="109"/>
      <c r="G197" s="109"/>
      <c r="H197" s="109"/>
      <c r="I197" s="109"/>
      <c r="J197" s="109"/>
      <c r="K197" s="110"/>
      <c r="L197" s="110"/>
      <c r="M197" s="110"/>
    </row>
    <row r="198" spans="2:13" s="43" customFormat="1" x14ac:dyDescent="0.25">
      <c r="B198" s="109"/>
      <c r="C198" s="109"/>
      <c r="D198" s="109"/>
      <c r="E198" s="109"/>
      <c r="F198" s="109"/>
      <c r="G198" s="109"/>
      <c r="H198" s="109"/>
      <c r="I198" s="109"/>
      <c r="J198" s="109"/>
      <c r="K198" s="110"/>
      <c r="L198" s="110"/>
      <c r="M198" s="110"/>
    </row>
    <row r="199" spans="2:13" s="43" customFormat="1" x14ac:dyDescent="0.25">
      <c r="B199" s="109"/>
      <c r="C199" s="109"/>
      <c r="D199" s="109"/>
      <c r="E199" s="109"/>
      <c r="F199" s="109"/>
      <c r="G199" s="109"/>
      <c r="H199" s="109"/>
      <c r="I199" s="109"/>
      <c r="J199" s="109"/>
      <c r="K199" s="110"/>
      <c r="L199" s="110"/>
      <c r="M199" s="110"/>
    </row>
    <row r="200" spans="2:13" s="43" customFormat="1" x14ac:dyDescent="0.25">
      <c r="B200" s="109"/>
      <c r="C200" s="109"/>
      <c r="D200" s="109"/>
      <c r="E200" s="109"/>
      <c r="F200" s="109"/>
      <c r="G200" s="109"/>
      <c r="H200" s="109"/>
      <c r="I200" s="109"/>
      <c r="J200" s="109"/>
      <c r="K200" s="110"/>
      <c r="L200" s="110"/>
      <c r="M200" s="110"/>
    </row>
    <row r="201" spans="2:13" s="43" customFormat="1" x14ac:dyDescent="0.25">
      <c r="B201" s="109"/>
      <c r="C201" s="109"/>
      <c r="D201" s="109"/>
      <c r="E201" s="109"/>
      <c r="F201" s="109"/>
      <c r="G201" s="109"/>
      <c r="H201" s="109"/>
      <c r="I201" s="109"/>
      <c r="J201" s="109"/>
      <c r="K201" s="110"/>
      <c r="L201" s="110"/>
      <c r="M201" s="110"/>
    </row>
    <row r="202" spans="2:13" s="43" customFormat="1" x14ac:dyDescent="0.25">
      <c r="B202" s="109"/>
      <c r="C202" s="109"/>
      <c r="D202" s="109"/>
      <c r="E202" s="109"/>
      <c r="F202" s="109"/>
      <c r="G202" s="109"/>
      <c r="H202" s="109"/>
      <c r="I202" s="109"/>
      <c r="J202" s="109"/>
      <c r="K202" s="110"/>
      <c r="L202" s="110"/>
      <c r="M202" s="110"/>
    </row>
    <row r="203" spans="2:13" s="43" customFormat="1" x14ac:dyDescent="0.25">
      <c r="B203" s="109"/>
      <c r="C203" s="109"/>
      <c r="D203" s="109"/>
      <c r="E203" s="109"/>
      <c r="F203" s="109"/>
      <c r="G203" s="109"/>
      <c r="H203" s="109"/>
      <c r="I203" s="109"/>
      <c r="J203" s="109"/>
      <c r="K203" s="110"/>
      <c r="L203" s="110"/>
      <c r="M203" s="110"/>
    </row>
    <row r="204" spans="2:13" s="43" customFormat="1" x14ac:dyDescent="0.25">
      <c r="B204" s="109"/>
      <c r="C204" s="109"/>
      <c r="D204" s="109"/>
      <c r="E204" s="109"/>
      <c r="F204" s="109"/>
      <c r="G204" s="109"/>
      <c r="H204" s="109"/>
      <c r="I204" s="109"/>
      <c r="J204" s="109"/>
      <c r="K204" s="110"/>
      <c r="L204" s="110"/>
      <c r="M204" s="110"/>
    </row>
    <row r="205" spans="2:13" s="43" customFormat="1" x14ac:dyDescent="0.25">
      <c r="B205" s="109"/>
      <c r="C205" s="109"/>
      <c r="D205" s="109"/>
      <c r="E205" s="109"/>
      <c r="F205" s="109"/>
      <c r="G205" s="109"/>
      <c r="H205" s="109"/>
      <c r="I205" s="109"/>
      <c r="J205" s="109"/>
      <c r="K205" s="110"/>
      <c r="L205" s="110"/>
      <c r="M205" s="110"/>
    </row>
    <row r="206" spans="2:13" s="43" customFormat="1" x14ac:dyDescent="0.25">
      <c r="B206" s="109"/>
      <c r="C206" s="109"/>
      <c r="D206" s="109"/>
      <c r="E206" s="109"/>
      <c r="F206" s="109"/>
      <c r="G206" s="109"/>
      <c r="H206" s="109"/>
      <c r="I206" s="109"/>
      <c r="J206" s="109"/>
      <c r="K206" s="110"/>
      <c r="L206" s="110"/>
      <c r="M206" s="110"/>
    </row>
    <row r="207" spans="2:13" s="43" customFormat="1" x14ac:dyDescent="0.25">
      <c r="B207" s="109"/>
      <c r="C207" s="109"/>
      <c r="D207" s="109"/>
      <c r="E207" s="109"/>
      <c r="F207" s="109"/>
      <c r="G207" s="109"/>
      <c r="H207" s="109"/>
      <c r="I207" s="109"/>
      <c r="J207" s="109"/>
      <c r="K207" s="110"/>
      <c r="L207" s="110"/>
      <c r="M207" s="110"/>
    </row>
    <row r="208" spans="2:13" s="43" customFormat="1" x14ac:dyDescent="0.25">
      <c r="B208" s="109"/>
      <c r="C208" s="109"/>
      <c r="D208" s="109"/>
      <c r="E208" s="109"/>
      <c r="F208" s="109"/>
      <c r="G208" s="109"/>
      <c r="H208" s="109"/>
      <c r="I208" s="109"/>
      <c r="J208" s="109"/>
      <c r="K208" s="110"/>
      <c r="L208" s="110"/>
      <c r="M208" s="110"/>
    </row>
    <row r="209" spans="2:13" s="43" customFormat="1" x14ac:dyDescent="0.25">
      <c r="B209" s="109"/>
      <c r="C209" s="109"/>
      <c r="D209" s="109"/>
      <c r="E209" s="109"/>
      <c r="F209" s="109"/>
      <c r="G209" s="109"/>
      <c r="H209" s="109"/>
      <c r="I209" s="109"/>
      <c r="J209" s="109"/>
      <c r="K209" s="110"/>
      <c r="L209" s="110"/>
      <c r="M209" s="110"/>
    </row>
    <row r="210" spans="2:13" s="43" customFormat="1" x14ac:dyDescent="0.25">
      <c r="B210" s="109"/>
      <c r="C210" s="109"/>
      <c r="D210" s="109"/>
      <c r="E210" s="109"/>
      <c r="F210" s="109"/>
      <c r="G210" s="109"/>
      <c r="H210" s="109"/>
      <c r="I210" s="109"/>
      <c r="J210" s="109"/>
      <c r="K210" s="110"/>
      <c r="L210" s="110"/>
      <c r="M210" s="110"/>
    </row>
    <row r="211" spans="2:13" s="43" customFormat="1" x14ac:dyDescent="0.25">
      <c r="B211" s="109"/>
      <c r="C211" s="109"/>
      <c r="D211" s="109"/>
      <c r="E211" s="109"/>
      <c r="F211" s="109"/>
      <c r="G211" s="109"/>
      <c r="H211" s="109"/>
      <c r="I211" s="109"/>
      <c r="J211" s="109"/>
      <c r="K211" s="110"/>
      <c r="L211" s="110"/>
      <c r="M211" s="110"/>
    </row>
    <row r="212" spans="2:13" s="43" customFormat="1" x14ac:dyDescent="0.25">
      <c r="B212" s="109"/>
      <c r="C212" s="109"/>
      <c r="D212" s="109"/>
      <c r="E212" s="109"/>
      <c r="F212" s="109"/>
      <c r="G212" s="109"/>
      <c r="H212" s="109"/>
      <c r="I212" s="109"/>
      <c r="J212" s="109"/>
      <c r="K212" s="110"/>
      <c r="L212" s="110"/>
      <c r="M212" s="110"/>
    </row>
    <row r="213" spans="2:13" s="43" customFormat="1" x14ac:dyDescent="0.25">
      <c r="B213" s="109"/>
      <c r="C213" s="109"/>
      <c r="D213" s="109"/>
      <c r="E213" s="109"/>
      <c r="F213" s="109"/>
      <c r="G213" s="109"/>
      <c r="H213" s="109"/>
      <c r="I213" s="109"/>
      <c r="J213" s="109"/>
      <c r="K213" s="110"/>
      <c r="L213" s="110"/>
      <c r="M213" s="110"/>
    </row>
    <row r="214" spans="2:13" s="43" customFormat="1" x14ac:dyDescent="0.25">
      <c r="B214" s="109"/>
      <c r="C214" s="109"/>
      <c r="D214" s="109"/>
      <c r="E214" s="109"/>
      <c r="F214" s="109"/>
      <c r="G214" s="109"/>
      <c r="H214" s="109"/>
      <c r="I214" s="109"/>
      <c r="J214" s="109"/>
      <c r="K214" s="110"/>
      <c r="L214" s="110"/>
      <c r="M214" s="110"/>
    </row>
    <row r="215" spans="2:13" s="43" customFormat="1" x14ac:dyDescent="0.25">
      <c r="B215" s="109"/>
      <c r="C215" s="109"/>
      <c r="D215" s="109"/>
      <c r="E215" s="109"/>
      <c r="F215" s="109"/>
      <c r="G215" s="109"/>
      <c r="H215" s="109"/>
      <c r="I215" s="109"/>
      <c r="J215" s="109"/>
      <c r="K215" s="110"/>
      <c r="L215" s="110"/>
      <c r="M215" s="110"/>
    </row>
    <row r="216" spans="2:13" s="43" customFormat="1" x14ac:dyDescent="0.25">
      <c r="B216" s="109"/>
      <c r="C216" s="109"/>
      <c r="D216" s="109"/>
      <c r="E216" s="109"/>
      <c r="F216" s="109"/>
      <c r="G216" s="109"/>
      <c r="H216" s="109"/>
      <c r="I216" s="109"/>
      <c r="J216" s="109"/>
      <c r="K216" s="110"/>
      <c r="L216" s="110"/>
      <c r="M216" s="110"/>
    </row>
    <row r="217" spans="2:13" s="43" customFormat="1" x14ac:dyDescent="0.25">
      <c r="B217" s="109"/>
      <c r="C217" s="109"/>
      <c r="D217" s="109"/>
      <c r="E217" s="109"/>
      <c r="F217" s="109"/>
      <c r="G217" s="109"/>
      <c r="H217" s="109"/>
      <c r="I217" s="109"/>
      <c r="J217" s="109"/>
      <c r="K217" s="110"/>
      <c r="L217" s="110"/>
      <c r="M217" s="110"/>
    </row>
    <row r="218" spans="2:13" s="43" customFormat="1" x14ac:dyDescent="0.25">
      <c r="B218" s="109"/>
      <c r="C218" s="109"/>
      <c r="D218" s="109"/>
      <c r="E218" s="109"/>
      <c r="F218" s="109"/>
      <c r="G218" s="109"/>
      <c r="H218" s="109"/>
      <c r="I218" s="109"/>
      <c r="J218" s="109"/>
      <c r="K218" s="110"/>
      <c r="L218" s="110"/>
      <c r="M218" s="110"/>
    </row>
    <row r="219" spans="2:13" s="43" customFormat="1" x14ac:dyDescent="0.25">
      <c r="B219" s="109"/>
      <c r="C219" s="109"/>
      <c r="D219" s="109"/>
      <c r="E219" s="109"/>
      <c r="F219" s="109"/>
      <c r="G219" s="109"/>
      <c r="H219" s="109"/>
      <c r="I219" s="109"/>
      <c r="J219" s="109"/>
      <c r="K219" s="110"/>
      <c r="L219" s="110"/>
      <c r="M219" s="110"/>
    </row>
    <row r="220" spans="2:13" s="43" customFormat="1" x14ac:dyDescent="0.25">
      <c r="B220" s="109"/>
      <c r="C220" s="109"/>
      <c r="D220" s="109"/>
      <c r="E220" s="109"/>
      <c r="F220" s="109"/>
      <c r="G220" s="109"/>
      <c r="H220" s="109"/>
      <c r="I220" s="109"/>
      <c r="J220" s="109"/>
      <c r="K220" s="110"/>
      <c r="L220" s="110"/>
      <c r="M220" s="110"/>
    </row>
    <row r="221" spans="2:13" s="43" customFormat="1" x14ac:dyDescent="0.25">
      <c r="B221" s="109"/>
      <c r="C221" s="109"/>
      <c r="D221" s="109"/>
      <c r="E221" s="109"/>
      <c r="F221" s="109"/>
      <c r="G221" s="109"/>
      <c r="H221" s="109"/>
      <c r="I221" s="109"/>
      <c r="J221" s="109"/>
      <c r="K221" s="110"/>
      <c r="L221" s="110"/>
      <c r="M221" s="110"/>
    </row>
    <row r="222" spans="2:13" s="43" customFormat="1" x14ac:dyDescent="0.25">
      <c r="B222" s="109"/>
      <c r="C222" s="109"/>
      <c r="D222" s="109"/>
      <c r="E222" s="109"/>
      <c r="F222" s="109"/>
      <c r="G222" s="109"/>
      <c r="H222" s="109"/>
      <c r="I222" s="109"/>
      <c r="J222" s="109"/>
      <c r="K222" s="110"/>
      <c r="L222" s="110"/>
      <c r="M222" s="110"/>
    </row>
    <row r="223" spans="2:13" s="43" customFormat="1" x14ac:dyDescent="0.25">
      <c r="B223" s="109"/>
      <c r="C223" s="109"/>
      <c r="D223" s="109"/>
      <c r="E223" s="109"/>
      <c r="F223" s="109"/>
      <c r="G223" s="109"/>
      <c r="H223" s="109"/>
      <c r="I223" s="109"/>
      <c r="J223" s="109"/>
      <c r="K223" s="110"/>
      <c r="L223" s="110"/>
      <c r="M223" s="110"/>
    </row>
    <row r="224" spans="2:13" s="43" customFormat="1" x14ac:dyDescent="0.25">
      <c r="B224" s="109"/>
      <c r="C224" s="109"/>
      <c r="D224" s="109"/>
      <c r="E224" s="109"/>
      <c r="F224" s="109"/>
      <c r="G224" s="109"/>
      <c r="H224" s="109"/>
      <c r="I224" s="109"/>
      <c r="J224" s="109"/>
      <c r="K224" s="110"/>
      <c r="L224" s="110"/>
      <c r="M224" s="110"/>
    </row>
    <row r="225" spans="2:13" s="43" customFormat="1" x14ac:dyDescent="0.25">
      <c r="B225" s="109"/>
      <c r="C225" s="109"/>
      <c r="D225" s="109"/>
      <c r="E225" s="109"/>
      <c r="F225" s="109"/>
      <c r="G225" s="109"/>
      <c r="H225" s="109"/>
      <c r="I225" s="109"/>
      <c r="J225" s="109"/>
      <c r="K225" s="110"/>
      <c r="L225" s="110"/>
      <c r="M225" s="110"/>
    </row>
    <row r="226" spans="2:13" s="43" customFormat="1" x14ac:dyDescent="0.25">
      <c r="B226" s="109"/>
      <c r="C226" s="109"/>
      <c r="D226" s="109"/>
      <c r="E226" s="109"/>
      <c r="F226" s="109"/>
      <c r="G226" s="109"/>
      <c r="H226" s="109"/>
      <c r="I226" s="109"/>
      <c r="J226" s="109"/>
      <c r="K226" s="110"/>
      <c r="L226" s="110"/>
      <c r="M226" s="110"/>
    </row>
    <row r="227" spans="2:13" s="43" customFormat="1" x14ac:dyDescent="0.25">
      <c r="B227" s="109"/>
      <c r="C227" s="109"/>
      <c r="D227" s="109"/>
      <c r="E227" s="109"/>
      <c r="F227" s="109"/>
      <c r="G227" s="109"/>
      <c r="H227" s="109"/>
      <c r="I227" s="109"/>
      <c r="J227" s="109"/>
      <c r="K227" s="110"/>
      <c r="L227" s="110"/>
      <c r="M227" s="110"/>
    </row>
    <row r="228" spans="2:13" s="43" customFormat="1" x14ac:dyDescent="0.25">
      <c r="B228" s="109"/>
      <c r="C228" s="109"/>
      <c r="D228" s="109"/>
      <c r="E228" s="109"/>
      <c r="F228" s="109"/>
      <c r="G228" s="109"/>
      <c r="H228" s="109"/>
      <c r="I228" s="109"/>
      <c r="J228" s="109"/>
      <c r="K228" s="110"/>
      <c r="L228" s="110"/>
      <c r="M228" s="110"/>
    </row>
    <row r="229" spans="2:13" s="43" customFormat="1" x14ac:dyDescent="0.25">
      <c r="B229" s="109"/>
      <c r="C229" s="109"/>
      <c r="D229" s="109"/>
      <c r="E229" s="109"/>
      <c r="F229" s="109"/>
      <c r="G229" s="109"/>
      <c r="H229" s="109"/>
      <c r="I229" s="109"/>
      <c r="J229" s="109"/>
      <c r="K229" s="110"/>
      <c r="L229" s="110"/>
      <c r="M229" s="110"/>
    </row>
    <row r="230" spans="2:13" s="43" customFormat="1" x14ac:dyDescent="0.25">
      <c r="B230" s="109"/>
      <c r="C230" s="109"/>
      <c r="D230" s="109"/>
      <c r="E230" s="109"/>
      <c r="F230" s="109"/>
      <c r="G230" s="109"/>
      <c r="H230" s="109"/>
      <c r="I230" s="109"/>
      <c r="J230" s="109"/>
      <c r="K230" s="110"/>
      <c r="L230" s="110"/>
      <c r="M230" s="110"/>
    </row>
    <row r="231" spans="2:13" s="43" customFormat="1" x14ac:dyDescent="0.25">
      <c r="B231" s="109"/>
      <c r="C231" s="109"/>
      <c r="D231" s="109"/>
      <c r="E231" s="109"/>
      <c r="F231" s="109"/>
      <c r="G231" s="109"/>
      <c r="H231" s="109"/>
      <c r="I231" s="109"/>
      <c r="J231" s="109"/>
      <c r="K231" s="110"/>
      <c r="L231" s="110"/>
      <c r="M231" s="110"/>
    </row>
    <row r="232" spans="2:13" s="43" customFormat="1" x14ac:dyDescent="0.25">
      <c r="B232" s="109"/>
      <c r="C232" s="109"/>
      <c r="D232" s="109"/>
      <c r="E232" s="109"/>
      <c r="F232" s="109"/>
      <c r="G232" s="109"/>
      <c r="H232" s="109"/>
      <c r="I232" s="109"/>
      <c r="J232" s="109"/>
      <c r="K232" s="110"/>
      <c r="L232" s="110"/>
      <c r="M232" s="110"/>
    </row>
    <row r="233" spans="2:13" s="43" customFormat="1" x14ac:dyDescent="0.25">
      <c r="B233" s="109"/>
      <c r="C233" s="109"/>
      <c r="D233" s="109"/>
      <c r="E233" s="109"/>
      <c r="F233" s="109"/>
      <c r="G233" s="109"/>
      <c r="H233" s="109"/>
      <c r="I233" s="109"/>
      <c r="J233" s="109"/>
      <c r="K233" s="110"/>
      <c r="L233" s="110"/>
      <c r="M233" s="110"/>
    </row>
    <row r="234" spans="2:13" s="43" customFormat="1" x14ac:dyDescent="0.25">
      <c r="B234" s="109"/>
      <c r="C234" s="109"/>
      <c r="D234" s="109"/>
      <c r="E234" s="109"/>
      <c r="F234" s="109"/>
      <c r="G234" s="109"/>
      <c r="H234" s="109"/>
      <c r="I234" s="109"/>
      <c r="J234" s="109"/>
      <c r="K234" s="110"/>
      <c r="L234" s="110"/>
      <c r="M234" s="110"/>
    </row>
    <row r="235" spans="2:13" s="43" customFormat="1" x14ac:dyDescent="0.25">
      <c r="B235" s="109"/>
      <c r="C235" s="109"/>
      <c r="D235" s="109"/>
      <c r="E235" s="109"/>
      <c r="F235" s="109"/>
      <c r="G235" s="109"/>
      <c r="H235" s="109"/>
      <c r="I235" s="109"/>
      <c r="J235" s="109"/>
      <c r="K235" s="110"/>
      <c r="L235" s="110"/>
      <c r="M235" s="110"/>
    </row>
    <row r="236" spans="2:13" s="43" customFormat="1" x14ac:dyDescent="0.25">
      <c r="B236" s="109"/>
      <c r="C236" s="109"/>
      <c r="D236" s="109"/>
      <c r="E236" s="109"/>
      <c r="F236" s="109"/>
      <c r="G236" s="109"/>
      <c r="H236" s="109"/>
      <c r="I236" s="109"/>
      <c r="J236" s="109"/>
      <c r="K236" s="110"/>
      <c r="L236" s="110"/>
      <c r="M236" s="110"/>
    </row>
    <row r="237" spans="2:13" s="43" customFormat="1" x14ac:dyDescent="0.25">
      <c r="B237" s="109"/>
      <c r="C237" s="109"/>
      <c r="D237" s="109"/>
      <c r="E237" s="109"/>
      <c r="F237" s="109"/>
      <c r="G237" s="109"/>
      <c r="H237" s="109"/>
      <c r="I237" s="109"/>
      <c r="J237" s="109"/>
      <c r="K237" s="110"/>
      <c r="L237" s="110"/>
      <c r="M237" s="110"/>
    </row>
    <row r="238" spans="2:13" s="43" customFormat="1" x14ac:dyDescent="0.25">
      <c r="B238" s="109"/>
      <c r="C238" s="109"/>
      <c r="D238" s="109"/>
      <c r="E238" s="109"/>
      <c r="F238" s="109"/>
      <c r="G238" s="109"/>
      <c r="H238" s="109"/>
      <c r="I238" s="109"/>
      <c r="J238" s="109"/>
      <c r="K238" s="110"/>
      <c r="L238" s="110"/>
      <c r="M238" s="110"/>
    </row>
    <row r="239" spans="2:13" s="43" customFormat="1" x14ac:dyDescent="0.25">
      <c r="B239" s="109"/>
      <c r="C239" s="109"/>
      <c r="D239" s="109"/>
      <c r="E239" s="109"/>
      <c r="F239" s="109"/>
      <c r="G239" s="109"/>
      <c r="H239" s="109"/>
      <c r="I239" s="109"/>
      <c r="J239" s="109"/>
      <c r="K239" s="110"/>
      <c r="L239" s="110"/>
      <c r="M239" s="110"/>
    </row>
    <row r="240" spans="2:13" s="43" customFormat="1" x14ac:dyDescent="0.25">
      <c r="B240" s="109"/>
      <c r="C240" s="109"/>
      <c r="D240" s="109"/>
      <c r="E240" s="109"/>
      <c r="F240" s="109"/>
      <c r="G240" s="109"/>
      <c r="H240" s="109"/>
      <c r="I240" s="109"/>
      <c r="J240" s="109"/>
      <c r="K240" s="110"/>
      <c r="L240" s="110"/>
      <c r="M240" s="110"/>
    </row>
    <row r="241" spans="2:13" s="43" customFormat="1" x14ac:dyDescent="0.25">
      <c r="B241" s="109"/>
      <c r="C241" s="109"/>
      <c r="D241" s="109"/>
      <c r="E241" s="109"/>
      <c r="F241" s="109"/>
      <c r="G241" s="109"/>
      <c r="H241" s="109"/>
      <c r="I241" s="109"/>
      <c r="J241" s="109"/>
      <c r="K241" s="110"/>
      <c r="L241" s="110"/>
      <c r="M241" s="110"/>
    </row>
    <row r="242" spans="2:13" s="43" customFormat="1" x14ac:dyDescent="0.25">
      <c r="B242" s="109"/>
      <c r="C242" s="109"/>
      <c r="D242" s="109"/>
      <c r="E242" s="109"/>
      <c r="F242" s="109"/>
      <c r="G242" s="109"/>
      <c r="H242" s="109"/>
      <c r="I242" s="109"/>
      <c r="J242" s="109"/>
      <c r="K242" s="110"/>
      <c r="L242" s="110"/>
      <c r="M242" s="110"/>
    </row>
    <row r="243" spans="2:13" s="43" customFormat="1" x14ac:dyDescent="0.25">
      <c r="B243" s="109"/>
      <c r="C243" s="109"/>
      <c r="D243" s="109"/>
      <c r="E243" s="109"/>
      <c r="F243" s="109"/>
      <c r="G243" s="109"/>
      <c r="H243" s="109"/>
      <c r="I243" s="109"/>
      <c r="J243" s="109"/>
      <c r="K243" s="110"/>
      <c r="L243" s="110"/>
      <c r="M243" s="110"/>
    </row>
    <row r="244" spans="2:13" s="43" customFormat="1" x14ac:dyDescent="0.25">
      <c r="B244" s="109"/>
      <c r="C244" s="109"/>
      <c r="D244" s="109"/>
      <c r="E244" s="109"/>
      <c r="F244" s="109"/>
      <c r="G244" s="109"/>
      <c r="H244" s="109"/>
      <c r="I244" s="109"/>
      <c r="J244" s="109"/>
      <c r="K244" s="110"/>
      <c r="L244" s="110"/>
      <c r="M244" s="110"/>
    </row>
    <row r="245" spans="2:13" s="43" customFormat="1" x14ac:dyDescent="0.25">
      <c r="B245" s="109"/>
      <c r="C245" s="109"/>
      <c r="D245" s="109"/>
      <c r="E245" s="109"/>
      <c r="F245" s="109"/>
      <c r="G245" s="109"/>
      <c r="H245" s="109"/>
      <c r="I245" s="109"/>
      <c r="J245" s="109"/>
      <c r="K245" s="110"/>
      <c r="L245" s="110"/>
      <c r="M245" s="110"/>
    </row>
    <row r="246" spans="2:13" s="43" customFormat="1" x14ac:dyDescent="0.25">
      <c r="B246" s="109"/>
      <c r="C246" s="109"/>
      <c r="D246" s="109"/>
      <c r="E246" s="109"/>
      <c r="F246" s="109"/>
      <c r="G246" s="109"/>
      <c r="H246" s="109"/>
      <c r="I246" s="109"/>
      <c r="J246" s="109"/>
      <c r="K246" s="110"/>
      <c r="L246" s="110"/>
      <c r="M246" s="110"/>
    </row>
    <row r="247" spans="2:13" s="43" customFormat="1" x14ac:dyDescent="0.25">
      <c r="B247" s="109"/>
      <c r="C247" s="109"/>
      <c r="D247" s="109"/>
      <c r="E247" s="109"/>
      <c r="F247" s="109"/>
      <c r="G247" s="109"/>
      <c r="H247" s="109"/>
      <c r="I247" s="109"/>
      <c r="J247" s="109"/>
      <c r="K247" s="110"/>
      <c r="L247" s="110"/>
      <c r="M247" s="110"/>
    </row>
    <row r="248" spans="2:13" s="43" customFormat="1" x14ac:dyDescent="0.25">
      <c r="B248" s="109"/>
      <c r="C248" s="109"/>
      <c r="D248" s="109"/>
      <c r="E248" s="109"/>
      <c r="F248" s="109"/>
      <c r="G248" s="109"/>
      <c r="H248" s="109"/>
      <c r="I248" s="109"/>
      <c r="J248" s="109"/>
      <c r="K248" s="110"/>
      <c r="L248" s="110"/>
      <c r="M248" s="110"/>
    </row>
    <row r="249" spans="2:13" s="43" customFormat="1" x14ac:dyDescent="0.25">
      <c r="B249" s="109"/>
      <c r="C249" s="109"/>
      <c r="D249" s="109"/>
      <c r="E249" s="109"/>
      <c r="F249" s="109"/>
      <c r="G249" s="109"/>
      <c r="H249" s="109"/>
      <c r="I249" s="109"/>
      <c r="J249" s="109"/>
      <c r="K249" s="110"/>
      <c r="L249" s="110"/>
      <c r="M249" s="110"/>
    </row>
    <row r="250" spans="2:13" s="43" customFormat="1" x14ac:dyDescent="0.25">
      <c r="B250" s="109"/>
      <c r="C250" s="109"/>
      <c r="D250" s="109"/>
      <c r="E250" s="109"/>
      <c r="F250" s="109"/>
      <c r="G250" s="109"/>
      <c r="H250" s="109"/>
      <c r="I250" s="109"/>
      <c r="J250" s="109"/>
      <c r="K250" s="110"/>
      <c r="L250" s="110"/>
      <c r="M250" s="110"/>
    </row>
    <row r="251" spans="2:13" s="43" customFormat="1" x14ac:dyDescent="0.25">
      <c r="B251" s="109"/>
      <c r="C251" s="109"/>
      <c r="D251" s="109"/>
      <c r="E251" s="109"/>
      <c r="F251" s="109"/>
      <c r="G251" s="109"/>
      <c r="H251" s="109"/>
      <c r="I251" s="109"/>
      <c r="J251" s="109"/>
      <c r="K251" s="110"/>
      <c r="L251" s="110"/>
      <c r="M251" s="110"/>
    </row>
    <row r="252" spans="2:13" s="43" customFormat="1" x14ac:dyDescent="0.25">
      <c r="B252" s="109"/>
      <c r="C252" s="109"/>
      <c r="D252" s="109"/>
      <c r="E252" s="109"/>
      <c r="F252" s="109"/>
      <c r="G252" s="109"/>
      <c r="H252" s="109"/>
      <c r="I252" s="109"/>
      <c r="J252" s="109"/>
      <c r="K252" s="110"/>
      <c r="L252" s="110"/>
      <c r="M252" s="110"/>
    </row>
    <row r="253" spans="2:13" s="43" customFormat="1" x14ac:dyDescent="0.25">
      <c r="B253" s="109"/>
      <c r="C253" s="109"/>
      <c r="D253" s="109"/>
      <c r="E253" s="109"/>
      <c r="F253" s="109"/>
      <c r="G253" s="109"/>
      <c r="H253" s="109"/>
      <c r="I253" s="109"/>
      <c r="J253" s="109"/>
      <c r="K253" s="110"/>
      <c r="L253" s="110"/>
      <c r="M253" s="110"/>
    </row>
    <row r="254" spans="2:13" s="43" customFormat="1" x14ac:dyDescent="0.25">
      <c r="B254" s="109"/>
      <c r="C254" s="109"/>
      <c r="D254" s="109"/>
      <c r="E254" s="109"/>
      <c r="F254" s="109"/>
      <c r="G254" s="109"/>
      <c r="H254" s="109"/>
      <c r="I254" s="109"/>
      <c r="J254" s="109"/>
      <c r="K254" s="110"/>
      <c r="L254" s="110"/>
      <c r="M254" s="110"/>
    </row>
    <row r="255" spans="2:13" s="43" customFormat="1" x14ac:dyDescent="0.25">
      <c r="B255" s="109"/>
      <c r="C255" s="109"/>
      <c r="D255" s="109"/>
      <c r="E255" s="109"/>
      <c r="F255" s="109"/>
      <c r="G255" s="109"/>
      <c r="H255" s="109"/>
      <c r="I255" s="109"/>
      <c r="J255" s="109"/>
      <c r="K255" s="110"/>
      <c r="L255" s="110"/>
      <c r="M255" s="110"/>
    </row>
    <row r="256" spans="2:13" s="43" customFormat="1" x14ac:dyDescent="0.25">
      <c r="B256" s="109"/>
      <c r="C256" s="109"/>
      <c r="D256" s="109"/>
      <c r="E256" s="109"/>
      <c r="F256" s="109"/>
      <c r="G256" s="109"/>
      <c r="H256" s="109"/>
      <c r="I256" s="109"/>
      <c r="J256" s="109"/>
      <c r="K256" s="110"/>
      <c r="L256" s="110"/>
      <c r="M256" s="110"/>
    </row>
    <row r="257" spans="2:13" s="43" customFormat="1" x14ac:dyDescent="0.25">
      <c r="B257" s="109"/>
      <c r="C257" s="109"/>
      <c r="D257" s="109"/>
      <c r="E257" s="109"/>
      <c r="F257" s="109"/>
      <c r="G257" s="109"/>
      <c r="H257" s="109"/>
      <c r="I257" s="109"/>
      <c r="J257" s="109"/>
      <c r="K257" s="110"/>
      <c r="L257" s="110"/>
      <c r="M257" s="110"/>
    </row>
    <row r="258" spans="2:13" s="43" customFormat="1" x14ac:dyDescent="0.25">
      <c r="B258" s="109"/>
      <c r="C258" s="109"/>
      <c r="D258" s="109"/>
      <c r="E258" s="109"/>
      <c r="F258" s="109"/>
      <c r="G258" s="109"/>
      <c r="H258" s="109"/>
      <c r="I258" s="109"/>
      <c r="J258" s="109"/>
      <c r="K258" s="110"/>
      <c r="L258" s="110"/>
      <c r="M258" s="110"/>
    </row>
    <row r="259" spans="2:13" s="43" customFormat="1" x14ac:dyDescent="0.25">
      <c r="B259" s="109"/>
      <c r="C259" s="109"/>
      <c r="D259" s="109"/>
      <c r="E259" s="109"/>
      <c r="F259" s="109"/>
      <c r="G259" s="109"/>
      <c r="H259" s="109"/>
      <c r="I259" s="109"/>
      <c r="J259" s="109"/>
      <c r="K259" s="110"/>
      <c r="L259" s="110"/>
      <c r="M259" s="110"/>
    </row>
    <row r="260" spans="2:13" s="43" customFormat="1" x14ac:dyDescent="0.25">
      <c r="B260" s="109"/>
      <c r="C260" s="109"/>
      <c r="D260" s="109"/>
      <c r="E260" s="109"/>
      <c r="F260" s="109"/>
      <c r="G260" s="109"/>
      <c r="H260" s="109"/>
      <c r="I260" s="109"/>
      <c r="J260" s="109"/>
      <c r="K260" s="110"/>
      <c r="L260" s="110"/>
      <c r="M260" s="110"/>
    </row>
    <row r="261" spans="2:13" s="43" customFormat="1" x14ac:dyDescent="0.25">
      <c r="B261" s="109"/>
      <c r="C261" s="109"/>
      <c r="D261" s="109"/>
      <c r="E261" s="109"/>
      <c r="F261" s="109"/>
      <c r="G261" s="109"/>
      <c r="H261" s="109"/>
      <c r="I261" s="109"/>
      <c r="J261" s="109"/>
      <c r="K261" s="110"/>
      <c r="L261" s="110"/>
      <c r="M261" s="110"/>
    </row>
    <row r="262" spans="2:13" s="43" customFormat="1" x14ac:dyDescent="0.25">
      <c r="B262" s="109"/>
      <c r="C262" s="109"/>
      <c r="D262" s="109"/>
      <c r="E262" s="109"/>
      <c r="F262" s="109"/>
      <c r="G262" s="109"/>
      <c r="H262" s="109"/>
      <c r="I262" s="109"/>
      <c r="J262" s="109"/>
      <c r="K262" s="110"/>
      <c r="L262" s="110"/>
      <c r="M262" s="110"/>
    </row>
    <row r="263" spans="2:13" s="43" customFormat="1" x14ac:dyDescent="0.25">
      <c r="B263" s="109"/>
      <c r="C263" s="109"/>
      <c r="D263" s="109"/>
      <c r="E263" s="109"/>
      <c r="F263" s="109"/>
      <c r="G263" s="109"/>
      <c r="H263" s="109"/>
      <c r="I263" s="109"/>
      <c r="J263" s="109"/>
      <c r="K263" s="110"/>
      <c r="L263" s="110"/>
      <c r="M263" s="110"/>
    </row>
    <row r="264" spans="2:13" s="43" customFormat="1" x14ac:dyDescent="0.25">
      <c r="B264" s="109"/>
      <c r="C264" s="109"/>
      <c r="D264" s="109"/>
      <c r="E264" s="109"/>
      <c r="F264" s="109"/>
      <c r="G264" s="109"/>
      <c r="H264" s="109"/>
      <c r="I264" s="109"/>
      <c r="J264" s="109"/>
      <c r="K264" s="110"/>
      <c r="L264" s="110"/>
      <c r="M264" s="110"/>
    </row>
    <row r="265" spans="2:13" s="43" customFormat="1" x14ac:dyDescent="0.25">
      <c r="B265" s="109"/>
      <c r="C265" s="109"/>
      <c r="D265" s="109"/>
      <c r="E265" s="109"/>
      <c r="F265" s="109"/>
      <c r="G265" s="109"/>
      <c r="H265" s="109"/>
      <c r="I265" s="109"/>
      <c r="J265" s="109"/>
      <c r="K265" s="110"/>
      <c r="L265" s="110"/>
      <c r="M265" s="110"/>
    </row>
    <row r="266" spans="2:13" s="43" customFormat="1" x14ac:dyDescent="0.25">
      <c r="B266" s="109"/>
      <c r="C266" s="109"/>
      <c r="D266" s="109"/>
      <c r="E266" s="109"/>
      <c r="F266" s="109"/>
      <c r="G266" s="109"/>
      <c r="H266" s="109"/>
      <c r="I266" s="109"/>
      <c r="J266" s="109"/>
      <c r="K266" s="110"/>
      <c r="L266" s="110"/>
      <c r="M266" s="110"/>
    </row>
    <row r="267" spans="2:13" s="43" customFormat="1" x14ac:dyDescent="0.25">
      <c r="B267" s="109"/>
      <c r="C267" s="109"/>
      <c r="D267" s="109"/>
      <c r="E267" s="109"/>
      <c r="F267" s="109"/>
      <c r="G267" s="109"/>
      <c r="H267" s="109"/>
      <c r="I267" s="109"/>
      <c r="J267" s="109"/>
      <c r="K267" s="110"/>
      <c r="L267" s="110"/>
      <c r="M267" s="110"/>
    </row>
    <row r="268" spans="2:13" s="43" customFormat="1" x14ac:dyDescent="0.25">
      <c r="B268" s="109"/>
      <c r="C268" s="109"/>
      <c r="D268" s="109"/>
      <c r="E268" s="109"/>
      <c r="F268" s="109"/>
      <c r="G268" s="109"/>
      <c r="H268" s="109"/>
      <c r="I268" s="109"/>
      <c r="J268" s="109"/>
      <c r="K268" s="110"/>
      <c r="L268" s="110"/>
      <c r="M268" s="110"/>
    </row>
    <row r="269" spans="2:13" s="43" customFormat="1" x14ac:dyDescent="0.25">
      <c r="B269" s="109"/>
      <c r="C269" s="109"/>
      <c r="D269" s="109"/>
      <c r="E269" s="109"/>
      <c r="F269" s="109"/>
      <c r="G269" s="109"/>
      <c r="H269" s="109"/>
      <c r="I269" s="109"/>
      <c r="J269" s="109"/>
      <c r="K269" s="110"/>
      <c r="L269" s="110"/>
      <c r="M269" s="110"/>
    </row>
    <row r="270" spans="2:13" s="43" customFormat="1" x14ac:dyDescent="0.25">
      <c r="B270" s="109"/>
      <c r="C270" s="109"/>
      <c r="D270" s="109"/>
      <c r="E270" s="109"/>
      <c r="F270" s="109"/>
      <c r="G270" s="109"/>
      <c r="H270" s="109"/>
      <c r="I270" s="109"/>
      <c r="J270" s="109"/>
      <c r="K270" s="110"/>
      <c r="L270" s="110"/>
      <c r="M270" s="110"/>
    </row>
    <row r="271" spans="2:13" s="43" customFormat="1" x14ac:dyDescent="0.25">
      <c r="B271" s="109"/>
      <c r="C271" s="109"/>
      <c r="D271" s="109"/>
      <c r="E271" s="109"/>
      <c r="F271" s="109"/>
      <c r="G271" s="109"/>
      <c r="H271" s="109"/>
      <c r="I271" s="109"/>
      <c r="J271" s="109"/>
      <c r="K271" s="110"/>
      <c r="L271" s="110"/>
      <c r="M271" s="110"/>
    </row>
    <row r="272" spans="2:13" s="43" customFormat="1" x14ac:dyDescent="0.25">
      <c r="B272" s="109"/>
      <c r="C272" s="109"/>
      <c r="D272" s="109"/>
      <c r="E272" s="109"/>
      <c r="F272" s="109"/>
      <c r="G272" s="109"/>
      <c r="H272" s="109"/>
      <c r="I272" s="109"/>
      <c r="J272" s="109"/>
      <c r="K272" s="110"/>
      <c r="L272" s="110"/>
      <c r="M272" s="110"/>
    </row>
    <row r="273" spans="1:13" s="43" customFormat="1" x14ac:dyDescent="0.25">
      <c r="B273" s="109"/>
      <c r="C273" s="109"/>
      <c r="D273" s="109"/>
      <c r="E273" s="109"/>
      <c r="F273" s="109"/>
      <c r="G273" s="109"/>
      <c r="H273" s="109"/>
      <c r="I273" s="109"/>
      <c r="J273" s="109"/>
      <c r="K273" s="110"/>
      <c r="L273" s="110"/>
      <c r="M273" s="110"/>
    </row>
    <row r="274" spans="1:13" s="43" customFormat="1" x14ac:dyDescent="0.25">
      <c r="B274" s="109"/>
      <c r="C274" s="109"/>
      <c r="D274" s="109"/>
      <c r="E274" s="109"/>
      <c r="F274" s="109"/>
      <c r="G274" s="109"/>
      <c r="H274" s="109"/>
      <c r="I274" s="109"/>
      <c r="J274" s="109"/>
      <c r="K274" s="110"/>
      <c r="L274" s="110"/>
      <c r="M274" s="110"/>
    </row>
    <row r="275" spans="1:13" s="43" customFormat="1" x14ac:dyDescent="0.25">
      <c r="B275" s="109"/>
      <c r="C275" s="109"/>
      <c r="D275" s="109"/>
      <c r="E275" s="109"/>
      <c r="F275" s="109"/>
      <c r="G275" s="109"/>
      <c r="H275" s="109"/>
      <c r="I275" s="109"/>
      <c r="J275" s="109"/>
      <c r="K275" s="110"/>
      <c r="L275" s="110"/>
      <c r="M275" s="110"/>
    </row>
    <row r="276" spans="1:13" s="43" customFormat="1" x14ac:dyDescent="0.25">
      <c r="B276" s="109"/>
      <c r="C276" s="109"/>
      <c r="D276" s="109"/>
      <c r="E276" s="109"/>
      <c r="F276" s="109"/>
      <c r="G276" s="109"/>
      <c r="H276" s="109"/>
      <c r="I276" s="109"/>
      <c r="J276" s="109"/>
      <c r="K276" s="110"/>
      <c r="L276" s="110"/>
      <c r="M276" s="110"/>
    </row>
    <row r="277" spans="1:13" s="43" customFormat="1" x14ac:dyDescent="0.25">
      <c r="B277" s="109"/>
      <c r="C277" s="109"/>
      <c r="D277" s="109"/>
      <c r="E277" s="109"/>
      <c r="F277" s="109"/>
      <c r="G277" s="109"/>
      <c r="H277" s="109"/>
      <c r="I277" s="109"/>
      <c r="J277" s="109"/>
      <c r="K277" s="110"/>
      <c r="L277" s="110"/>
      <c r="M277" s="110"/>
    </row>
    <row r="278" spans="1:13" s="43" customFormat="1" x14ac:dyDescent="0.25">
      <c r="A278" s="111"/>
      <c r="B278" s="111"/>
      <c r="C278" s="69"/>
      <c r="D278" s="69"/>
      <c r="E278" s="69"/>
      <c r="F278" s="69"/>
      <c r="G278" s="69"/>
      <c r="H278" s="69"/>
      <c r="I278" s="69"/>
      <c r="J278" s="69"/>
      <c r="K278" s="69"/>
      <c r="L278" s="69"/>
      <c r="M278" s="69"/>
    </row>
    <row r="279" spans="1:13" s="43" customFormat="1" x14ac:dyDescent="0.25">
      <c r="A279" s="43" t="s">
        <v>174</v>
      </c>
      <c r="B279" s="43">
        <v>95</v>
      </c>
      <c r="C279" s="43">
        <v>95</v>
      </c>
      <c r="D279" s="43">
        <v>95</v>
      </c>
      <c r="E279" s="43">
        <v>95</v>
      </c>
      <c r="F279" s="43">
        <v>95</v>
      </c>
      <c r="G279" s="43">
        <v>95</v>
      </c>
      <c r="H279" s="43">
        <v>95</v>
      </c>
      <c r="I279" s="43">
        <v>95</v>
      </c>
      <c r="J279" s="43">
        <v>95</v>
      </c>
      <c r="K279" s="43">
        <v>95</v>
      </c>
      <c r="L279" s="43">
        <v>95</v>
      </c>
      <c r="M279" s="43">
        <v>95</v>
      </c>
    </row>
  </sheetData>
  <conditionalFormatting sqref="B93 B89:B90 B72:B73 B51:B52 B68:B69">
    <cfRule type="expression" dxfId="5" priority="9">
      <formula>#REF!=""</formula>
    </cfRule>
  </conditionalFormatting>
  <conditionalFormatting sqref="B89 B72 B51 B68">
    <cfRule type="expression" dxfId="4" priority="8">
      <formula>#REF!=""</formula>
    </cfRule>
  </conditionalFormatting>
  <conditionalFormatting sqref="B93 B90 B73 B52 B69">
    <cfRule type="expression" dxfId="3" priority="7">
      <formula>#REF!=""</formula>
    </cfRule>
  </conditionalFormatting>
  <conditionalFormatting sqref="C56:C57">
    <cfRule type="expression" dxfId="2" priority="3">
      <formula>#REF!=""</formula>
    </cfRule>
  </conditionalFormatting>
  <conditionalFormatting sqref="C56">
    <cfRule type="expression" dxfId="1" priority="2">
      <formula>#REF!=""</formula>
    </cfRule>
  </conditionalFormatting>
  <conditionalFormatting sqref="C57">
    <cfRule type="expression" dxfId="0" priority="1">
      <formula>#REF!=""</formula>
    </cfRule>
  </conditionalFormatting>
  <pageMargins left="0.7" right="0.7" top="0.78740157499999996" bottom="0.78740157499999996"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9</vt:i4>
      </vt:variant>
    </vt:vector>
  </HeadingPairs>
  <TitlesOfParts>
    <vt:vector size="15" baseType="lpstr">
      <vt:lpstr>Dashboard</vt:lpstr>
      <vt:lpstr>InputNew</vt:lpstr>
      <vt:lpstr>Data</vt:lpstr>
      <vt:lpstr>calculations</vt:lpstr>
      <vt:lpstr>XbarR</vt:lpstr>
      <vt:lpstr>BoxPlot</vt:lpstr>
      <vt:lpstr>BeginnDate</vt:lpstr>
      <vt:lpstr>dropdown</vt:lpstr>
      <vt:lpstr>EndDate</vt:lpstr>
      <vt:lpstr>lstKPIs</vt:lpstr>
      <vt:lpstr>lstSortedKPIs</vt:lpstr>
      <vt:lpstr>lstTargets</vt:lpstr>
      <vt:lpstr>XbarR!Print_Area</vt:lpstr>
      <vt:lpstr>valSortColNumber</vt:lpstr>
      <vt:lpstr>valSortColumn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Jesko Rehberg</dc:creator>
  <cp:lastModifiedBy>Jesko Rehberg</cp:lastModifiedBy>
  <dcterms:created xsi:type="dcterms:W3CDTF">2011-02-09T04:29:44Z</dcterms:created>
  <dcterms:modified xsi:type="dcterms:W3CDTF">2021-03-15T06:52:31Z</dcterms:modified>
</cp:coreProperties>
</file>